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90" firstSheet="1" activeTab="3"/>
  </bookViews>
  <sheets>
    <sheet name="Budgeted_Data" sheetId="10" r:id="rId1"/>
    <sheet name="E-Mail_Copy" sheetId="12" r:id="rId2"/>
    <sheet name="DGR" sheetId="8" r:id="rId3"/>
    <sheet name="Data_Entry" sheetId="9" r:id="rId4"/>
    <sheet name="Inverter_PR" sheetId="15" r:id="rId5"/>
    <sheet name="Invt_Analysis_Gen_Per_KW &amp;_PR" sheetId="14" r:id="rId6"/>
    <sheet name="Basic_Data" sheetId="4" r:id="rId7"/>
    <sheet name="Plant_Down_Time Details" sheetId="3" r:id="rId8"/>
    <sheet name="Plant_Grid_Down_Time_Details" sheetId="7" r:id="rId9"/>
    <sheet name="WMS" sheetId="5" r:id="rId10"/>
    <sheet name="Module_Cleaning" sheetId="13" r:id="rId11"/>
    <sheet name="Plant  Availiblity" sheetId="16" r:id="rId12"/>
    <sheet name="Grid Availiblity" sheetId="17" r:id="rId13"/>
  </sheets>
  <definedNames>
    <definedName name="_xlnm._FilterDatabase" localSheetId="7" hidden="1">'Plant_Down_Time Details'!$A$2:$S$372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V19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not update data
</t>
        </r>
      </text>
    </comment>
  </commentList>
</comments>
</file>

<file path=xl/sharedStrings.xml><?xml version="1.0" encoding="utf-8"?>
<sst xmlns="http://schemas.openxmlformats.org/spreadsheetml/2006/main" count="2010" uniqueCount="267">
  <si>
    <t>Plant Name</t>
  </si>
  <si>
    <t>Date</t>
  </si>
  <si>
    <t>Month</t>
  </si>
  <si>
    <t>Daily_Gen</t>
  </si>
  <si>
    <t>Daily_GTI</t>
  </si>
  <si>
    <t>Daily_GHI</t>
  </si>
  <si>
    <t>Ambt_Temp</t>
  </si>
  <si>
    <t>PR_%</t>
  </si>
  <si>
    <t>CUF_%</t>
  </si>
  <si>
    <t>TArray</t>
  </si>
  <si>
    <t>TArrWtd</t>
  </si>
  <si>
    <t>Connected_DC</t>
  </si>
  <si>
    <t>Devki_Galol</t>
  </si>
  <si>
    <t>Plant_Performance_of_Mandapara_GJ</t>
  </si>
  <si>
    <t>25-26</t>
  </si>
  <si>
    <t>AC Capacity:</t>
  </si>
  <si>
    <t>DC Capacity:</t>
  </si>
  <si>
    <t>D.O.C.:</t>
  </si>
  <si>
    <t>Daily</t>
  </si>
  <si>
    <t>MTD</t>
  </si>
  <si>
    <t>YTD</t>
  </si>
  <si>
    <t>Budgeted</t>
  </si>
  <si>
    <t>Actual</t>
  </si>
  <si>
    <t>Variation(%)</t>
  </si>
  <si>
    <t>Generation_MW</t>
  </si>
  <si>
    <r>
      <rPr>
        <sz val="12"/>
        <color theme="1"/>
        <rFont val="Arial"/>
        <charset val="134"/>
        <scheme val="minor"/>
      </rPr>
      <t>GTI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</si>
  <si>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r>
      <rPr>
        <sz val="12"/>
        <color theme="1"/>
        <rFont val="Arial"/>
        <charset val="134"/>
        <scheme val="minor"/>
      </rPr>
      <t>GHI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</si>
  <si>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t>PR_(%)</t>
  </si>
  <si>
    <t>CUF_(%)</t>
  </si>
  <si>
    <t>Wtd_Module_Temp</t>
  </si>
  <si>
    <r>
      <rPr>
        <sz val="12"/>
        <color theme="1"/>
        <rFont val="Arial"/>
        <charset val="134"/>
        <scheme val="minor"/>
      </rPr>
      <t>Ambt._Temp_(</t>
    </r>
    <r>
      <rPr>
        <vertAlign val="superscript"/>
        <sz val="12"/>
        <color theme="1"/>
        <rFont val="Arial"/>
        <charset val="134"/>
        <scheme val="minor"/>
      </rPr>
      <t>0</t>
    </r>
    <r>
      <rPr>
        <sz val="12"/>
        <color theme="1"/>
        <rFont val="Arial"/>
        <charset val="134"/>
        <scheme val="minor"/>
      </rPr>
      <t>C)</t>
    </r>
  </si>
  <si>
    <t xml:space="preserve"> </t>
  </si>
  <si>
    <t>Daily_Generation_&amp;_Performance_Report</t>
  </si>
  <si>
    <t>Inverter_No.</t>
  </si>
  <si>
    <t>Total/Avg..</t>
  </si>
  <si>
    <t>Inv_1</t>
  </si>
  <si>
    <t>Inv_2</t>
  </si>
  <si>
    <t>Inv_3</t>
  </si>
  <si>
    <t>Inv_4</t>
  </si>
  <si>
    <t>Inv_5</t>
  </si>
  <si>
    <t>Inv_6</t>
  </si>
  <si>
    <t>Inv_7</t>
  </si>
  <si>
    <t>Total_Inverter_(kWh)</t>
  </si>
  <si>
    <t>Total_ABT_Meter_Export_(kWh)</t>
  </si>
  <si>
    <t>Total_ABT_Meter_Import_(kWh)</t>
  </si>
  <si>
    <t>Total_ABT_Meter_Net_(kWh)</t>
  </si>
  <si>
    <t>GTI</t>
  </si>
  <si>
    <t>GHI</t>
  </si>
  <si>
    <t>Module_Temp.</t>
  </si>
  <si>
    <t>Ambt._Temp.</t>
  </si>
  <si>
    <t>Performance_Ratio_(%)</t>
  </si>
  <si>
    <t>Capacity_Utilization_Factor_(%)</t>
  </si>
  <si>
    <t>Aux_Consumption_Line_Loss_(%)</t>
  </si>
  <si>
    <t>Plant_Up_Time</t>
  </si>
  <si>
    <t>Plant_Down_Time</t>
  </si>
  <si>
    <t>Total Inv Gen kWh</t>
  </si>
  <si>
    <t>ABT_Initial_Export</t>
  </si>
  <si>
    <t>ABT_Final_Export</t>
  </si>
  <si>
    <t>Total_Export</t>
  </si>
  <si>
    <t>ABT_Initial_Import</t>
  </si>
  <si>
    <t>ABT_Final_Import</t>
  </si>
  <si>
    <t>Total_Import</t>
  </si>
  <si>
    <t>Net_Gen_kWh</t>
  </si>
  <si>
    <r>
      <rPr>
        <b/>
        <sz val="11"/>
        <color theme="1"/>
        <rFont val="Calibri"/>
        <charset val="134"/>
      </rPr>
      <t>GHI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</si>
  <si>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r>
      <rPr>
        <b/>
        <sz val="11"/>
        <color theme="1"/>
        <rFont val="Calibri"/>
        <charset val="134"/>
      </rPr>
      <t>GTI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</si>
  <si>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t>Ambt_Temp_Avg</t>
  </si>
  <si>
    <t>Module_Temp_Avg</t>
  </si>
  <si>
    <t>Wind Speed</t>
  </si>
  <si>
    <t>Rain_Gaug_MM</t>
  </si>
  <si>
    <t>Weather_Condition</t>
  </si>
  <si>
    <t>sunny</t>
  </si>
  <si>
    <t>mostly cloudy</t>
  </si>
  <si>
    <t>cloudy</t>
  </si>
  <si>
    <t>rainy</t>
  </si>
  <si>
    <t>521,28</t>
  </si>
  <si>
    <t xml:space="preserve"> sunny</t>
  </si>
  <si>
    <t>Inverter_Availability_Sheet</t>
  </si>
  <si>
    <t>Daily_Generation_Per_KW_Performance_Analysis</t>
  </si>
  <si>
    <t>Avg_per_Kw</t>
  </si>
  <si>
    <t>Avg_PR%</t>
  </si>
  <si>
    <t>Details_of_Plant</t>
  </si>
  <si>
    <t>Values</t>
  </si>
  <si>
    <t>Inverter_Name</t>
  </si>
  <si>
    <t>AC_Capacity_MW</t>
  </si>
  <si>
    <t>Connected_DC_MW</t>
  </si>
  <si>
    <t>No_Of_Module</t>
  </si>
  <si>
    <t>D.O.C(DD-MMM-YYY)</t>
  </si>
  <si>
    <t>Plant_Name</t>
  </si>
  <si>
    <t>Devki Galol</t>
  </si>
  <si>
    <t>Longitude_Of_Site</t>
  </si>
  <si>
    <t>21.62 °N</t>
  </si>
  <si>
    <t>Latitude_Of_Site</t>
  </si>
  <si>
    <t>70.69 °E</t>
  </si>
  <si>
    <t>DC_Capacity_(kWh)</t>
  </si>
  <si>
    <t>AC_Capacity_(kWh)</t>
  </si>
  <si>
    <t>Connected_DC_Capacity</t>
  </si>
  <si>
    <t>Multiplying_Factor_(MF)</t>
  </si>
  <si>
    <t>Total</t>
  </si>
  <si>
    <t>No._of_Power_Trafo.</t>
  </si>
  <si>
    <t>Power_Trafo._Make</t>
  </si>
  <si>
    <t>Gujrat_Trafo</t>
  </si>
  <si>
    <t>Inverter_Make</t>
  </si>
  <si>
    <t>Watt_power</t>
  </si>
  <si>
    <t>Inverter_Capacity</t>
  </si>
  <si>
    <t>No._of_Inverter</t>
  </si>
  <si>
    <t>Module_Make</t>
  </si>
  <si>
    <t>EMMVEE</t>
  </si>
  <si>
    <t>Module_Rating</t>
  </si>
  <si>
    <t>No._of_Strings/Table</t>
  </si>
  <si>
    <t>No._Of_Module_In_Table</t>
  </si>
  <si>
    <t>28 for Bifacial</t>
  </si>
  <si>
    <t>Total_Module</t>
  </si>
  <si>
    <t>Switch_Yard_Make_Vendors</t>
  </si>
  <si>
    <t>ABB</t>
  </si>
  <si>
    <t>Table_Configuration</t>
  </si>
  <si>
    <t>2X28</t>
  </si>
  <si>
    <t>ABT Meter Make</t>
  </si>
  <si>
    <t>FY:Name</t>
  </si>
  <si>
    <t>From_FY</t>
  </si>
  <si>
    <t>To_FY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</si>
  <si>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</si>
  <si>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</si>
  <si>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</si>
  <si>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</si>
  <si>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</si>
  <si>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</si>
  <si>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</si>
  <si>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</si>
  <si>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</si>
  <si>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</si>
  <si>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</si>
  <si>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</si>
  <si>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</si>
  <si>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26-27</t>
  </si>
  <si>
    <t>27-28</t>
  </si>
  <si>
    <t>28-29</t>
  </si>
  <si>
    <t>29-30</t>
  </si>
  <si>
    <t>30-31</t>
  </si>
  <si>
    <t>31-32</t>
  </si>
  <si>
    <t>32-33</t>
  </si>
  <si>
    <t>Plant_Down_Time Details</t>
  </si>
  <si>
    <t>Inverter_No</t>
  </si>
  <si>
    <t>String_No</t>
  </si>
  <si>
    <t>Down_Time_Start</t>
  </si>
  <si>
    <t>Down_Time_Stop</t>
  </si>
  <si>
    <t>Total_Down_Time</t>
  </si>
  <si>
    <t>Affected DC Capacity (in KW)</t>
  </si>
  <si>
    <t>Insolation*Capacity</t>
  </si>
  <si>
    <t>Generation Loss</t>
  </si>
  <si>
    <t>Revenue</t>
  </si>
  <si>
    <t>Component Name</t>
  </si>
  <si>
    <t>Fault Description</t>
  </si>
  <si>
    <t>Reason_Of_Down</t>
  </si>
  <si>
    <t>Purposed Action Plan</t>
  </si>
  <si>
    <t>Material Consumption Description</t>
  </si>
  <si>
    <t>UOM</t>
  </si>
  <si>
    <t>Quantity</t>
  </si>
  <si>
    <t>Corrective_Action_Taken_By_Site_Team</t>
  </si>
  <si>
    <t>All inverter</t>
  </si>
  <si>
    <t>All string</t>
  </si>
  <si>
    <t>plant manully stopped our solar site for modam 
replesement work by PGVCL team</t>
  </si>
  <si>
    <t>plant manully stopped 66 KV GETCO S/S site for modam 
replesement work by PGVCL team</t>
  </si>
  <si>
    <t>Inverter_No 5</t>
  </si>
  <si>
    <t>inverter 5</t>
  </si>
  <si>
    <t>short circuit pv arry and the ground</t>
  </si>
  <si>
    <t>arry cable damage</t>
  </si>
  <si>
    <t>removed fullty arry</t>
  </si>
  <si>
    <t>check and find faullty arry</t>
  </si>
  <si>
    <t>removed 2 nos faultty arry and inverter start</t>
  </si>
  <si>
    <t>conductor</t>
  </si>
  <si>
    <t>Earth fault</t>
  </si>
  <si>
    <t xml:space="preserve"> crossing line conductor fall down</t>
  </si>
  <si>
    <t>DO WIRE</t>
  </si>
  <si>
    <t>DO WIRE BURINING</t>
  </si>
  <si>
    <t>DO WIRE FUSE</t>
  </si>
  <si>
    <t>DO Wire burining</t>
  </si>
  <si>
    <t xml:space="preserve">Replase DO wire by site team </t>
  </si>
  <si>
    <t>Do wire burning</t>
  </si>
  <si>
    <t>Transformer</t>
  </si>
  <si>
    <t>temperature meter faulty</t>
  </si>
  <si>
    <t xml:space="preserve"> Replase by GT transformer team.</t>
  </si>
  <si>
    <t>ctpt oil lekage attend from s/s site</t>
  </si>
  <si>
    <t>plant manully stopped for the transformer maintance</t>
  </si>
  <si>
    <t>oil lekege attend by gt team</t>
  </si>
  <si>
    <t>Plant_Grid_Down_Time_Details</t>
  </si>
  <si>
    <t>Transformer_No. (T-1)</t>
  </si>
  <si>
    <t>Comm. Insolation of the Period</t>
  </si>
  <si>
    <t>Module Temp of the Period</t>
  </si>
  <si>
    <t>Remark</t>
  </si>
  <si>
    <t>april</t>
  </si>
  <si>
    <t>17/04/2025</t>
  </si>
  <si>
    <t>18/04/2025</t>
  </si>
  <si>
    <t>19/04/2025</t>
  </si>
  <si>
    <t>may</t>
  </si>
  <si>
    <t>MAY</t>
  </si>
  <si>
    <t>23/05/2025</t>
  </si>
  <si>
    <t>jun</t>
  </si>
  <si>
    <t>line manully stopped by pgvcl team for line joint work</t>
  </si>
  <si>
    <t>grid drop form s/s site</t>
  </si>
  <si>
    <t>getco s/s site outage</t>
  </si>
  <si>
    <t>14/01/2026</t>
  </si>
  <si>
    <t>line crrosing work from getco team</t>
  </si>
  <si>
    <t>19/01/2026</t>
  </si>
  <si>
    <t>over voltage</t>
  </si>
  <si>
    <t>20/01/2026</t>
  </si>
  <si>
    <t>DO WIRE BURENED</t>
  </si>
  <si>
    <t>Feb</t>
  </si>
  <si>
    <t>27/02/2026</t>
  </si>
  <si>
    <t>S/s site DO Wire Burened</t>
  </si>
  <si>
    <t>MAR</t>
  </si>
  <si>
    <t>23/03/2026</t>
  </si>
  <si>
    <t>S/s site y phase jumper Burened</t>
  </si>
  <si>
    <t>May</t>
  </si>
  <si>
    <t>17/05/2026</t>
  </si>
  <si>
    <t>22/05/2026</t>
  </si>
  <si>
    <t>Months</t>
  </si>
  <si>
    <t>Module_Temp</t>
  </si>
  <si>
    <t>Amb_Temp</t>
  </si>
  <si>
    <t>Derect_Irr</t>
  </si>
  <si>
    <t>Diffused_Irr</t>
  </si>
  <si>
    <t>Wind_Speed</t>
  </si>
  <si>
    <t>Wind_derection</t>
  </si>
  <si>
    <t>Rain Gauge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</si>
  <si>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</si>
  <si>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Consumption</t>
  </si>
  <si>
    <t>Tanker Qty</t>
  </si>
  <si>
    <t>Consumption (Capacity(Ltr)* Tanker)</t>
  </si>
  <si>
    <t>TDS (PPM)</t>
  </si>
  <si>
    <t>Cycle No.</t>
  </si>
  <si>
    <t>Invt. No</t>
  </si>
  <si>
    <t>Module</t>
  </si>
  <si>
    <t>Cleaned</t>
  </si>
  <si>
    <t>Before Cleaning PR%</t>
  </si>
  <si>
    <t>After Cleaning PR%</t>
  </si>
  <si>
    <t>Balance</t>
  </si>
  <si>
    <t>Remarks</t>
  </si>
  <si>
    <t>robat cleanig</t>
  </si>
  <si>
    <t>N0 cleaning</t>
  </si>
  <si>
    <t>All module cleaned by rain</t>
  </si>
  <si>
    <t>wet cleaning</t>
  </si>
  <si>
    <t>WET WITH ROBAT</t>
  </si>
  <si>
    <t>o</t>
  </si>
  <si>
    <t>robat faulty condition</t>
  </si>
  <si>
    <t>No cleaning</t>
  </si>
  <si>
    <t>No cleaning0</t>
  </si>
  <si>
    <t>ABT Export Gen</t>
  </si>
  <si>
    <t>Total inevrter off</t>
  </si>
  <si>
    <t xml:space="preserve">GHI </t>
  </si>
  <si>
    <t>CUF%</t>
  </si>
  <si>
    <t xml:space="preserve">Out </t>
  </si>
  <si>
    <t>In</t>
  </si>
  <si>
    <t>Total Minute</t>
  </si>
  <si>
    <t>Outage Hrs.</t>
  </si>
  <si>
    <t xml:space="preserve">Plant Capacity </t>
  </si>
  <si>
    <t xml:space="preserve">Outage Capacity </t>
  </si>
  <si>
    <t>Plant Capacity Ratio</t>
  </si>
  <si>
    <t>Outage Ratio</t>
  </si>
  <si>
    <t>Plant  Availiblity</t>
  </si>
  <si>
    <t>PA.C CUF</t>
  </si>
  <si>
    <t>total curtailment</t>
  </si>
  <si>
    <t xml:space="preserve">P.A.C Generation </t>
  </si>
  <si>
    <t>PA Unit Lose</t>
  </si>
  <si>
    <t xml:space="preserve"> curtailment</t>
  </si>
  <si>
    <t>Grid Availiblity</t>
  </si>
  <si>
    <t>G.C CUF</t>
  </si>
  <si>
    <t xml:space="preserve">G.C Generation </t>
  </si>
  <si>
    <t>Grid Unit 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</si>
</sst>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;@"/>
    <numFmt numFmtId="179" formatCode="[h]:mm:ss;@"/>
    <numFmt numFmtId="180" formatCode="0.0%"/>
    <numFmt numFmtId="181" formatCode="0.00_ "/>
    <numFmt numFmtId="182" formatCode="0.000"/>
    <numFmt numFmtId="183" formatCode="0.0"/>
  </numFmts>
  <fonts count="45">
    <font>
      <sz val="11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Arial"/>
      <charset val="134"/>
    </font>
    <font>
      <b/>
      <sz val="11"/>
      <color theme="1"/>
      <name val="Calibri"/>
      <charset val="134"/>
    </font>
    <font>
      <sz val="11"/>
      <color theme="0"/>
      <name val="Arial"/>
      <charset val="134"/>
    </font>
    <font>
      <b/>
      <sz val="18"/>
      <color theme="1"/>
      <name val="Book Antiqua"/>
      <charset val="134"/>
    </font>
    <font>
      <sz val="11"/>
      <name val="Arial"/>
      <charset val="134"/>
      <scheme val="minor"/>
    </font>
    <font>
      <sz val="11"/>
      <color theme="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name val="Arial"/>
      <charset val="134"/>
      <scheme val="minor"/>
    </font>
    <font>
      <b/>
      <i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vertAlign val="superscript"/>
      <sz val="12"/>
      <color theme="1"/>
      <name val="Arial"/>
      <charset val="134"/>
      <scheme val="minor"/>
    </font>
    <font>
      <b/>
      <vertAlign val="superscript"/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D6DCE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2" borderId="5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3" applyNumberFormat="0" applyFill="0" applyAlignment="0" applyProtection="0">
      <alignment vertical="center"/>
    </xf>
    <xf numFmtId="0" fontId="27" fillId="0" borderId="53" applyNumberFormat="0" applyFill="0" applyAlignment="0" applyProtection="0">
      <alignment vertical="center"/>
    </xf>
    <xf numFmtId="0" fontId="28" fillId="0" borderId="5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55" applyNumberFormat="0" applyAlignment="0" applyProtection="0">
      <alignment vertical="center"/>
    </xf>
    <xf numFmtId="0" fontId="30" fillId="14" borderId="56" applyNumberFormat="0" applyAlignment="0" applyProtection="0">
      <alignment vertical="center"/>
    </xf>
    <xf numFmtId="0" fontId="31" fillId="14" borderId="55" applyNumberFormat="0" applyAlignment="0" applyProtection="0">
      <alignment vertical="center"/>
    </xf>
    <xf numFmtId="0" fontId="32" fillId="15" borderId="57" applyNumberFormat="0" applyAlignment="0" applyProtection="0">
      <alignment vertical="center"/>
    </xf>
    <xf numFmtId="0" fontId="33" fillId="0" borderId="58" applyNumberFormat="0" applyFill="0" applyAlignment="0" applyProtection="0">
      <alignment vertical="center"/>
    </xf>
    <xf numFmtId="0" fontId="34" fillId="0" borderId="59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0" fillId="0" borderId="1" xfId="3" applyNumberFormat="1" applyFont="1" applyBorder="1"/>
    <xf numFmtId="179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80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178" fontId="2" fillId="0" borderId="1" xfId="0" applyNumberFormat="1" applyFont="1" applyBorder="1" applyAlignment="1"/>
    <xf numFmtId="180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5" borderId="1" xfId="0" applyNumberForma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0" fontId="4" fillId="6" borderId="2" xfId="0" applyFont="1" applyFill="1" applyBorder="1" applyAlignment="1" applyProtection="1">
      <alignment horizontal="center" vertical="center" wrapText="1"/>
      <protection locked="0"/>
    </xf>
    <xf numFmtId="17" fontId="5" fillId="0" borderId="1" xfId="0" applyNumberFormat="1" applyFont="1" applyBorder="1">
      <alignment vertical="center"/>
    </xf>
    <xf numFmtId="15" fontId="5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9" fontId="0" fillId="0" borderId="1" xfId="3" applyFont="1" applyBorder="1" applyAlignment="1">
      <alignment vertical="center"/>
    </xf>
    <xf numFmtId="17" fontId="5" fillId="0" borderId="2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17" fontId="5" fillId="0" borderId="3" xfId="0" applyNumberFormat="1" applyFont="1" applyBorder="1" applyAlignment="1">
      <alignment horizontal="center" vertical="center"/>
    </xf>
    <xf numFmtId="15" fontId="5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" fontId="5" fillId="0" borderId="4" xfId="0" applyNumberFormat="1" applyFont="1" applyBorder="1" applyAlignment="1">
      <alignment horizontal="center" vertical="center"/>
    </xf>
    <xf numFmtId="15" fontId="5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>
      <alignment vertical="center"/>
    </xf>
    <xf numFmtId="15" fontId="6" fillId="0" borderId="1" xfId="0" applyNumberFormat="1" applyFont="1" applyBorder="1">
      <alignment vertical="center"/>
    </xf>
    <xf numFmtId="0" fontId="0" fillId="4" borderId="1" xfId="0" applyFill="1" applyBorder="1">
      <alignment vertical="center"/>
    </xf>
    <xf numFmtId="9" fontId="0" fillId="4" borderId="1" xfId="3" applyFont="1" applyFill="1" applyBorder="1" applyAlignment="1">
      <alignment vertical="center"/>
    </xf>
    <xf numFmtId="17" fontId="5" fillId="4" borderId="1" xfId="0" applyNumberFormat="1" applyFont="1" applyFill="1" applyBorder="1">
      <alignment vertical="center"/>
    </xf>
    <xf numFmtId="15" fontId="5" fillId="4" borderId="1" xfId="0" applyNumberFormat="1" applyFont="1" applyFill="1" applyBorder="1">
      <alignment vertical="center"/>
    </xf>
    <xf numFmtId="0" fontId="0" fillId="7" borderId="1" xfId="0" applyFill="1" applyBorder="1">
      <alignment vertical="center"/>
    </xf>
    <xf numFmtId="9" fontId="0" fillId="7" borderId="1" xfId="3" applyFont="1" applyFill="1" applyBorder="1" applyAlignment="1">
      <alignment vertical="center"/>
    </xf>
    <xf numFmtId="0" fontId="0" fillId="3" borderId="1" xfId="0" applyFill="1" applyBorder="1">
      <alignment vertical="center"/>
    </xf>
    <xf numFmtId="9" fontId="0" fillId="3" borderId="1" xfId="3" applyFont="1" applyFill="1" applyBorder="1" applyAlignment="1">
      <alignment vertical="center"/>
    </xf>
    <xf numFmtId="9" fontId="0" fillId="0" borderId="1" xfId="3" applyNumberFormat="1" applyFont="1" applyBorder="1" applyAlignment="1">
      <alignment vertical="center"/>
    </xf>
    <xf numFmtId="9" fontId="0" fillId="0" borderId="1" xfId="0" applyNumberFormat="1" applyBorder="1">
      <alignment vertical="center"/>
    </xf>
    <xf numFmtId="0" fontId="7" fillId="0" borderId="1" xfId="0" applyFont="1" applyBorder="1" applyAlignment="1"/>
    <xf numFmtId="0" fontId="7" fillId="8" borderId="1" xfId="0" applyFont="1" applyFill="1" applyBorder="1" applyAlignment="1"/>
    <xf numFmtId="0" fontId="0" fillId="8" borderId="1" xfId="0" applyFill="1" applyBorder="1">
      <alignment vertical="center"/>
    </xf>
    <xf numFmtId="0" fontId="5" fillId="0" borderId="1" xfId="0" applyFont="1" applyBorder="1">
      <alignment vertical="center"/>
    </xf>
    <xf numFmtId="181" fontId="0" fillId="0" borderId="1" xfId="0" applyNumberFormat="1" applyBorder="1">
      <alignment vertical="center"/>
    </xf>
    <xf numFmtId="0" fontId="8" fillId="9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/>
    <xf numFmtId="0" fontId="7" fillId="0" borderId="5" xfId="0" applyFont="1" applyBorder="1" applyAlignment="1">
      <alignment vertical="center"/>
    </xf>
    <xf numFmtId="20" fontId="7" fillId="0" borderId="5" xfId="0" applyNumberFormat="1" applyFont="1" applyBorder="1" applyAlignment="1"/>
    <xf numFmtId="0" fontId="7" fillId="4" borderId="5" xfId="0" applyFont="1" applyFill="1" applyBorder="1" applyAlignment="1"/>
    <xf numFmtId="58" fontId="7" fillId="0" borderId="5" xfId="0" applyNumberFormat="1" applyFont="1" applyBorder="1" applyAlignment="1"/>
    <xf numFmtId="16" fontId="7" fillId="0" borderId="5" xfId="0" applyNumberFormat="1" applyFont="1" applyBorder="1" applyAlignment="1"/>
    <xf numFmtId="0" fontId="8" fillId="4" borderId="0" xfId="0" applyFont="1" applyFill="1">
      <alignment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2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>
      <alignment vertical="center"/>
    </xf>
    <xf numFmtId="58" fontId="0" fillId="0" borderId="1" xfId="0" applyNumberFormat="1" applyBorder="1">
      <alignment vertical="center"/>
    </xf>
    <xf numFmtId="20" fontId="0" fillId="0" borderId="1" xfId="0" applyNumberFormat="1" applyFill="1" applyBorder="1">
      <alignment vertical="center"/>
    </xf>
    <xf numFmtId="0" fontId="0" fillId="0" borderId="1" xfId="0" applyFont="1" applyFill="1" applyBorder="1">
      <alignment vertical="center"/>
    </xf>
    <xf numFmtId="16" fontId="0" fillId="0" borderId="1" xfId="0" applyNumberFormat="1" applyBorder="1">
      <alignment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1" xfId="0" applyFont="1" applyBorder="1" applyAlignment="1"/>
    <xf numFmtId="0" fontId="10" fillId="0" borderId="0" xfId="0" applyFont="1" applyAlignment="1"/>
    <xf numFmtId="0" fontId="7" fillId="0" borderId="7" xfId="0" applyFont="1" applyBorder="1" applyAlignment="1">
      <alignment horizontal="center" vertical="center"/>
    </xf>
    <xf numFmtId="58" fontId="7" fillId="0" borderId="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5" fontId="7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0" fontId="11" fillId="11" borderId="1" xfId="0" applyFont="1" applyFill="1" applyBorder="1" applyAlignment="1">
      <alignment horizontal="center" vertical="center"/>
    </xf>
    <xf numFmtId="16" fontId="5" fillId="11" borderId="1" xfId="0" applyNumberFormat="1" applyFont="1" applyFill="1" applyBorder="1">
      <alignment vertical="center"/>
    </xf>
    <xf numFmtId="16" fontId="5" fillId="0" borderId="0" xfId="0" applyNumberFormat="1" applyFont="1">
      <alignment vertical="center"/>
    </xf>
    <xf numFmtId="2" fontId="5" fillId="0" borderId="1" xfId="0" applyNumberFormat="1" applyFont="1" applyBorder="1">
      <alignment vertical="center"/>
    </xf>
    <xf numFmtId="180" fontId="5" fillId="0" borderId="1" xfId="3" applyNumberFormat="1" applyFont="1" applyBorder="1" applyAlignment="1">
      <alignment vertical="center"/>
    </xf>
    <xf numFmtId="9" fontId="5" fillId="0" borderId="1" xfId="3" applyFont="1" applyBorder="1" applyAlignment="1">
      <alignment vertical="center"/>
    </xf>
    <xf numFmtId="0" fontId="12" fillId="7" borderId="0" xfId="0" applyFont="1" applyFill="1">
      <alignment vertical="center"/>
    </xf>
    <xf numFmtId="17" fontId="5" fillId="0" borderId="8" xfId="0" applyNumberFormat="1" applyFont="1" applyBorder="1">
      <alignment vertical="center"/>
    </xf>
    <xf numFmtId="180" fontId="0" fillId="0" borderId="0" xfId="3" applyNumberFormat="1" applyFont="1" applyAlignment="1">
      <alignment vertical="center"/>
    </xf>
    <xf numFmtId="17" fontId="5" fillId="0" borderId="9" xfId="0" applyNumberFormat="1" applyFont="1" applyBorder="1">
      <alignment vertical="center"/>
    </xf>
    <xf numFmtId="15" fontId="5" fillId="0" borderId="10" xfId="0" applyNumberFormat="1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11" fillId="5" borderId="13" xfId="0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Alignment="1" applyProtection="1">
      <alignment horizontal="center" vertical="center"/>
      <protection locked="0"/>
    </xf>
    <xf numFmtId="0" fontId="11" fillId="5" borderId="15" xfId="0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/>
      <protection locked="0"/>
    </xf>
    <xf numFmtId="0" fontId="5" fillId="0" borderId="17" xfId="0" applyFont="1" applyBorder="1">
      <alignment vertical="center"/>
    </xf>
    <xf numFmtId="2" fontId="5" fillId="0" borderId="18" xfId="0" applyNumberFormat="1" applyFont="1" applyBorder="1">
      <alignment vertical="center"/>
    </xf>
    <xf numFmtId="2" fontId="5" fillId="0" borderId="19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5" fillId="0" borderId="18" xfId="0" applyFont="1" applyBorder="1">
      <alignment vertical="center"/>
    </xf>
    <xf numFmtId="183" fontId="5" fillId="0" borderId="1" xfId="0" applyNumberFormat="1" applyFont="1" applyBorder="1">
      <alignment vertical="center"/>
    </xf>
    <xf numFmtId="0" fontId="5" fillId="8" borderId="1" xfId="0" applyFont="1" applyFill="1" applyBorder="1">
      <alignment vertical="center"/>
    </xf>
    <xf numFmtId="20" fontId="5" fillId="0" borderId="1" xfId="0" applyNumberFormat="1" applyFont="1" applyBorder="1">
      <alignment vertical="center"/>
    </xf>
    <xf numFmtId="20" fontId="5" fillId="0" borderId="17" xfId="0" applyNumberFormat="1" applyFont="1" applyBorder="1">
      <alignment vertical="center"/>
    </xf>
    <xf numFmtId="181" fontId="5" fillId="0" borderId="1" xfId="0" applyNumberFormat="1" applyFont="1" applyBorder="1">
      <alignment vertical="center"/>
    </xf>
    <xf numFmtId="20" fontId="5" fillId="0" borderId="10" xfId="0" applyNumberFormat="1" applyFont="1" applyBorder="1">
      <alignment vertical="center"/>
    </xf>
    <xf numFmtId="20" fontId="5" fillId="0" borderId="20" xfId="0" applyNumberFormat="1" applyFont="1" applyBorder="1">
      <alignment vertical="center"/>
    </xf>
    <xf numFmtId="0" fontId="5" fillId="0" borderId="10" xfId="0" applyFont="1" applyBorder="1">
      <alignment vertical="center"/>
    </xf>
    <xf numFmtId="181" fontId="5" fillId="0" borderId="10" xfId="0" applyNumberFormat="1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11" fillId="0" borderId="0" xfId="0" applyFont="1">
      <alignment vertical="center"/>
    </xf>
    <xf numFmtId="0" fontId="11" fillId="11" borderId="22" xfId="0" applyFont="1" applyFill="1" applyBorder="1" applyAlignment="1">
      <alignment horizontal="center" vertical="center"/>
    </xf>
    <xf numFmtId="16" fontId="5" fillId="11" borderId="0" xfId="0" applyNumberFormat="1" applyFont="1" applyFill="1">
      <alignment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>
      <alignment vertical="center"/>
    </xf>
    <xf numFmtId="0" fontId="11" fillId="0" borderId="22" xfId="0" applyFont="1" applyBorder="1" applyAlignment="1">
      <alignment horizontal="center" vertical="center"/>
    </xf>
    <xf numFmtId="183" fontId="5" fillId="0" borderId="0" xfId="0" applyNumberFormat="1" applyFont="1">
      <alignment vertical="center"/>
    </xf>
    <xf numFmtId="180" fontId="5" fillId="0" borderId="0" xfId="3" applyNumberFormat="1" applyFont="1" applyAlignment="1">
      <alignment vertical="center"/>
    </xf>
    <xf numFmtId="0" fontId="0" fillId="0" borderId="0" xfId="0" applyAlignment="1"/>
    <xf numFmtId="0" fontId="13" fillId="11" borderId="23" xfId="0" applyFont="1" applyFill="1" applyBorder="1" applyAlignment="1">
      <alignment horizontal="center" vertical="center" wrapText="1"/>
    </xf>
    <xf numFmtId="0" fontId="13" fillId="11" borderId="24" xfId="0" applyFont="1" applyFill="1" applyBorder="1" applyAlignment="1">
      <alignment horizontal="center" vertical="center" wrapText="1"/>
    </xf>
    <xf numFmtId="0" fontId="13" fillId="11" borderId="25" xfId="0" applyFont="1" applyFill="1" applyBorder="1" applyAlignment="1">
      <alignment horizontal="center" vertical="center" wrapText="1"/>
    </xf>
    <xf numFmtId="0" fontId="13" fillId="11" borderId="26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center" vertical="center" wrapText="1"/>
    </xf>
    <xf numFmtId="0" fontId="13" fillId="11" borderId="28" xfId="0" applyFont="1" applyFill="1" applyBorder="1" applyAlignment="1">
      <alignment horizontal="center" vertical="center" wrapText="1"/>
    </xf>
    <xf numFmtId="0" fontId="14" fillId="0" borderId="0" xfId="0" applyFont="1" applyAlignment="1"/>
    <xf numFmtId="58" fontId="15" fillId="0" borderId="0" xfId="0" applyNumberFormat="1" applyFont="1" applyAlignment="1">
      <alignment horizontal="center" vertical="center"/>
    </xf>
    <xf numFmtId="15" fontId="15" fillId="0" borderId="0" xfId="0" applyNumberFormat="1" applyFont="1" applyAlignment="1"/>
    <xf numFmtId="0" fontId="14" fillId="0" borderId="0" xfId="0" applyFont="1" applyAlignment="1">
      <alignment horizontal="right" vertical="center"/>
    </xf>
    <xf numFmtId="0" fontId="15" fillId="0" borderId="0" xfId="0" applyFont="1" applyAlignment="1"/>
    <xf numFmtId="0" fontId="16" fillId="11" borderId="7" xfId="0" applyFont="1" applyFill="1" applyBorder="1" applyAlignment="1">
      <alignment horizontal="right" vertical="center"/>
    </xf>
    <xf numFmtId="15" fontId="17" fillId="0" borderId="7" xfId="0" applyNumberFormat="1" applyFont="1" applyBorder="1" applyAlignment="1" applyProtection="1">
      <alignment horizontal="center" vertical="center"/>
      <protection locked="0"/>
    </xf>
    <xf numFmtId="0" fontId="16" fillId="11" borderId="29" xfId="0" applyFont="1" applyFill="1" applyBorder="1" applyAlignment="1">
      <alignment horizontal="right" vertical="center"/>
    </xf>
    <xf numFmtId="0" fontId="16" fillId="11" borderId="30" xfId="0" applyFont="1" applyFill="1" applyBorder="1" applyAlignment="1">
      <alignment horizontal="right" vertical="center"/>
    </xf>
    <xf numFmtId="2" fontId="17" fillId="0" borderId="7" xfId="0" applyNumberFormat="1" applyFont="1" applyBorder="1" applyAlignment="1">
      <alignment horizontal="center" vertical="center"/>
    </xf>
    <xf numFmtId="2" fontId="18" fillId="7" borderId="7" xfId="0" applyNumberFormat="1" applyFont="1" applyFill="1" applyBorder="1" applyAlignment="1">
      <alignment horizontal="center" vertical="center"/>
    </xf>
    <xf numFmtId="15" fontId="17" fillId="0" borderId="7" xfId="0" applyNumberFormat="1" applyFont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183" fontId="17" fillId="0" borderId="35" xfId="0" applyNumberFormat="1" applyFont="1" applyBorder="1" applyAlignment="1">
      <alignment horizontal="center"/>
    </xf>
    <xf numFmtId="2" fontId="17" fillId="0" borderId="36" xfId="0" applyNumberFormat="1" applyFont="1" applyBorder="1" applyAlignment="1">
      <alignment horizontal="center"/>
    </xf>
    <xf numFmtId="180" fontId="17" fillId="0" borderId="37" xfId="0" applyNumberFormat="1" applyFont="1" applyBorder="1" applyAlignment="1">
      <alignment horizontal="center"/>
    </xf>
    <xf numFmtId="183" fontId="17" fillId="0" borderId="38" xfId="0" applyNumberFormat="1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2" fontId="17" fillId="0" borderId="41" xfId="0" applyNumberFormat="1" applyFont="1" applyBorder="1" applyAlignment="1">
      <alignment horizontal="center"/>
    </xf>
    <xf numFmtId="2" fontId="17" fillId="0" borderId="22" xfId="0" applyNumberFormat="1" applyFont="1" applyBorder="1" applyAlignment="1">
      <alignment horizontal="center"/>
    </xf>
    <xf numFmtId="180" fontId="17" fillId="0" borderId="42" xfId="0" applyNumberFormat="1" applyFont="1" applyBorder="1" applyAlignment="1">
      <alignment horizontal="center"/>
    </xf>
    <xf numFmtId="2" fontId="17" fillId="0" borderId="43" xfId="0" applyNumberFormat="1" applyFont="1" applyBorder="1" applyAlignment="1">
      <alignment horizontal="center"/>
    </xf>
    <xf numFmtId="180" fontId="17" fillId="0" borderId="41" xfId="0" applyNumberFormat="1" applyFont="1" applyBorder="1" applyAlignment="1">
      <alignment horizontal="center"/>
    </xf>
    <xf numFmtId="180" fontId="17" fillId="0" borderId="43" xfId="0" applyNumberFormat="1" applyFont="1" applyBorder="1" applyAlignment="1">
      <alignment horizontal="center"/>
    </xf>
    <xf numFmtId="180" fontId="17" fillId="0" borderId="22" xfId="0" applyNumberFormat="1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2" fontId="17" fillId="0" borderId="46" xfId="0" applyNumberFormat="1" applyFont="1" applyBorder="1" applyAlignment="1">
      <alignment horizontal="center"/>
    </xf>
    <xf numFmtId="2" fontId="17" fillId="0" borderId="47" xfId="0" applyNumberFormat="1" applyFont="1" applyBorder="1" applyAlignment="1">
      <alignment horizontal="center"/>
    </xf>
    <xf numFmtId="180" fontId="17" fillId="0" borderId="48" xfId="0" applyNumberFormat="1" applyFont="1" applyBorder="1" applyAlignment="1">
      <alignment horizontal="center"/>
    </xf>
    <xf numFmtId="2" fontId="17" fillId="0" borderId="49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9" fillId="0" borderId="13" xfId="0" applyFont="1" applyBorder="1" applyAlignment="1"/>
    <xf numFmtId="58" fontId="19" fillId="0" borderId="50" xfId="0" applyNumberFormat="1" applyFont="1" applyBorder="1" applyAlignment="1"/>
    <xf numFmtId="0" fontId="19" fillId="0" borderId="50" xfId="0" applyFont="1" applyBorder="1" applyAlignment="1">
      <alignment horizont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/>
    <xf numFmtId="2" fontId="5" fillId="0" borderId="1" xfId="0" applyNumberFormat="1" applyFont="1" applyBorder="1" applyAlignment="1">
      <alignment horizontal="center" vertical="center"/>
    </xf>
    <xf numFmtId="180" fontId="5" fillId="0" borderId="1" xfId="3" applyNumberFormat="1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16" fontId="0" fillId="0" borderId="7" xfId="0" applyNumberForma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M367"/>
  <sheetViews>
    <sheetView workbookViewId="0">
      <pane xSplit="2" ySplit="1" topLeftCell="C356" activePane="bottomRight" state="frozen"/>
      <selection/>
      <selection pane="topRight"/>
      <selection pane="bottomLeft"/>
      <selection pane="bottomRight" activeCell="A366" sqref="A366:M366"/>
    </sheetView>
  </sheetViews>
  <sheetFormatPr defaultColWidth="8.75" defaultRowHeight="15"/>
  <cols>
    <col min="1" max="1" width="10.375" style="90" customWidth="1"/>
    <col min="2" max="2" width="8.875" style="90" customWidth="1"/>
    <col min="3" max="3" width="8.75" style="90"/>
    <col min="4" max="4" width="6.75" style="90" customWidth="1"/>
    <col min="5" max="5" width="9.125" style="90" customWidth="1"/>
    <col min="6" max="7" width="8.75" style="90"/>
    <col min="8" max="8" width="10.75" style="90" customWidth="1"/>
    <col min="9" max="12" width="8.75" style="90"/>
    <col min="13" max="13" width="12.375" style="90" customWidth="1"/>
    <col min="14" max="16384" width="8.75" style="90"/>
  </cols>
  <sheetData>
    <row r="1" spans="1:13">
      <c r="A1" s="176" t="s">
        <v>0</v>
      </c>
      <c r="B1" s="177" t="s">
        <v>1</v>
      </c>
      <c r="C1" s="178" t="s">
        <v>2</v>
      </c>
      <c r="D1" s="178" t="s">
        <v>2</v>
      </c>
      <c r="E1" s="179" t="s">
        <v>3</v>
      </c>
      <c r="F1" s="179" t="s">
        <v>4</v>
      </c>
      <c r="G1" s="179" t="s">
        <v>5</v>
      </c>
      <c r="H1" s="179" t="s">
        <v>6</v>
      </c>
      <c r="I1" s="179" t="s">
        <v>7</v>
      </c>
      <c r="J1" s="179" t="s">
        <v>8</v>
      </c>
      <c r="K1" s="179" t="s">
        <v>9</v>
      </c>
      <c r="L1" s="179" t="s">
        <v>10</v>
      </c>
      <c r="M1" s="180" t="s">
        <v>11</v>
      </c>
    </row>
    <row r="2" spans="1:13">
      <c r="A2" s="111" t="s">
        <v>12</v>
      </c>
      <c r="B2" s="25">
        <v>45747</v>
      </c>
      <c r="C2" s="52"/>
      <c r="D2" s="52"/>
      <c r="E2" s="181"/>
      <c r="F2" s="181"/>
      <c r="G2" s="181"/>
      <c r="H2" s="181"/>
      <c r="I2" s="182"/>
      <c r="J2" s="182"/>
      <c r="K2" s="181"/>
      <c r="L2" s="181"/>
      <c r="M2" s="108">
        <v>2411</v>
      </c>
    </row>
    <row r="3" spans="1:13">
      <c r="A3" s="111" t="s">
        <v>12</v>
      </c>
      <c r="B3" s="25">
        <v>45748</v>
      </c>
      <c r="C3" s="52"/>
      <c r="D3" s="52"/>
      <c r="E3" s="181">
        <v>13840.9228</v>
      </c>
      <c r="F3" s="181">
        <v>6.912086</v>
      </c>
      <c r="G3" s="181">
        <v>6.70334</v>
      </c>
      <c r="H3" s="181">
        <v>26.93375</v>
      </c>
      <c r="I3" s="182">
        <v>0.830536460948839</v>
      </c>
      <c r="J3" s="182">
        <v>0.239197476842251</v>
      </c>
      <c r="K3" s="181"/>
      <c r="L3" s="181"/>
      <c r="M3" s="108">
        <v>2411</v>
      </c>
    </row>
    <row r="4" spans="1:13">
      <c r="A4" s="111" t="s">
        <v>12</v>
      </c>
      <c r="B4" s="25">
        <v>45749</v>
      </c>
      <c r="C4" s="52"/>
      <c r="D4" s="52"/>
      <c r="E4" s="181">
        <v>14376.1698</v>
      </c>
      <c r="F4" s="181">
        <v>7.239875</v>
      </c>
      <c r="G4" s="181">
        <v>7.020655</v>
      </c>
      <c r="H4" s="181">
        <v>27.3295833333333</v>
      </c>
      <c r="I4" s="182">
        <v>0.823597302169209</v>
      </c>
      <c r="J4" s="182">
        <v>0.248447563251763</v>
      </c>
      <c r="K4" s="181"/>
      <c r="L4" s="181"/>
      <c r="M4" s="108">
        <v>2411</v>
      </c>
    </row>
    <row r="5" spans="1:13">
      <c r="A5" s="111" t="s">
        <v>12</v>
      </c>
      <c r="B5" s="25">
        <v>45750</v>
      </c>
      <c r="C5" s="52"/>
      <c r="D5" s="52"/>
      <c r="E5" s="181">
        <v>15037.6038</v>
      </c>
      <c r="F5" s="181">
        <v>7.636371</v>
      </c>
      <c r="G5" s="181">
        <v>7.409505</v>
      </c>
      <c r="H5" s="181">
        <v>28.3358333333333</v>
      </c>
      <c r="I5" s="182">
        <v>0.816759901513608</v>
      </c>
      <c r="J5" s="182">
        <v>0.259878401078391</v>
      </c>
      <c r="K5" s="181"/>
      <c r="L5" s="181"/>
      <c r="M5" s="108">
        <v>2411</v>
      </c>
    </row>
    <row r="6" spans="1:13">
      <c r="A6" s="111" t="s">
        <v>12</v>
      </c>
      <c r="B6" s="25">
        <v>45751</v>
      </c>
      <c r="C6" s="52"/>
      <c r="D6" s="52"/>
      <c r="E6" s="181">
        <v>15285.8958</v>
      </c>
      <c r="F6" s="181">
        <v>7.804267</v>
      </c>
      <c r="G6" s="181">
        <v>7.575568</v>
      </c>
      <c r="H6" s="181">
        <v>28.3120833333333</v>
      </c>
      <c r="I6" s="182">
        <v>0.812384381581182</v>
      </c>
      <c r="J6" s="182">
        <v>0.264169359187059</v>
      </c>
      <c r="K6" s="181"/>
      <c r="L6" s="181"/>
      <c r="M6" s="108">
        <v>2411</v>
      </c>
    </row>
    <row r="7" spans="1:13">
      <c r="A7" s="111" t="s">
        <v>12</v>
      </c>
      <c r="B7" s="25">
        <v>45752</v>
      </c>
      <c r="C7" s="52"/>
      <c r="D7" s="52"/>
      <c r="E7" s="181">
        <v>11354.4728</v>
      </c>
      <c r="F7" s="181">
        <v>5.709052</v>
      </c>
      <c r="G7" s="181">
        <v>5.48408</v>
      </c>
      <c r="H7" s="181">
        <v>31.0570833333333</v>
      </c>
      <c r="I7" s="182">
        <v>0.824908474360177</v>
      </c>
      <c r="J7" s="182">
        <v>0.196226890640122</v>
      </c>
      <c r="K7" s="181"/>
      <c r="L7" s="181"/>
      <c r="M7" s="108">
        <v>2411</v>
      </c>
    </row>
    <row r="8" spans="1:13">
      <c r="A8" s="111" t="s">
        <v>12</v>
      </c>
      <c r="B8" s="25">
        <v>45753</v>
      </c>
      <c r="C8" s="52"/>
      <c r="D8" s="52"/>
      <c r="E8" s="181">
        <v>7535.2082</v>
      </c>
      <c r="F8" s="181">
        <v>3.73304</v>
      </c>
      <c r="G8" s="181">
        <v>3.581261</v>
      </c>
      <c r="H8" s="181">
        <v>30.49625</v>
      </c>
      <c r="I8" s="182">
        <v>0.837211919171975</v>
      </c>
      <c r="J8" s="182">
        <v>0.130222732614406</v>
      </c>
      <c r="K8" s="181"/>
      <c r="L8" s="181"/>
      <c r="M8" s="108">
        <v>2411</v>
      </c>
    </row>
    <row r="9" spans="1:13">
      <c r="A9" s="111" t="s">
        <v>12</v>
      </c>
      <c r="B9" s="25">
        <v>45754</v>
      </c>
      <c r="C9" s="52"/>
      <c r="D9" s="52"/>
      <c r="E9" s="181">
        <v>12448.4838</v>
      </c>
      <c r="F9" s="181">
        <v>6.303896</v>
      </c>
      <c r="G9" s="181">
        <v>6.093292</v>
      </c>
      <c r="H9" s="181">
        <v>31.3154166666667</v>
      </c>
      <c r="I9" s="182">
        <v>0.819049611063484</v>
      </c>
      <c r="J9" s="182">
        <v>0.215133481957694</v>
      </c>
      <c r="K9" s="181"/>
      <c r="L9" s="181"/>
      <c r="M9" s="108">
        <v>2411</v>
      </c>
    </row>
    <row r="10" spans="1:13">
      <c r="A10" s="111" t="s">
        <v>12</v>
      </c>
      <c r="B10" s="25">
        <v>45755</v>
      </c>
      <c r="C10" s="52"/>
      <c r="D10" s="52"/>
      <c r="E10" s="181">
        <v>13600.0488</v>
      </c>
      <c r="F10" s="181">
        <v>6.903413</v>
      </c>
      <c r="G10" s="181">
        <v>6.681604</v>
      </c>
      <c r="H10" s="181">
        <v>30.8295833333333</v>
      </c>
      <c r="I10" s="182">
        <v>0.817107882905541</v>
      </c>
      <c r="J10" s="182">
        <v>0.235034715885525</v>
      </c>
      <c r="K10" s="181"/>
      <c r="L10" s="181"/>
      <c r="M10" s="108">
        <v>2411</v>
      </c>
    </row>
    <row r="11" spans="1:13">
      <c r="A11" s="111" t="s">
        <v>12</v>
      </c>
      <c r="B11" s="25">
        <v>45756</v>
      </c>
      <c r="C11" s="52"/>
      <c r="D11" s="52"/>
      <c r="E11" s="181">
        <v>14605.4068</v>
      </c>
      <c r="F11" s="181">
        <v>7.448123</v>
      </c>
      <c r="G11" s="181">
        <v>7.209586</v>
      </c>
      <c r="H11" s="181">
        <v>30.1391666666667</v>
      </c>
      <c r="I11" s="182">
        <v>0.813335272933667</v>
      </c>
      <c r="J11" s="182">
        <v>0.252409214710355</v>
      </c>
      <c r="K11" s="181"/>
      <c r="L11" s="181"/>
      <c r="M11" s="108">
        <v>2411</v>
      </c>
    </row>
    <row r="12" spans="1:13">
      <c r="A12" s="111" t="s">
        <v>12</v>
      </c>
      <c r="B12" s="25">
        <v>45757</v>
      </c>
      <c r="C12" s="52"/>
      <c r="D12" s="52"/>
      <c r="E12" s="181">
        <v>13864.9348</v>
      </c>
      <c r="F12" s="181">
        <v>7.092537</v>
      </c>
      <c r="G12" s="181">
        <v>6.865894</v>
      </c>
      <c r="H12" s="181">
        <v>31.8666666666667</v>
      </c>
      <c r="I12" s="182">
        <v>0.81080984098914</v>
      </c>
      <c r="J12" s="182">
        <v>0.239612449882483</v>
      </c>
      <c r="K12" s="181"/>
      <c r="L12" s="181"/>
      <c r="M12" s="108">
        <v>2411</v>
      </c>
    </row>
    <row r="13" spans="1:13">
      <c r="A13" s="111" t="s">
        <v>12</v>
      </c>
      <c r="B13" s="25">
        <v>45758</v>
      </c>
      <c r="C13" s="52"/>
      <c r="D13" s="52"/>
      <c r="E13" s="181">
        <v>14736.2258</v>
      </c>
      <c r="F13" s="181">
        <v>7.611165</v>
      </c>
      <c r="G13" s="181">
        <v>7.370474</v>
      </c>
      <c r="H13" s="181">
        <v>32.4279166666667</v>
      </c>
      <c r="I13" s="182">
        <v>0.803041371667071</v>
      </c>
      <c r="J13" s="182">
        <v>0.25467001589935</v>
      </c>
      <c r="K13" s="181"/>
      <c r="L13" s="181"/>
      <c r="M13" s="108">
        <v>2411</v>
      </c>
    </row>
    <row r="14" spans="1:13">
      <c r="A14" s="111" t="s">
        <v>12</v>
      </c>
      <c r="B14" s="25">
        <v>45759</v>
      </c>
      <c r="C14" s="52"/>
      <c r="D14" s="52"/>
      <c r="E14" s="181">
        <v>14692.5288</v>
      </c>
      <c r="F14" s="181">
        <v>7.4782</v>
      </c>
      <c r="G14" s="181">
        <v>7.242306</v>
      </c>
      <c r="H14" s="181">
        <v>29.6829166666667</v>
      </c>
      <c r="I14" s="182">
        <v>0.814896147021053</v>
      </c>
      <c r="J14" s="182">
        <v>0.253914848610535</v>
      </c>
      <c r="K14" s="181"/>
      <c r="L14" s="181"/>
      <c r="M14" s="108">
        <v>2411</v>
      </c>
    </row>
    <row r="15" spans="1:13">
      <c r="A15" s="111" t="s">
        <v>12</v>
      </c>
      <c r="B15" s="25">
        <v>45760</v>
      </c>
      <c r="C15" s="52"/>
      <c r="D15" s="52"/>
      <c r="E15" s="181">
        <v>13816.6798</v>
      </c>
      <c r="F15" s="181">
        <v>6.979103</v>
      </c>
      <c r="G15" s="181">
        <v>6.754639</v>
      </c>
      <c r="H15" s="181">
        <v>29.2029166666667</v>
      </c>
      <c r="I15" s="182">
        <v>0.82112046209686</v>
      </c>
      <c r="J15" s="182">
        <v>0.238778511682566</v>
      </c>
      <c r="K15" s="181"/>
      <c r="L15" s="181"/>
      <c r="M15" s="108">
        <v>2411</v>
      </c>
    </row>
    <row r="16" spans="1:13">
      <c r="A16" s="111" t="s">
        <v>12</v>
      </c>
      <c r="B16" s="25">
        <v>45761</v>
      </c>
      <c r="C16" s="52"/>
      <c r="D16" s="52"/>
      <c r="E16" s="181">
        <v>13388.3608</v>
      </c>
      <c r="F16" s="181">
        <v>6.721664</v>
      </c>
      <c r="G16" s="181">
        <v>6.501327</v>
      </c>
      <c r="H16" s="181">
        <v>28.7520833333333</v>
      </c>
      <c r="I16" s="182">
        <v>0.826139519733231</v>
      </c>
      <c r="J16" s="182">
        <v>0.231376344532006</v>
      </c>
      <c r="K16" s="181"/>
      <c r="L16" s="181"/>
      <c r="M16" s="108">
        <v>2411</v>
      </c>
    </row>
    <row r="17" spans="1:13">
      <c r="A17" s="111" t="s">
        <v>12</v>
      </c>
      <c r="B17" s="25">
        <v>45762</v>
      </c>
      <c r="C17" s="52"/>
      <c r="D17" s="52"/>
      <c r="E17" s="181">
        <v>14507.3868</v>
      </c>
      <c r="F17" s="181">
        <v>7.373819</v>
      </c>
      <c r="G17" s="181">
        <v>7.142168</v>
      </c>
      <c r="H17" s="181">
        <v>29.4525</v>
      </c>
      <c r="I17" s="182">
        <v>0.816017564753058</v>
      </c>
      <c r="J17" s="182">
        <v>0.25071524263791</v>
      </c>
      <c r="K17" s="181"/>
      <c r="L17" s="181"/>
      <c r="M17" s="108">
        <v>2411</v>
      </c>
    </row>
    <row r="18" spans="1:13">
      <c r="A18" s="111" t="s">
        <v>12</v>
      </c>
      <c r="B18" s="25">
        <v>45763</v>
      </c>
      <c r="C18" s="52"/>
      <c r="D18" s="52"/>
      <c r="E18" s="181">
        <v>12962.5768</v>
      </c>
      <c r="F18" s="181">
        <v>6.514061</v>
      </c>
      <c r="G18" s="181">
        <v>6.298721</v>
      </c>
      <c r="H18" s="181">
        <v>29.1354166666667</v>
      </c>
      <c r="I18" s="182">
        <v>0.825357897031702</v>
      </c>
      <c r="J18" s="182">
        <v>0.224017987004009</v>
      </c>
      <c r="K18" s="181"/>
      <c r="L18" s="181"/>
      <c r="M18" s="108">
        <v>2411</v>
      </c>
    </row>
    <row r="19" spans="1:13">
      <c r="A19" s="111" t="s">
        <v>12</v>
      </c>
      <c r="B19" s="25">
        <v>45764</v>
      </c>
      <c r="C19" s="52"/>
      <c r="D19" s="52"/>
      <c r="E19" s="181">
        <v>14560.2968</v>
      </c>
      <c r="F19" s="181">
        <v>7.348231</v>
      </c>
      <c r="G19" s="181">
        <v>7.118288</v>
      </c>
      <c r="H19" s="181">
        <v>27.8433333333333</v>
      </c>
      <c r="I19" s="182">
        <v>0.821845567217886</v>
      </c>
      <c r="J19" s="182">
        <v>0.25162962809346</v>
      </c>
      <c r="K19" s="181"/>
      <c r="L19" s="181"/>
      <c r="M19" s="108">
        <v>2411</v>
      </c>
    </row>
    <row r="20" spans="1:13">
      <c r="A20" s="111" t="s">
        <v>12</v>
      </c>
      <c r="B20" s="25">
        <v>45765</v>
      </c>
      <c r="C20" s="52"/>
      <c r="D20" s="52"/>
      <c r="E20" s="181">
        <v>13477.6988</v>
      </c>
      <c r="F20" s="181">
        <v>6.774155</v>
      </c>
      <c r="G20" s="181">
        <v>6.554826</v>
      </c>
      <c r="H20" s="181">
        <v>28.4579166666667</v>
      </c>
      <c r="I20" s="182">
        <v>0.825207956279309</v>
      </c>
      <c r="J20" s="182">
        <v>0.232920275127886</v>
      </c>
      <c r="K20" s="181"/>
      <c r="L20" s="181"/>
      <c r="M20" s="108">
        <v>2411</v>
      </c>
    </row>
    <row r="21" spans="1:13">
      <c r="A21" s="111" t="s">
        <v>12</v>
      </c>
      <c r="B21" s="25">
        <v>45766</v>
      </c>
      <c r="C21" s="52"/>
      <c r="D21" s="52"/>
      <c r="E21" s="181">
        <v>14199.1348</v>
      </c>
      <c r="F21" s="181">
        <v>7.131559</v>
      </c>
      <c r="G21" s="181">
        <v>6.908415</v>
      </c>
      <c r="H21" s="181">
        <v>27.35</v>
      </c>
      <c r="I21" s="182">
        <v>0.825810104057733</v>
      </c>
      <c r="J21" s="182">
        <v>0.245388061661828</v>
      </c>
      <c r="K21" s="181"/>
      <c r="L21" s="181"/>
      <c r="M21" s="108">
        <v>2411</v>
      </c>
    </row>
    <row r="22" spans="1:13">
      <c r="A22" s="111" t="s">
        <v>12</v>
      </c>
      <c r="B22" s="25">
        <v>45767</v>
      </c>
      <c r="C22" s="52"/>
      <c r="D22" s="52"/>
      <c r="E22" s="181">
        <v>13545.5108</v>
      </c>
      <c r="F22" s="181">
        <v>6.803121</v>
      </c>
      <c r="G22" s="181">
        <v>6.582982</v>
      </c>
      <c r="H22" s="181">
        <v>28.1708333333333</v>
      </c>
      <c r="I22" s="182">
        <v>0.825828717706052</v>
      </c>
      <c r="J22" s="182">
        <v>0.23409219549288</v>
      </c>
      <c r="K22" s="181"/>
      <c r="L22" s="181"/>
      <c r="M22" s="108">
        <v>2411</v>
      </c>
    </row>
    <row r="23" spans="1:13">
      <c r="A23" s="111" t="s">
        <v>12</v>
      </c>
      <c r="B23" s="25">
        <v>45768</v>
      </c>
      <c r="C23" s="52"/>
      <c r="D23" s="52"/>
      <c r="E23" s="181">
        <v>13221.2468</v>
      </c>
      <c r="F23" s="181">
        <v>6.605381</v>
      </c>
      <c r="G23" s="181">
        <v>6.390847</v>
      </c>
      <c r="H23" s="181">
        <v>27.8095833333333</v>
      </c>
      <c r="I23" s="182">
        <v>0.830189677279298</v>
      </c>
      <c r="J23" s="182">
        <v>0.2284882966957</v>
      </c>
      <c r="K23" s="181"/>
      <c r="L23" s="181"/>
      <c r="M23" s="108">
        <v>2411</v>
      </c>
    </row>
    <row r="24" spans="1:13">
      <c r="A24" s="111" t="s">
        <v>12</v>
      </c>
      <c r="B24" s="25">
        <v>45769</v>
      </c>
      <c r="C24" s="52"/>
      <c r="D24" s="52"/>
      <c r="E24" s="181">
        <v>13590.9268</v>
      </c>
      <c r="F24" s="181">
        <v>6.826432</v>
      </c>
      <c r="G24" s="181">
        <v>6.608978</v>
      </c>
      <c r="H24" s="181">
        <v>28.5970833333333</v>
      </c>
      <c r="I24" s="182">
        <v>0.825768086304201</v>
      </c>
      <c r="J24" s="182">
        <v>0.234877070371906</v>
      </c>
      <c r="K24" s="181"/>
      <c r="L24" s="181"/>
      <c r="M24" s="108">
        <v>2411</v>
      </c>
    </row>
    <row r="25" spans="1:13">
      <c r="A25" s="111" t="s">
        <v>12</v>
      </c>
      <c r="B25" s="25">
        <v>45770</v>
      </c>
      <c r="C25" s="52"/>
      <c r="D25" s="52"/>
      <c r="E25" s="181">
        <v>12698.1078</v>
      </c>
      <c r="F25" s="181">
        <v>6.348911</v>
      </c>
      <c r="G25" s="181">
        <v>6.134137</v>
      </c>
      <c r="H25" s="181">
        <v>28.8475</v>
      </c>
      <c r="I25" s="182">
        <v>0.829549985729578</v>
      </c>
      <c r="J25" s="182">
        <v>0.219447459560348</v>
      </c>
      <c r="K25" s="181"/>
      <c r="L25" s="181"/>
      <c r="M25" s="108">
        <v>2411</v>
      </c>
    </row>
    <row r="26" spans="1:13">
      <c r="A26" s="111" t="s">
        <v>12</v>
      </c>
      <c r="B26" s="25">
        <v>45771</v>
      </c>
      <c r="C26" s="52"/>
      <c r="D26" s="52"/>
      <c r="E26" s="181">
        <v>13497.0188</v>
      </c>
      <c r="F26" s="181">
        <v>6.742349</v>
      </c>
      <c r="G26" s="181">
        <v>6.527733</v>
      </c>
      <c r="H26" s="181">
        <v>27.5725</v>
      </c>
      <c r="I26" s="182">
        <v>0.830289247200093</v>
      </c>
      <c r="J26" s="182">
        <v>0.233254161482096</v>
      </c>
      <c r="K26" s="181"/>
      <c r="L26" s="181"/>
      <c r="M26" s="108">
        <v>2411</v>
      </c>
    </row>
    <row r="27" spans="1:13">
      <c r="A27" s="111" t="s">
        <v>12</v>
      </c>
      <c r="B27" s="25">
        <v>45772</v>
      </c>
      <c r="C27" s="52"/>
      <c r="D27" s="52"/>
      <c r="E27" s="181">
        <v>13814.0648</v>
      </c>
      <c r="F27" s="181">
        <v>6.965695</v>
      </c>
      <c r="G27" s="181">
        <v>6.743856</v>
      </c>
      <c r="H27" s="181">
        <v>29.035</v>
      </c>
      <c r="I27" s="182">
        <v>0.822545297804092</v>
      </c>
      <c r="J27" s="182">
        <v>0.238733319507811</v>
      </c>
      <c r="K27" s="181"/>
      <c r="L27" s="181"/>
      <c r="M27" s="108">
        <v>2411</v>
      </c>
    </row>
    <row r="28" spans="1:13">
      <c r="A28" s="111" t="s">
        <v>12</v>
      </c>
      <c r="B28" s="25">
        <v>45773</v>
      </c>
      <c r="C28" s="52"/>
      <c r="D28" s="52"/>
      <c r="E28" s="181">
        <v>13396.3368</v>
      </c>
      <c r="F28" s="181">
        <v>6.722364</v>
      </c>
      <c r="G28" s="181">
        <v>6.506048</v>
      </c>
      <c r="H28" s="181">
        <v>28.7366666666667</v>
      </c>
      <c r="I28" s="182">
        <v>0.82654560801105</v>
      </c>
      <c r="J28" s="182">
        <v>0.231514184985483</v>
      </c>
      <c r="K28" s="181"/>
      <c r="L28" s="181"/>
      <c r="M28" s="108">
        <v>2411</v>
      </c>
    </row>
    <row r="29" spans="1:13">
      <c r="A29" s="111" t="s">
        <v>12</v>
      </c>
      <c r="B29" s="25">
        <v>45774</v>
      </c>
      <c r="C29" s="52"/>
      <c r="D29" s="52"/>
      <c r="E29" s="181">
        <v>13558.3568</v>
      </c>
      <c r="F29" s="181">
        <v>6.831498</v>
      </c>
      <c r="G29" s="181">
        <v>6.615083</v>
      </c>
      <c r="H29" s="181">
        <v>29.2995833333333</v>
      </c>
      <c r="I29" s="182">
        <v>0.823178279707338</v>
      </c>
      <c r="J29" s="182">
        <v>0.234314198811005</v>
      </c>
      <c r="K29" s="181"/>
      <c r="L29" s="181"/>
      <c r="M29" s="108">
        <v>2411</v>
      </c>
    </row>
    <row r="30" spans="1:13">
      <c r="A30" s="111" t="s">
        <v>12</v>
      </c>
      <c r="B30" s="25">
        <v>45775</v>
      </c>
      <c r="C30" s="52"/>
      <c r="D30" s="52"/>
      <c r="E30" s="181">
        <v>13137.8688</v>
      </c>
      <c r="F30" s="181">
        <v>6.577676</v>
      </c>
      <c r="G30" s="181">
        <v>6.36428</v>
      </c>
      <c r="H30" s="181">
        <v>28.0325</v>
      </c>
      <c r="I30" s="182">
        <v>0.828428884261525</v>
      </c>
      <c r="J30" s="182">
        <v>0.227047366238075</v>
      </c>
      <c r="K30" s="181"/>
      <c r="L30" s="181"/>
      <c r="M30" s="108">
        <v>2411</v>
      </c>
    </row>
    <row r="31" spans="1:13">
      <c r="A31" s="111" t="s">
        <v>12</v>
      </c>
      <c r="B31" s="25">
        <v>45776</v>
      </c>
      <c r="C31" s="52"/>
      <c r="D31" s="52"/>
      <c r="E31" s="181">
        <v>13671.4468</v>
      </c>
      <c r="F31" s="181">
        <v>6.827843</v>
      </c>
      <c r="G31" s="181">
        <v>6.610654</v>
      </c>
      <c r="H31" s="181">
        <v>26.94125</v>
      </c>
      <c r="I31" s="182">
        <v>0.830488723841467</v>
      </c>
      <c r="J31" s="182">
        <v>0.236268609152495</v>
      </c>
      <c r="K31" s="181"/>
      <c r="L31" s="181"/>
      <c r="M31" s="108">
        <v>2411</v>
      </c>
    </row>
    <row r="32" spans="1:13">
      <c r="A32" s="111" t="s">
        <v>12</v>
      </c>
      <c r="B32" s="25">
        <v>45777</v>
      </c>
      <c r="C32" s="52"/>
      <c r="D32" s="52"/>
      <c r="E32" s="181">
        <v>13111.5868</v>
      </c>
      <c r="F32" s="181">
        <v>6.513737</v>
      </c>
      <c r="G32" s="181">
        <v>6.29965</v>
      </c>
      <c r="H32" s="181">
        <v>26.5354166666667</v>
      </c>
      <c r="I32" s="182">
        <v>0.834887241948198</v>
      </c>
      <c r="J32" s="182">
        <v>0.226593163279414</v>
      </c>
      <c r="K32" s="181"/>
      <c r="L32" s="181"/>
      <c r="M32" s="108">
        <v>2411</v>
      </c>
    </row>
    <row r="33" spans="1:13">
      <c r="A33" s="111" t="s">
        <v>12</v>
      </c>
      <c r="B33" s="25">
        <v>45778</v>
      </c>
      <c r="C33" s="52"/>
      <c r="D33" s="52"/>
      <c r="E33" s="181">
        <v>12707.9068</v>
      </c>
      <c r="F33" s="181">
        <v>6.346576</v>
      </c>
      <c r="G33" s="181">
        <v>6.130615</v>
      </c>
      <c r="H33" s="181">
        <v>28.9991666666667</v>
      </c>
      <c r="I33" s="182">
        <v>0.830495580313741</v>
      </c>
      <c r="J33" s="182">
        <v>0.219616804921886</v>
      </c>
      <c r="K33" s="181"/>
      <c r="L33" s="181"/>
      <c r="M33" s="108">
        <v>2411</v>
      </c>
    </row>
    <row r="34" spans="1:13">
      <c r="A34" s="111" t="s">
        <v>12</v>
      </c>
      <c r="B34" s="25">
        <v>45779</v>
      </c>
      <c r="C34" s="52"/>
      <c r="D34" s="52"/>
      <c r="E34" s="181">
        <v>13239.7868</v>
      </c>
      <c r="F34" s="181">
        <v>6.635626</v>
      </c>
      <c r="G34" s="181">
        <v>6.420908</v>
      </c>
      <c r="H34" s="181">
        <v>29.68875</v>
      </c>
      <c r="I34" s="182">
        <v>0.827564554720996</v>
      </c>
      <c r="J34" s="182">
        <v>0.228808703166044</v>
      </c>
      <c r="K34" s="181"/>
      <c r="L34" s="181"/>
      <c r="M34" s="108">
        <v>2411</v>
      </c>
    </row>
    <row r="35" spans="1:13">
      <c r="A35" s="111" t="s">
        <v>12</v>
      </c>
      <c r="B35" s="25">
        <v>45780</v>
      </c>
      <c r="C35" s="52"/>
      <c r="D35" s="52"/>
      <c r="E35" s="181">
        <v>12676.7268</v>
      </c>
      <c r="F35" s="181">
        <v>6.357051</v>
      </c>
      <c r="G35" s="181">
        <v>6.135225</v>
      </c>
      <c r="H35" s="181">
        <v>29.7720833333333</v>
      </c>
      <c r="I35" s="182">
        <v>0.827092770677381</v>
      </c>
      <c r="J35" s="182">
        <v>0.219077955205309</v>
      </c>
      <c r="K35" s="181"/>
      <c r="L35" s="181"/>
      <c r="M35" s="108">
        <v>2411</v>
      </c>
    </row>
    <row r="36" spans="1:13">
      <c r="A36" s="111" t="s">
        <v>12</v>
      </c>
      <c r="B36" s="25">
        <v>45781</v>
      </c>
      <c r="C36" s="52"/>
      <c r="D36" s="52"/>
      <c r="E36" s="181">
        <v>14513.7868</v>
      </c>
      <c r="F36" s="181">
        <v>7.348613</v>
      </c>
      <c r="G36" s="181">
        <v>7.11727</v>
      </c>
      <c r="H36" s="181">
        <v>29.62125</v>
      </c>
      <c r="I36" s="182">
        <v>0.819177758240529</v>
      </c>
      <c r="J36" s="182">
        <v>0.250825846813217</v>
      </c>
      <c r="K36" s="181"/>
      <c r="L36" s="181"/>
      <c r="M36" s="108">
        <v>2411</v>
      </c>
    </row>
    <row r="37" spans="1:13">
      <c r="A37" s="111" t="s">
        <v>12</v>
      </c>
      <c r="B37" s="25">
        <v>45782</v>
      </c>
      <c r="C37" s="52"/>
      <c r="D37" s="52"/>
      <c r="E37" s="181">
        <v>13007.4368</v>
      </c>
      <c r="F37" s="181">
        <v>6.519644</v>
      </c>
      <c r="G37" s="181">
        <v>6.303511</v>
      </c>
      <c r="H37" s="181">
        <v>30.0458333333333</v>
      </c>
      <c r="I37" s="182">
        <v>0.827505010317641</v>
      </c>
      <c r="J37" s="182">
        <v>0.224793253145306</v>
      </c>
      <c r="K37" s="181"/>
      <c r="L37" s="181"/>
      <c r="M37" s="108">
        <v>2411</v>
      </c>
    </row>
    <row r="38" spans="1:13">
      <c r="A38" s="111" t="s">
        <v>12</v>
      </c>
      <c r="B38" s="25">
        <v>45783</v>
      </c>
      <c r="C38" s="52"/>
      <c r="D38" s="52"/>
      <c r="E38" s="181">
        <v>14105.7268</v>
      </c>
      <c r="F38" s="181">
        <v>7.141089</v>
      </c>
      <c r="G38" s="181">
        <v>6.9137704</v>
      </c>
      <c r="H38" s="181">
        <v>30.1533333333333</v>
      </c>
      <c r="I38" s="182">
        <v>0.819282752162466</v>
      </c>
      <c r="J38" s="182">
        <v>0.243773793723213</v>
      </c>
      <c r="K38" s="181"/>
      <c r="L38" s="181"/>
      <c r="M38" s="108">
        <v>2411</v>
      </c>
    </row>
    <row r="39" spans="1:13">
      <c r="A39" s="111" t="s">
        <v>12</v>
      </c>
      <c r="B39" s="25">
        <v>45784</v>
      </c>
      <c r="C39" s="52"/>
      <c r="D39" s="52"/>
      <c r="E39" s="181">
        <v>13175.9068</v>
      </c>
      <c r="F39" s="181">
        <v>6.598634</v>
      </c>
      <c r="G39" s="181">
        <v>6.382292</v>
      </c>
      <c r="H39" s="181">
        <v>29.1166666666667</v>
      </c>
      <c r="I39" s="182">
        <v>0.82818862900869</v>
      </c>
      <c r="J39" s="182">
        <v>0.227704735241255</v>
      </c>
      <c r="K39" s="181"/>
      <c r="L39" s="181"/>
      <c r="M39" s="108">
        <v>2411</v>
      </c>
    </row>
    <row r="40" spans="1:13">
      <c r="A40" s="111" t="s">
        <v>12</v>
      </c>
      <c r="B40" s="25">
        <v>45785</v>
      </c>
      <c r="C40" s="52"/>
      <c r="D40" s="52"/>
      <c r="E40" s="181">
        <v>11269.2328</v>
      </c>
      <c r="F40" s="181">
        <v>5.600813</v>
      </c>
      <c r="G40" s="181">
        <v>5.39747</v>
      </c>
      <c r="H40" s="181">
        <v>28.4883333333333</v>
      </c>
      <c r="I40" s="182">
        <v>0.834537905608675</v>
      </c>
      <c r="J40" s="182">
        <v>0.194753781280243</v>
      </c>
      <c r="K40" s="181"/>
      <c r="L40" s="181"/>
      <c r="M40" s="108">
        <v>2411</v>
      </c>
    </row>
    <row r="41" spans="1:13">
      <c r="A41" s="111" t="s">
        <v>12</v>
      </c>
      <c r="B41" s="25">
        <v>45786</v>
      </c>
      <c r="C41" s="52"/>
      <c r="D41" s="52"/>
      <c r="E41" s="181">
        <v>7787.9928</v>
      </c>
      <c r="F41" s="181">
        <v>3.848082</v>
      </c>
      <c r="G41" s="181">
        <v>3.694547</v>
      </c>
      <c r="H41" s="181">
        <v>28.11</v>
      </c>
      <c r="I41" s="182">
        <v>0.839429085332965</v>
      </c>
      <c r="J41" s="182">
        <v>0.13459133139776</v>
      </c>
      <c r="K41" s="181"/>
      <c r="L41" s="181"/>
      <c r="M41" s="108">
        <v>2411</v>
      </c>
    </row>
    <row r="42" spans="1:13">
      <c r="A42" s="111" t="s">
        <v>12</v>
      </c>
      <c r="B42" s="25">
        <v>45787</v>
      </c>
      <c r="C42" s="52"/>
      <c r="D42" s="52"/>
      <c r="E42" s="181">
        <v>13210.3846</v>
      </c>
      <c r="F42" s="181">
        <v>6.5777316</v>
      </c>
      <c r="G42" s="181">
        <v>6.360775</v>
      </c>
      <c r="H42" s="181">
        <v>28.0416666666667</v>
      </c>
      <c r="I42" s="182">
        <v>0.832994440389291</v>
      </c>
      <c r="J42" s="182">
        <v>0.22830057721554</v>
      </c>
      <c r="K42" s="181"/>
      <c r="L42" s="181"/>
      <c r="M42" s="108">
        <v>2411</v>
      </c>
    </row>
    <row r="43" spans="1:13">
      <c r="A43" s="111" t="s">
        <v>12</v>
      </c>
      <c r="B43" s="25">
        <v>45788</v>
      </c>
      <c r="C43" s="52"/>
      <c r="D43" s="52"/>
      <c r="E43" s="181">
        <v>13436.2847</v>
      </c>
      <c r="F43" s="181">
        <v>6.7299055</v>
      </c>
      <c r="G43" s="181">
        <v>6.5130445</v>
      </c>
      <c r="H43" s="181">
        <v>28.6083333333333</v>
      </c>
      <c r="I43" s="182">
        <v>0.828081383409765</v>
      </c>
      <c r="J43" s="182">
        <v>0.232204560694041</v>
      </c>
      <c r="K43" s="181"/>
      <c r="L43" s="181"/>
      <c r="M43" s="108">
        <v>2411</v>
      </c>
    </row>
    <row r="44" spans="1:13">
      <c r="A44" s="111" t="s">
        <v>12</v>
      </c>
      <c r="B44" s="25">
        <v>45789</v>
      </c>
      <c r="C44" s="52"/>
      <c r="D44" s="52"/>
      <c r="E44" s="181">
        <v>14042.0117</v>
      </c>
      <c r="F44" s="181">
        <v>7.0138595</v>
      </c>
      <c r="G44" s="181">
        <v>6.7920393</v>
      </c>
      <c r="H44" s="181">
        <v>27.3733333333333</v>
      </c>
      <c r="I44" s="182">
        <v>0.830376515814022</v>
      </c>
      <c r="J44" s="182">
        <v>0.242672675584128</v>
      </c>
      <c r="K44" s="181"/>
      <c r="L44" s="181"/>
      <c r="M44" s="108">
        <v>2411</v>
      </c>
    </row>
    <row r="45" spans="1:13">
      <c r="A45" s="111" t="s">
        <v>12</v>
      </c>
      <c r="B45" s="25">
        <v>45790</v>
      </c>
      <c r="C45" s="52"/>
      <c r="D45" s="52"/>
      <c r="E45" s="181">
        <v>13564.5132</v>
      </c>
      <c r="F45" s="181">
        <v>6.788933</v>
      </c>
      <c r="G45" s="181">
        <v>6.5693955</v>
      </c>
      <c r="H45" s="181">
        <v>28.2866666666667</v>
      </c>
      <c r="I45" s="182">
        <v>0.828715533760218</v>
      </c>
      <c r="J45" s="182">
        <v>0.23442059311489</v>
      </c>
      <c r="K45" s="181"/>
      <c r="L45" s="181"/>
      <c r="M45" s="108">
        <v>2411</v>
      </c>
    </row>
    <row r="46" spans="1:13">
      <c r="A46" s="111" t="s">
        <v>12</v>
      </c>
      <c r="B46" s="25">
        <v>45791</v>
      </c>
      <c r="C46" s="52"/>
      <c r="D46" s="52"/>
      <c r="E46" s="181">
        <v>14125.9784</v>
      </c>
      <c r="F46" s="181">
        <v>7.0688731</v>
      </c>
      <c r="G46" s="181">
        <v>6.847216</v>
      </c>
      <c r="H46" s="181">
        <v>27.7258333333333</v>
      </c>
      <c r="I46" s="182">
        <v>0.828840839927454</v>
      </c>
      <c r="J46" s="182">
        <v>0.244123779897691</v>
      </c>
      <c r="K46" s="181"/>
      <c r="L46" s="181"/>
      <c r="M46" s="108">
        <v>2411</v>
      </c>
    </row>
    <row r="47" spans="1:13">
      <c r="A47" s="111" t="s">
        <v>12</v>
      </c>
      <c r="B47" s="25">
        <v>45792</v>
      </c>
      <c r="C47" s="52"/>
      <c r="D47" s="52"/>
      <c r="E47" s="181">
        <v>12670.3474</v>
      </c>
      <c r="F47" s="181">
        <v>6.3322406</v>
      </c>
      <c r="G47" s="181">
        <v>6.1216394</v>
      </c>
      <c r="H47" s="181">
        <v>29.21375</v>
      </c>
      <c r="I47" s="182">
        <v>0.829915554518345</v>
      </c>
      <c r="J47" s="182">
        <v>0.218967707037191</v>
      </c>
      <c r="K47" s="181"/>
      <c r="L47" s="181"/>
      <c r="M47" s="108">
        <v>2411</v>
      </c>
    </row>
    <row r="48" spans="1:13">
      <c r="A48" s="111" t="s">
        <v>12</v>
      </c>
      <c r="B48" s="25">
        <v>45793</v>
      </c>
      <c r="C48" s="52"/>
      <c r="D48" s="52"/>
      <c r="E48" s="181">
        <v>11083.7057</v>
      </c>
      <c r="F48" s="181">
        <v>5.4815362</v>
      </c>
      <c r="G48" s="181">
        <v>5.2767347</v>
      </c>
      <c r="H48" s="181">
        <v>28.7933333333333</v>
      </c>
      <c r="I48" s="182">
        <v>0.838659148347531</v>
      </c>
      <c r="J48" s="182">
        <v>0.191547520047007</v>
      </c>
      <c r="K48" s="181"/>
      <c r="L48" s="181"/>
      <c r="M48" s="108">
        <v>2411</v>
      </c>
    </row>
    <row r="49" spans="1:13">
      <c r="A49" s="111" t="s">
        <v>12</v>
      </c>
      <c r="B49" s="25">
        <v>45794</v>
      </c>
      <c r="C49" s="52"/>
      <c r="D49" s="52"/>
      <c r="E49" s="181">
        <v>10141.6808</v>
      </c>
      <c r="F49" s="181">
        <v>5.005404</v>
      </c>
      <c r="G49" s="181">
        <v>4.8042772</v>
      </c>
      <c r="H49" s="181">
        <v>28.6783333333333</v>
      </c>
      <c r="I49" s="182">
        <v>0.840375902562337</v>
      </c>
      <c r="J49" s="182">
        <v>0.175267537674547</v>
      </c>
      <c r="K49" s="181"/>
      <c r="L49" s="181"/>
      <c r="M49" s="108">
        <v>2411</v>
      </c>
    </row>
    <row r="50" spans="1:13">
      <c r="A50" s="111" t="s">
        <v>12</v>
      </c>
      <c r="B50" s="25">
        <v>45795</v>
      </c>
      <c r="C50" s="52"/>
      <c r="D50" s="52"/>
      <c r="E50" s="181">
        <v>12577.5368</v>
      </c>
      <c r="F50" s="181">
        <v>6.244628</v>
      </c>
      <c r="G50" s="181">
        <v>6.028002</v>
      </c>
      <c r="H50" s="181">
        <v>28.3991666666667</v>
      </c>
      <c r="I50" s="182">
        <v>0.835394889714736</v>
      </c>
      <c r="J50" s="182">
        <v>0.217363763307065</v>
      </c>
      <c r="K50" s="181"/>
      <c r="L50" s="181"/>
      <c r="M50" s="108">
        <v>2411</v>
      </c>
    </row>
    <row r="51" spans="1:13">
      <c r="A51" s="111" t="s">
        <v>12</v>
      </c>
      <c r="B51" s="25">
        <v>45796</v>
      </c>
      <c r="C51" s="52"/>
      <c r="D51" s="52"/>
      <c r="E51" s="181">
        <v>13138.0564</v>
      </c>
      <c r="F51" s="181">
        <v>6.5588953</v>
      </c>
      <c r="G51" s="181">
        <v>6.3401225</v>
      </c>
      <c r="H51" s="181">
        <v>28.9175</v>
      </c>
      <c r="I51" s="182">
        <v>0.830812865659121</v>
      </c>
      <c r="J51" s="182">
        <v>0.227050608322964</v>
      </c>
      <c r="K51" s="181"/>
      <c r="L51" s="181"/>
      <c r="M51" s="108">
        <v>2411</v>
      </c>
    </row>
    <row r="52" spans="1:13">
      <c r="A52" s="111" t="s">
        <v>12</v>
      </c>
      <c r="B52" s="25">
        <v>45797</v>
      </c>
      <c r="C52" s="52"/>
      <c r="D52" s="52"/>
      <c r="E52" s="181">
        <v>13695.2814</v>
      </c>
      <c r="F52" s="181">
        <v>6.959309</v>
      </c>
      <c r="G52" s="181">
        <v>6.7351042</v>
      </c>
      <c r="H52" s="181">
        <v>31.895</v>
      </c>
      <c r="I52" s="182">
        <v>0.816220747375615</v>
      </c>
      <c r="J52" s="182">
        <v>0.236680516383243</v>
      </c>
      <c r="K52" s="181"/>
      <c r="L52" s="181"/>
      <c r="M52" s="108">
        <v>2411</v>
      </c>
    </row>
    <row r="53" spans="1:13">
      <c r="A53" s="111" t="s">
        <v>12</v>
      </c>
      <c r="B53" s="25">
        <v>45798</v>
      </c>
      <c r="C53" s="52"/>
      <c r="D53" s="52"/>
      <c r="E53" s="181">
        <v>13698.1424</v>
      </c>
      <c r="F53" s="181">
        <v>6.93877</v>
      </c>
      <c r="G53" s="181">
        <v>6.717352</v>
      </c>
      <c r="H53" s="181">
        <v>31.3954166666667</v>
      </c>
      <c r="I53" s="182">
        <v>0.818807805669257</v>
      </c>
      <c r="J53" s="182">
        <v>0.236729959905986</v>
      </c>
      <c r="K53" s="181"/>
      <c r="L53" s="181"/>
      <c r="M53" s="108">
        <v>2411</v>
      </c>
    </row>
    <row r="54" spans="1:13">
      <c r="A54" s="111" t="s">
        <v>12</v>
      </c>
      <c r="B54" s="25">
        <v>45799</v>
      </c>
      <c r="C54" s="52"/>
      <c r="D54" s="52"/>
      <c r="E54" s="181">
        <v>13487.2444</v>
      </c>
      <c r="F54" s="181">
        <v>6.782326</v>
      </c>
      <c r="G54" s="181">
        <v>6.565569</v>
      </c>
      <c r="H54" s="181">
        <v>30.32875</v>
      </c>
      <c r="I54" s="182">
        <v>0.824797538503542</v>
      </c>
      <c r="J54" s="182">
        <v>0.233085241255357</v>
      </c>
      <c r="K54" s="181"/>
      <c r="L54" s="181"/>
      <c r="M54" s="108">
        <v>2411</v>
      </c>
    </row>
    <row r="55" spans="1:13">
      <c r="A55" s="111" t="s">
        <v>12</v>
      </c>
      <c r="B55" s="25">
        <v>45800</v>
      </c>
      <c r="C55" s="52"/>
      <c r="D55" s="52"/>
      <c r="E55" s="181">
        <v>12222.9144</v>
      </c>
      <c r="F55" s="181">
        <v>6.1105151</v>
      </c>
      <c r="G55" s="181">
        <v>5.8898612</v>
      </c>
      <c r="H55" s="181">
        <v>30.5045833333333</v>
      </c>
      <c r="I55" s="182">
        <v>0.8296592093363</v>
      </c>
      <c r="J55" s="182">
        <v>0.211235213604313</v>
      </c>
      <c r="K55" s="181"/>
      <c r="L55" s="181"/>
      <c r="M55" s="108">
        <v>2411</v>
      </c>
    </row>
    <row r="56" spans="1:13">
      <c r="A56" s="111" t="s">
        <v>12</v>
      </c>
      <c r="B56" s="25">
        <v>45801</v>
      </c>
      <c r="C56" s="52"/>
      <c r="D56" s="52"/>
      <c r="E56" s="181">
        <v>13449.1714</v>
      </c>
      <c r="F56" s="181">
        <v>6.744762</v>
      </c>
      <c r="G56" s="181">
        <v>6.5254556</v>
      </c>
      <c r="H56" s="181">
        <v>29.5258333333333</v>
      </c>
      <c r="I56" s="182">
        <v>0.827049852500985</v>
      </c>
      <c r="J56" s="182">
        <v>0.232427267385594</v>
      </c>
      <c r="K56" s="181"/>
      <c r="L56" s="181"/>
      <c r="M56" s="108">
        <v>2411</v>
      </c>
    </row>
    <row r="57" spans="1:13">
      <c r="A57" s="111" t="s">
        <v>12</v>
      </c>
      <c r="B57" s="25">
        <v>45802</v>
      </c>
      <c r="C57" s="52"/>
      <c r="D57" s="52"/>
      <c r="E57" s="181">
        <v>13739.6414</v>
      </c>
      <c r="F57" s="181">
        <v>6.919231</v>
      </c>
      <c r="G57" s="181">
        <v>6.697409</v>
      </c>
      <c r="H57" s="181">
        <v>29.8841666666667</v>
      </c>
      <c r="I57" s="182">
        <v>0.823607623124631</v>
      </c>
      <c r="J57" s="182">
        <v>0.237447141573344</v>
      </c>
      <c r="K57" s="181"/>
      <c r="L57" s="181"/>
      <c r="M57" s="108">
        <v>2411</v>
      </c>
    </row>
    <row r="58" spans="1:13">
      <c r="A58" s="111" t="s">
        <v>12</v>
      </c>
      <c r="B58" s="25">
        <v>45803</v>
      </c>
      <c r="C58" s="52"/>
      <c r="D58" s="52"/>
      <c r="E58" s="181">
        <v>14463.0394</v>
      </c>
      <c r="F58" s="181">
        <v>7.331789</v>
      </c>
      <c r="G58" s="181">
        <v>7.099581</v>
      </c>
      <c r="H58" s="181">
        <v>30.2583333333333</v>
      </c>
      <c r="I58" s="182">
        <v>0.818186672419881</v>
      </c>
      <c r="J58" s="182">
        <v>0.249948835199779</v>
      </c>
      <c r="K58" s="181"/>
      <c r="L58" s="181"/>
      <c r="M58" s="108">
        <v>2411</v>
      </c>
    </row>
    <row r="59" spans="1:13">
      <c r="A59" s="111" t="s">
        <v>12</v>
      </c>
      <c r="B59" s="25">
        <v>45804</v>
      </c>
      <c r="C59" s="52"/>
      <c r="D59" s="52"/>
      <c r="E59" s="181">
        <v>13282.1424</v>
      </c>
      <c r="F59" s="181">
        <v>6.68442</v>
      </c>
      <c r="G59" s="181">
        <v>6.467909</v>
      </c>
      <c r="H59" s="181">
        <v>30.71125</v>
      </c>
      <c r="I59" s="182">
        <v>0.824151762496041</v>
      </c>
      <c r="J59" s="182">
        <v>0.229540688510991</v>
      </c>
      <c r="K59" s="181"/>
      <c r="L59" s="181"/>
      <c r="M59" s="108">
        <v>2411</v>
      </c>
    </row>
    <row r="60" spans="1:13">
      <c r="A60" s="111" t="s">
        <v>12</v>
      </c>
      <c r="B60" s="25">
        <v>45805</v>
      </c>
      <c r="C60" s="52"/>
      <c r="D60" s="52"/>
      <c r="E60" s="181">
        <v>13306.8644</v>
      </c>
      <c r="F60" s="181">
        <v>6.70702</v>
      </c>
      <c r="G60" s="181">
        <v>6.491604</v>
      </c>
      <c r="H60" s="181">
        <v>30.9033333333333</v>
      </c>
      <c r="I60" s="182">
        <v>0.822903519125651</v>
      </c>
      <c r="J60" s="182">
        <v>0.229967931701922</v>
      </c>
      <c r="K60" s="181"/>
      <c r="L60" s="181"/>
      <c r="M60" s="108">
        <v>2411</v>
      </c>
    </row>
    <row r="61" spans="1:13">
      <c r="A61" s="111" t="s">
        <v>12</v>
      </c>
      <c r="B61" s="25">
        <v>45806</v>
      </c>
      <c r="C61" s="52"/>
      <c r="D61" s="52"/>
      <c r="E61" s="181">
        <v>12375.7724</v>
      </c>
      <c r="F61" s="181">
        <v>6.193084</v>
      </c>
      <c r="G61" s="181">
        <v>5.973924</v>
      </c>
      <c r="H61" s="181">
        <v>29.9520833333333</v>
      </c>
      <c r="I61" s="182">
        <v>0.828835096595318</v>
      </c>
      <c r="J61" s="182">
        <v>0.213876890640122</v>
      </c>
      <c r="K61" s="181"/>
      <c r="L61" s="181"/>
      <c r="M61" s="108">
        <v>2411</v>
      </c>
    </row>
    <row r="62" spans="1:13">
      <c r="A62" s="111" t="s">
        <v>12</v>
      </c>
      <c r="B62" s="25">
        <v>45807</v>
      </c>
      <c r="C62" s="52"/>
      <c r="D62" s="52"/>
      <c r="E62" s="181">
        <v>12523.1174</v>
      </c>
      <c r="F62" s="181">
        <v>6.255817</v>
      </c>
      <c r="G62" s="181">
        <v>6.043587</v>
      </c>
      <c r="H62" s="181">
        <v>29.3158333333333</v>
      </c>
      <c r="I62" s="182">
        <v>0.830292673387512</v>
      </c>
      <c r="J62" s="182">
        <v>0.216423292548044</v>
      </c>
      <c r="K62" s="181"/>
      <c r="L62" s="181"/>
      <c r="M62" s="108">
        <v>2411</v>
      </c>
    </row>
    <row r="63" spans="1:13">
      <c r="A63" s="111" t="s">
        <v>12</v>
      </c>
      <c r="B63" s="25">
        <v>45808</v>
      </c>
      <c r="C63" s="52"/>
      <c r="D63" s="52"/>
      <c r="E63" s="181">
        <v>6155.9838</v>
      </c>
      <c r="F63" s="181">
        <v>3.038303</v>
      </c>
      <c r="G63" s="181">
        <v>2.902943</v>
      </c>
      <c r="H63" s="181">
        <v>29.3154166666667</v>
      </c>
      <c r="I63" s="182">
        <v>0.840367358941063</v>
      </c>
      <c r="J63" s="182">
        <v>0.106387111157196</v>
      </c>
      <c r="K63" s="181"/>
      <c r="L63" s="181"/>
      <c r="M63" s="108">
        <v>2411</v>
      </c>
    </row>
    <row r="64" spans="1:13">
      <c r="A64" s="111" t="s">
        <v>12</v>
      </c>
      <c r="B64" s="25">
        <v>45809</v>
      </c>
      <c r="C64" s="52"/>
      <c r="D64" s="52"/>
      <c r="E64" s="181">
        <v>12194.2916</v>
      </c>
      <c r="F64" s="181">
        <v>6.0399798</v>
      </c>
      <c r="G64" s="181">
        <v>5.8376082</v>
      </c>
      <c r="H64" s="181">
        <v>27.33625</v>
      </c>
      <c r="I64" s="182">
        <v>0.837382497876035</v>
      </c>
      <c r="J64" s="182">
        <v>0.210740557168533</v>
      </c>
      <c r="K64" s="181"/>
      <c r="L64" s="181"/>
      <c r="M64" s="108">
        <v>2411</v>
      </c>
    </row>
    <row r="65" spans="1:13">
      <c r="A65" s="111" t="s">
        <v>12</v>
      </c>
      <c r="B65" s="25">
        <v>45810</v>
      </c>
      <c r="C65" s="52"/>
      <c r="D65" s="52"/>
      <c r="E65" s="181">
        <v>12990.5614</v>
      </c>
      <c r="F65" s="181">
        <v>6.482316</v>
      </c>
      <c r="G65" s="181">
        <v>6.269367</v>
      </c>
      <c r="H65" s="181">
        <v>28.6295833333333</v>
      </c>
      <c r="I65" s="182">
        <v>0.831190386138596</v>
      </c>
      <c r="J65" s="182">
        <v>0.224501614129683</v>
      </c>
      <c r="K65" s="181"/>
      <c r="L65" s="181"/>
      <c r="M65" s="108">
        <v>2411</v>
      </c>
    </row>
    <row r="66" spans="1:13">
      <c r="A66" s="111" t="s">
        <v>12</v>
      </c>
      <c r="B66" s="25">
        <v>45811</v>
      </c>
      <c r="C66" s="52"/>
      <c r="D66" s="52"/>
      <c r="E66" s="181">
        <v>13163.8034</v>
      </c>
      <c r="F66" s="181">
        <v>6.559511</v>
      </c>
      <c r="G66" s="181">
        <v>6.346336</v>
      </c>
      <c r="H66" s="181">
        <v>28.1958333333333</v>
      </c>
      <c r="I66" s="182">
        <v>0.832362895821397</v>
      </c>
      <c r="J66" s="182">
        <v>0.227495565463846</v>
      </c>
      <c r="K66" s="181"/>
      <c r="L66" s="181"/>
      <c r="M66" s="108">
        <v>2411</v>
      </c>
    </row>
    <row r="67" spans="1:13">
      <c r="A67" s="111" t="s">
        <v>12</v>
      </c>
      <c r="B67" s="25">
        <v>45812</v>
      </c>
      <c r="C67" s="52"/>
      <c r="D67" s="52"/>
      <c r="E67" s="181">
        <v>13034.2914</v>
      </c>
      <c r="F67" s="181">
        <v>6.4763612</v>
      </c>
      <c r="G67" s="181">
        <v>6.2659163</v>
      </c>
      <c r="H67" s="181">
        <v>28.2729166666667</v>
      </c>
      <c r="I67" s="182">
        <v>0.834755238992948</v>
      </c>
      <c r="J67" s="182">
        <v>0.225257351721277</v>
      </c>
      <c r="K67" s="181"/>
      <c r="L67" s="181"/>
      <c r="M67" s="108">
        <v>2411</v>
      </c>
    </row>
    <row r="68" spans="1:13">
      <c r="A68" s="111" t="s">
        <v>12</v>
      </c>
      <c r="B68" s="25">
        <v>45813</v>
      </c>
      <c r="C68" s="52"/>
      <c r="D68" s="52"/>
      <c r="E68" s="181">
        <v>11547.5264</v>
      </c>
      <c r="F68" s="181">
        <v>5.722886</v>
      </c>
      <c r="G68" s="181">
        <v>5.517402</v>
      </c>
      <c r="H68" s="181">
        <v>28.7445833333333</v>
      </c>
      <c r="I68" s="182">
        <v>0.836905955960165</v>
      </c>
      <c r="J68" s="182">
        <v>0.19956322411171</v>
      </c>
      <c r="K68" s="181"/>
      <c r="L68" s="181"/>
      <c r="M68" s="108">
        <v>2411</v>
      </c>
    </row>
    <row r="69" spans="1:13">
      <c r="A69" s="111" t="s">
        <v>12</v>
      </c>
      <c r="B69" s="25">
        <v>45814</v>
      </c>
      <c r="C69" s="52"/>
      <c r="D69" s="52"/>
      <c r="E69" s="181">
        <v>10884.2764</v>
      </c>
      <c r="F69" s="181">
        <v>5.371831</v>
      </c>
      <c r="G69" s="181">
        <v>5.1718076</v>
      </c>
      <c r="H69" s="181">
        <v>28.5016666666667</v>
      </c>
      <c r="I69" s="182">
        <v>0.840388325025141</v>
      </c>
      <c r="J69" s="182">
        <v>0.188101002350339</v>
      </c>
      <c r="K69" s="181"/>
      <c r="L69" s="181"/>
      <c r="M69" s="108">
        <v>2411</v>
      </c>
    </row>
    <row r="70" spans="1:13">
      <c r="A70" s="111" t="s">
        <v>12</v>
      </c>
      <c r="B70" s="25">
        <v>45815</v>
      </c>
      <c r="C70" s="52"/>
      <c r="D70" s="52"/>
      <c r="E70" s="181">
        <v>11021.3244</v>
      </c>
      <c r="F70" s="181">
        <v>5.415223</v>
      </c>
      <c r="G70" s="181">
        <v>5.200271</v>
      </c>
      <c r="H70" s="181">
        <v>28.1525</v>
      </c>
      <c r="I70" s="182">
        <v>0.844151175348452</v>
      </c>
      <c r="J70" s="182">
        <v>0.190469452509332</v>
      </c>
      <c r="K70" s="181"/>
      <c r="L70" s="181"/>
      <c r="M70" s="108">
        <v>2411</v>
      </c>
    </row>
    <row r="71" spans="1:13">
      <c r="A71" s="111" t="s">
        <v>12</v>
      </c>
      <c r="B71" s="25">
        <v>45816</v>
      </c>
      <c r="C71" s="52"/>
      <c r="D71" s="52"/>
      <c r="E71" s="181">
        <v>12586.9734</v>
      </c>
      <c r="F71" s="181">
        <v>6.188614</v>
      </c>
      <c r="G71" s="181">
        <v>5.976409</v>
      </c>
      <c r="H71" s="181">
        <v>26.5654166666667</v>
      </c>
      <c r="I71" s="182">
        <v>0.843588612405332</v>
      </c>
      <c r="J71" s="182">
        <v>0.217526845707175</v>
      </c>
      <c r="K71" s="181"/>
      <c r="L71" s="181"/>
      <c r="M71" s="108">
        <v>2411</v>
      </c>
    </row>
    <row r="72" spans="1:13">
      <c r="A72" s="111" t="s">
        <v>12</v>
      </c>
      <c r="B72" s="25">
        <v>45817</v>
      </c>
      <c r="C72" s="52"/>
      <c r="D72" s="52"/>
      <c r="E72" s="181">
        <v>11970.8254</v>
      </c>
      <c r="F72" s="181">
        <v>5.910097</v>
      </c>
      <c r="G72" s="181">
        <v>5.695489</v>
      </c>
      <c r="H72" s="181">
        <v>27.3229166666667</v>
      </c>
      <c r="I72" s="182">
        <v>0.840102500296411</v>
      </c>
      <c r="J72" s="182">
        <v>0.206878636112263</v>
      </c>
      <c r="K72" s="181"/>
      <c r="L72" s="181"/>
      <c r="M72" s="108">
        <v>2411</v>
      </c>
    </row>
    <row r="73" spans="1:13">
      <c r="A73" s="111" t="s">
        <v>12</v>
      </c>
      <c r="B73" s="25">
        <v>45818</v>
      </c>
      <c r="C73" s="52"/>
      <c r="D73" s="52"/>
      <c r="E73" s="181">
        <v>11888.7761</v>
      </c>
      <c r="F73" s="181">
        <v>5.8571144</v>
      </c>
      <c r="G73" s="181">
        <v>5.6535428</v>
      </c>
      <c r="H73" s="181">
        <v>27.5954166666667</v>
      </c>
      <c r="I73" s="182">
        <v>0.841891706066099</v>
      </c>
      <c r="J73" s="182">
        <v>0.205460668118346</v>
      </c>
      <c r="K73" s="181"/>
      <c r="L73" s="181"/>
      <c r="M73" s="108">
        <v>2411</v>
      </c>
    </row>
    <row r="74" spans="1:13">
      <c r="A74" s="111" t="s">
        <v>12</v>
      </c>
      <c r="B74" s="25">
        <v>45819</v>
      </c>
      <c r="C74" s="52"/>
      <c r="D74" s="52"/>
      <c r="E74" s="181">
        <v>12087.1584</v>
      </c>
      <c r="F74" s="181">
        <v>6.011929</v>
      </c>
      <c r="G74" s="181">
        <v>5.8097</v>
      </c>
      <c r="H74" s="181">
        <v>28.99625</v>
      </c>
      <c r="I74" s="182">
        <v>0.833898437575867</v>
      </c>
      <c r="J74" s="182">
        <v>0.20888909166321</v>
      </c>
      <c r="K74" s="181"/>
      <c r="L74" s="181"/>
      <c r="M74" s="108">
        <v>2411</v>
      </c>
    </row>
    <row r="75" spans="1:13">
      <c r="A75" s="111" t="s">
        <v>12</v>
      </c>
      <c r="B75" s="25">
        <v>45820</v>
      </c>
      <c r="C75" s="52"/>
      <c r="D75" s="52"/>
      <c r="E75" s="181">
        <v>11305.4984</v>
      </c>
      <c r="F75" s="181">
        <v>5.5424926</v>
      </c>
      <c r="G75" s="181">
        <v>5.3301122</v>
      </c>
      <c r="H75" s="181">
        <v>26.9233333333333</v>
      </c>
      <c r="I75" s="182">
        <v>0.846033150527071</v>
      </c>
      <c r="J75" s="182">
        <v>0.195380519839624</v>
      </c>
      <c r="K75" s="181"/>
      <c r="L75" s="181"/>
      <c r="M75" s="108">
        <v>2411</v>
      </c>
    </row>
    <row r="76" spans="1:13">
      <c r="A76" s="111" t="s">
        <v>12</v>
      </c>
      <c r="B76" s="25">
        <v>45821</v>
      </c>
      <c r="C76" s="52"/>
      <c r="D76" s="52"/>
      <c r="E76" s="181">
        <v>11374.3604</v>
      </c>
      <c r="F76" s="181">
        <v>5.7484998</v>
      </c>
      <c r="G76" s="181">
        <v>5.5436169</v>
      </c>
      <c r="H76" s="181">
        <v>31.00625</v>
      </c>
      <c r="I76" s="182">
        <v>0.820682653385688</v>
      </c>
      <c r="J76" s="182">
        <v>0.196570586202129</v>
      </c>
      <c r="K76" s="181"/>
      <c r="L76" s="181"/>
      <c r="M76" s="108">
        <v>2411</v>
      </c>
    </row>
    <row r="77" spans="1:13">
      <c r="A77" s="111" t="s">
        <v>12</v>
      </c>
      <c r="B77" s="25">
        <v>45822</v>
      </c>
      <c r="C77" s="52"/>
      <c r="D77" s="52"/>
      <c r="E77" s="181">
        <v>8384.1908</v>
      </c>
      <c r="F77" s="181">
        <v>4.1197071</v>
      </c>
      <c r="G77" s="181">
        <v>3.9401788</v>
      </c>
      <c r="H77" s="181">
        <v>29.3170833333333</v>
      </c>
      <c r="I77" s="182">
        <v>0.844107196105989</v>
      </c>
      <c r="J77" s="182">
        <v>0.144894767039956</v>
      </c>
      <c r="K77" s="181"/>
      <c r="L77" s="181"/>
      <c r="M77" s="108">
        <v>2411</v>
      </c>
    </row>
    <row r="78" spans="1:13">
      <c r="A78" s="111" t="s">
        <v>12</v>
      </c>
      <c r="B78" s="25">
        <v>45823</v>
      </c>
      <c r="C78" s="52"/>
      <c r="D78" s="52"/>
      <c r="E78" s="181">
        <v>8509.5007</v>
      </c>
      <c r="F78" s="181">
        <v>4.2153526</v>
      </c>
      <c r="G78" s="181">
        <v>4.0648264</v>
      </c>
      <c r="H78" s="181">
        <v>27.7370833333333</v>
      </c>
      <c r="I78" s="182">
        <v>0.837284323976033</v>
      </c>
      <c r="J78" s="182">
        <v>0.147060360500484</v>
      </c>
      <c r="K78" s="181"/>
      <c r="L78" s="181"/>
      <c r="M78" s="108">
        <v>2411</v>
      </c>
    </row>
    <row r="79" spans="1:13">
      <c r="A79" s="111" t="s">
        <v>12</v>
      </c>
      <c r="B79" s="25">
        <v>45824</v>
      </c>
      <c r="C79" s="52"/>
      <c r="D79" s="52"/>
      <c r="E79" s="181">
        <v>10965.1944</v>
      </c>
      <c r="F79" s="181">
        <v>5.426418</v>
      </c>
      <c r="G79" s="181">
        <v>5.2176038</v>
      </c>
      <c r="H79" s="181">
        <v>29.1083333333333</v>
      </c>
      <c r="I79" s="182">
        <v>0.838119375225777</v>
      </c>
      <c r="J79" s="182">
        <v>0.18949941932808</v>
      </c>
      <c r="K79" s="181"/>
      <c r="L79" s="181"/>
      <c r="M79" s="108">
        <v>2411</v>
      </c>
    </row>
    <row r="80" spans="1:13">
      <c r="A80" s="111" t="s">
        <v>12</v>
      </c>
      <c r="B80" s="25">
        <v>45825</v>
      </c>
      <c r="C80" s="52"/>
      <c r="D80" s="52"/>
      <c r="E80" s="181">
        <v>12371.1282</v>
      </c>
      <c r="F80" s="181">
        <v>6.1791839</v>
      </c>
      <c r="G80" s="181">
        <v>5.9685446</v>
      </c>
      <c r="H80" s="181">
        <v>29.2466666666667</v>
      </c>
      <c r="I80" s="182">
        <v>0.830387831748591</v>
      </c>
      <c r="J80" s="182">
        <v>0.213796630029033</v>
      </c>
      <c r="K80" s="181"/>
      <c r="L80" s="181"/>
      <c r="M80" s="108">
        <v>2411</v>
      </c>
    </row>
    <row r="81" spans="1:13">
      <c r="A81" s="111" t="s">
        <v>12</v>
      </c>
      <c r="B81" s="25">
        <v>45826</v>
      </c>
      <c r="C81" s="52"/>
      <c r="D81" s="52"/>
      <c r="E81" s="181">
        <v>8799.6108</v>
      </c>
      <c r="F81" s="181">
        <v>4.335249</v>
      </c>
      <c r="G81" s="181">
        <v>4.159287</v>
      </c>
      <c r="H81" s="181">
        <v>29.9245833333333</v>
      </c>
      <c r="I81" s="182">
        <v>0.841883905251469</v>
      </c>
      <c r="J81" s="182">
        <v>0.152074014931564</v>
      </c>
      <c r="K81" s="181"/>
      <c r="L81" s="181"/>
      <c r="M81" s="108">
        <v>2411</v>
      </c>
    </row>
    <row r="82" spans="1:13">
      <c r="A82" s="111" t="s">
        <v>12</v>
      </c>
      <c r="B82" s="25">
        <v>45827</v>
      </c>
      <c r="C82" s="52"/>
      <c r="D82" s="52"/>
      <c r="E82" s="181">
        <v>6058.3298</v>
      </c>
      <c r="F82" s="181">
        <v>3.002047</v>
      </c>
      <c r="G82" s="181">
        <v>2.859205</v>
      </c>
      <c r="H82" s="181">
        <v>31.6516666666667</v>
      </c>
      <c r="I82" s="182">
        <v>0.83702458431351</v>
      </c>
      <c r="J82" s="182">
        <v>0.104699464261026</v>
      </c>
      <c r="K82" s="181"/>
      <c r="L82" s="181"/>
      <c r="M82" s="108">
        <v>2411</v>
      </c>
    </row>
    <row r="83" spans="1:13">
      <c r="A83" s="111" t="s">
        <v>12</v>
      </c>
      <c r="B83" s="25">
        <v>45828</v>
      </c>
      <c r="C83" s="52"/>
      <c r="D83" s="52"/>
      <c r="E83" s="181">
        <v>8703.2019</v>
      </c>
      <c r="F83" s="181">
        <v>4.312069</v>
      </c>
      <c r="G83" s="181">
        <v>4.1312621</v>
      </c>
      <c r="H83" s="181">
        <v>31.3416666666667</v>
      </c>
      <c r="I83" s="182">
        <v>0.837136246560403</v>
      </c>
      <c r="J83" s="182">
        <v>0.150407885732061</v>
      </c>
      <c r="K83" s="181"/>
      <c r="L83" s="181"/>
      <c r="M83" s="108">
        <v>2411</v>
      </c>
    </row>
    <row r="84" spans="1:13">
      <c r="A84" s="111" t="s">
        <v>12</v>
      </c>
      <c r="B84" s="25">
        <v>45829</v>
      </c>
      <c r="C84" s="52"/>
      <c r="D84" s="52"/>
      <c r="E84" s="181">
        <v>4718.1628</v>
      </c>
      <c r="F84" s="181">
        <v>2.334207</v>
      </c>
      <c r="G84" s="181">
        <v>2.220595</v>
      </c>
      <c r="H84" s="181">
        <v>30.5320833333333</v>
      </c>
      <c r="I84" s="182">
        <v>0.838371187936227</v>
      </c>
      <c r="J84" s="182">
        <v>0.081538828978294</v>
      </c>
      <c r="K84" s="181"/>
      <c r="L84" s="181"/>
      <c r="M84" s="108">
        <v>2411</v>
      </c>
    </row>
    <row r="85" spans="1:13">
      <c r="A85" s="111" t="s">
        <v>12</v>
      </c>
      <c r="B85" s="25">
        <v>45830</v>
      </c>
      <c r="C85" s="52"/>
      <c r="D85" s="52"/>
      <c r="E85" s="181">
        <v>11287.013</v>
      </c>
      <c r="F85" s="181">
        <v>5.6339815</v>
      </c>
      <c r="G85" s="181">
        <v>5.4295386</v>
      </c>
      <c r="H85" s="181">
        <v>30.5845833333333</v>
      </c>
      <c r="I85" s="182">
        <v>0.830933748551997</v>
      </c>
      <c r="J85" s="182">
        <v>0.19506105696115</v>
      </c>
      <c r="K85" s="181"/>
      <c r="L85" s="181"/>
      <c r="M85" s="108">
        <v>2411</v>
      </c>
    </row>
    <row r="86" spans="1:13">
      <c r="A86" s="111" t="s">
        <v>12</v>
      </c>
      <c r="B86" s="25">
        <v>45831</v>
      </c>
      <c r="C86" s="52"/>
      <c r="D86" s="52"/>
      <c r="E86" s="181">
        <v>12171.9992</v>
      </c>
      <c r="F86" s="181">
        <v>6.1405491</v>
      </c>
      <c r="G86" s="181">
        <v>5.9326324</v>
      </c>
      <c r="H86" s="181">
        <v>30.39875</v>
      </c>
      <c r="I86" s="182">
        <v>0.822162182548738</v>
      </c>
      <c r="J86" s="182">
        <v>0.210355302087654</v>
      </c>
      <c r="K86" s="181"/>
      <c r="L86" s="181"/>
      <c r="M86" s="108">
        <v>2411</v>
      </c>
    </row>
    <row r="87" spans="1:13">
      <c r="A87" s="111" t="s">
        <v>12</v>
      </c>
      <c r="B87" s="25">
        <v>45832</v>
      </c>
      <c r="C87" s="52"/>
      <c r="D87" s="52"/>
      <c r="E87" s="181">
        <v>12336.5045</v>
      </c>
      <c r="F87" s="181">
        <v>6.1365697</v>
      </c>
      <c r="G87" s="181">
        <v>5.9349035</v>
      </c>
      <c r="H87" s="181">
        <v>29.07125</v>
      </c>
      <c r="I87" s="182">
        <v>0.833814109371977</v>
      </c>
      <c r="J87" s="182">
        <v>0.21319826662519</v>
      </c>
      <c r="K87" s="181"/>
      <c r="L87" s="181"/>
      <c r="M87" s="108">
        <v>2411</v>
      </c>
    </row>
    <row r="88" spans="1:13">
      <c r="A88" s="111" t="s">
        <v>12</v>
      </c>
      <c r="B88" s="25">
        <v>45833</v>
      </c>
      <c r="C88" s="52"/>
      <c r="D88" s="52"/>
      <c r="E88" s="181">
        <v>11380.6044</v>
      </c>
      <c r="F88" s="181">
        <v>5.653626</v>
      </c>
      <c r="G88" s="181">
        <v>5.452644</v>
      </c>
      <c r="H88" s="181">
        <v>29.5020833333333</v>
      </c>
      <c r="I88" s="182">
        <v>0.834912649972942</v>
      </c>
      <c r="J88" s="182">
        <v>0.196678494400664</v>
      </c>
      <c r="K88" s="181"/>
      <c r="L88" s="181"/>
      <c r="M88" s="108">
        <v>2411</v>
      </c>
    </row>
    <row r="89" spans="1:13">
      <c r="A89" s="111" t="s">
        <v>12</v>
      </c>
      <c r="B89" s="25">
        <v>45834</v>
      </c>
      <c r="C89" s="52"/>
      <c r="D89" s="52"/>
      <c r="E89" s="181">
        <v>6274.4918</v>
      </c>
      <c r="F89" s="181">
        <v>3.074177</v>
      </c>
      <c r="G89" s="181">
        <v>2.928567</v>
      </c>
      <c r="H89" s="181">
        <v>28.81875</v>
      </c>
      <c r="I89" s="182">
        <v>0.846549732269902</v>
      </c>
      <c r="J89" s="182">
        <v>0.108435154845845</v>
      </c>
      <c r="K89" s="181"/>
      <c r="L89" s="181"/>
      <c r="M89" s="108">
        <v>2411</v>
      </c>
    </row>
    <row r="90" spans="1:13">
      <c r="A90" s="111" t="s">
        <v>12</v>
      </c>
      <c r="B90" s="25">
        <v>45835</v>
      </c>
      <c r="C90" s="52"/>
      <c r="D90" s="52"/>
      <c r="E90" s="181">
        <v>4243.5868</v>
      </c>
      <c r="F90" s="181">
        <v>2.08943</v>
      </c>
      <c r="G90" s="181">
        <v>1.986033</v>
      </c>
      <c r="H90" s="181">
        <v>28.3579166666667</v>
      </c>
      <c r="I90" s="182">
        <v>0.842380012180882</v>
      </c>
      <c r="J90" s="182">
        <v>0.0733372528687958</v>
      </c>
      <c r="K90" s="181"/>
      <c r="L90" s="181"/>
      <c r="M90" s="108">
        <v>2411</v>
      </c>
    </row>
    <row r="91" spans="1:13">
      <c r="A91" s="111" t="s">
        <v>12</v>
      </c>
      <c r="B91" s="25">
        <v>45836</v>
      </c>
      <c r="C91" s="52"/>
      <c r="D91" s="52"/>
      <c r="E91" s="181">
        <v>5915.5108</v>
      </c>
      <c r="F91" s="181">
        <v>2.889006</v>
      </c>
      <c r="G91" s="181">
        <v>2.748604</v>
      </c>
      <c r="H91" s="181">
        <v>27.7183333333333</v>
      </c>
      <c r="I91" s="182">
        <v>0.849271592319262</v>
      </c>
      <c r="J91" s="182">
        <v>0.102231280243329</v>
      </c>
      <c r="K91" s="181"/>
      <c r="L91" s="181"/>
      <c r="M91" s="108">
        <v>2411</v>
      </c>
    </row>
    <row r="92" spans="1:13">
      <c r="A92" s="111" t="s">
        <v>12</v>
      </c>
      <c r="B92" s="25">
        <v>45837</v>
      </c>
      <c r="C92" s="52"/>
      <c r="D92" s="52"/>
      <c r="E92" s="181">
        <v>12485.9268</v>
      </c>
      <c r="F92" s="181">
        <v>6.12738</v>
      </c>
      <c r="G92" s="181">
        <v>5.910329</v>
      </c>
      <c r="H92" s="181">
        <v>25.78</v>
      </c>
      <c r="I92" s="182">
        <v>0.845179120194082</v>
      </c>
      <c r="J92" s="182">
        <v>0.215780568228951</v>
      </c>
      <c r="K92" s="181"/>
      <c r="L92" s="181"/>
      <c r="M92" s="108">
        <v>2411</v>
      </c>
    </row>
    <row r="93" spans="1:13">
      <c r="A93" s="111" t="s">
        <v>12</v>
      </c>
      <c r="B93" s="25">
        <v>45838</v>
      </c>
      <c r="C93" s="52"/>
      <c r="D93" s="52"/>
      <c r="E93" s="181">
        <v>12351.2709</v>
      </c>
      <c r="F93" s="181">
        <v>6.1504185</v>
      </c>
      <c r="G93" s="181">
        <v>5.9426722</v>
      </c>
      <c r="H93" s="181">
        <v>28.3729166666667</v>
      </c>
      <c r="I93" s="182">
        <v>0.832932424778581</v>
      </c>
      <c r="J93" s="182">
        <v>0.213453458108669</v>
      </c>
      <c r="K93" s="181"/>
      <c r="L93" s="181"/>
      <c r="M93" s="108">
        <v>2411</v>
      </c>
    </row>
    <row r="94" spans="1:13">
      <c r="A94" s="111" t="s">
        <v>12</v>
      </c>
      <c r="B94" s="25">
        <v>45839</v>
      </c>
      <c r="C94" s="52"/>
      <c r="D94" s="52"/>
      <c r="E94" s="181">
        <v>12012.8474</v>
      </c>
      <c r="F94" s="181">
        <v>5.9989296</v>
      </c>
      <c r="G94" s="181">
        <v>5.7930276</v>
      </c>
      <c r="H94" s="181">
        <v>29.0516666666667</v>
      </c>
      <c r="I94" s="182">
        <v>0.830567598117792</v>
      </c>
      <c r="J94" s="182">
        <v>0.207604856214572</v>
      </c>
      <c r="K94" s="181"/>
      <c r="L94" s="181"/>
      <c r="M94" s="108">
        <v>2411</v>
      </c>
    </row>
    <row r="95" spans="1:13">
      <c r="A95" s="111" t="s">
        <v>12</v>
      </c>
      <c r="B95" s="25">
        <v>45840</v>
      </c>
      <c r="C95" s="52"/>
      <c r="D95" s="52"/>
      <c r="E95" s="181">
        <v>12805.3724</v>
      </c>
      <c r="F95" s="181">
        <v>6.375388</v>
      </c>
      <c r="G95" s="181">
        <v>6.158727</v>
      </c>
      <c r="H95" s="181">
        <v>29.2295833333333</v>
      </c>
      <c r="I95" s="182">
        <v>0.833083210274181</v>
      </c>
      <c r="J95" s="182">
        <v>0.221301195907645</v>
      </c>
      <c r="K95" s="181"/>
      <c r="L95" s="181"/>
      <c r="M95" s="108">
        <v>2411</v>
      </c>
    </row>
    <row r="96" spans="1:13">
      <c r="A96" s="111" t="s">
        <v>12</v>
      </c>
      <c r="B96" s="25">
        <v>45841</v>
      </c>
      <c r="C96" s="52"/>
      <c r="D96" s="52"/>
      <c r="E96" s="181">
        <v>12019.1644</v>
      </c>
      <c r="F96" s="181">
        <v>5.9993246</v>
      </c>
      <c r="G96" s="181">
        <v>5.7843488</v>
      </c>
      <c r="H96" s="181">
        <v>30.7516666666667</v>
      </c>
      <c r="I96" s="182">
        <v>0.830949641199202</v>
      </c>
      <c r="J96" s="182">
        <v>0.207714025991981</v>
      </c>
      <c r="K96" s="181"/>
      <c r="L96" s="181"/>
      <c r="M96" s="108">
        <v>2411</v>
      </c>
    </row>
    <row r="97" spans="1:13">
      <c r="A97" s="111" t="s">
        <v>12</v>
      </c>
      <c r="B97" s="25">
        <v>45842</v>
      </c>
      <c r="C97" s="52"/>
      <c r="D97" s="52"/>
      <c r="E97" s="181">
        <v>12014.3368</v>
      </c>
      <c r="F97" s="181">
        <v>5.943552</v>
      </c>
      <c r="G97" s="181">
        <v>5.737483</v>
      </c>
      <c r="H97" s="181">
        <v>28.4225</v>
      </c>
      <c r="I97" s="182">
        <v>0.838410146175194</v>
      </c>
      <c r="J97" s="182">
        <v>0.207630595879994</v>
      </c>
      <c r="K97" s="181"/>
      <c r="L97" s="181"/>
      <c r="M97" s="108">
        <v>2411</v>
      </c>
    </row>
    <row r="98" spans="1:13">
      <c r="A98" s="111" t="s">
        <v>12</v>
      </c>
      <c r="B98" s="25">
        <v>45843</v>
      </c>
      <c r="C98" s="52"/>
      <c r="D98" s="52"/>
      <c r="E98" s="181">
        <v>8379.6748</v>
      </c>
      <c r="F98" s="181">
        <v>4.111507</v>
      </c>
      <c r="G98" s="181">
        <v>3.931411</v>
      </c>
      <c r="H98" s="181">
        <v>28.19625</v>
      </c>
      <c r="I98" s="182">
        <v>0.84533513557197</v>
      </c>
      <c r="J98" s="182">
        <v>0.144816721968754</v>
      </c>
      <c r="K98" s="181"/>
      <c r="L98" s="181"/>
      <c r="M98" s="108">
        <v>2411</v>
      </c>
    </row>
    <row r="99" spans="1:13">
      <c r="A99" s="111" t="s">
        <v>12</v>
      </c>
      <c r="B99" s="25">
        <v>45844</v>
      </c>
      <c r="C99" s="52"/>
      <c r="D99" s="52"/>
      <c r="E99" s="181">
        <v>11335.8968</v>
      </c>
      <c r="F99" s="181">
        <v>5.557656</v>
      </c>
      <c r="G99" s="181">
        <v>5.353717</v>
      </c>
      <c r="H99" s="181">
        <v>27.3058333333333</v>
      </c>
      <c r="I99" s="182">
        <v>0.845993470720568</v>
      </c>
      <c r="J99" s="182">
        <v>0.195905862021291</v>
      </c>
      <c r="K99" s="181"/>
      <c r="L99" s="181"/>
      <c r="M99" s="108">
        <v>2411</v>
      </c>
    </row>
    <row r="100" spans="1:13">
      <c r="A100" s="111" t="s">
        <v>12</v>
      </c>
      <c r="B100" s="25">
        <v>45845</v>
      </c>
      <c r="C100" s="52"/>
      <c r="D100" s="52"/>
      <c r="E100" s="181">
        <v>10452.3541</v>
      </c>
      <c r="F100" s="181">
        <v>5.1428898</v>
      </c>
      <c r="G100" s="181">
        <v>4.9346836</v>
      </c>
      <c r="H100" s="181">
        <v>27.9954166666667</v>
      </c>
      <c r="I100" s="182">
        <v>0.842965276001319</v>
      </c>
      <c r="J100" s="182">
        <v>0.18063656332089</v>
      </c>
      <c r="K100" s="181"/>
      <c r="L100" s="181"/>
      <c r="M100" s="108">
        <v>2411</v>
      </c>
    </row>
    <row r="101" spans="1:13">
      <c r="A101" s="111" t="s">
        <v>12</v>
      </c>
      <c r="B101" s="25">
        <v>45846</v>
      </c>
      <c r="C101" s="52"/>
      <c r="D101" s="52"/>
      <c r="E101" s="181">
        <v>7161.0168</v>
      </c>
      <c r="F101" s="181">
        <v>3.51533</v>
      </c>
      <c r="G101" s="181">
        <v>3.332597</v>
      </c>
      <c r="H101" s="181">
        <v>28.5875</v>
      </c>
      <c r="I101" s="182">
        <v>0.844911812185481</v>
      </c>
      <c r="J101" s="182">
        <v>0.123755993363749</v>
      </c>
      <c r="K101" s="181"/>
      <c r="L101" s="181"/>
      <c r="M101" s="108">
        <v>2411</v>
      </c>
    </row>
    <row r="102" spans="1:13">
      <c r="A102" s="111" t="s">
        <v>12</v>
      </c>
      <c r="B102" s="25">
        <v>45847</v>
      </c>
      <c r="C102" s="52"/>
      <c r="D102" s="52"/>
      <c r="E102" s="181">
        <v>8103.9568</v>
      </c>
      <c r="F102" s="181">
        <v>4.029893</v>
      </c>
      <c r="G102" s="181">
        <v>3.846578</v>
      </c>
      <c r="H102" s="181">
        <v>32.27125</v>
      </c>
      <c r="I102" s="182">
        <v>0.83407747295576</v>
      </c>
      <c r="J102" s="182">
        <v>0.140051790405088</v>
      </c>
      <c r="K102" s="181"/>
      <c r="L102" s="181"/>
      <c r="M102" s="108">
        <v>2411</v>
      </c>
    </row>
    <row r="103" spans="1:13">
      <c r="A103" s="111" t="s">
        <v>12</v>
      </c>
      <c r="B103" s="25">
        <v>45848</v>
      </c>
      <c r="C103" s="52"/>
      <c r="D103" s="52"/>
      <c r="E103" s="181">
        <v>3657.6768</v>
      </c>
      <c r="F103" s="181">
        <v>1.811099</v>
      </c>
      <c r="G103" s="181">
        <v>1.716572</v>
      </c>
      <c r="H103" s="181">
        <v>28.34625</v>
      </c>
      <c r="I103" s="182">
        <v>0.837656429892444</v>
      </c>
      <c r="J103" s="182">
        <v>0.0632116134384073</v>
      </c>
      <c r="K103" s="181"/>
      <c r="L103" s="181"/>
      <c r="M103" s="108">
        <v>2411</v>
      </c>
    </row>
    <row r="104" spans="1:13">
      <c r="A104" s="111" t="s">
        <v>12</v>
      </c>
      <c r="B104" s="25">
        <v>45849</v>
      </c>
      <c r="C104" s="52"/>
      <c r="D104" s="52"/>
      <c r="E104" s="181">
        <v>5456.5068</v>
      </c>
      <c r="F104" s="181">
        <v>2.685194</v>
      </c>
      <c r="G104" s="181">
        <v>2.55129</v>
      </c>
      <c r="H104" s="181">
        <v>28.2025</v>
      </c>
      <c r="I104" s="182">
        <v>0.842833564364078</v>
      </c>
      <c r="J104" s="182">
        <v>0.0942988179178764</v>
      </c>
      <c r="K104" s="181"/>
      <c r="L104" s="181"/>
      <c r="M104" s="108">
        <v>2411</v>
      </c>
    </row>
    <row r="105" spans="1:13">
      <c r="A105" s="111" t="s">
        <v>12</v>
      </c>
      <c r="B105" s="25">
        <v>45850</v>
      </c>
      <c r="C105" s="52"/>
      <c r="D105" s="52"/>
      <c r="E105" s="181">
        <v>3171.8718</v>
      </c>
      <c r="F105" s="181">
        <v>1.57785</v>
      </c>
      <c r="G105" s="181">
        <v>1.495497</v>
      </c>
      <c r="H105" s="181">
        <v>27.5295833333333</v>
      </c>
      <c r="I105" s="182">
        <v>0.833782357211924</v>
      </c>
      <c r="J105" s="182">
        <v>0.0548159788469515</v>
      </c>
      <c r="K105" s="181"/>
      <c r="L105" s="181"/>
      <c r="M105" s="108">
        <v>2411</v>
      </c>
    </row>
    <row r="106" spans="1:13">
      <c r="A106" s="111" t="s">
        <v>12</v>
      </c>
      <c r="B106" s="25">
        <v>45851</v>
      </c>
      <c r="C106" s="52"/>
      <c r="D106" s="52"/>
      <c r="E106" s="181">
        <v>6828.4398</v>
      </c>
      <c r="F106" s="181">
        <v>3.341956</v>
      </c>
      <c r="G106" s="181">
        <v>3.179716</v>
      </c>
      <c r="H106" s="181">
        <v>28.0145833333333</v>
      </c>
      <c r="I106" s="182">
        <v>0.847468465380059</v>
      </c>
      <c r="J106" s="182">
        <v>0.118008430111987</v>
      </c>
      <c r="K106" s="181"/>
      <c r="L106" s="181"/>
      <c r="M106" s="108">
        <v>2411</v>
      </c>
    </row>
    <row r="107" spans="1:13">
      <c r="A107" s="111" t="s">
        <v>12</v>
      </c>
      <c r="B107" s="25">
        <v>45852</v>
      </c>
      <c r="C107" s="52"/>
      <c r="D107" s="52"/>
      <c r="E107" s="181">
        <v>11506.1068</v>
      </c>
      <c r="F107" s="181">
        <v>5.651935</v>
      </c>
      <c r="G107" s="181">
        <v>5.442895</v>
      </c>
      <c r="H107" s="181">
        <v>26.6520833333333</v>
      </c>
      <c r="I107" s="182">
        <v>0.844372405389951</v>
      </c>
      <c r="J107" s="182">
        <v>0.198847414627402</v>
      </c>
      <c r="K107" s="181"/>
      <c r="L107" s="181"/>
      <c r="M107" s="108">
        <v>2411</v>
      </c>
    </row>
    <row r="108" spans="1:13">
      <c r="A108" s="111" t="s">
        <v>12</v>
      </c>
      <c r="B108" s="25">
        <v>45853</v>
      </c>
      <c r="C108" s="52"/>
      <c r="D108" s="52"/>
      <c r="E108" s="181">
        <v>11695.5768</v>
      </c>
      <c r="F108" s="181">
        <v>5.733935</v>
      </c>
      <c r="G108" s="181">
        <v>5.527127</v>
      </c>
      <c r="H108" s="181">
        <v>26.0325</v>
      </c>
      <c r="I108" s="182">
        <v>0.846002544529351</v>
      </c>
      <c r="J108" s="182">
        <v>0.202121816673579</v>
      </c>
      <c r="K108" s="181"/>
      <c r="L108" s="181"/>
      <c r="M108" s="108">
        <v>2411</v>
      </c>
    </row>
    <row r="109" spans="1:13">
      <c r="A109" s="111" t="s">
        <v>12</v>
      </c>
      <c r="B109" s="25">
        <v>45854</v>
      </c>
      <c r="C109" s="52"/>
      <c r="D109" s="52"/>
      <c r="E109" s="181">
        <v>12443.6768</v>
      </c>
      <c r="F109" s="181">
        <v>6.14745</v>
      </c>
      <c r="G109" s="181">
        <v>5.939233</v>
      </c>
      <c r="H109" s="181">
        <v>26.4016666666667</v>
      </c>
      <c r="I109" s="182">
        <v>0.839569217882132</v>
      </c>
      <c r="J109" s="182">
        <v>0.215050407852896</v>
      </c>
      <c r="K109" s="181"/>
      <c r="L109" s="181"/>
      <c r="M109" s="108">
        <v>2411</v>
      </c>
    </row>
    <row r="110" spans="1:13">
      <c r="A110" s="111" t="s">
        <v>12</v>
      </c>
      <c r="B110" s="25">
        <v>45855</v>
      </c>
      <c r="C110" s="52"/>
      <c r="D110" s="52"/>
      <c r="E110" s="181">
        <v>11838.5368</v>
      </c>
      <c r="F110" s="181">
        <v>5.847554</v>
      </c>
      <c r="G110" s="181">
        <v>5.642358</v>
      </c>
      <c r="H110" s="181">
        <v>27.1625</v>
      </c>
      <c r="I110" s="182">
        <v>0.839704686531894</v>
      </c>
      <c r="J110" s="182">
        <v>0.204592437439513</v>
      </c>
      <c r="K110" s="181"/>
      <c r="L110" s="181"/>
      <c r="M110" s="108">
        <v>2411</v>
      </c>
    </row>
    <row r="111" spans="1:13">
      <c r="A111" s="111" t="s">
        <v>12</v>
      </c>
      <c r="B111" s="25">
        <v>45856</v>
      </c>
      <c r="C111" s="52"/>
      <c r="D111" s="52"/>
      <c r="E111" s="181">
        <v>8212.4678</v>
      </c>
      <c r="F111" s="181">
        <v>4.031309</v>
      </c>
      <c r="G111" s="181">
        <v>3.856838</v>
      </c>
      <c r="H111" s="181">
        <v>27.875</v>
      </c>
      <c r="I111" s="182">
        <v>0.844948776184764</v>
      </c>
      <c r="J111" s="182">
        <v>0.141927066915526</v>
      </c>
      <c r="K111" s="181"/>
      <c r="L111" s="181"/>
      <c r="M111" s="108">
        <v>2411</v>
      </c>
    </row>
    <row r="112" spans="1:13">
      <c r="A112" s="111" t="s">
        <v>12</v>
      </c>
      <c r="B112" s="25">
        <v>45857</v>
      </c>
      <c r="C112" s="52"/>
      <c r="D112" s="52"/>
      <c r="E112" s="181">
        <v>8517.9368</v>
      </c>
      <c r="F112" s="181">
        <v>4.171544</v>
      </c>
      <c r="G112" s="181">
        <v>4.00388</v>
      </c>
      <c r="H112" s="181">
        <v>27.4208333333333</v>
      </c>
      <c r="I112" s="182">
        <v>0.846916071501112</v>
      </c>
      <c r="J112" s="182">
        <v>0.147206152357251</v>
      </c>
      <c r="K112" s="181"/>
      <c r="L112" s="181"/>
      <c r="M112" s="108">
        <v>2411</v>
      </c>
    </row>
    <row r="113" spans="1:13">
      <c r="A113" s="111" t="s">
        <v>12</v>
      </c>
      <c r="B113" s="25">
        <v>45858</v>
      </c>
      <c r="C113" s="52"/>
      <c r="D113" s="52"/>
      <c r="E113" s="181">
        <v>8551.9968</v>
      </c>
      <c r="F113" s="181">
        <v>4.16354</v>
      </c>
      <c r="G113" s="181">
        <v>3.972982</v>
      </c>
      <c r="H113" s="181">
        <v>26.5175</v>
      </c>
      <c r="I113" s="182">
        <v>0.851937191636252</v>
      </c>
      <c r="J113" s="182">
        <v>0.147794773952717</v>
      </c>
      <c r="K113" s="181"/>
      <c r="L113" s="181"/>
      <c r="M113" s="108">
        <v>2411</v>
      </c>
    </row>
    <row r="114" spans="1:13">
      <c r="A114" s="111" t="s">
        <v>12</v>
      </c>
      <c r="B114" s="25">
        <v>45859</v>
      </c>
      <c r="C114" s="52"/>
      <c r="D114" s="52"/>
      <c r="E114" s="181">
        <v>7159.7818</v>
      </c>
      <c r="F114" s="181">
        <v>3.531117</v>
      </c>
      <c r="G114" s="181">
        <v>3.369307</v>
      </c>
      <c r="H114" s="181">
        <v>28.7966666666667</v>
      </c>
      <c r="I114" s="182">
        <v>0.840989297478134</v>
      </c>
      <c r="J114" s="182">
        <v>0.123734650214296</v>
      </c>
      <c r="K114" s="181"/>
      <c r="L114" s="181"/>
      <c r="M114" s="108">
        <v>2411</v>
      </c>
    </row>
    <row r="115" spans="1:13">
      <c r="A115" s="111" t="s">
        <v>12</v>
      </c>
      <c r="B115" s="25">
        <v>45860</v>
      </c>
      <c r="C115" s="52"/>
      <c r="D115" s="52"/>
      <c r="E115" s="181">
        <v>8136.7758</v>
      </c>
      <c r="F115" s="181">
        <v>3.990166</v>
      </c>
      <c r="G115" s="181">
        <v>3.808591</v>
      </c>
      <c r="H115" s="181">
        <v>28.7070833333333</v>
      </c>
      <c r="I115" s="182">
        <v>0.845793173475097</v>
      </c>
      <c r="J115" s="182">
        <v>0.140618965159685</v>
      </c>
      <c r="K115" s="181"/>
      <c r="L115" s="181"/>
      <c r="M115" s="108">
        <v>2411</v>
      </c>
    </row>
    <row r="116" spans="1:13">
      <c r="A116" s="111" t="s">
        <v>12</v>
      </c>
      <c r="B116" s="25">
        <v>45861</v>
      </c>
      <c r="C116" s="52"/>
      <c r="D116" s="52"/>
      <c r="E116" s="181">
        <v>12107.2268</v>
      </c>
      <c r="F116" s="181">
        <v>5.974639</v>
      </c>
      <c r="G116" s="181">
        <v>5.764279</v>
      </c>
      <c r="H116" s="181">
        <v>27.5625</v>
      </c>
      <c r="I116" s="182">
        <v>0.84049628488618</v>
      </c>
      <c r="J116" s="182">
        <v>0.20923591179317</v>
      </c>
      <c r="K116" s="181"/>
      <c r="L116" s="181"/>
      <c r="M116" s="108">
        <v>2411</v>
      </c>
    </row>
    <row r="117" spans="1:13">
      <c r="A117" s="111" t="s">
        <v>12</v>
      </c>
      <c r="B117" s="25">
        <v>45862</v>
      </c>
      <c r="C117" s="52"/>
      <c r="D117" s="52"/>
      <c r="E117" s="181">
        <v>8730.5898</v>
      </c>
      <c r="F117" s="181">
        <v>4.258209</v>
      </c>
      <c r="G117" s="181">
        <v>4.069811</v>
      </c>
      <c r="H117" s="181">
        <v>26.9008333333333</v>
      </c>
      <c r="I117" s="182">
        <v>0.850392457936629</v>
      </c>
      <c r="J117" s="182">
        <v>0.150881200746578</v>
      </c>
      <c r="K117" s="181"/>
      <c r="L117" s="181"/>
      <c r="M117" s="108">
        <v>2411</v>
      </c>
    </row>
    <row r="118" spans="1:13">
      <c r="A118" s="111" t="s">
        <v>12</v>
      </c>
      <c r="B118" s="25">
        <v>45863</v>
      </c>
      <c r="C118" s="52"/>
      <c r="D118" s="52"/>
      <c r="E118" s="181">
        <v>9635.3428</v>
      </c>
      <c r="F118" s="181">
        <v>4.68027</v>
      </c>
      <c r="G118" s="181">
        <v>4.482573</v>
      </c>
      <c r="H118" s="181">
        <v>25.42125</v>
      </c>
      <c r="I118" s="182">
        <v>0.853884346576314</v>
      </c>
      <c r="J118" s="182">
        <v>0.16651705378128</v>
      </c>
      <c r="K118" s="181"/>
      <c r="L118" s="181"/>
      <c r="M118" s="108">
        <v>2411</v>
      </c>
    </row>
    <row r="119" spans="1:13">
      <c r="A119" s="111" t="s">
        <v>12</v>
      </c>
      <c r="B119" s="25">
        <v>45864</v>
      </c>
      <c r="C119" s="52"/>
      <c r="D119" s="52"/>
      <c r="E119" s="181">
        <v>2989.8798</v>
      </c>
      <c r="F119" s="181">
        <v>1.475127</v>
      </c>
      <c r="G119" s="181">
        <v>1.398793</v>
      </c>
      <c r="H119" s="181">
        <v>24.7195833333333</v>
      </c>
      <c r="I119" s="182">
        <v>0.840673013784335</v>
      </c>
      <c r="J119" s="182">
        <v>0.0516708108668602</v>
      </c>
      <c r="K119" s="181"/>
      <c r="L119" s="181"/>
      <c r="M119" s="108">
        <v>2411</v>
      </c>
    </row>
    <row r="120" spans="1:13">
      <c r="A120" s="111" t="s">
        <v>12</v>
      </c>
      <c r="B120" s="25">
        <v>45865</v>
      </c>
      <c r="C120" s="52"/>
      <c r="D120" s="52"/>
      <c r="E120" s="181">
        <v>3876.2118</v>
      </c>
      <c r="F120" s="181">
        <v>1.900647</v>
      </c>
      <c r="G120" s="181">
        <v>1.803732</v>
      </c>
      <c r="H120" s="181">
        <v>26.0366666666667</v>
      </c>
      <c r="I120" s="182">
        <v>0.845880132114203</v>
      </c>
      <c r="J120" s="182">
        <v>0.0669883139776026</v>
      </c>
      <c r="K120" s="181"/>
      <c r="L120" s="181"/>
      <c r="M120" s="108">
        <v>2411</v>
      </c>
    </row>
    <row r="121" spans="1:13">
      <c r="A121" s="111" t="s">
        <v>12</v>
      </c>
      <c r="B121" s="25">
        <v>45866</v>
      </c>
      <c r="C121" s="52"/>
      <c r="D121" s="52"/>
      <c r="E121" s="181">
        <v>997.3742</v>
      </c>
      <c r="F121" s="181">
        <v>0.5445944</v>
      </c>
      <c r="G121" s="181">
        <v>0.5157992</v>
      </c>
      <c r="H121" s="181">
        <v>26.3641666666667</v>
      </c>
      <c r="I121" s="182">
        <v>0.759604883451532</v>
      </c>
      <c r="J121" s="182">
        <v>0.0172365235725149</v>
      </c>
      <c r="K121" s="181"/>
      <c r="L121" s="181"/>
      <c r="M121" s="108">
        <v>2411</v>
      </c>
    </row>
    <row r="122" spans="1:13">
      <c r="A122" s="111" t="s">
        <v>12</v>
      </c>
      <c r="B122" s="25">
        <v>45867</v>
      </c>
      <c r="C122" s="52"/>
      <c r="D122" s="52"/>
      <c r="E122" s="181">
        <v>12605.1368</v>
      </c>
      <c r="F122" s="181">
        <v>6.271506</v>
      </c>
      <c r="G122" s="181">
        <v>6.05274</v>
      </c>
      <c r="H122" s="181">
        <v>27.6733333333333</v>
      </c>
      <c r="I122" s="182">
        <v>0.833639934572955</v>
      </c>
      <c r="J122" s="182">
        <v>0.217840743813079</v>
      </c>
      <c r="K122" s="181"/>
      <c r="L122" s="181"/>
      <c r="M122" s="108">
        <v>2411</v>
      </c>
    </row>
    <row r="123" spans="1:13">
      <c r="A123" s="111" t="s">
        <v>12</v>
      </c>
      <c r="B123" s="25">
        <v>45868</v>
      </c>
      <c r="C123" s="52"/>
      <c r="D123" s="52"/>
      <c r="E123" s="181">
        <v>5291.1058</v>
      </c>
      <c r="F123" s="181">
        <v>2.57008</v>
      </c>
      <c r="G123" s="181">
        <v>2.442931</v>
      </c>
      <c r="H123" s="181">
        <v>25.7045833333333</v>
      </c>
      <c r="I123" s="182">
        <v>0.853891309036616</v>
      </c>
      <c r="J123" s="182">
        <v>0.0914403739803678</v>
      </c>
      <c r="K123" s="181"/>
      <c r="L123" s="181"/>
      <c r="M123" s="108">
        <v>2411</v>
      </c>
    </row>
    <row r="124" spans="1:13">
      <c r="A124" s="111" t="s">
        <v>12</v>
      </c>
      <c r="B124" s="25">
        <v>45869</v>
      </c>
      <c r="C124" s="52"/>
      <c r="D124" s="52"/>
      <c r="E124" s="181">
        <v>7568.7478</v>
      </c>
      <c r="F124" s="181">
        <v>3.693131</v>
      </c>
      <c r="G124" s="181">
        <v>3.51996</v>
      </c>
      <c r="H124" s="181">
        <v>26.9866666666667</v>
      </c>
      <c r="I124" s="182">
        <v>0.850025806555143</v>
      </c>
      <c r="J124" s="182">
        <v>0.130802360707867</v>
      </c>
      <c r="K124" s="181"/>
      <c r="L124" s="181"/>
      <c r="M124" s="108">
        <v>2411</v>
      </c>
    </row>
    <row r="125" spans="1:13">
      <c r="A125" s="111" t="s">
        <v>12</v>
      </c>
      <c r="B125" s="25">
        <v>45870</v>
      </c>
      <c r="C125" s="52"/>
      <c r="D125" s="52"/>
      <c r="E125" s="181">
        <v>10651.9968</v>
      </c>
      <c r="F125" s="181">
        <v>5.234585</v>
      </c>
      <c r="G125" s="181">
        <v>5.026233</v>
      </c>
      <c r="H125" s="181">
        <v>26.5108333333333</v>
      </c>
      <c r="I125" s="182">
        <v>0.844017712084662</v>
      </c>
      <c r="J125" s="182">
        <v>0.184086768975529</v>
      </c>
      <c r="K125" s="181"/>
      <c r="L125" s="181"/>
      <c r="M125" s="108">
        <v>2411</v>
      </c>
    </row>
    <row r="126" spans="1:13">
      <c r="A126" s="111" t="s">
        <v>12</v>
      </c>
      <c r="B126" s="25">
        <v>45871</v>
      </c>
      <c r="C126" s="52"/>
      <c r="D126" s="52"/>
      <c r="E126" s="181">
        <v>6570.5068</v>
      </c>
      <c r="F126" s="181">
        <v>3.191158</v>
      </c>
      <c r="G126" s="181">
        <v>3.034529</v>
      </c>
      <c r="H126" s="181">
        <v>26.2725</v>
      </c>
      <c r="I126" s="182">
        <v>0.853991113061969</v>
      </c>
      <c r="J126" s="182">
        <v>0.113550857182359</v>
      </c>
      <c r="K126" s="181"/>
      <c r="L126" s="181"/>
      <c r="M126" s="108">
        <v>2411</v>
      </c>
    </row>
    <row r="127" spans="1:13">
      <c r="A127" s="111" t="s">
        <v>12</v>
      </c>
      <c r="B127" s="25">
        <v>45872</v>
      </c>
      <c r="C127" s="52"/>
      <c r="D127" s="52"/>
      <c r="E127" s="181">
        <v>9855.2318</v>
      </c>
      <c r="F127" s="181">
        <v>4.789692</v>
      </c>
      <c r="G127" s="181">
        <v>4.587755</v>
      </c>
      <c r="H127" s="181">
        <v>25.285</v>
      </c>
      <c r="I127" s="182">
        <v>0.853418486280859</v>
      </c>
      <c r="J127" s="182">
        <v>0.170317154016314</v>
      </c>
      <c r="K127" s="181"/>
      <c r="L127" s="181"/>
      <c r="M127" s="108">
        <v>2411</v>
      </c>
    </row>
    <row r="128" spans="1:13">
      <c r="A128" s="111" t="s">
        <v>12</v>
      </c>
      <c r="B128" s="25">
        <v>45873</v>
      </c>
      <c r="C128" s="52"/>
      <c r="D128" s="52"/>
      <c r="E128" s="181">
        <v>4082.1688</v>
      </c>
      <c r="F128" s="181">
        <v>1.991375</v>
      </c>
      <c r="G128" s="181">
        <v>1.888927</v>
      </c>
      <c r="H128" s="181">
        <v>24.5708333333333</v>
      </c>
      <c r="I128" s="182">
        <v>0.850238365935261</v>
      </c>
      <c r="J128" s="182">
        <v>0.0705476427485137</v>
      </c>
      <c r="K128" s="181"/>
      <c r="L128" s="181"/>
      <c r="M128" s="108">
        <v>2411</v>
      </c>
    </row>
    <row r="129" spans="1:13">
      <c r="A129" s="111" t="s">
        <v>12</v>
      </c>
      <c r="B129" s="25">
        <v>45874</v>
      </c>
      <c r="C129" s="52"/>
      <c r="D129" s="52"/>
      <c r="E129" s="181">
        <v>9710.8368</v>
      </c>
      <c r="F129" s="181">
        <v>4.738862</v>
      </c>
      <c r="G129" s="181">
        <v>4.539699</v>
      </c>
      <c r="H129" s="181">
        <v>26.2066666666667</v>
      </c>
      <c r="I129" s="182">
        <v>0.849934353287931</v>
      </c>
      <c r="J129" s="182">
        <v>0.167821733720448</v>
      </c>
      <c r="K129" s="181"/>
      <c r="L129" s="181"/>
      <c r="M129" s="108">
        <v>2411</v>
      </c>
    </row>
    <row r="130" spans="1:13">
      <c r="A130" s="111" t="s">
        <v>12</v>
      </c>
      <c r="B130" s="25">
        <v>45875</v>
      </c>
      <c r="C130" s="52"/>
      <c r="D130" s="52"/>
      <c r="E130" s="181">
        <v>11482.4668</v>
      </c>
      <c r="F130" s="181">
        <v>5.612997</v>
      </c>
      <c r="G130" s="181">
        <v>5.402332</v>
      </c>
      <c r="H130" s="181">
        <v>25.8279166666667</v>
      </c>
      <c r="I130" s="182">
        <v>0.848483063667526</v>
      </c>
      <c r="J130" s="182">
        <v>0.19843887045486</v>
      </c>
      <c r="K130" s="181"/>
      <c r="L130" s="181"/>
      <c r="M130" s="108">
        <v>2411</v>
      </c>
    </row>
    <row r="131" spans="1:13">
      <c r="A131" s="111" t="s">
        <v>12</v>
      </c>
      <c r="B131" s="25">
        <v>45876</v>
      </c>
      <c r="C131" s="52"/>
      <c r="D131" s="52"/>
      <c r="E131" s="181">
        <v>5106.0818</v>
      </c>
      <c r="F131" s="181">
        <v>2.489172</v>
      </c>
      <c r="G131" s="181">
        <v>2.365411</v>
      </c>
      <c r="H131" s="181">
        <v>25.4183333333333</v>
      </c>
      <c r="I131" s="182">
        <v>0.850816004090271</v>
      </c>
      <c r="J131" s="182">
        <v>0.0882428072722245</v>
      </c>
      <c r="K131" s="181"/>
      <c r="L131" s="181"/>
      <c r="M131" s="108">
        <v>2411</v>
      </c>
    </row>
    <row r="132" spans="1:13">
      <c r="A132" s="111" t="s">
        <v>12</v>
      </c>
      <c r="B132" s="25">
        <v>45877</v>
      </c>
      <c r="C132" s="52"/>
      <c r="D132" s="52"/>
      <c r="E132" s="181">
        <v>4481.9098</v>
      </c>
      <c r="F132" s="181">
        <v>2.190751</v>
      </c>
      <c r="G132" s="181">
        <v>2.078676</v>
      </c>
      <c r="H132" s="181">
        <v>26.1508333333333</v>
      </c>
      <c r="I132" s="182">
        <v>0.848541100572584</v>
      </c>
      <c r="J132" s="182">
        <v>0.0774559276925204</v>
      </c>
      <c r="K132" s="181"/>
      <c r="L132" s="181"/>
      <c r="M132" s="108">
        <v>2411</v>
      </c>
    </row>
    <row r="133" spans="1:13">
      <c r="A133" s="111" t="s">
        <v>12</v>
      </c>
      <c r="B133" s="25">
        <v>45878</v>
      </c>
      <c r="C133" s="52"/>
      <c r="D133" s="52"/>
      <c r="E133" s="181">
        <v>10827.0568</v>
      </c>
      <c r="F133" s="181">
        <v>5.302441</v>
      </c>
      <c r="G133" s="181">
        <v>5.095379</v>
      </c>
      <c r="H133" s="181">
        <v>26.00625</v>
      </c>
      <c r="I133" s="182">
        <v>0.846910193135154</v>
      </c>
      <c r="J133" s="182">
        <v>0.18711213880824</v>
      </c>
      <c r="K133" s="181"/>
      <c r="L133" s="181"/>
      <c r="M133" s="108">
        <v>2411</v>
      </c>
    </row>
    <row r="134" spans="1:13">
      <c r="A134" s="111" t="s">
        <v>12</v>
      </c>
      <c r="B134" s="25">
        <v>45879</v>
      </c>
      <c r="C134" s="52"/>
      <c r="D134" s="52"/>
      <c r="E134" s="181">
        <v>12238.5668</v>
      </c>
      <c r="F134" s="181">
        <v>6.032326</v>
      </c>
      <c r="G134" s="181">
        <v>5.820283</v>
      </c>
      <c r="H134" s="181">
        <v>26.6183333333333</v>
      </c>
      <c r="I134" s="182">
        <v>0.841489204078073</v>
      </c>
      <c r="J134" s="182">
        <v>0.211505716853311</v>
      </c>
      <c r="K134" s="181"/>
      <c r="L134" s="181"/>
      <c r="M134" s="108">
        <v>2411</v>
      </c>
    </row>
    <row r="135" spans="1:13">
      <c r="A135" s="111" t="s">
        <v>12</v>
      </c>
      <c r="B135" s="25">
        <v>45880</v>
      </c>
      <c r="C135" s="52"/>
      <c r="D135" s="52"/>
      <c r="E135" s="181">
        <v>5894.6248</v>
      </c>
      <c r="F135" s="181">
        <v>2.873459</v>
      </c>
      <c r="G135" s="181">
        <v>2.732536</v>
      </c>
      <c r="H135" s="181">
        <v>26.8295833333333</v>
      </c>
      <c r="I135" s="182">
        <v>0.850851858446343</v>
      </c>
      <c r="J135" s="182">
        <v>0.101870330429974</v>
      </c>
      <c r="K135" s="181"/>
      <c r="L135" s="181"/>
      <c r="M135" s="108">
        <v>2411</v>
      </c>
    </row>
    <row r="136" spans="1:13">
      <c r="A136" s="111" t="s">
        <v>12</v>
      </c>
      <c r="B136" s="25">
        <v>45881</v>
      </c>
      <c r="C136" s="52"/>
      <c r="D136" s="52"/>
      <c r="E136" s="181">
        <v>8927.4568</v>
      </c>
      <c r="F136" s="181">
        <v>4.39151</v>
      </c>
      <c r="G136" s="181">
        <v>4.210263</v>
      </c>
      <c r="H136" s="181">
        <v>27.2470833333333</v>
      </c>
      <c r="I136" s="182">
        <v>0.84317296068868</v>
      </c>
      <c r="J136" s="182">
        <v>0.154283437024748</v>
      </c>
      <c r="K136" s="181"/>
      <c r="L136" s="181"/>
      <c r="M136" s="108">
        <v>2411</v>
      </c>
    </row>
    <row r="137" spans="1:13">
      <c r="A137" s="111" t="s">
        <v>12</v>
      </c>
      <c r="B137" s="25">
        <v>45882</v>
      </c>
      <c r="C137" s="52"/>
      <c r="D137" s="52"/>
      <c r="E137" s="181">
        <v>9645.9648</v>
      </c>
      <c r="F137" s="181">
        <v>4.710545</v>
      </c>
      <c r="G137" s="181">
        <v>4.510247</v>
      </c>
      <c r="H137" s="181">
        <v>26.7954166666667</v>
      </c>
      <c r="I137" s="182">
        <v>0.849331644547216</v>
      </c>
      <c r="J137" s="182">
        <v>0.166700622148486</v>
      </c>
      <c r="K137" s="181"/>
      <c r="L137" s="181"/>
      <c r="M137" s="108">
        <v>2411</v>
      </c>
    </row>
    <row r="138" spans="1:13">
      <c r="A138" s="111" t="s">
        <v>12</v>
      </c>
      <c r="B138" s="25">
        <v>45883</v>
      </c>
      <c r="C138" s="52"/>
      <c r="D138" s="52"/>
      <c r="E138" s="181">
        <v>11530.3968</v>
      </c>
      <c r="F138" s="181">
        <v>5.690343</v>
      </c>
      <c r="G138" s="181">
        <v>5.481668</v>
      </c>
      <c r="H138" s="181">
        <v>27.3370833333333</v>
      </c>
      <c r="I138" s="182">
        <v>0.840443644412294</v>
      </c>
      <c r="J138" s="182">
        <v>0.199267192036499</v>
      </c>
      <c r="K138" s="181"/>
      <c r="L138" s="181"/>
      <c r="M138" s="108">
        <v>2411</v>
      </c>
    </row>
    <row r="139" spans="1:13">
      <c r="A139" s="111" t="s">
        <v>12</v>
      </c>
      <c r="B139" s="25">
        <v>45884</v>
      </c>
      <c r="C139" s="52"/>
      <c r="D139" s="52"/>
      <c r="E139" s="181">
        <v>9249.8868</v>
      </c>
      <c r="F139" s="181">
        <v>4.512552</v>
      </c>
      <c r="G139" s="181">
        <v>4.3097</v>
      </c>
      <c r="H139" s="181">
        <v>27.0883333333333</v>
      </c>
      <c r="I139" s="182">
        <v>0.850191948926145</v>
      </c>
      <c r="J139" s="182">
        <v>0.159855640812941</v>
      </c>
      <c r="K139" s="181"/>
      <c r="L139" s="181"/>
      <c r="M139" s="108">
        <v>2411</v>
      </c>
    </row>
    <row r="140" spans="1:13">
      <c r="A140" s="111" t="s">
        <v>12</v>
      </c>
      <c r="B140" s="25">
        <v>45885</v>
      </c>
      <c r="C140" s="52"/>
      <c r="D140" s="52"/>
      <c r="E140" s="181">
        <v>7736.1578</v>
      </c>
      <c r="F140" s="181">
        <v>3.792062</v>
      </c>
      <c r="G140" s="181">
        <v>3.6341559</v>
      </c>
      <c r="H140" s="181">
        <v>27.1354166666667</v>
      </c>
      <c r="I140" s="182">
        <v>0.846160367550619</v>
      </c>
      <c r="J140" s="182">
        <v>0.133695523987281</v>
      </c>
      <c r="K140" s="181"/>
      <c r="L140" s="181"/>
      <c r="M140" s="108">
        <v>2411</v>
      </c>
    </row>
    <row r="141" spans="1:13">
      <c r="A141" s="111" t="s">
        <v>12</v>
      </c>
      <c r="B141" s="25">
        <v>45886</v>
      </c>
      <c r="C141" s="52"/>
      <c r="D141" s="52"/>
      <c r="E141" s="181">
        <v>-24.4032</v>
      </c>
      <c r="F141" s="181">
        <v>6.780847</v>
      </c>
      <c r="G141" s="181">
        <v>6.560617</v>
      </c>
      <c r="H141" s="181">
        <v>27.6</v>
      </c>
      <c r="I141" s="182">
        <v>-0.00149267625279714</v>
      </c>
      <c r="J141" s="182">
        <v>-0.000421733720447947</v>
      </c>
      <c r="K141" s="181"/>
      <c r="L141" s="181"/>
      <c r="M141" s="108">
        <v>2411</v>
      </c>
    </row>
    <row r="142" spans="1:13">
      <c r="A142" s="111" t="s">
        <v>12</v>
      </c>
      <c r="B142" s="25">
        <v>45887</v>
      </c>
      <c r="C142" s="52"/>
      <c r="D142" s="52"/>
      <c r="E142" s="181">
        <v>13909.2668</v>
      </c>
      <c r="F142" s="181">
        <v>6.955915</v>
      </c>
      <c r="G142" s="181">
        <v>6.733151</v>
      </c>
      <c r="H142" s="181">
        <v>28.48</v>
      </c>
      <c r="I142" s="182">
        <v>0.829378476922677</v>
      </c>
      <c r="J142" s="182">
        <v>0.240378591179317</v>
      </c>
      <c r="K142" s="181"/>
      <c r="L142" s="181"/>
      <c r="M142" s="108">
        <v>2411</v>
      </c>
    </row>
    <row r="143" spans="1:13">
      <c r="A143" s="111" t="s">
        <v>12</v>
      </c>
      <c r="B143" s="25">
        <v>45888</v>
      </c>
      <c r="C143" s="52"/>
      <c r="D143" s="52"/>
      <c r="E143" s="181">
        <v>4883.7948</v>
      </c>
      <c r="F143" s="181">
        <v>2.399623</v>
      </c>
      <c r="G143" s="181">
        <v>2.279366</v>
      </c>
      <c r="H143" s="181">
        <v>28.595</v>
      </c>
      <c r="I143" s="182">
        <v>0.844145251502474</v>
      </c>
      <c r="J143" s="182">
        <v>0.0844012650352551</v>
      </c>
      <c r="K143" s="181"/>
      <c r="L143" s="181"/>
      <c r="M143" s="108">
        <v>2411</v>
      </c>
    </row>
    <row r="144" spans="1:13">
      <c r="A144" s="111" t="s">
        <v>12</v>
      </c>
      <c r="B144" s="25">
        <v>45889</v>
      </c>
      <c r="C144" s="52"/>
      <c r="D144" s="52"/>
      <c r="E144" s="181">
        <v>7080.3492</v>
      </c>
      <c r="F144" s="181">
        <v>3.4923584</v>
      </c>
      <c r="G144" s="181">
        <v>3.3493607</v>
      </c>
      <c r="H144" s="181">
        <v>27.8254166666667</v>
      </c>
      <c r="I144" s="182">
        <v>0.840888979374173</v>
      </c>
      <c r="J144" s="182">
        <v>0.122361903774368</v>
      </c>
      <c r="K144" s="181"/>
      <c r="L144" s="181"/>
      <c r="M144" s="108">
        <v>2411</v>
      </c>
    </row>
    <row r="145" spans="1:13">
      <c r="A145" s="111" t="s">
        <v>12</v>
      </c>
      <c r="B145" s="25">
        <v>45890</v>
      </c>
      <c r="C145" s="52"/>
      <c r="D145" s="52"/>
      <c r="E145" s="181">
        <v>2325.6668</v>
      </c>
      <c r="F145" s="181">
        <v>1.175916</v>
      </c>
      <c r="G145" s="181">
        <v>1.11439</v>
      </c>
      <c r="H145" s="181">
        <v>26.89625</v>
      </c>
      <c r="I145" s="182">
        <v>0.820302401875346</v>
      </c>
      <c r="J145" s="182">
        <v>0.0401919466334854</v>
      </c>
      <c r="K145" s="181"/>
      <c r="L145" s="181"/>
      <c r="M145" s="108">
        <v>2411</v>
      </c>
    </row>
    <row r="146" spans="1:13">
      <c r="A146" s="111" t="s">
        <v>12</v>
      </c>
      <c r="B146" s="25">
        <v>45891</v>
      </c>
      <c r="C146" s="52"/>
      <c r="D146" s="52"/>
      <c r="E146" s="181">
        <v>5157.1948</v>
      </c>
      <c r="F146" s="181">
        <v>2.515626</v>
      </c>
      <c r="G146" s="181">
        <v>2.39065</v>
      </c>
      <c r="H146" s="181">
        <v>26.5808333333333</v>
      </c>
      <c r="I146" s="182">
        <v>0.850296225106696</v>
      </c>
      <c r="J146" s="182">
        <v>0.0891261371491774</v>
      </c>
      <c r="K146" s="181"/>
      <c r="L146" s="181"/>
      <c r="M146" s="108">
        <v>2411</v>
      </c>
    </row>
    <row r="147" spans="1:13">
      <c r="A147" s="111" t="s">
        <v>12</v>
      </c>
      <c r="B147" s="25">
        <v>45892</v>
      </c>
      <c r="C147" s="52"/>
      <c r="D147" s="52"/>
      <c r="E147" s="181">
        <v>8093.2778</v>
      </c>
      <c r="F147" s="181">
        <v>3.952063</v>
      </c>
      <c r="G147" s="181">
        <v>3.77281</v>
      </c>
      <c r="H147" s="181">
        <v>26.9666666666667</v>
      </c>
      <c r="I147" s="182">
        <v>0.84938263566818</v>
      </c>
      <c r="J147" s="182">
        <v>0.139867236969446</v>
      </c>
      <c r="K147" s="181"/>
      <c r="L147" s="181"/>
      <c r="M147" s="108">
        <v>2411</v>
      </c>
    </row>
    <row r="148" spans="1:13">
      <c r="A148" s="111" t="s">
        <v>12</v>
      </c>
      <c r="B148" s="25">
        <v>45893</v>
      </c>
      <c r="C148" s="52"/>
      <c r="D148" s="52"/>
      <c r="E148" s="181">
        <v>13497.2268</v>
      </c>
      <c r="F148" s="181">
        <v>6.722007</v>
      </c>
      <c r="G148" s="181">
        <v>6.500086</v>
      </c>
      <c r="H148" s="181">
        <v>27.5045833333333</v>
      </c>
      <c r="I148" s="182">
        <v>0.832814685677513</v>
      </c>
      <c r="J148" s="182">
        <v>0.233257756117793</v>
      </c>
      <c r="K148" s="181"/>
      <c r="L148" s="181"/>
      <c r="M148" s="108">
        <v>2411</v>
      </c>
    </row>
    <row r="149" spans="1:13">
      <c r="A149" s="111" t="s">
        <v>12</v>
      </c>
      <c r="B149" s="25">
        <v>45894</v>
      </c>
      <c r="C149" s="52"/>
      <c r="D149" s="52"/>
      <c r="E149" s="181">
        <v>11918.6668</v>
      </c>
      <c r="F149" s="181">
        <v>5.902756</v>
      </c>
      <c r="G149" s="181">
        <v>5.682678</v>
      </c>
      <c r="H149" s="181">
        <v>28.1695833333333</v>
      </c>
      <c r="I149" s="182">
        <v>0.837482299908054</v>
      </c>
      <c r="J149" s="182">
        <v>0.205977236278169</v>
      </c>
      <c r="K149" s="181"/>
      <c r="L149" s="181"/>
      <c r="M149" s="108">
        <v>2411</v>
      </c>
    </row>
    <row r="150" spans="1:13">
      <c r="A150" s="111" t="s">
        <v>12</v>
      </c>
      <c r="B150" s="25">
        <v>45895</v>
      </c>
      <c r="C150" s="52"/>
      <c r="D150" s="52"/>
      <c r="E150" s="181">
        <v>8841.3748</v>
      </c>
      <c r="F150" s="181">
        <v>4.363735</v>
      </c>
      <c r="G150" s="181">
        <v>4.199393</v>
      </c>
      <c r="H150" s="181">
        <v>27.67375</v>
      </c>
      <c r="I150" s="182">
        <v>0.84035777407962</v>
      </c>
      <c r="J150" s="182">
        <v>0.152795776303055</v>
      </c>
      <c r="K150" s="181"/>
      <c r="L150" s="181"/>
      <c r="M150" s="108">
        <v>2411</v>
      </c>
    </row>
    <row r="151" spans="1:13">
      <c r="A151" s="111" t="s">
        <v>12</v>
      </c>
      <c r="B151" s="25">
        <v>45896</v>
      </c>
      <c r="C151" s="52"/>
      <c r="D151" s="52"/>
      <c r="E151" s="181">
        <v>11008.6268</v>
      </c>
      <c r="F151" s="181">
        <v>5.432754</v>
      </c>
      <c r="G151" s="181">
        <v>5.214968</v>
      </c>
      <c r="H151" s="181">
        <v>28.32125</v>
      </c>
      <c r="I151" s="182">
        <v>0.840457773683941</v>
      </c>
      <c r="J151" s="182">
        <v>0.190250013825522</v>
      </c>
      <c r="K151" s="181"/>
      <c r="L151" s="181"/>
      <c r="M151" s="108">
        <v>2411</v>
      </c>
    </row>
    <row r="152" spans="1:13">
      <c r="A152" s="111" t="s">
        <v>12</v>
      </c>
      <c r="B152" s="25">
        <v>45897</v>
      </c>
      <c r="C152" s="52"/>
      <c r="D152" s="52"/>
      <c r="E152" s="181">
        <v>5087.4188</v>
      </c>
      <c r="F152" s="181">
        <v>2.498135</v>
      </c>
      <c r="G152" s="181">
        <v>2.375834</v>
      </c>
      <c r="H152" s="181">
        <v>27.93125</v>
      </c>
      <c r="I152" s="182">
        <v>0.844664761139517</v>
      </c>
      <c r="J152" s="182">
        <v>0.0879202751278861</v>
      </c>
      <c r="K152" s="181"/>
      <c r="L152" s="181"/>
      <c r="M152" s="108">
        <v>2411</v>
      </c>
    </row>
    <row r="153" spans="1:13">
      <c r="A153" s="111" t="s">
        <v>12</v>
      </c>
      <c r="B153" s="25">
        <v>45898</v>
      </c>
      <c r="C153" s="52"/>
      <c r="D153" s="52"/>
      <c r="E153" s="181">
        <v>8723.6998</v>
      </c>
      <c r="F153" s="181">
        <v>4.282955</v>
      </c>
      <c r="G153" s="181">
        <v>4.106956</v>
      </c>
      <c r="H153" s="181">
        <v>27.7670833333333</v>
      </c>
      <c r="I153" s="182">
        <v>0.844811837280187</v>
      </c>
      <c r="J153" s="182">
        <v>0.150762128439099</v>
      </c>
      <c r="K153" s="181"/>
      <c r="L153" s="181"/>
      <c r="M153" s="108">
        <v>2411</v>
      </c>
    </row>
    <row r="154" spans="1:13">
      <c r="A154" s="111" t="s">
        <v>12</v>
      </c>
      <c r="B154" s="25">
        <v>45899</v>
      </c>
      <c r="C154" s="52"/>
      <c r="D154" s="52"/>
      <c r="E154" s="181">
        <v>5422.2718</v>
      </c>
      <c r="F154" s="181">
        <v>2.655667</v>
      </c>
      <c r="G154" s="181">
        <v>2.524271</v>
      </c>
      <c r="H154" s="181">
        <v>27.86375</v>
      </c>
      <c r="I154" s="182">
        <v>0.846857730185232</v>
      </c>
      <c r="J154" s="182">
        <v>0.0937071719894926</v>
      </c>
      <c r="K154" s="181"/>
      <c r="L154" s="181"/>
      <c r="M154" s="108">
        <v>2411</v>
      </c>
    </row>
    <row r="155" spans="1:13">
      <c r="A155" s="111" t="s">
        <v>12</v>
      </c>
      <c r="B155" s="25">
        <v>45900</v>
      </c>
      <c r="C155" s="52"/>
      <c r="D155" s="52"/>
      <c r="E155" s="181">
        <v>13059.8388</v>
      </c>
      <c r="F155" s="181">
        <v>6.536114</v>
      </c>
      <c r="G155" s="181">
        <v>6.31978</v>
      </c>
      <c r="H155" s="181">
        <v>29.0770833333333</v>
      </c>
      <c r="I155" s="182">
        <v>0.828745126762876</v>
      </c>
      <c r="J155" s="182">
        <v>0.225698859394442</v>
      </c>
      <c r="K155" s="181"/>
      <c r="L155" s="181"/>
      <c r="M155" s="108">
        <v>2411</v>
      </c>
    </row>
    <row r="156" spans="1:13">
      <c r="A156" s="111" t="s">
        <v>12</v>
      </c>
      <c r="B156" s="25">
        <v>45901</v>
      </c>
      <c r="C156" s="52"/>
      <c r="D156" s="52"/>
      <c r="E156" s="181">
        <v>10373.9758</v>
      </c>
      <c r="F156" s="181">
        <v>5.130584</v>
      </c>
      <c r="G156" s="181">
        <v>4.930039</v>
      </c>
      <c r="H156" s="181">
        <v>28.91625</v>
      </c>
      <c r="I156" s="182">
        <v>0.838650900672456</v>
      </c>
      <c r="J156" s="182">
        <v>0.179282037190654</v>
      </c>
      <c r="K156" s="181"/>
      <c r="L156" s="181"/>
      <c r="M156" s="108">
        <v>2411</v>
      </c>
    </row>
    <row r="157" spans="1:13">
      <c r="A157" s="111" t="s">
        <v>12</v>
      </c>
      <c r="B157" s="25">
        <v>45902</v>
      </c>
      <c r="C157" s="52"/>
      <c r="D157" s="52"/>
      <c r="E157" s="181">
        <v>10497.4398</v>
      </c>
      <c r="F157" s="181">
        <v>5.196306</v>
      </c>
      <c r="G157" s="181">
        <v>4.996702</v>
      </c>
      <c r="H157" s="181">
        <v>29.1054166666667</v>
      </c>
      <c r="I157" s="182">
        <v>0.83789859944764</v>
      </c>
      <c r="J157" s="182">
        <v>0.181415729987557</v>
      </c>
      <c r="K157" s="181"/>
      <c r="L157" s="181"/>
      <c r="M157" s="108">
        <v>2411</v>
      </c>
    </row>
    <row r="158" spans="1:13">
      <c r="A158" s="111" t="s">
        <v>12</v>
      </c>
      <c r="B158" s="25">
        <v>45903</v>
      </c>
      <c r="C158" s="52"/>
      <c r="D158" s="52"/>
      <c r="E158" s="181">
        <v>8729.5008</v>
      </c>
      <c r="F158" s="181">
        <v>4.288112</v>
      </c>
      <c r="G158" s="181">
        <v>4.106565</v>
      </c>
      <c r="H158" s="181">
        <v>29.2958333333333</v>
      </c>
      <c r="I158" s="182">
        <v>0.844356942663103</v>
      </c>
      <c r="J158" s="182">
        <v>0.150862380754873</v>
      </c>
      <c r="K158" s="181"/>
      <c r="L158" s="181"/>
      <c r="M158" s="108">
        <v>2411</v>
      </c>
    </row>
    <row r="159" spans="1:13">
      <c r="A159" s="111" t="s">
        <v>12</v>
      </c>
      <c r="B159" s="25">
        <v>45904</v>
      </c>
      <c r="C159" s="52"/>
      <c r="D159" s="52"/>
      <c r="E159" s="181">
        <v>6059.3868</v>
      </c>
      <c r="F159" s="181">
        <v>2.981384</v>
      </c>
      <c r="G159" s="181">
        <v>2.843421</v>
      </c>
      <c r="H159" s="181">
        <v>30.0379166666667</v>
      </c>
      <c r="I159" s="182">
        <v>0.842972776926587</v>
      </c>
      <c r="J159" s="182">
        <v>0.104717731231854</v>
      </c>
      <c r="K159" s="181"/>
      <c r="L159" s="181"/>
      <c r="M159" s="108">
        <v>2411</v>
      </c>
    </row>
    <row r="160" spans="1:13">
      <c r="A160" s="111" t="s">
        <v>12</v>
      </c>
      <c r="B160" s="25">
        <v>45905</v>
      </c>
      <c r="C160" s="52"/>
      <c r="D160" s="52"/>
      <c r="E160" s="181">
        <v>13416.2228</v>
      </c>
      <c r="F160" s="181">
        <v>6.769194</v>
      </c>
      <c r="G160" s="181">
        <v>6.559062</v>
      </c>
      <c r="H160" s="181">
        <v>29.80375</v>
      </c>
      <c r="I160" s="182">
        <v>0.822045943655142</v>
      </c>
      <c r="J160" s="182">
        <v>0.231857852896447</v>
      </c>
      <c r="K160" s="181"/>
      <c r="L160" s="181"/>
      <c r="M160" s="108">
        <v>2411</v>
      </c>
    </row>
    <row r="161" spans="1:13">
      <c r="A161" s="111" t="s">
        <v>12</v>
      </c>
      <c r="B161" s="25">
        <v>45906</v>
      </c>
      <c r="C161" s="52"/>
      <c r="D161" s="52"/>
      <c r="E161" s="181">
        <v>13475.8828</v>
      </c>
      <c r="F161" s="181">
        <v>6.756555</v>
      </c>
      <c r="G161" s="181">
        <v>6.550785</v>
      </c>
      <c r="H161" s="181">
        <v>28.7308333333333</v>
      </c>
      <c r="I161" s="182">
        <v>0.827246043084889</v>
      </c>
      <c r="J161" s="182">
        <v>0.232888891193142</v>
      </c>
      <c r="K161" s="181"/>
      <c r="L161" s="181"/>
      <c r="M161" s="108">
        <v>2411</v>
      </c>
    </row>
    <row r="162" spans="1:13">
      <c r="A162" s="111" t="s">
        <v>12</v>
      </c>
      <c r="B162" s="25">
        <v>45907</v>
      </c>
      <c r="C162" s="52"/>
      <c r="D162" s="52"/>
      <c r="E162" s="181">
        <v>12223.7348</v>
      </c>
      <c r="F162" s="181">
        <v>6.037859</v>
      </c>
      <c r="G162" s="181">
        <v>5.836268</v>
      </c>
      <c r="H162" s="181">
        <v>27.375</v>
      </c>
      <c r="I162" s="182">
        <v>0.839699204676502</v>
      </c>
      <c r="J162" s="182">
        <v>0.211249391677036</v>
      </c>
      <c r="K162" s="181"/>
      <c r="L162" s="181"/>
      <c r="M162" s="108">
        <v>2411</v>
      </c>
    </row>
    <row r="163" spans="1:13">
      <c r="A163" s="111" t="s">
        <v>12</v>
      </c>
      <c r="B163" s="25">
        <v>45908</v>
      </c>
      <c r="C163" s="52"/>
      <c r="D163" s="52"/>
      <c r="E163" s="181">
        <v>13096.0078</v>
      </c>
      <c r="F163" s="181">
        <v>6.523294</v>
      </c>
      <c r="G163" s="181">
        <v>6.319353</v>
      </c>
      <c r="H163" s="181">
        <v>27.8066666666667</v>
      </c>
      <c r="I163" s="182">
        <v>0.832673536487737</v>
      </c>
      <c r="J163" s="182">
        <v>0.226323928522052</v>
      </c>
      <c r="K163" s="181"/>
      <c r="L163" s="181"/>
      <c r="M163" s="108">
        <v>2411</v>
      </c>
    </row>
    <row r="164" spans="1:13">
      <c r="A164" s="111" t="s">
        <v>12</v>
      </c>
      <c r="B164" s="25">
        <v>45909</v>
      </c>
      <c r="C164" s="52"/>
      <c r="D164" s="52"/>
      <c r="E164" s="181">
        <v>12866.2878</v>
      </c>
      <c r="F164" s="181">
        <v>6.367408</v>
      </c>
      <c r="G164" s="181">
        <v>6.160759</v>
      </c>
      <c r="H164" s="181">
        <v>26.93875</v>
      </c>
      <c r="I164" s="182">
        <v>0.838095237137387</v>
      </c>
      <c r="J164" s="182">
        <v>0.222353929904604</v>
      </c>
      <c r="K164" s="181"/>
      <c r="L164" s="181"/>
      <c r="M164" s="108">
        <v>2411</v>
      </c>
    </row>
    <row r="165" spans="1:13">
      <c r="A165" s="111" t="s">
        <v>12</v>
      </c>
      <c r="B165" s="25">
        <v>45910</v>
      </c>
      <c r="C165" s="52"/>
      <c r="D165" s="52"/>
      <c r="E165" s="181">
        <v>8780.24379999999</v>
      </c>
      <c r="F165" s="181">
        <v>4.283403</v>
      </c>
      <c r="G165" s="181">
        <v>4.107148</v>
      </c>
      <c r="H165" s="181">
        <v>26.7241666666667</v>
      </c>
      <c r="I165" s="182">
        <v>0.850198683586529</v>
      </c>
      <c r="J165" s="182">
        <v>0.151739316327941</v>
      </c>
      <c r="K165" s="181"/>
      <c r="L165" s="181"/>
      <c r="M165" s="108">
        <v>2411</v>
      </c>
    </row>
    <row r="166" spans="1:13">
      <c r="A166" s="111" t="s">
        <v>12</v>
      </c>
      <c r="B166" s="25">
        <v>45911</v>
      </c>
      <c r="C166" s="52"/>
      <c r="D166" s="52"/>
      <c r="E166" s="181">
        <v>12417.9988</v>
      </c>
      <c r="F166" s="181">
        <v>6.10463</v>
      </c>
      <c r="G166" s="181">
        <v>5.902418</v>
      </c>
      <c r="H166" s="181">
        <v>25.71375</v>
      </c>
      <c r="I166" s="182">
        <v>0.843713613424352</v>
      </c>
      <c r="J166" s="182">
        <v>0.214606643163279</v>
      </c>
      <c r="K166" s="181"/>
      <c r="L166" s="181"/>
      <c r="M166" s="108">
        <v>2411</v>
      </c>
    </row>
    <row r="167" spans="1:13">
      <c r="A167" s="111" t="s">
        <v>12</v>
      </c>
      <c r="B167" s="25">
        <v>45912</v>
      </c>
      <c r="C167" s="52"/>
      <c r="D167" s="52"/>
      <c r="E167" s="181">
        <v>13631.3438</v>
      </c>
      <c r="F167" s="181">
        <v>6.769568</v>
      </c>
      <c r="G167" s="181">
        <v>6.562232</v>
      </c>
      <c r="H167" s="181">
        <v>26.4270833333333</v>
      </c>
      <c r="I167" s="182">
        <v>0.835180808066487</v>
      </c>
      <c r="J167" s="182">
        <v>0.235575553020876</v>
      </c>
      <c r="K167" s="181"/>
      <c r="L167" s="181"/>
      <c r="M167" s="108">
        <v>2411</v>
      </c>
    </row>
    <row r="168" spans="1:13">
      <c r="A168" s="111" t="s">
        <v>12</v>
      </c>
      <c r="B168" s="25">
        <v>45913</v>
      </c>
      <c r="C168" s="52"/>
      <c r="D168" s="52"/>
      <c r="E168" s="181">
        <v>12678.5528</v>
      </c>
      <c r="F168" s="181">
        <v>6.260937</v>
      </c>
      <c r="G168" s="181">
        <v>6.054811</v>
      </c>
      <c r="H168" s="181">
        <v>26.59625</v>
      </c>
      <c r="I168" s="182">
        <v>0.83991074930443</v>
      </c>
      <c r="J168" s="182">
        <v>0.219109511959076</v>
      </c>
      <c r="K168" s="181"/>
      <c r="L168" s="181"/>
      <c r="M168" s="108">
        <v>2411</v>
      </c>
    </row>
    <row r="169" spans="1:13">
      <c r="A169" s="111" t="s">
        <v>12</v>
      </c>
      <c r="B169" s="25">
        <v>45914</v>
      </c>
      <c r="C169" s="52"/>
      <c r="D169" s="52"/>
      <c r="E169" s="181">
        <v>11356.5508</v>
      </c>
      <c r="F169" s="181">
        <v>5.612252</v>
      </c>
      <c r="G169" s="181">
        <v>5.42299</v>
      </c>
      <c r="H169" s="181">
        <v>27.50125</v>
      </c>
      <c r="I169" s="182">
        <v>0.839290049413142</v>
      </c>
      <c r="J169" s="182">
        <v>0.196262802433292</v>
      </c>
      <c r="K169" s="181"/>
      <c r="L169" s="181"/>
      <c r="M169" s="108">
        <v>2411</v>
      </c>
    </row>
    <row r="170" spans="1:13">
      <c r="A170" s="111" t="s">
        <v>12</v>
      </c>
      <c r="B170" s="25">
        <v>45915</v>
      </c>
      <c r="C170" s="52"/>
      <c r="D170" s="52"/>
      <c r="E170" s="181">
        <v>11064.5978</v>
      </c>
      <c r="F170" s="181">
        <v>5.466506</v>
      </c>
      <c r="G170" s="181">
        <v>5.274965</v>
      </c>
      <c r="H170" s="181">
        <v>26.7033333333333</v>
      </c>
      <c r="I170" s="182">
        <v>0.83951525534282</v>
      </c>
      <c r="J170" s="182">
        <v>0.191217299184294</v>
      </c>
      <c r="K170" s="181"/>
      <c r="L170" s="181"/>
      <c r="M170" s="108">
        <v>2411</v>
      </c>
    </row>
    <row r="171" spans="1:13">
      <c r="A171" s="111" t="s">
        <v>12</v>
      </c>
      <c r="B171" s="25">
        <v>45916</v>
      </c>
      <c r="C171" s="52"/>
      <c r="D171" s="52"/>
      <c r="E171" s="181">
        <v>11691.1308</v>
      </c>
      <c r="F171" s="181">
        <v>5.752257</v>
      </c>
      <c r="G171" s="181">
        <v>5.5581355</v>
      </c>
      <c r="H171" s="181">
        <v>25.5225</v>
      </c>
      <c r="I171" s="182">
        <v>0.842987292127784</v>
      </c>
      <c r="J171" s="182">
        <v>0.202044981335545</v>
      </c>
      <c r="K171" s="181"/>
      <c r="L171" s="181"/>
      <c r="M171" s="108">
        <v>2411</v>
      </c>
    </row>
    <row r="172" spans="1:13">
      <c r="A172" s="111" t="s">
        <v>12</v>
      </c>
      <c r="B172" s="25">
        <v>45917</v>
      </c>
      <c r="C172" s="52"/>
      <c r="D172" s="52"/>
      <c r="E172" s="181">
        <v>13527.1448</v>
      </c>
      <c r="F172" s="181">
        <v>6.704988</v>
      </c>
      <c r="G172" s="181">
        <v>6.502043</v>
      </c>
      <c r="H172" s="181">
        <v>26.065</v>
      </c>
      <c r="I172" s="182">
        <v>0.836779291143436</v>
      </c>
      <c r="J172" s="182">
        <v>0.233774796073552</v>
      </c>
      <c r="K172" s="181"/>
      <c r="L172" s="181"/>
      <c r="M172" s="108">
        <v>2411</v>
      </c>
    </row>
    <row r="173" spans="1:13">
      <c r="A173" s="111" t="s">
        <v>12</v>
      </c>
      <c r="B173" s="25">
        <v>45918</v>
      </c>
      <c r="C173" s="52"/>
      <c r="D173" s="52"/>
      <c r="E173" s="181">
        <v>5683.9732</v>
      </c>
      <c r="F173" s="181">
        <v>2.770794</v>
      </c>
      <c r="G173" s="181">
        <v>2.640938</v>
      </c>
      <c r="H173" s="181">
        <v>27.2008333333333</v>
      </c>
      <c r="I173" s="182">
        <v>0.850845238210512</v>
      </c>
      <c r="J173" s="182">
        <v>0.098229870040094</v>
      </c>
      <c r="K173" s="181"/>
      <c r="L173" s="181"/>
      <c r="M173" s="108">
        <v>2411</v>
      </c>
    </row>
    <row r="174" spans="1:13">
      <c r="A174" s="111" t="s">
        <v>12</v>
      </c>
      <c r="B174" s="25">
        <v>45919</v>
      </c>
      <c r="C174" s="52"/>
      <c r="D174" s="52"/>
      <c r="E174" s="181">
        <v>13313.9068</v>
      </c>
      <c r="F174" s="181">
        <v>6.630541</v>
      </c>
      <c r="G174" s="181">
        <v>6.4247424</v>
      </c>
      <c r="H174" s="181">
        <v>27.2095833333333</v>
      </c>
      <c r="I174" s="182">
        <v>0.832835707751724</v>
      </c>
      <c r="J174" s="182">
        <v>0.230089637771326</v>
      </c>
      <c r="K174" s="181"/>
      <c r="L174" s="181"/>
      <c r="M174" s="108">
        <v>2411</v>
      </c>
    </row>
    <row r="175" spans="1:13">
      <c r="A175" s="111" t="s">
        <v>12</v>
      </c>
      <c r="B175" s="25">
        <v>45920</v>
      </c>
      <c r="C175" s="52"/>
      <c r="D175" s="52"/>
      <c r="E175" s="181">
        <v>13376.6618</v>
      </c>
      <c r="F175" s="181">
        <v>6.650659</v>
      </c>
      <c r="G175" s="181">
        <v>6.444086</v>
      </c>
      <c r="H175" s="181">
        <v>27.1179166666667</v>
      </c>
      <c r="I175" s="182">
        <v>0.834230100406919</v>
      </c>
      <c r="J175" s="182">
        <v>0.231174163555924</v>
      </c>
      <c r="K175" s="181"/>
      <c r="L175" s="181"/>
      <c r="M175" s="108">
        <v>2411</v>
      </c>
    </row>
    <row r="176" spans="1:13">
      <c r="A176" s="111" t="s">
        <v>12</v>
      </c>
      <c r="B176" s="25">
        <v>45921</v>
      </c>
      <c r="C176" s="52"/>
      <c r="D176" s="52"/>
      <c r="E176" s="181">
        <v>5500.3462</v>
      </c>
      <c r="F176" s="181">
        <v>2.704973</v>
      </c>
      <c r="G176" s="181">
        <v>2.590779</v>
      </c>
      <c r="H176" s="181">
        <v>27.0654166666667</v>
      </c>
      <c r="I176" s="182">
        <v>0.843392783436364</v>
      </c>
      <c r="J176" s="182">
        <v>0.0950564461495922</v>
      </c>
      <c r="K176" s="181"/>
      <c r="L176" s="181"/>
      <c r="M176" s="108">
        <v>2411</v>
      </c>
    </row>
    <row r="177" spans="1:13">
      <c r="A177" s="111" t="s">
        <v>12</v>
      </c>
      <c r="B177" s="25">
        <v>45922</v>
      </c>
      <c r="C177" s="52"/>
      <c r="D177" s="52"/>
      <c r="E177" s="181">
        <v>8211.1918</v>
      </c>
      <c r="F177" s="181">
        <v>4.019191</v>
      </c>
      <c r="G177" s="181">
        <v>3.85858</v>
      </c>
      <c r="H177" s="181">
        <v>27.2291666666667</v>
      </c>
      <c r="I177" s="182">
        <v>0.847364647510849</v>
      </c>
      <c r="J177" s="182">
        <v>0.141905015208074</v>
      </c>
      <c r="K177" s="181"/>
      <c r="L177" s="181"/>
      <c r="M177" s="108">
        <v>2411</v>
      </c>
    </row>
    <row r="178" spans="1:13">
      <c r="A178" s="111" t="s">
        <v>12</v>
      </c>
      <c r="B178" s="25">
        <v>45923</v>
      </c>
      <c r="C178" s="52"/>
      <c r="D178" s="52"/>
      <c r="E178" s="181">
        <v>12469.1668</v>
      </c>
      <c r="F178" s="181">
        <v>6.173347</v>
      </c>
      <c r="G178" s="181">
        <v>5.974237</v>
      </c>
      <c r="H178" s="181">
        <v>27.1125</v>
      </c>
      <c r="I178" s="182">
        <v>0.837759835155343</v>
      </c>
      <c r="J178" s="182">
        <v>0.215490923544864</v>
      </c>
      <c r="K178" s="181"/>
      <c r="L178" s="181"/>
      <c r="M178" s="108">
        <v>2411</v>
      </c>
    </row>
    <row r="179" spans="1:13">
      <c r="A179" s="111" t="s">
        <v>12</v>
      </c>
      <c r="B179" s="25">
        <v>45924</v>
      </c>
      <c r="C179" s="52"/>
      <c r="D179" s="52"/>
      <c r="E179" s="181">
        <v>14053.0648</v>
      </c>
      <c r="F179" s="181">
        <v>7.059761</v>
      </c>
      <c r="G179" s="181">
        <v>6.847304</v>
      </c>
      <c r="H179" s="181">
        <v>28.3129166666667</v>
      </c>
      <c r="I179" s="182">
        <v>0.825626910076265</v>
      </c>
      <c r="J179" s="182">
        <v>0.242863694179455</v>
      </c>
      <c r="K179" s="181"/>
      <c r="L179" s="181"/>
      <c r="M179" s="108">
        <v>2411</v>
      </c>
    </row>
    <row r="180" spans="1:13">
      <c r="A180" s="111" t="s">
        <v>12</v>
      </c>
      <c r="B180" s="25">
        <v>45925</v>
      </c>
      <c r="C180" s="52"/>
      <c r="D180" s="52"/>
      <c r="E180" s="181">
        <v>11938.8932</v>
      </c>
      <c r="F180" s="181">
        <v>5.91518</v>
      </c>
      <c r="G180" s="181">
        <v>5.7185</v>
      </c>
      <c r="H180" s="181">
        <v>27.925</v>
      </c>
      <c r="I180" s="182">
        <v>0.837141538679968</v>
      </c>
      <c r="J180" s="182">
        <v>0.206326786948707</v>
      </c>
      <c r="K180" s="181"/>
      <c r="L180" s="181"/>
      <c r="M180" s="108">
        <v>2411</v>
      </c>
    </row>
    <row r="181" spans="1:13">
      <c r="A181" s="111" t="s">
        <v>12</v>
      </c>
      <c r="B181" s="25">
        <v>45926</v>
      </c>
      <c r="C181" s="52"/>
      <c r="D181" s="52"/>
      <c r="E181" s="181">
        <v>7487.3932</v>
      </c>
      <c r="F181" s="181">
        <v>3.649682</v>
      </c>
      <c r="G181" s="181">
        <v>3.490801</v>
      </c>
      <c r="H181" s="181">
        <v>27.5804166666667</v>
      </c>
      <c r="I181" s="182">
        <v>0.850899766839138</v>
      </c>
      <c r="J181" s="182">
        <v>0.129396398451542</v>
      </c>
      <c r="K181" s="181"/>
      <c r="L181" s="181"/>
      <c r="M181" s="108">
        <v>2411</v>
      </c>
    </row>
    <row r="182" spans="1:13">
      <c r="A182" s="111" t="s">
        <v>12</v>
      </c>
      <c r="B182" s="25">
        <v>45927</v>
      </c>
      <c r="C182" s="52"/>
      <c r="D182" s="52"/>
      <c r="E182" s="181">
        <v>7332.3032</v>
      </c>
      <c r="F182" s="181">
        <v>3.576724</v>
      </c>
      <c r="G182" s="181">
        <v>3.42108</v>
      </c>
      <c r="H182" s="181">
        <v>27.6304166666667</v>
      </c>
      <c r="I182" s="182">
        <v>0.850271800963753</v>
      </c>
      <c r="J182" s="182">
        <v>0.126716148209595</v>
      </c>
      <c r="K182" s="181"/>
      <c r="L182" s="181"/>
      <c r="M182" s="108">
        <v>2411</v>
      </c>
    </row>
    <row r="183" spans="1:13">
      <c r="A183" s="111" t="s">
        <v>12</v>
      </c>
      <c r="B183" s="25">
        <v>45928</v>
      </c>
      <c r="C183" s="52"/>
      <c r="D183" s="52"/>
      <c r="E183" s="181">
        <v>12646.0032</v>
      </c>
      <c r="F183" s="181">
        <v>6.27662</v>
      </c>
      <c r="G183" s="181">
        <v>6.08007</v>
      </c>
      <c r="H183" s="181">
        <v>27.0166666666667</v>
      </c>
      <c r="I183" s="182">
        <v>0.83566120472095</v>
      </c>
      <c r="J183" s="182">
        <v>0.218546992948984</v>
      </c>
      <c r="K183" s="181"/>
      <c r="L183" s="181"/>
      <c r="M183" s="108">
        <v>2411</v>
      </c>
    </row>
    <row r="184" spans="1:13">
      <c r="A184" s="111" t="s">
        <v>12</v>
      </c>
      <c r="B184" s="25">
        <v>45929</v>
      </c>
      <c r="C184" s="52"/>
      <c r="D184" s="52"/>
      <c r="E184" s="181">
        <v>10744.279</v>
      </c>
      <c r="F184" s="181">
        <v>5.253345</v>
      </c>
      <c r="G184" s="181">
        <v>5.05978</v>
      </c>
      <c r="H184" s="181">
        <v>25.9175</v>
      </c>
      <c r="I184" s="182">
        <v>0.848289602674551</v>
      </c>
      <c r="J184" s="182">
        <v>0.185681580948431</v>
      </c>
      <c r="K184" s="181"/>
      <c r="L184" s="181"/>
      <c r="M184" s="108">
        <v>2411</v>
      </c>
    </row>
    <row r="185" spans="1:13">
      <c r="A185" s="111" t="s">
        <v>12</v>
      </c>
      <c r="B185" s="25">
        <v>45930</v>
      </c>
      <c r="C185" s="52"/>
      <c r="D185" s="52"/>
      <c r="E185" s="181">
        <v>12725.7432</v>
      </c>
      <c r="F185" s="181">
        <v>6.28778</v>
      </c>
      <c r="G185" s="181">
        <v>6.09274</v>
      </c>
      <c r="H185" s="181">
        <v>26.315</v>
      </c>
      <c r="I185" s="182">
        <v>0.839437964479828</v>
      </c>
      <c r="J185" s="182">
        <v>0.219925051845707</v>
      </c>
      <c r="K185" s="181"/>
      <c r="L185" s="181"/>
      <c r="M185" s="108">
        <v>2411</v>
      </c>
    </row>
    <row r="186" spans="1:13">
      <c r="A186" s="111" t="s">
        <v>12</v>
      </c>
      <c r="B186" s="25">
        <v>45931</v>
      </c>
      <c r="C186" s="52"/>
      <c r="D186" s="52"/>
      <c r="E186" s="181">
        <v>13607.1632</v>
      </c>
      <c r="F186" s="181">
        <v>6.8091</v>
      </c>
      <c r="G186" s="181">
        <v>6.6045</v>
      </c>
      <c r="H186" s="181">
        <v>26.8091666666667</v>
      </c>
      <c r="I186" s="182">
        <v>0.828859025428562</v>
      </c>
      <c r="J186" s="182">
        <v>0.235157666251901</v>
      </c>
      <c r="K186" s="181"/>
      <c r="L186" s="181"/>
      <c r="M186" s="108">
        <v>2411</v>
      </c>
    </row>
    <row r="187" spans="1:13">
      <c r="A187" s="111" t="s">
        <v>12</v>
      </c>
      <c r="B187" s="25">
        <v>45932</v>
      </c>
      <c r="C187" s="52"/>
      <c r="D187" s="52"/>
      <c r="E187" s="181">
        <v>13982.8832</v>
      </c>
      <c r="F187" s="181">
        <v>6.99628</v>
      </c>
      <c r="G187" s="181">
        <v>6.78836</v>
      </c>
      <c r="H187" s="181">
        <v>26.4</v>
      </c>
      <c r="I187" s="182">
        <v>0.828957637894037</v>
      </c>
      <c r="J187" s="182">
        <v>0.241650822618554</v>
      </c>
      <c r="K187" s="181"/>
      <c r="L187" s="181"/>
      <c r="M187" s="108">
        <v>2411</v>
      </c>
    </row>
    <row r="188" spans="1:13">
      <c r="A188" s="111" t="s">
        <v>12</v>
      </c>
      <c r="B188" s="25">
        <v>45933</v>
      </c>
      <c r="C188" s="52"/>
      <c r="D188" s="52"/>
      <c r="E188" s="181">
        <v>11536.3732</v>
      </c>
      <c r="F188" s="181">
        <v>5.7313409</v>
      </c>
      <c r="G188" s="181">
        <v>5.5391606</v>
      </c>
      <c r="H188" s="181">
        <v>27.6229166666667</v>
      </c>
      <c r="I188" s="182">
        <v>0.834864213774283</v>
      </c>
      <c r="J188" s="182">
        <v>0.199370475597954</v>
      </c>
      <c r="K188" s="181"/>
      <c r="L188" s="181"/>
      <c r="M188" s="108">
        <v>2411</v>
      </c>
    </row>
    <row r="189" spans="1:13">
      <c r="A189" s="111" t="s">
        <v>12</v>
      </c>
      <c r="B189" s="25">
        <v>45934</v>
      </c>
      <c r="C189" s="52"/>
      <c r="D189" s="52"/>
      <c r="E189" s="181">
        <v>11113.9732</v>
      </c>
      <c r="F189" s="181">
        <v>5.52154</v>
      </c>
      <c r="G189" s="181">
        <v>5.333734</v>
      </c>
      <c r="H189" s="181">
        <v>28.35375</v>
      </c>
      <c r="I189" s="182">
        <v>0.834856652430956</v>
      </c>
      <c r="J189" s="182">
        <v>0.192070600027651</v>
      </c>
      <c r="K189" s="181"/>
      <c r="L189" s="181"/>
      <c r="M189" s="108">
        <v>2411</v>
      </c>
    </row>
    <row r="190" spans="1:13">
      <c r="A190" s="111" t="s">
        <v>12</v>
      </c>
      <c r="B190" s="25">
        <v>45935</v>
      </c>
      <c r="C190" s="52"/>
      <c r="D190" s="52"/>
      <c r="E190" s="181">
        <v>11012.3132</v>
      </c>
      <c r="F190" s="181">
        <v>5.47772</v>
      </c>
      <c r="G190" s="181">
        <v>5.28715</v>
      </c>
      <c r="H190" s="181">
        <v>28.9433333333333</v>
      </c>
      <c r="I190" s="182">
        <v>0.833837677707509</v>
      </c>
      <c r="J190" s="182">
        <v>0.190313721830499</v>
      </c>
      <c r="K190" s="181"/>
      <c r="L190" s="181"/>
      <c r="M190" s="108">
        <v>2411</v>
      </c>
    </row>
    <row r="191" spans="1:13">
      <c r="A191" s="111" t="s">
        <v>12</v>
      </c>
      <c r="B191" s="25">
        <v>45936</v>
      </c>
      <c r="C191" s="52"/>
      <c r="D191" s="52"/>
      <c r="E191" s="181">
        <v>14061.0332</v>
      </c>
      <c r="F191" s="181">
        <v>7.14468</v>
      </c>
      <c r="G191" s="181">
        <v>6.93191</v>
      </c>
      <c r="H191" s="181">
        <v>29.3704166666667</v>
      </c>
      <c r="I191" s="182">
        <v>0.816276401318377</v>
      </c>
      <c r="J191" s="182">
        <v>0.243001403290474</v>
      </c>
      <c r="K191" s="181"/>
      <c r="L191" s="181"/>
      <c r="M191" s="108">
        <v>2411</v>
      </c>
    </row>
    <row r="192" spans="1:13">
      <c r="A192" s="111" t="s">
        <v>12</v>
      </c>
      <c r="B192" s="25">
        <v>45937</v>
      </c>
      <c r="C192" s="52"/>
      <c r="D192" s="52"/>
      <c r="E192" s="181">
        <v>13873.9032</v>
      </c>
      <c r="F192" s="181">
        <v>7.05546</v>
      </c>
      <c r="G192" s="181">
        <v>6.84377</v>
      </c>
      <c r="H192" s="181">
        <v>29.71375</v>
      </c>
      <c r="I192" s="182">
        <v>0.81559793146038</v>
      </c>
      <c r="J192" s="182">
        <v>0.239767440895894</v>
      </c>
      <c r="K192" s="181"/>
      <c r="L192" s="181"/>
      <c r="M192" s="108">
        <v>2411</v>
      </c>
    </row>
    <row r="193" spans="1:13">
      <c r="A193" s="111" t="s">
        <v>12</v>
      </c>
      <c r="B193" s="25">
        <v>45938</v>
      </c>
      <c r="C193" s="52"/>
      <c r="D193" s="52"/>
      <c r="E193" s="181">
        <v>14134.5432</v>
      </c>
      <c r="F193" s="181">
        <v>7.18058</v>
      </c>
      <c r="G193" s="181">
        <v>6.96522</v>
      </c>
      <c r="H193" s="181">
        <v>29.1266666666667</v>
      </c>
      <c r="I193" s="182">
        <v>0.816441443789654</v>
      </c>
      <c r="J193" s="182">
        <v>0.244271795935296</v>
      </c>
      <c r="K193" s="181"/>
      <c r="L193" s="181"/>
      <c r="M193" s="108">
        <v>2411</v>
      </c>
    </row>
    <row r="194" spans="1:13">
      <c r="A194" s="111" t="s">
        <v>12</v>
      </c>
      <c r="B194" s="25">
        <v>45939</v>
      </c>
      <c r="C194" s="52"/>
      <c r="D194" s="52"/>
      <c r="E194" s="181">
        <v>12966.1232</v>
      </c>
      <c r="F194" s="181">
        <v>6.55766</v>
      </c>
      <c r="G194" s="181">
        <v>6.3576</v>
      </c>
      <c r="H194" s="181">
        <v>29.8191666666667</v>
      </c>
      <c r="I194" s="182">
        <v>0.820094761397151</v>
      </c>
      <c r="J194" s="182">
        <v>0.224079275542652</v>
      </c>
      <c r="K194" s="181"/>
      <c r="L194" s="181"/>
      <c r="M194" s="108">
        <v>2411</v>
      </c>
    </row>
    <row r="195" spans="1:13">
      <c r="A195" s="111" t="s">
        <v>12</v>
      </c>
      <c r="B195" s="25">
        <v>45940</v>
      </c>
      <c r="C195" s="52"/>
      <c r="D195" s="52"/>
      <c r="E195" s="181">
        <v>10913.3432</v>
      </c>
      <c r="F195" s="181">
        <v>5.52957</v>
      </c>
      <c r="G195" s="181">
        <v>5.33293</v>
      </c>
      <c r="H195" s="181">
        <v>31.4341666666667</v>
      </c>
      <c r="I195" s="182">
        <v>0.818595291644513</v>
      </c>
      <c r="J195" s="182">
        <v>0.188603331950781</v>
      </c>
      <c r="K195" s="181"/>
      <c r="L195" s="181"/>
      <c r="M195" s="108">
        <v>2411</v>
      </c>
    </row>
    <row r="196" spans="1:13">
      <c r="A196" s="111" t="s">
        <v>12</v>
      </c>
      <c r="B196" s="25">
        <v>45941</v>
      </c>
      <c r="C196" s="52"/>
      <c r="D196" s="52"/>
      <c r="E196" s="181">
        <v>13292.7632</v>
      </c>
      <c r="F196" s="181">
        <v>6.79818</v>
      </c>
      <c r="G196" s="181">
        <v>6.59136</v>
      </c>
      <c r="H196" s="181">
        <v>32.02625</v>
      </c>
      <c r="I196" s="182">
        <v>0.811008485706166</v>
      </c>
      <c r="J196" s="182">
        <v>0.229724236139914</v>
      </c>
      <c r="K196" s="181"/>
      <c r="L196" s="181"/>
      <c r="M196" s="108">
        <v>2411</v>
      </c>
    </row>
    <row r="197" spans="1:13">
      <c r="A197" s="111" t="s">
        <v>12</v>
      </c>
      <c r="B197" s="25">
        <v>45942</v>
      </c>
      <c r="C197" s="52"/>
      <c r="D197" s="52"/>
      <c r="E197" s="181">
        <v>12316.6632</v>
      </c>
      <c r="F197" s="181">
        <v>6.2301</v>
      </c>
      <c r="G197" s="181">
        <v>6.0364</v>
      </c>
      <c r="H197" s="181">
        <v>30.9041666666667</v>
      </c>
      <c r="I197" s="182">
        <v>0.819975427226901</v>
      </c>
      <c r="J197" s="182">
        <v>0.212855371215263</v>
      </c>
      <c r="K197" s="181"/>
      <c r="L197" s="181"/>
      <c r="M197" s="108">
        <v>2411</v>
      </c>
    </row>
    <row r="198" spans="1:13">
      <c r="A198" s="111" t="s">
        <v>12</v>
      </c>
      <c r="B198" s="25">
        <v>45943</v>
      </c>
      <c r="C198" s="52"/>
      <c r="D198" s="52"/>
      <c r="E198" s="181">
        <v>11726.6432</v>
      </c>
      <c r="F198" s="181">
        <v>5.91131</v>
      </c>
      <c r="G198" s="181">
        <v>5.71832</v>
      </c>
      <c r="H198" s="181">
        <v>30.6529166666667</v>
      </c>
      <c r="I198" s="182">
        <v>0.822797125507724</v>
      </c>
      <c r="J198" s="182">
        <v>0.202658703166044</v>
      </c>
      <c r="K198" s="181"/>
      <c r="L198" s="181"/>
      <c r="M198" s="108">
        <v>2411</v>
      </c>
    </row>
    <row r="199" spans="1:13">
      <c r="A199" s="111" t="s">
        <v>12</v>
      </c>
      <c r="B199" s="25">
        <v>45944</v>
      </c>
      <c r="C199" s="52"/>
      <c r="D199" s="52"/>
      <c r="E199" s="181">
        <v>8798.3732</v>
      </c>
      <c r="F199" s="181">
        <v>4.378013</v>
      </c>
      <c r="G199" s="181">
        <v>4.202307</v>
      </c>
      <c r="H199" s="181">
        <v>30.3645833333333</v>
      </c>
      <c r="I199" s="182">
        <v>0.833543217980377</v>
      </c>
      <c r="J199" s="182">
        <v>0.152052626849164</v>
      </c>
      <c r="K199" s="181"/>
      <c r="L199" s="181"/>
      <c r="M199" s="108">
        <v>2411</v>
      </c>
    </row>
    <row r="200" spans="1:13">
      <c r="A200" s="111" t="s">
        <v>12</v>
      </c>
      <c r="B200" s="25">
        <v>45945</v>
      </c>
      <c r="C200" s="52"/>
      <c r="D200" s="52"/>
      <c r="E200" s="181">
        <v>11502.0632</v>
      </c>
      <c r="F200" s="181">
        <v>5.78236</v>
      </c>
      <c r="G200" s="181">
        <v>5.590338</v>
      </c>
      <c r="H200" s="181">
        <v>30.03625</v>
      </c>
      <c r="I200" s="182">
        <v>0.825036975325883</v>
      </c>
      <c r="J200" s="182">
        <v>0.198777533526891</v>
      </c>
      <c r="K200" s="181"/>
      <c r="L200" s="181"/>
      <c r="M200" s="108">
        <v>2411</v>
      </c>
    </row>
    <row r="201" spans="1:13">
      <c r="A201" s="111" t="s">
        <v>12</v>
      </c>
      <c r="B201" s="25">
        <v>45946</v>
      </c>
      <c r="C201" s="52"/>
      <c r="D201" s="52"/>
      <c r="E201" s="181">
        <v>12474.0832</v>
      </c>
      <c r="F201" s="181">
        <v>6.28289</v>
      </c>
      <c r="G201" s="181">
        <v>6.08264</v>
      </c>
      <c r="H201" s="181">
        <v>29.1966666666667</v>
      </c>
      <c r="I201" s="182">
        <v>0.823477940717534</v>
      </c>
      <c r="J201" s="182">
        <v>0.215575888289783</v>
      </c>
      <c r="K201" s="181"/>
      <c r="L201" s="181"/>
      <c r="M201" s="108">
        <v>2411</v>
      </c>
    </row>
    <row r="202" spans="1:13">
      <c r="A202" s="111" t="s">
        <v>12</v>
      </c>
      <c r="B202" s="25">
        <v>45947</v>
      </c>
      <c r="C202" s="52"/>
      <c r="D202" s="52"/>
      <c r="E202" s="181">
        <v>13026.2132</v>
      </c>
      <c r="F202" s="181">
        <v>6.61267</v>
      </c>
      <c r="G202" s="181">
        <v>6.40616</v>
      </c>
      <c r="H202" s="181">
        <v>29.4475</v>
      </c>
      <c r="I202" s="182">
        <v>0.817041509916119</v>
      </c>
      <c r="J202" s="182">
        <v>0.225117745057376</v>
      </c>
      <c r="K202" s="181"/>
      <c r="L202" s="181"/>
      <c r="M202" s="108">
        <v>2411</v>
      </c>
    </row>
    <row r="203" spans="1:13">
      <c r="A203" s="111" t="s">
        <v>12</v>
      </c>
      <c r="B203" s="25">
        <v>45948</v>
      </c>
      <c r="C203" s="52"/>
      <c r="D203" s="52"/>
      <c r="E203" s="181">
        <v>11633.6432</v>
      </c>
      <c r="F203" s="181">
        <v>5.85201</v>
      </c>
      <c r="G203" s="181">
        <v>5.659463</v>
      </c>
      <c r="H203" s="181">
        <v>29.5454166666667</v>
      </c>
      <c r="I203" s="182">
        <v>0.824543305607225</v>
      </c>
      <c r="J203" s="182">
        <v>0.201051486243606</v>
      </c>
      <c r="K203" s="181"/>
      <c r="L203" s="181"/>
      <c r="M203" s="108">
        <v>2411</v>
      </c>
    </row>
    <row r="204" spans="1:13">
      <c r="A204" s="111" t="s">
        <v>12</v>
      </c>
      <c r="B204" s="25">
        <v>45949</v>
      </c>
      <c r="C204" s="52"/>
      <c r="D204" s="52"/>
      <c r="E204" s="181">
        <v>10658.3832</v>
      </c>
      <c r="F204" s="181">
        <v>5.316353</v>
      </c>
      <c r="G204" s="181">
        <v>5.126901</v>
      </c>
      <c r="H204" s="181">
        <v>28.5758333333333</v>
      </c>
      <c r="I204" s="182">
        <v>0.831534571689866</v>
      </c>
      <c r="J204" s="182">
        <v>0.184197138116964</v>
      </c>
      <c r="K204" s="181"/>
      <c r="L204" s="181"/>
      <c r="M204" s="108">
        <v>2411</v>
      </c>
    </row>
    <row r="205" spans="1:13">
      <c r="A205" s="111" t="s">
        <v>12</v>
      </c>
      <c r="B205" s="25">
        <v>45950</v>
      </c>
      <c r="C205" s="52"/>
      <c r="D205" s="52"/>
      <c r="E205" s="181">
        <v>12210.2532</v>
      </c>
      <c r="F205" s="181">
        <v>6.1942</v>
      </c>
      <c r="G205" s="181">
        <v>5.995609</v>
      </c>
      <c r="H205" s="181">
        <v>30.1645833333333</v>
      </c>
      <c r="I205" s="182">
        <v>0.817602546828001</v>
      </c>
      <c r="J205" s="182">
        <v>0.21101640398175</v>
      </c>
      <c r="K205" s="181"/>
      <c r="L205" s="181"/>
      <c r="M205" s="108">
        <v>2411</v>
      </c>
    </row>
    <row r="206" spans="1:13">
      <c r="A206" s="111" t="s">
        <v>12</v>
      </c>
      <c r="B206" s="25">
        <v>45951</v>
      </c>
      <c r="C206" s="52"/>
      <c r="D206" s="52"/>
      <c r="E206" s="181">
        <v>12228.3032</v>
      </c>
      <c r="F206" s="181">
        <v>6.183</v>
      </c>
      <c r="G206" s="181">
        <v>5.98065</v>
      </c>
      <c r="H206" s="181">
        <v>29.9225</v>
      </c>
      <c r="I206" s="182">
        <v>0.820294390373304</v>
      </c>
      <c r="J206" s="182">
        <v>0.211328342319923</v>
      </c>
      <c r="K206" s="181"/>
      <c r="L206" s="181"/>
      <c r="M206" s="108">
        <v>2411</v>
      </c>
    </row>
    <row r="207" spans="1:13">
      <c r="A207" s="111" t="s">
        <v>12</v>
      </c>
      <c r="B207" s="25">
        <v>45952</v>
      </c>
      <c r="C207" s="52"/>
      <c r="D207" s="52"/>
      <c r="E207" s="181">
        <v>5408.8012</v>
      </c>
      <c r="F207" s="181">
        <v>2.6887323</v>
      </c>
      <c r="G207" s="181">
        <v>2.5731354</v>
      </c>
      <c r="H207" s="181">
        <v>28.7525</v>
      </c>
      <c r="I207" s="182">
        <v>0.834365319850995</v>
      </c>
      <c r="J207" s="182">
        <v>0.0934743743951334</v>
      </c>
      <c r="K207" s="181"/>
      <c r="L207" s="181"/>
      <c r="M207" s="108">
        <v>2411</v>
      </c>
    </row>
    <row r="208" spans="1:13">
      <c r="A208" s="111" t="s">
        <v>12</v>
      </c>
      <c r="B208" s="25">
        <v>45953</v>
      </c>
      <c r="C208" s="52"/>
      <c r="D208" s="52"/>
      <c r="E208" s="181">
        <v>12301.9932</v>
      </c>
      <c r="F208" s="181">
        <v>6.20264</v>
      </c>
      <c r="G208" s="181">
        <v>5.99912</v>
      </c>
      <c r="H208" s="181">
        <v>28.24125</v>
      </c>
      <c r="I208" s="182">
        <v>0.822624607743188</v>
      </c>
      <c r="J208" s="182">
        <v>0.212601845707175</v>
      </c>
      <c r="K208" s="181"/>
      <c r="L208" s="181"/>
      <c r="M208" s="108">
        <v>2411</v>
      </c>
    </row>
    <row r="209" spans="1:13">
      <c r="A209" s="111" t="s">
        <v>12</v>
      </c>
      <c r="B209" s="25">
        <v>45954</v>
      </c>
      <c r="C209" s="52"/>
      <c r="D209" s="52"/>
      <c r="E209" s="181">
        <v>12971.3832</v>
      </c>
      <c r="F209" s="181">
        <v>6.59984</v>
      </c>
      <c r="G209" s="181">
        <v>6.38175</v>
      </c>
      <c r="H209" s="181">
        <v>28.71875</v>
      </c>
      <c r="I209" s="182">
        <v>0.815184046943802</v>
      </c>
      <c r="J209" s="182">
        <v>0.224170178349233</v>
      </c>
      <c r="K209" s="181"/>
      <c r="L209" s="181"/>
      <c r="M209" s="108">
        <v>2411</v>
      </c>
    </row>
    <row r="210" spans="1:13">
      <c r="A210" s="111" t="s">
        <v>12</v>
      </c>
      <c r="B210" s="25">
        <v>45955</v>
      </c>
      <c r="C210" s="52"/>
      <c r="D210" s="52"/>
      <c r="E210" s="181">
        <v>11957.9432</v>
      </c>
      <c r="F210" s="181">
        <v>6.01511</v>
      </c>
      <c r="G210" s="181">
        <v>5.809069</v>
      </c>
      <c r="H210" s="181">
        <v>27.8879166666667</v>
      </c>
      <c r="I210" s="182">
        <v>0.824547543194141</v>
      </c>
      <c r="J210" s="182">
        <v>0.206656007189271</v>
      </c>
      <c r="K210" s="181"/>
      <c r="L210" s="181"/>
      <c r="M210" s="108">
        <v>2411</v>
      </c>
    </row>
    <row r="211" spans="1:13">
      <c r="A211" s="111" t="s">
        <v>12</v>
      </c>
      <c r="B211" s="25">
        <v>45956</v>
      </c>
      <c r="C211" s="52"/>
      <c r="D211" s="52"/>
      <c r="E211" s="181">
        <v>12651.0432</v>
      </c>
      <c r="F211" s="181">
        <v>6.40187</v>
      </c>
      <c r="G211" s="181">
        <v>6.18252</v>
      </c>
      <c r="H211" s="181">
        <v>27.4433333333333</v>
      </c>
      <c r="I211" s="182">
        <v>0.81963836342958</v>
      </c>
      <c r="J211" s="182">
        <v>0.218634093737039</v>
      </c>
      <c r="K211" s="181"/>
      <c r="L211" s="181"/>
      <c r="M211" s="108">
        <v>2411</v>
      </c>
    </row>
    <row r="212" spans="1:13">
      <c r="A212" s="111" t="s">
        <v>12</v>
      </c>
      <c r="B212" s="25">
        <v>45957</v>
      </c>
      <c r="C212" s="52"/>
      <c r="D212" s="52"/>
      <c r="E212" s="181">
        <v>12523.2332</v>
      </c>
      <c r="F212" s="181">
        <v>6.33602</v>
      </c>
      <c r="G212" s="181">
        <v>6.11993</v>
      </c>
      <c r="H212" s="181">
        <v>27.7954166666667</v>
      </c>
      <c r="I212" s="182">
        <v>0.819790191794877</v>
      </c>
      <c r="J212" s="182">
        <v>0.216425293792341</v>
      </c>
      <c r="K212" s="181"/>
      <c r="L212" s="181"/>
      <c r="M212" s="108">
        <v>2411</v>
      </c>
    </row>
    <row r="213" spans="1:13">
      <c r="A213" s="111" t="s">
        <v>12</v>
      </c>
      <c r="B213" s="25">
        <v>45958</v>
      </c>
      <c r="C213" s="52"/>
      <c r="D213" s="52"/>
      <c r="E213" s="181">
        <v>12053.7532</v>
      </c>
      <c r="F213" s="181">
        <v>6.05868</v>
      </c>
      <c r="G213" s="181">
        <v>5.845243</v>
      </c>
      <c r="H213" s="181">
        <v>27.2741666666667</v>
      </c>
      <c r="I213" s="182">
        <v>0.825176914802952</v>
      </c>
      <c r="J213" s="182">
        <v>0.208311786257431</v>
      </c>
      <c r="K213" s="181"/>
      <c r="L213" s="181"/>
      <c r="M213" s="108">
        <v>2411</v>
      </c>
    </row>
    <row r="214" spans="1:13">
      <c r="A214" s="111" t="s">
        <v>12</v>
      </c>
      <c r="B214" s="25">
        <v>45959</v>
      </c>
      <c r="C214" s="52"/>
      <c r="D214" s="52"/>
      <c r="E214" s="181">
        <v>5097.8819</v>
      </c>
      <c r="F214" s="181">
        <v>2.5134195</v>
      </c>
      <c r="G214" s="181">
        <v>2.4073056</v>
      </c>
      <c r="H214" s="181">
        <v>27.9933333333333</v>
      </c>
      <c r="I214" s="182">
        <v>0.841254847278477</v>
      </c>
      <c r="J214" s="182">
        <v>0.0881010974008019</v>
      </c>
      <c r="K214" s="181"/>
      <c r="L214" s="181"/>
      <c r="M214" s="108">
        <v>2411</v>
      </c>
    </row>
    <row r="215" spans="1:13">
      <c r="A215" s="111" t="s">
        <v>12</v>
      </c>
      <c r="B215" s="25">
        <v>45960</v>
      </c>
      <c r="C215" s="52"/>
      <c r="D215" s="52"/>
      <c r="E215" s="181">
        <v>11817.8632</v>
      </c>
      <c r="F215" s="181">
        <v>5.966896</v>
      </c>
      <c r="G215" s="181">
        <v>5.759112</v>
      </c>
      <c r="H215" s="181">
        <v>28.4691666666667</v>
      </c>
      <c r="I215" s="182">
        <v>0.821472973427628</v>
      </c>
      <c r="J215" s="182">
        <v>0.204235158302226</v>
      </c>
      <c r="K215" s="181"/>
      <c r="L215" s="181"/>
      <c r="M215" s="108">
        <v>2411</v>
      </c>
    </row>
    <row r="216" spans="1:13">
      <c r="A216" s="111" t="s">
        <v>12</v>
      </c>
      <c r="B216" s="25">
        <v>45961</v>
      </c>
      <c r="C216" s="52"/>
      <c r="D216" s="52"/>
      <c r="E216" s="181">
        <v>11639.8132</v>
      </c>
      <c r="F216" s="181">
        <v>5.87203</v>
      </c>
      <c r="G216" s="181">
        <v>5.657867</v>
      </c>
      <c r="H216" s="181">
        <v>27.9933333333333</v>
      </c>
      <c r="I216" s="182">
        <v>0.822167934079478</v>
      </c>
      <c r="J216" s="182">
        <v>0.201158115581363</v>
      </c>
      <c r="K216" s="181"/>
      <c r="L216" s="181"/>
      <c r="M216" s="108">
        <v>2411</v>
      </c>
    </row>
    <row r="217" spans="1:13">
      <c r="A217" s="111" t="s">
        <v>12</v>
      </c>
      <c r="B217" s="25">
        <v>45962</v>
      </c>
      <c r="C217" s="52"/>
      <c r="D217" s="52"/>
      <c r="E217" s="181">
        <v>11331.6532</v>
      </c>
      <c r="F217" s="181">
        <v>5.627831</v>
      </c>
      <c r="G217" s="181">
        <v>5.424236</v>
      </c>
      <c r="H217" s="181">
        <v>24.3070833333333</v>
      </c>
      <c r="I217" s="182">
        <v>0.835131792153537</v>
      </c>
      <c r="J217" s="182">
        <v>0.195832524540301</v>
      </c>
      <c r="K217" s="181"/>
      <c r="L217" s="181"/>
      <c r="M217" s="108">
        <v>2411</v>
      </c>
    </row>
    <row r="218" spans="1:13">
      <c r="A218" s="111" t="s">
        <v>12</v>
      </c>
      <c r="B218" s="25">
        <v>45963</v>
      </c>
      <c r="C218" s="52"/>
      <c r="D218" s="52"/>
      <c r="E218" s="181">
        <v>12168.4932</v>
      </c>
      <c r="F218" s="181">
        <v>6.15225</v>
      </c>
      <c r="G218" s="181">
        <v>5.922473</v>
      </c>
      <c r="H218" s="181">
        <v>25.8029166666667</v>
      </c>
      <c r="I218" s="182">
        <v>0.820362157212212</v>
      </c>
      <c r="J218" s="182">
        <v>0.210294711737868</v>
      </c>
      <c r="K218" s="181"/>
      <c r="L218" s="181"/>
      <c r="M218" s="108">
        <v>2411</v>
      </c>
    </row>
    <row r="219" spans="1:13">
      <c r="A219" s="111" t="s">
        <v>12</v>
      </c>
      <c r="B219" s="25">
        <v>45964</v>
      </c>
      <c r="C219" s="52"/>
      <c r="D219" s="52"/>
      <c r="E219" s="181">
        <v>12407.7032</v>
      </c>
      <c r="F219" s="181">
        <v>6.28963</v>
      </c>
      <c r="G219" s="181">
        <v>6.059548</v>
      </c>
      <c r="H219" s="181">
        <v>26.3754166666667</v>
      </c>
      <c r="I219" s="182">
        <v>0.818218110543281</v>
      </c>
      <c r="J219" s="182">
        <v>0.214428715609014</v>
      </c>
      <c r="K219" s="181"/>
      <c r="L219" s="181"/>
      <c r="M219" s="108">
        <v>2411</v>
      </c>
    </row>
    <row r="220" spans="1:13">
      <c r="A220" s="111" t="s">
        <v>12</v>
      </c>
      <c r="B220" s="25">
        <v>45965</v>
      </c>
      <c r="C220" s="52"/>
      <c r="D220" s="52"/>
      <c r="E220" s="181">
        <v>11567.1032</v>
      </c>
      <c r="F220" s="181">
        <v>5.84116</v>
      </c>
      <c r="G220" s="181">
        <v>5.608899</v>
      </c>
      <c r="H220" s="181">
        <v>26.5704166666667</v>
      </c>
      <c r="I220" s="182">
        <v>0.821350067966449</v>
      </c>
      <c r="J220" s="182">
        <v>0.199901548458454</v>
      </c>
      <c r="K220" s="181"/>
      <c r="L220" s="181"/>
      <c r="M220" s="108">
        <v>2411</v>
      </c>
    </row>
    <row r="221" spans="1:13">
      <c r="A221" s="111" t="s">
        <v>12</v>
      </c>
      <c r="B221" s="25">
        <v>45966</v>
      </c>
      <c r="C221" s="52"/>
      <c r="D221" s="52"/>
      <c r="E221" s="181">
        <v>11941.4132</v>
      </c>
      <c r="F221" s="181">
        <v>6.04263</v>
      </c>
      <c r="G221" s="181">
        <v>5.818888</v>
      </c>
      <c r="H221" s="181">
        <v>26.9704166666667</v>
      </c>
      <c r="I221" s="182">
        <v>0.819657681543572</v>
      </c>
      <c r="J221" s="182">
        <v>0.206370337342735</v>
      </c>
      <c r="K221" s="181"/>
      <c r="L221" s="181"/>
      <c r="M221" s="108">
        <v>2411</v>
      </c>
    </row>
    <row r="222" spans="1:13">
      <c r="A222" s="111" t="s">
        <v>12</v>
      </c>
      <c r="B222" s="25">
        <v>45967</v>
      </c>
      <c r="C222" s="52"/>
      <c r="D222" s="52"/>
      <c r="E222" s="181">
        <v>12630.8332</v>
      </c>
      <c r="F222" s="181">
        <v>6.4453</v>
      </c>
      <c r="G222" s="181">
        <v>6.200167</v>
      </c>
      <c r="H222" s="181">
        <v>27.1520833333333</v>
      </c>
      <c r="I222" s="182">
        <v>0.81281489391538</v>
      </c>
      <c r="J222" s="182">
        <v>0.2182848264897</v>
      </c>
      <c r="K222" s="181"/>
      <c r="L222" s="181"/>
      <c r="M222" s="108">
        <v>2411</v>
      </c>
    </row>
    <row r="223" spans="1:13">
      <c r="A223" s="111" t="s">
        <v>12</v>
      </c>
      <c r="B223" s="25">
        <v>45968</v>
      </c>
      <c r="C223" s="52"/>
      <c r="D223" s="52"/>
      <c r="E223" s="181">
        <v>4371.4292</v>
      </c>
      <c r="F223" s="181">
        <v>2.167692</v>
      </c>
      <c r="G223" s="181">
        <v>2.052608</v>
      </c>
      <c r="H223" s="181">
        <v>27.6679166666667</v>
      </c>
      <c r="I223" s="182">
        <v>0.836428194564149</v>
      </c>
      <c r="J223" s="182">
        <v>0.0755466127471312</v>
      </c>
      <c r="K223" s="181"/>
      <c r="L223" s="181"/>
      <c r="M223" s="108">
        <v>2411</v>
      </c>
    </row>
    <row r="224" spans="1:13">
      <c r="A224" s="111" t="s">
        <v>12</v>
      </c>
      <c r="B224" s="25">
        <v>45969</v>
      </c>
      <c r="C224" s="52"/>
      <c r="D224" s="52"/>
      <c r="E224" s="181">
        <v>7510.5432</v>
      </c>
      <c r="F224" s="181">
        <v>3.762664</v>
      </c>
      <c r="G224" s="181">
        <v>3.567019</v>
      </c>
      <c r="H224" s="181">
        <v>28.9645833333333</v>
      </c>
      <c r="I224" s="182">
        <v>0.827901557993456</v>
      </c>
      <c r="J224" s="182">
        <v>0.129796474491912</v>
      </c>
      <c r="K224" s="181"/>
      <c r="L224" s="181"/>
      <c r="M224" s="108">
        <v>2411</v>
      </c>
    </row>
    <row r="225" spans="1:13">
      <c r="A225" s="111" t="s">
        <v>12</v>
      </c>
      <c r="B225" s="25">
        <v>45970</v>
      </c>
      <c r="C225" s="52"/>
      <c r="D225" s="52"/>
      <c r="E225" s="181">
        <v>11428.0752</v>
      </c>
      <c r="F225" s="181">
        <v>5.87075</v>
      </c>
      <c r="G225" s="181">
        <v>5.636142</v>
      </c>
      <c r="H225" s="181">
        <v>30.3054166666667</v>
      </c>
      <c r="I225" s="182">
        <v>0.807388003778972</v>
      </c>
      <c r="J225" s="182">
        <v>0.197498880132725</v>
      </c>
      <c r="K225" s="181"/>
      <c r="L225" s="181"/>
      <c r="M225" s="108">
        <v>2411</v>
      </c>
    </row>
    <row r="226" spans="1:13">
      <c r="A226" s="111" t="s">
        <v>12</v>
      </c>
      <c r="B226" s="25">
        <v>45971</v>
      </c>
      <c r="C226" s="52"/>
      <c r="D226" s="52"/>
      <c r="E226" s="181">
        <v>12391.3632</v>
      </c>
      <c r="F226" s="181">
        <v>6.43587</v>
      </c>
      <c r="G226" s="181">
        <v>6.181071</v>
      </c>
      <c r="H226" s="181">
        <v>30.8370833333333</v>
      </c>
      <c r="I226" s="182">
        <v>0.798572982949371</v>
      </c>
      <c r="J226" s="182">
        <v>0.214146329323932</v>
      </c>
      <c r="K226" s="181"/>
      <c r="L226" s="181"/>
      <c r="M226" s="108">
        <v>2411</v>
      </c>
    </row>
    <row r="227" spans="1:13">
      <c r="A227" s="111" t="s">
        <v>12</v>
      </c>
      <c r="B227" s="25">
        <v>45972</v>
      </c>
      <c r="C227" s="52"/>
      <c r="D227" s="52"/>
      <c r="E227" s="181">
        <v>11060.0822</v>
      </c>
      <c r="F227" s="181">
        <v>5.694423</v>
      </c>
      <c r="G227" s="181">
        <v>5.4706</v>
      </c>
      <c r="H227" s="181">
        <v>31.90125</v>
      </c>
      <c r="I227" s="182">
        <v>0.805585089941595</v>
      </c>
      <c r="J227" s="182">
        <v>0.191139261025854</v>
      </c>
      <c r="K227" s="181"/>
      <c r="L227" s="181"/>
      <c r="M227" s="108">
        <v>2411</v>
      </c>
    </row>
    <row r="228" spans="1:13">
      <c r="A228" s="111" t="s">
        <v>12</v>
      </c>
      <c r="B228" s="25">
        <v>45973</v>
      </c>
      <c r="C228" s="52"/>
      <c r="D228" s="52"/>
      <c r="E228" s="181">
        <v>11950.7422</v>
      </c>
      <c r="F228" s="181">
        <v>6.0995</v>
      </c>
      <c r="G228" s="181">
        <v>5.877902</v>
      </c>
      <c r="H228" s="181">
        <v>28.53625</v>
      </c>
      <c r="I228" s="182">
        <v>0.812649798351266</v>
      </c>
      <c r="J228" s="182">
        <v>0.206531560210148</v>
      </c>
      <c r="K228" s="181"/>
      <c r="L228" s="181"/>
      <c r="M228" s="108">
        <v>2411</v>
      </c>
    </row>
    <row r="229" spans="1:13">
      <c r="A229" s="111" t="s">
        <v>12</v>
      </c>
      <c r="B229" s="25">
        <v>45974</v>
      </c>
      <c r="C229" s="52"/>
      <c r="D229" s="52"/>
      <c r="E229" s="181">
        <v>12732.1222</v>
      </c>
      <c r="F229" s="181">
        <v>6.496022</v>
      </c>
      <c r="G229" s="181">
        <v>6.260085</v>
      </c>
      <c r="H229" s="181">
        <v>25.9158333333333</v>
      </c>
      <c r="I229" s="182">
        <v>0.812935521835602</v>
      </c>
      <c r="J229" s="182">
        <v>0.220035293101065</v>
      </c>
      <c r="K229" s="181"/>
      <c r="L229" s="181"/>
      <c r="M229" s="108">
        <v>2411</v>
      </c>
    </row>
    <row r="230" spans="1:13">
      <c r="A230" s="111" t="s">
        <v>12</v>
      </c>
      <c r="B230" s="25">
        <v>45975</v>
      </c>
      <c r="C230" s="52"/>
      <c r="D230" s="52"/>
      <c r="E230" s="181">
        <v>11152.8702</v>
      </c>
      <c r="F230" s="181">
        <v>5.638049</v>
      </c>
      <c r="G230" s="181">
        <v>5.425582</v>
      </c>
      <c r="H230" s="181">
        <v>26.4291666666667</v>
      </c>
      <c r="I230" s="182">
        <v>0.820466005251045</v>
      </c>
      <c r="J230" s="182">
        <v>0.192742814184985</v>
      </c>
      <c r="K230" s="181"/>
      <c r="L230" s="181"/>
      <c r="M230" s="108">
        <v>2411</v>
      </c>
    </row>
    <row r="231" spans="1:13">
      <c r="A231" s="111" t="s">
        <v>12</v>
      </c>
      <c r="B231" s="25">
        <v>45976</v>
      </c>
      <c r="C231" s="52"/>
      <c r="D231" s="52"/>
      <c r="E231" s="181">
        <v>11345.3472</v>
      </c>
      <c r="F231" s="181">
        <v>5.769798</v>
      </c>
      <c r="G231" s="181">
        <v>5.550417</v>
      </c>
      <c r="H231" s="181">
        <v>27.3845833333333</v>
      </c>
      <c r="I231" s="182">
        <v>0.815567614304646</v>
      </c>
      <c r="J231" s="182">
        <v>0.196069182911655</v>
      </c>
      <c r="K231" s="181"/>
      <c r="L231" s="181"/>
      <c r="M231" s="108">
        <v>2411</v>
      </c>
    </row>
    <row r="232" spans="1:13">
      <c r="A232" s="111" t="s">
        <v>12</v>
      </c>
      <c r="B232" s="25">
        <v>45977</v>
      </c>
      <c r="C232" s="52"/>
      <c r="D232" s="52"/>
      <c r="E232" s="181">
        <v>12742.5072</v>
      </c>
      <c r="F232" s="181">
        <v>6.611712</v>
      </c>
      <c r="G232" s="181">
        <v>6.365541</v>
      </c>
      <c r="H232" s="181">
        <v>28.3641666666667</v>
      </c>
      <c r="I232" s="182">
        <v>0.799362461005211</v>
      </c>
      <c r="J232" s="182">
        <v>0.220214765657403</v>
      </c>
      <c r="K232" s="181"/>
      <c r="L232" s="181"/>
      <c r="M232" s="108">
        <v>2411</v>
      </c>
    </row>
    <row r="233" spans="1:13">
      <c r="A233" s="111" t="s">
        <v>12</v>
      </c>
      <c r="B233" s="25">
        <v>45978</v>
      </c>
      <c r="C233" s="52"/>
      <c r="D233" s="52"/>
      <c r="E233" s="181">
        <v>12029.6862</v>
      </c>
      <c r="F233" s="181">
        <v>6.182383</v>
      </c>
      <c r="G233" s="181">
        <v>5.948083</v>
      </c>
      <c r="H233" s="181">
        <v>27.51375</v>
      </c>
      <c r="I233" s="182">
        <v>0.807051375675305</v>
      </c>
      <c r="J233" s="182">
        <v>0.207895862712567</v>
      </c>
      <c r="K233" s="181"/>
      <c r="L233" s="181"/>
      <c r="M233" s="108">
        <v>2411</v>
      </c>
    </row>
    <row r="234" spans="1:13">
      <c r="A234" s="111" t="s">
        <v>12</v>
      </c>
      <c r="B234" s="25">
        <v>45979</v>
      </c>
      <c r="C234" s="52"/>
      <c r="D234" s="52"/>
      <c r="E234" s="181">
        <v>11388.1742</v>
      </c>
      <c r="F234" s="181">
        <v>5.836619</v>
      </c>
      <c r="G234" s="181">
        <v>5.615894</v>
      </c>
      <c r="H234" s="181">
        <v>27.9733333333333</v>
      </c>
      <c r="I234" s="182">
        <v>0.809273923600177</v>
      </c>
      <c r="J234" s="182">
        <v>0.196809314945389</v>
      </c>
      <c r="K234" s="181"/>
      <c r="L234" s="181"/>
      <c r="M234" s="108">
        <v>2411</v>
      </c>
    </row>
    <row r="235" spans="1:13">
      <c r="A235" s="111" t="s">
        <v>12</v>
      </c>
      <c r="B235" s="25">
        <v>45980</v>
      </c>
      <c r="C235" s="52"/>
      <c r="D235" s="52"/>
      <c r="E235" s="181">
        <v>11380.0652</v>
      </c>
      <c r="F235" s="181">
        <v>5.949728</v>
      </c>
      <c r="G235" s="181">
        <v>5.71897</v>
      </c>
      <c r="H235" s="181">
        <v>31.36625</v>
      </c>
      <c r="I235" s="182">
        <v>0.793323698826813</v>
      </c>
      <c r="J235" s="182">
        <v>0.196669175998894</v>
      </c>
      <c r="K235" s="181"/>
      <c r="L235" s="181"/>
      <c r="M235" s="108">
        <v>2411</v>
      </c>
    </row>
    <row r="236" spans="1:13">
      <c r="A236" s="111" t="s">
        <v>12</v>
      </c>
      <c r="B236" s="25">
        <v>45981</v>
      </c>
      <c r="C236" s="52"/>
      <c r="D236" s="52"/>
      <c r="E236" s="181">
        <v>10690.2672</v>
      </c>
      <c r="F236" s="181">
        <v>5.523029</v>
      </c>
      <c r="G236" s="181">
        <v>5.310018</v>
      </c>
      <c r="H236" s="181">
        <v>30.5495833333333</v>
      </c>
      <c r="I236" s="182">
        <v>0.802812316036687</v>
      </c>
      <c r="J236" s="182">
        <v>0.184748154292824</v>
      </c>
      <c r="K236" s="181"/>
      <c r="L236" s="181"/>
      <c r="M236" s="108">
        <v>2411</v>
      </c>
    </row>
    <row r="237" spans="1:13">
      <c r="A237" s="111" t="s">
        <v>12</v>
      </c>
      <c r="B237" s="25">
        <v>45982</v>
      </c>
      <c r="C237" s="52"/>
      <c r="D237" s="52"/>
      <c r="E237" s="181">
        <v>10188.0622</v>
      </c>
      <c r="F237" s="181">
        <v>5.176691</v>
      </c>
      <c r="G237" s="181">
        <v>4.982177</v>
      </c>
      <c r="H237" s="181">
        <v>28.0025</v>
      </c>
      <c r="I237" s="182">
        <v>0.81628559944015</v>
      </c>
      <c r="J237" s="182">
        <v>0.176069096502143</v>
      </c>
      <c r="K237" s="181"/>
      <c r="L237" s="181"/>
      <c r="M237" s="108">
        <v>2411</v>
      </c>
    </row>
    <row r="238" spans="1:13">
      <c r="A238" s="111" t="s">
        <v>12</v>
      </c>
      <c r="B238" s="25">
        <v>45983</v>
      </c>
      <c r="C238" s="52"/>
      <c r="D238" s="52"/>
      <c r="E238" s="181">
        <v>10594.5692</v>
      </c>
      <c r="F238" s="181">
        <v>5.471737</v>
      </c>
      <c r="G238" s="181">
        <v>5.255886</v>
      </c>
      <c r="H238" s="181">
        <v>29.5129166666667</v>
      </c>
      <c r="I238" s="182">
        <v>0.803083821306759</v>
      </c>
      <c r="J238" s="182">
        <v>0.183094310797733</v>
      </c>
      <c r="K238" s="181"/>
      <c r="L238" s="181"/>
      <c r="M238" s="108">
        <v>2411</v>
      </c>
    </row>
    <row r="239" spans="1:13">
      <c r="A239" s="111" t="s">
        <v>12</v>
      </c>
      <c r="B239" s="25">
        <v>45984</v>
      </c>
      <c r="C239" s="52"/>
      <c r="D239" s="52"/>
      <c r="E239" s="181">
        <v>9867.35719999999</v>
      </c>
      <c r="F239" s="181">
        <v>5.082969</v>
      </c>
      <c r="G239" s="181">
        <v>4.894363</v>
      </c>
      <c r="H239" s="181">
        <v>30.01625</v>
      </c>
      <c r="I239" s="182">
        <v>0.805167392501079</v>
      </c>
      <c r="J239" s="182">
        <v>0.170526703995576</v>
      </c>
      <c r="K239" s="181"/>
      <c r="L239" s="181"/>
      <c r="M239" s="108">
        <v>2411</v>
      </c>
    </row>
    <row r="240" spans="1:13">
      <c r="A240" s="111" t="s">
        <v>12</v>
      </c>
      <c r="B240" s="25">
        <v>45985</v>
      </c>
      <c r="C240" s="52"/>
      <c r="D240" s="52"/>
      <c r="E240" s="181">
        <v>12238.4532</v>
      </c>
      <c r="F240" s="181">
        <v>6.41517</v>
      </c>
      <c r="G240" s="181">
        <v>6.162927</v>
      </c>
      <c r="H240" s="181">
        <v>26.8266666666667</v>
      </c>
      <c r="I240" s="182">
        <v>0.791263534263439</v>
      </c>
      <c r="J240" s="182">
        <v>0.211503753629199</v>
      </c>
      <c r="K240" s="181"/>
      <c r="L240" s="181"/>
      <c r="M240" s="108">
        <v>2411</v>
      </c>
    </row>
    <row r="241" spans="1:13">
      <c r="A241" s="111" t="s">
        <v>12</v>
      </c>
      <c r="B241" s="25">
        <v>45986</v>
      </c>
      <c r="C241" s="52"/>
      <c r="D241" s="52"/>
      <c r="E241" s="181">
        <v>11587.2612</v>
      </c>
      <c r="F241" s="181">
        <v>6.06441</v>
      </c>
      <c r="G241" s="181">
        <v>5.818508</v>
      </c>
      <c r="H241" s="181">
        <v>26.9583333333333</v>
      </c>
      <c r="I241" s="182">
        <v>0.792492263736265</v>
      </c>
      <c r="J241" s="182">
        <v>0.200249917046868</v>
      </c>
      <c r="K241" s="181"/>
      <c r="L241" s="181"/>
      <c r="M241" s="108">
        <v>2411</v>
      </c>
    </row>
    <row r="242" spans="1:13">
      <c r="A242" s="111" t="s">
        <v>12</v>
      </c>
      <c r="B242" s="25">
        <v>45987</v>
      </c>
      <c r="C242" s="52"/>
      <c r="D242" s="52"/>
      <c r="E242" s="181">
        <v>12114.9182</v>
      </c>
      <c r="F242" s="181">
        <v>6.438912</v>
      </c>
      <c r="G242" s="181">
        <v>6.17941</v>
      </c>
      <c r="H242" s="181">
        <v>28.1645833333333</v>
      </c>
      <c r="I242" s="182">
        <v>0.780388365552043</v>
      </c>
      <c r="J242" s="182">
        <v>0.209368833817227</v>
      </c>
      <c r="K242" s="181"/>
      <c r="L242" s="181"/>
      <c r="M242" s="108">
        <v>2411</v>
      </c>
    </row>
    <row r="243" spans="1:13">
      <c r="A243" s="111" t="s">
        <v>12</v>
      </c>
      <c r="B243" s="25">
        <v>45988</v>
      </c>
      <c r="C243" s="52"/>
      <c r="D243" s="52"/>
      <c r="E243" s="181">
        <v>11948.2152</v>
      </c>
      <c r="F243" s="181">
        <v>6.333742</v>
      </c>
      <c r="G243" s="181">
        <v>6.07744</v>
      </c>
      <c r="H243" s="181">
        <v>27.5925</v>
      </c>
      <c r="I243" s="182">
        <v>0.782429933557017</v>
      </c>
      <c r="J243" s="182">
        <v>0.206487888842804</v>
      </c>
      <c r="K243" s="181"/>
      <c r="L243" s="181"/>
      <c r="M243" s="108">
        <v>2411</v>
      </c>
    </row>
    <row r="244" spans="1:13">
      <c r="A244" s="111" t="s">
        <v>12</v>
      </c>
      <c r="B244" s="25">
        <v>45989</v>
      </c>
      <c r="C244" s="52"/>
      <c r="D244" s="52"/>
      <c r="E244" s="181">
        <v>10616.9622</v>
      </c>
      <c r="F244" s="181">
        <v>5.512512</v>
      </c>
      <c r="G244" s="181">
        <v>5.280789</v>
      </c>
      <c r="H244" s="181">
        <v>26.1991666666667</v>
      </c>
      <c r="I244" s="182">
        <v>0.798828430035494</v>
      </c>
      <c r="J244" s="182">
        <v>0.183481304437992</v>
      </c>
      <c r="K244" s="181"/>
      <c r="L244" s="181"/>
      <c r="M244" s="108">
        <v>2411</v>
      </c>
    </row>
    <row r="245" spans="1:13">
      <c r="A245" s="111" t="s">
        <v>12</v>
      </c>
      <c r="B245" s="25">
        <v>45990</v>
      </c>
      <c r="C245" s="52"/>
      <c r="D245" s="52"/>
      <c r="E245" s="181">
        <v>10561.7102</v>
      </c>
      <c r="F245" s="181">
        <v>5.489383</v>
      </c>
      <c r="G245" s="181">
        <v>5.246314</v>
      </c>
      <c r="H245" s="181">
        <v>25.0275</v>
      </c>
      <c r="I245" s="182">
        <v>0.798019499533729</v>
      </c>
      <c r="J245" s="182">
        <v>0.18252644476704</v>
      </c>
      <c r="K245" s="181"/>
      <c r="L245" s="181"/>
      <c r="M245" s="108">
        <v>2411</v>
      </c>
    </row>
    <row r="246" spans="1:13">
      <c r="A246" s="111" t="s">
        <v>12</v>
      </c>
      <c r="B246" s="25">
        <v>45991</v>
      </c>
      <c r="C246" s="52"/>
      <c r="D246" s="52"/>
      <c r="E246" s="181">
        <v>9178.9982</v>
      </c>
      <c r="F246" s="181">
        <v>4.839329</v>
      </c>
      <c r="G246" s="181">
        <v>4.595841</v>
      </c>
      <c r="H246" s="181">
        <v>25.7083333333333</v>
      </c>
      <c r="I246" s="182">
        <v>0.78670683946662</v>
      </c>
      <c r="J246" s="182">
        <v>0.158630550947048</v>
      </c>
      <c r="K246" s="181"/>
      <c r="L246" s="181"/>
      <c r="M246" s="108">
        <v>2411</v>
      </c>
    </row>
    <row r="247" spans="1:13">
      <c r="A247" s="111" t="s">
        <v>12</v>
      </c>
      <c r="B247" s="25">
        <v>45992</v>
      </c>
      <c r="C247" s="52"/>
      <c r="D247" s="52"/>
      <c r="E247" s="181">
        <v>11962.8382</v>
      </c>
      <c r="F247" s="181">
        <v>6.428219</v>
      </c>
      <c r="G247" s="181">
        <v>6.155768</v>
      </c>
      <c r="H247" s="181">
        <v>25.21</v>
      </c>
      <c r="I247" s="182">
        <v>0.771873897021166</v>
      </c>
      <c r="J247" s="182">
        <v>0.206740602101479</v>
      </c>
      <c r="K247" s="181"/>
      <c r="L247" s="181"/>
      <c r="M247" s="108">
        <v>2411</v>
      </c>
    </row>
    <row r="248" spans="1:13">
      <c r="A248" s="111" t="s">
        <v>12</v>
      </c>
      <c r="B248" s="25">
        <v>45993</v>
      </c>
      <c r="C248" s="52"/>
      <c r="D248" s="52"/>
      <c r="E248" s="181">
        <v>10630.4802</v>
      </c>
      <c r="F248" s="181">
        <v>5.531875</v>
      </c>
      <c r="G248" s="181">
        <v>5.297052</v>
      </c>
      <c r="H248" s="181">
        <v>23.51625</v>
      </c>
      <c r="I248" s="182">
        <v>0.797045867570869</v>
      </c>
      <c r="J248" s="182">
        <v>0.183714921194525</v>
      </c>
      <c r="K248" s="181"/>
      <c r="L248" s="181"/>
      <c r="M248" s="108">
        <v>2411</v>
      </c>
    </row>
    <row r="249" spans="1:13">
      <c r="A249" s="111" t="s">
        <v>12</v>
      </c>
      <c r="B249" s="25">
        <v>45994</v>
      </c>
      <c r="C249" s="52"/>
      <c r="D249" s="52"/>
      <c r="E249" s="181">
        <v>10742.0642</v>
      </c>
      <c r="F249" s="181">
        <v>5.714156</v>
      </c>
      <c r="G249" s="181">
        <v>5.464814</v>
      </c>
      <c r="H249" s="181">
        <v>26.7495833333333</v>
      </c>
      <c r="I249" s="182">
        <v>0.779719580596736</v>
      </c>
      <c r="J249" s="182">
        <v>0.185643304991013</v>
      </c>
      <c r="K249" s="181"/>
      <c r="L249" s="181"/>
      <c r="M249" s="108">
        <v>2411</v>
      </c>
    </row>
    <row r="250" spans="1:13">
      <c r="A250" s="111" t="s">
        <v>12</v>
      </c>
      <c r="B250" s="25">
        <v>45995</v>
      </c>
      <c r="C250" s="52"/>
      <c r="D250" s="52"/>
      <c r="E250" s="181">
        <v>10160.7852</v>
      </c>
      <c r="F250" s="181">
        <v>5.333932</v>
      </c>
      <c r="G250" s="181">
        <v>5.098169</v>
      </c>
      <c r="H250" s="181">
        <v>26.5229166666667</v>
      </c>
      <c r="I250" s="182">
        <v>0.790100952395799</v>
      </c>
      <c r="J250" s="182">
        <v>0.175597698050601</v>
      </c>
      <c r="K250" s="181"/>
      <c r="L250" s="181"/>
      <c r="M250" s="108">
        <v>2411</v>
      </c>
    </row>
    <row r="251" spans="1:13">
      <c r="A251" s="111" t="s">
        <v>12</v>
      </c>
      <c r="B251" s="25">
        <v>45996</v>
      </c>
      <c r="C251" s="52"/>
      <c r="D251" s="52"/>
      <c r="E251" s="181">
        <v>10547.4222</v>
      </c>
      <c r="F251" s="181">
        <v>5.585939</v>
      </c>
      <c r="G251" s="181">
        <v>5.3349</v>
      </c>
      <c r="H251" s="181">
        <v>24.8433333333333</v>
      </c>
      <c r="I251" s="182">
        <v>0.783164388779751</v>
      </c>
      <c r="J251" s="182">
        <v>0.182279520945666</v>
      </c>
      <c r="K251" s="181"/>
      <c r="L251" s="181"/>
      <c r="M251" s="108">
        <v>2411</v>
      </c>
    </row>
    <row r="252" spans="1:13">
      <c r="A252" s="111" t="s">
        <v>12</v>
      </c>
      <c r="B252" s="25">
        <v>45997</v>
      </c>
      <c r="C252" s="52"/>
      <c r="D252" s="52"/>
      <c r="E252" s="181">
        <v>12293.3302</v>
      </c>
      <c r="F252" s="181">
        <v>6.693788</v>
      </c>
      <c r="G252" s="181">
        <v>6.405592</v>
      </c>
      <c r="H252" s="181">
        <v>24.0583333333333</v>
      </c>
      <c r="I252" s="182">
        <v>0.761728812158694</v>
      </c>
      <c r="J252" s="182">
        <v>0.212452132586755</v>
      </c>
      <c r="K252" s="181"/>
      <c r="L252" s="181"/>
      <c r="M252" s="108">
        <v>2411</v>
      </c>
    </row>
    <row r="253" spans="1:13">
      <c r="A253" s="111" t="s">
        <v>12</v>
      </c>
      <c r="B253" s="25">
        <v>45998</v>
      </c>
      <c r="C253" s="52"/>
      <c r="D253" s="52"/>
      <c r="E253" s="181">
        <v>11580.2482</v>
      </c>
      <c r="F253" s="181">
        <v>6.260141</v>
      </c>
      <c r="G253" s="181">
        <v>5.987778</v>
      </c>
      <c r="H253" s="181">
        <v>24.5295833333333</v>
      </c>
      <c r="I253" s="182">
        <v>0.76724937306835</v>
      </c>
      <c r="J253" s="182">
        <v>0.200128719065395</v>
      </c>
      <c r="K253" s="181"/>
      <c r="L253" s="181"/>
      <c r="M253" s="108">
        <v>2411</v>
      </c>
    </row>
    <row r="254" spans="1:13">
      <c r="A254" s="111" t="s">
        <v>12</v>
      </c>
      <c r="B254" s="25">
        <v>45999</v>
      </c>
      <c r="C254" s="52"/>
      <c r="D254" s="52"/>
      <c r="E254" s="181">
        <v>10284.1262</v>
      </c>
      <c r="F254" s="181">
        <v>5.490862</v>
      </c>
      <c r="G254" s="181">
        <v>5.240263</v>
      </c>
      <c r="H254" s="181">
        <v>25.4391666666667</v>
      </c>
      <c r="I254" s="182">
        <v>0.776836563032225</v>
      </c>
      <c r="J254" s="182">
        <v>0.17772926517351</v>
      </c>
      <c r="K254" s="181"/>
      <c r="L254" s="181"/>
      <c r="M254" s="108">
        <v>2411</v>
      </c>
    </row>
    <row r="255" spans="1:13">
      <c r="A255" s="111" t="s">
        <v>12</v>
      </c>
      <c r="B255" s="25">
        <v>46000</v>
      </c>
      <c r="C255" s="52"/>
      <c r="D255" s="52"/>
      <c r="E255" s="181">
        <v>10723.9622</v>
      </c>
      <c r="F255" s="181">
        <v>5.677432</v>
      </c>
      <c r="G255" s="181">
        <v>5.434242</v>
      </c>
      <c r="H255" s="181">
        <v>23.7179166666667</v>
      </c>
      <c r="I255" s="182">
        <v>0.783440687947298</v>
      </c>
      <c r="J255" s="182">
        <v>0.185330467993917</v>
      </c>
      <c r="K255" s="181"/>
      <c r="L255" s="181"/>
      <c r="M255" s="108">
        <v>2411</v>
      </c>
    </row>
    <row r="256" spans="1:13">
      <c r="A256" s="111" t="s">
        <v>12</v>
      </c>
      <c r="B256" s="25">
        <v>46001</v>
      </c>
      <c r="C256" s="52"/>
      <c r="D256" s="52"/>
      <c r="E256" s="181">
        <v>11014.8962</v>
      </c>
      <c r="F256" s="181">
        <v>5.912873</v>
      </c>
      <c r="G256" s="181">
        <v>5.6552981</v>
      </c>
      <c r="H256" s="181">
        <v>24.9554166666667</v>
      </c>
      <c r="I256" s="182">
        <v>0.7726532708592</v>
      </c>
      <c r="J256" s="182">
        <v>0.190358360984377</v>
      </c>
      <c r="K256" s="181"/>
      <c r="L256" s="181"/>
      <c r="M256" s="108">
        <v>2411</v>
      </c>
    </row>
    <row r="257" spans="1:13">
      <c r="A257" s="111" t="s">
        <v>12</v>
      </c>
      <c r="B257" s="25">
        <v>46002</v>
      </c>
      <c r="C257" s="52"/>
      <c r="D257" s="52"/>
      <c r="E257" s="181">
        <v>8399.0569</v>
      </c>
      <c r="F257" s="181">
        <v>4.311713</v>
      </c>
      <c r="G257" s="181">
        <v>4.0900233</v>
      </c>
      <c r="H257" s="181">
        <v>22.8245833333333</v>
      </c>
      <c r="I257" s="182">
        <v>0.807948107097681</v>
      </c>
      <c r="J257" s="182">
        <v>0.145151681529103</v>
      </c>
      <c r="K257" s="181"/>
      <c r="L257" s="181"/>
      <c r="M257" s="108">
        <v>2411</v>
      </c>
    </row>
    <row r="258" spans="1:13">
      <c r="A258" s="111" t="s">
        <v>12</v>
      </c>
      <c r="B258" s="25">
        <v>46003</v>
      </c>
      <c r="C258" s="52"/>
      <c r="D258" s="52"/>
      <c r="E258" s="181">
        <v>9121.0882</v>
      </c>
      <c r="F258" s="181">
        <v>4.804078</v>
      </c>
      <c r="G258" s="181">
        <v>4.5717633</v>
      </c>
      <c r="H258" s="181">
        <v>25.7258333333333</v>
      </c>
      <c r="I258" s="182">
        <v>0.787479750226561</v>
      </c>
      <c r="J258" s="182">
        <v>0.157629755979538</v>
      </c>
      <c r="K258" s="181"/>
      <c r="L258" s="181"/>
      <c r="M258" s="108">
        <v>2411</v>
      </c>
    </row>
    <row r="259" spans="1:13">
      <c r="A259" s="111" t="s">
        <v>12</v>
      </c>
      <c r="B259" s="25">
        <v>46004</v>
      </c>
      <c r="C259" s="52"/>
      <c r="D259" s="52"/>
      <c r="E259" s="181">
        <v>10995.3159</v>
      </c>
      <c r="F259" s="181">
        <v>5.869259</v>
      </c>
      <c r="G259" s="181">
        <v>5.6150707</v>
      </c>
      <c r="H259" s="181">
        <v>23.9933333333333</v>
      </c>
      <c r="I259" s="182">
        <v>0.777011106107839</v>
      </c>
      <c r="J259" s="182">
        <v>0.190019976150975</v>
      </c>
      <c r="K259" s="181"/>
      <c r="L259" s="181"/>
      <c r="M259" s="108">
        <v>2411</v>
      </c>
    </row>
    <row r="260" spans="1:13">
      <c r="A260" s="111" t="s">
        <v>12</v>
      </c>
      <c r="B260" s="25">
        <v>46005</v>
      </c>
      <c r="C260" s="52"/>
      <c r="D260" s="52"/>
      <c r="E260" s="181">
        <v>10976.5312</v>
      </c>
      <c r="F260" s="181">
        <v>5.975058</v>
      </c>
      <c r="G260" s="181">
        <v>5.7119774</v>
      </c>
      <c r="H260" s="181">
        <v>26.5758333333333</v>
      </c>
      <c r="I260" s="182">
        <v>0.761948784292765</v>
      </c>
      <c r="J260" s="182">
        <v>0.189695340799115</v>
      </c>
      <c r="K260" s="181"/>
      <c r="L260" s="181"/>
      <c r="M260" s="108">
        <v>2411</v>
      </c>
    </row>
    <row r="261" spans="1:13">
      <c r="A261" s="111" t="s">
        <v>12</v>
      </c>
      <c r="B261" s="25">
        <v>46006</v>
      </c>
      <c r="C261" s="52"/>
      <c r="D261" s="52"/>
      <c r="E261" s="181">
        <v>9912.0564</v>
      </c>
      <c r="F261" s="181">
        <v>5.313108</v>
      </c>
      <c r="G261" s="181">
        <v>5.0738485</v>
      </c>
      <c r="H261" s="181">
        <v>27.3645833333333</v>
      </c>
      <c r="I261" s="182">
        <v>0.773780730406239</v>
      </c>
      <c r="J261" s="182">
        <v>0.171299191206968</v>
      </c>
      <c r="K261" s="181"/>
      <c r="L261" s="181"/>
      <c r="M261" s="108">
        <v>2411</v>
      </c>
    </row>
    <row r="262" spans="1:13">
      <c r="A262" s="111" t="s">
        <v>12</v>
      </c>
      <c r="B262" s="25">
        <v>46007</v>
      </c>
      <c r="C262" s="52"/>
      <c r="D262" s="52"/>
      <c r="E262" s="181">
        <v>10052.9893</v>
      </c>
      <c r="F262" s="181">
        <v>5.387522</v>
      </c>
      <c r="G262" s="181">
        <v>5.1643654</v>
      </c>
      <c r="H262" s="181">
        <v>29.5383333333333</v>
      </c>
      <c r="I262" s="182">
        <v>0.773942958541148</v>
      </c>
      <c r="J262" s="182">
        <v>0.173734779828563</v>
      </c>
      <c r="K262" s="181"/>
      <c r="L262" s="181"/>
      <c r="M262" s="108">
        <v>2411</v>
      </c>
    </row>
    <row r="263" spans="1:13">
      <c r="A263" s="111" t="s">
        <v>12</v>
      </c>
      <c r="B263" s="25">
        <v>46008</v>
      </c>
      <c r="C263" s="52"/>
      <c r="D263" s="52"/>
      <c r="E263" s="181">
        <v>10284.1927</v>
      </c>
      <c r="F263" s="181">
        <v>5.498598</v>
      </c>
      <c r="G263" s="181">
        <v>5.2574413</v>
      </c>
      <c r="H263" s="181">
        <v>27.0516666666667</v>
      </c>
      <c r="I263" s="182">
        <v>0.775748644669143</v>
      </c>
      <c r="J263" s="182">
        <v>0.177730414420019</v>
      </c>
      <c r="K263" s="181"/>
      <c r="L263" s="181"/>
      <c r="M263" s="108">
        <v>2411</v>
      </c>
    </row>
    <row r="264" spans="1:13">
      <c r="A264" s="111" t="s">
        <v>12</v>
      </c>
      <c r="B264" s="25">
        <v>46009</v>
      </c>
      <c r="C264" s="52"/>
      <c r="D264" s="52"/>
      <c r="E264" s="181">
        <v>9371.3772</v>
      </c>
      <c r="F264" s="181">
        <v>4.963077</v>
      </c>
      <c r="G264" s="181">
        <v>4.7632044</v>
      </c>
      <c r="H264" s="181">
        <v>28.7745833333333</v>
      </c>
      <c r="I264" s="182">
        <v>0.783168470917295</v>
      </c>
      <c r="J264" s="182">
        <v>0.161955226047283</v>
      </c>
      <c r="K264" s="181"/>
      <c r="L264" s="181"/>
      <c r="M264" s="108">
        <v>2411</v>
      </c>
    </row>
    <row r="265" spans="1:13">
      <c r="A265" s="111" t="s">
        <v>12</v>
      </c>
      <c r="B265" s="25">
        <v>46010</v>
      </c>
      <c r="C265" s="52"/>
      <c r="D265" s="52"/>
      <c r="E265" s="181">
        <v>8871.6746</v>
      </c>
      <c r="F265" s="181">
        <v>4.7156045</v>
      </c>
      <c r="G265" s="181">
        <v>4.4943535</v>
      </c>
      <c r="H265" s="181">
        <v>27.9870833333333</v>
      </c>
      <c r="I265" s="182">
        <v>0.780316913290656</v>
      </c>
      <c r="J265" s="182">
        <v>0.153319414489147</v>
      </c>
      <c r="K265" s="181"/>
      <c r="L265" s="181"/>
      <c r="M265" s="108">
        <v>2411</v>
      </c>
    </row>
    <row r="266" spans="1:13">
      <c r="A266" s="111" t="s">
        <v>12</v>
      </c>
      <c r="B266" s="25">
        <v>46011</v>
      </c>
      <c r="C266" s="52"/>
      <c r="D266" s="52"/>
      <c r="E266" s="181">
        <v>10203.1326</v>
      </c>
      <c r="F266" s="181">
        <v>5.528524</v>
      </c>
      <c r="G266" s="181">
        <v>5.2818862</v>
      </c>
      <c r="H266" s="181">
        <v>27.6854166666667</v>
      </c>
      <c r="I266" s="182">
        <v>0.765468143109221</v>
      </c>
      <c r="J266" s="182">
        <v>0.176329541683949</v>
      </c>
      <c r="K266" s="181"/>
      <c r="L266" s="181"/>
      <c r="M266" s="108">
        <v>2411</v>
      </c>
    </row>
    <row r="267" spans="1:13">
      <c r="A267" s="111" t="s">
        <v>12</v>
      </c>
      <c r="B267" s="25">
        <v>46012</v>
      </c>
      <c r="C267" s="52"/>
      <c r="D267" s="52"/>
      <c r="E267" s="181">
        <v>6930.4396</v>
      </c>
      <c r="F267" s="181">
        <v>3.5869259</v>
      </c>
      <c r="G267" s="181">
        <v>3.3785697</v>
      </c>
      <c r="H267" s="181">
        <v>23.4716666666667</v>
      </c>
      <c r="I267" s="182">
        <v>0.801384923170483</v>
      </c>
      <c r="J267" s="182">
        <v>0.119771180699571</v>
      </c>
      <c r="K267" s="181"/>
      <c r="L267" s="181"/>
      <c r="M267" s="108">
        <v>2411</v>
      </c>
    </row>
    <row r="268" spans="1:13">
      <c r="A268" s="111" t="s">
        <v>12</v>
      </c>
      <c r="B268" s="25">
        <v>46013</v>
      </c>
      <c r="C268" s="52"/>
      <c r="D268" s="52"/>
      <c r="E268" s="181">
        <v>10204.1936</v>
      </c>
      <c r="F268" s="181">
        <v>5.470838</v>
      </c>
      <c r="G268" s="181">
        <v>5.2338704</v>
      </c>
      <c r="H268" s="181">
        <v>26.2083333333333</v>
      </c>
      <c r="I268" s="182">
        <v>0.773619885432044</v>
      </c>
      <c r="J268" s="182">
        <v>0.176347877782386</v>
      </c>
      <c r="K268" s="181"/>
      <c r="L268" s="181"/>
      <c r="M268" s="108">
        <v>2411</v>
      </c>
    </row>
    <row r="269" spans="1:13">
      <c r="A269" s="111" t="s">
        <v>12</v>
      </c>
      <c r="B269" s="25">
        <v>46014</v>
      </c>
      <c r="C269" s="52"/>
      <c r="D269" s="52"/>
      <c r="E269" s="181">
        <v>10480.1156</v>
      </c>
      <c r="F269" s="181">
        <v>5.5691663</v>
      </c>
      <c r="G269" s="181">
        <v>5.3393423</v>
      </c>
      <c r="H269" s="181">
        <v>24.44375</v>
      </c>
      <c r="I269" s="182">
        <v>0.78051036768275</v>
      </c>
      <c r="J269" s="182">
        <v>0.181116334854141</v>
      </c>
      <c r="K269" s="181"/>
      <c r="L269" s="181"/>
      <c r="M269" s="108">
        <v>2411</v>
      </c>
    </row>
    <row r="270" spans="1:13">
      <c r="A270" s="111" t="s">
        <v>12</v>
      </c>
      <c r="B270" s="25">
        <v>46015</v>
      </c>
      <c r="C270" s="52"/>
      <c r="D270" s="52"/>
      <c r="E270" s="181">
        <v>11237.2146</v>
      </c>
      <c r="F270" s="181">
        <v>6.0187216</v>
      </c>
      <c r="G270" s="181">
        <v>5.764254</v>
      </c>
      <c r="H270" s="181">
        <v>21.2191666666667</v>
      </c>
      <c r="I270" s="182">
        <v>0.774385494247476</v>
      </c>
      <c r="J270" s="182">
        <v>0.194200445873082</v>
      </c>
      <c r="K270" s="181"/>
      <c r="L270" s="181"/>
      <c r="M270" s="108">
        <v>2411</v>
      </c>
    </row>
    <row r="271" spans="1:13">
      <c r="A271" s="111" t="s">
        <v>12</v>
      </c>
      <c r="B271" s="25">
        <v>46016</v>
      </c>
      <c r="C271" s="52"/>
      <c r="D271" s="52"/>
      <c r="E271" s="181">
        <v>11041.9056</v>
      </c>
      <c r="F271" s="181">
        <v>5.8547287</v>
      </c>
      <c r="G271" s="181">
        <v>5.6076854</v>
      </c>
      <c r="H271" s="181">
        <v>20.53125</v>
      </c>
      <c r="I271" s="182">
        <v>0.78224004387635</v>
      </c>
      <c r="J271" s="182">
        <v>0.190825134798839</v>
      </c>
      <c r="K271" s="181"/>
      <c r="L271" s="181"/>
      <c r="M271" s="108">
        <v>2411</v>
      </c>
    </row>
    <row r="272" spans="1:13">
      <c r="A272" s="111" t="s">
        <v>12</v>
      </c>
      <c r="B272" s="25">
        <v>46017</v>
      </c>
      <c r="C272" s="52"/>
      <c r="D272" s="52"/>
      <c r="E272" s="181">
        <v>10560.5386</v>
      </c>
      <c r="F272" s="181">
        <v>5.5871542</v>
      </c>
      <c r="G272" s="181">
        <v>5.3505351</v>
      </c>
      <c r="H272" s="181">
        <v>21.8791666666667</v>
      </c>
      <c r="I272" s="182">
        <v>0.783967754991395</v>
      </c>
      <c r="J272" s="182">
        <v>0.182506197290198</v>
      </c>
      <c r="K272" s="181"/>
      <c r="L272" s="181"/>
      <c r="M272" s="108">
        <v>2411</v>
      </c>
    </row>
    <row r="273" spans="1:13">
      <c r="A273" s="111" t="s">
        <v>12</v>
      </c>
      <c r="B273" s="25">
        <v>46018</v>
      </c>
      <c r="C273" s="52"/>
      <c r="D273" s="52"/>
      <c r="E273" s="181">
        <v>11186.2276</v>
      </c>
      <c r="F273" s="181">
        <v>5.9970554</v>
      </c>
      <c r="G273" s="181">
        <v>5.7482338</v>
      </c>
      <c r="H273" s="181">
        <v>22.26375</v>
      </c>
      <c r="I273" s="182">
        <v>0.773656859061186</v>
      </c>
      <c r="J273" s="182">
        <v>0.19331929351583</v>
      </c>
      <c r="K273" s="181"/>
      <c r="L273" s="181"/>
      <c r="M273" s="108">
        <v>2411</v>
      </c>
    </row>
    <row r="274" spans="1:13">
      <c r="A274" s="111" t="s">
        <v>12</v>
      </c>
      <c r="B274" s="25">
        <v>46019</v>
      </c>
      <c r="C274" s="52"/>
      <c r="D274" s="52"/>
      <c r="E274" s="181">
        <v>9349.1996</v>
      </c>
      <c r="F274" s="181">
        <v>4.929986</v>
      </c>
      <c r="G274" s="181">
        <v>4.7034161</v>
      </c>
      <c r="H274" s="181">
        <v>23.03</v>
      </c>
      <c r="I274" s="182">
        <v>0.786559417874851</v>
      </c>
      <c r="J274" s="182">
        <v>0.161571954928799</v>
      </c>
      <c r="K274" s="181"/>
      <c r="L274" s="181"/>
      <c r="M274" s="108">
        <v>2411</v>
      </c>
    </row>
    <row r="275" spans="1:13">
      <c r="A275" s="111" t="s">
        <v>12</v>
      </c>
      <c r="B275" s="25">
        <v>46020</v>
      </c>
      <c r="C275" s="52"/>
      <c r="D275" s="52"/>
      <c r="E275" s="181">
        <v>9182.2956</v>
      </c>
      <c r="F275" s="181">
        <v>4.857518</v>
      </c>
      <c r="G275" s="181">
        <v>4.6431344</v>
      </c>
      <c r="H275" s="181">
        <v>25.93875</v>
      </c>
      <c r="I275" s="182">
        <v>0.784042564743534</v>
      </c>
      <c r="J275" s="182">
        <v>0.158687536291995</v>
      </c>
      <c r="K275" s="181"/>
      <c r="L275" s="181"/>
      <c r="M275" s="108">
        <v>2411</v>
      </c>
    </row>
    <row r="276" spans="1:13">
      <c r="A276" s="111" t="s">
        <v>12</v>
      </c>
      <c r="B276" s="25">
        <v>46021</v>
      </c>
      <c r="C276" s="52"/>
      <c r="D276" s="52"/>
      <c r="E276" s="181">
        <v>10581.7896</v>
      </c>
      <c r="F276" s="181">
        <v>5.6495003</v>
      </c>
      <c r="G276" s="181">
        <v>5.4274181</v>
      </c>
      <c r="H276" s="181">
        <v>26.1508333333333</v>
      </c>
      <c r="I276" s="182">
        <v>0.776876305316813</v>
      </c>
      <c r="J276" s="182">
        <v>0.182873454997926</v>
      </c>
      <c r="K276" s="181"/>
      <c r="L276" s="181"/>
      <c r="M276" s="108">
        <v>2411</v>
      </c>
    </row>
    <row r="277" spans="1:13">
      <c r="A277" s="111" t="s">
        <v>12</v>
      </c>
      <c r="B277" s="25">
        <v>46022</v>
      </c>
      <c r="C277" s="52"/>
      <c r="D277" s="52"/>
      <c r="E277" s="181">
        <v>10750.1296</v>
      </c>
      <c r="F277" s="181">
        <v>5.7947195</v>
      </c>
      <c r="G277" s="181">
        <v>5.5607323</v>
      </c>
      <c r="H277" s="181">
        <v>25.5875</v>
      </c>
      <c r="I277" s="182">
        <v>0.76945649754359</v>
      </c>
      <c r="J277" s="182">
        <v>0.185782690446564</v>
      </c>
      <c r="K277" s="181"/>
      <c r="L277" s="181"/>
      <c r="M277" s="108">
        <v>2411</v>
      </c>
    </row>
    <row r="278" spans="1:13">
      <c r="A278" s="111" t="s">
        <v>12</v>
      </c>
      <c r="B278" s="25">
        <v>46023</v>
      </c>
      <c r="C278" s="52"/>
      <c r="D278" s="52"/>
      <c r="E278" s="181">
        <v>10310.9496</v>
      </c>
      <c r="F278" s="181">
        <v>5.47374</v>
      </c>
      <c r="G278" s="181">
        <v>5.26013</v>
      </c>
      <c r="H278" s="181">
        <v>27.5841666666667</v>
      </c>
      <c r="I278" s="182">
        <v>0.781299036727913</v>
      </c>
      <c r="J278" s="182">
        <v>0.178192824554127</v>
      </c>
      <c r="K278" s="181"/>
      <c r="L278" s="181"/>
      <c r="M278" s="108">
        <v>2411</v>
      </c>
    </row>
    <row r="279" spans="1:13">
      <c r="A279" s="111" t="s">
        <v>12</v>
      </c>
      <c r="B279" s="25">
        <v>46024</v>
      </c>
      <c r="C279" s="52"/>
      <c r="D279" s="52"/>
      <c r="E279" s="181">
        <v>10664.3896</v>
      </c>
      <c r="F279" s="181">
        <v>5.6914</v>
      </c>
      <c r="G279" s="181">
        <v>5.46177</v>
      </c>
      <c r="H279" s="181">
        <v>25.6654166666667</v>
      </c>
      <c r="I279" s="182">
        <v>0.777176540614218</v>
      </c>
      <c r="J279" s="182">
        <v>0.18430094013549</v>
      </c>
      <c r="K279" s="181"/>
      <c r="L279" s="181"/>
      <c r="M279" s="108">
        <v>2411</v>
      </c>
    </row>
    <row r="280" spans="1:13">
      <c r="A280" s="111" t="s">
        <v>12</v>
      </c>
      <c r="B280" s="25">
        <v>46025</v>
      </c>
      <c r="C280" s="52"/>
      <c r="D280" s="52"/>
      <c r="E280" s="181">
        <v>10155.1296</v>
      </c>
      <c r="F280" s="181">
        <v>5.29782</v>
      </c>
      <c r="G280" s="181">
        <v>5.095945</v>
      </c>
      <c r="H280" s="181">
        <v>25.91375</v>
      </c>
      <c r="I280" s="182">
        <v>0.795043811334176</v>
      </c>
      <c r="J280" s="182">
        <v>0.175499958523434</v>
      </c>
      <c r="K280" s="181"/>
      <c r="L280" s="181"/>
      <c r="M280" s="108">
        <v>2411</v>
      </c>
    </row>
    <row r="281" spans="1:13">
      <c r="A281" s="111" t="s">
        <v>12</v>
      </c>
      <c r="B281" s="25">
        <v>46026</v>
      </c>
      <c r="C281" s="52"/>
      <c r="D281" s="52"/>
      <c r="E281" s="181">
        <v>11106.1296</v>
      </c>
      <c r="F281" s="181">
        <v>5.94216</v>
      </c>
      <c r="G281" s="181">
        <v>5.70972</v>
      </c>
      <c r="H281" s="181">
        <v>24.2241666666667</v>
      </c>
      <c r="I281" s="182">
        <v>0.77521324648835</v>
      </c>
      <c r="J281" s="182">
        <v>0.191935047698051</v>
      </c>
      <c r="K281" s="181"/>
      <c r="L281" s="181"/>
      <c r="M281" s="108">
        <v>2411</v>
      </c>
    </row>
    <row r="282" spans="1:13">
      <c r="A282" s="111" t="s">
        <v>12</v>
      </c>
      <c r="B282" s="25">
        <v>46027</v>
      </c>
      <c r="C282" s="52"/>
      <c r="D282" s="52"/>
      <c r="E282" s="181">
        <v>11267.9596</v>
      </c>
      <c r="F282" s="181">
        <v>5.99362</v>
      </c>
      <c r="G282" s="181">
        <v>5.76576</v>
      </c>
      <c r="H282" s="181">
        <v>23.5916666666667</v>
      </c>
      <c r="I282" s="182">
        <v>0.779756252663805</v>
      </c>
      <c r="J282" s="182">
        <v>0.194731777962118</v>
      </c>
      <c r="K282" s="181"/>
      <c r="L282" s="181"/>
      <c r="M282" s="108">
        <v>2411</v>
      </c>
    </row>
    <row r="283" spans="1:13">
      <c r="A283" s="111" t="s">
        <v>12</v>
      </c>
      <c r="B283" s="25">
        <v>46028</v>
      </c>
      <c r="C283" s="52"/>
      <c r="D283" s="52"/>
      <c r="E283" s="181">
        <v>10617.7896</v>
      </c>
      <c r="F283" s="181">
        <v>5.61471</v>
      </c>
      <c r="G283" s="181">
        <v>5.38942</v>
      </c>
      <c r="H283" s="181">
        <v>23.2620833333333</v>
      </c>
      <c r="I283" s="182">
        <v>0.784349411388434</v>
      </c>
      <c r="J283" s="182">
        <v>0.183495603484031</v>
      </c>
      <c r="K283" s="181"/>
      <c r="L283" s="181"/>
      <c r="M283" s="108">
        <v>2411</v>
      </c>
    </row>
    <row r="284" spans="1:13">
      <c r="A284" s="111" t="s">
        <v>12</v>
      </c>
      <c r="B284" s="25">
        <v>46029</v>
      </c>
      <c r="C284" s="52"/>
      <c r="D284" s="52"/>
      <c r="E284" s="181">
        <v>11141.7696</v>
      </c>
      <c r="F284" s="181">
        <v>5.92113</v>
      </c>
      <c r="G284" s="181">
        <v>5.69628</v>
      </c>
      <c r="H284" s="181">
        <v>23.395</v>
      </c>
      <c r="I284" s="182">
        <v>0.780463086063484</v>
      </c>
      <c r="J284" s="182">
        <v>0.192550974699295</v>
      </c>
      <c r="K284" s="181"/>
      <c r="L284" s="181"/>
      <c r="M284" s="108">
        <v>2411</v>
      </c>
    </row>
    <row r="285" spans="1:13">
      <c r="A285" s="111" t="s">
        <v>12</v>
      </c>
      <c r="B285" s="25">
        <v>46030</v>
      </c>
      <c r="C285" s="52"/>
      <c r="D285" s="52"/>
      <c r="E285" s="181">
        <v>11189.4696</v>
      </c>
      <c r="F285" s="181">
        <v>5.90483</v>
      </c>
      <c r="G285" s="181">
        <v>5.68318</v>
      </c>
      <c r="H285" s="181">
        <v>22.6520833333333</v>
      </c>
      <c r="I285" s="182">
        <v>0.785968048977062</v>
      </c>
      <c r="J285" s="182">
        <v>0.193375321443384</v>
      </c>
      <c r="K285" s="181"/>
      <c r="L285" s="181"/>
      <c r="M285" s="108">
        <v>2411</v>
      </c>
    </row>
    <row r="286" spans="1:13">
      <c r="A286" s="111" t="s">
        <v>12</v>
      </c>
      <c r="B286" s="25">
        <v>46031</v>
      </c>
      <c r="C286" s="52"/>
      <c r="D286" s="52"/>
      <c r="E286" s="181">
        <v>11280.8896</v>
      </c>
      <c r="F286" s="181">
        <v>5.97552</v>
      </c>
      <c r="G286" s="181">
        <v>5.75022</v>
      </c>
      <c r="H286" s="181">
        <v>22.0608333333333</v>
      </c>
      <c r="I286" s="182">
        <v>0.783015635633561</v>
      </c>
      <c r="J286" s="182">
        <v>0.194955232960044</v>
      </c>
      <c r="K286" s="181"/>
      <c r="L286" s="181"/>
      <c r="M286" s="108">
        <v>2411</v>
      </c>
    </row>
    <row r="287" spans="1:13">
      <c r="A287" s="111" t="s">
        <v>12</v>
      </c>
      <c r="B287" s="25">
        <v>46032</v>
      </c>
      <c r="C287" s="52"/>
      <c r="D287" s="52"/>
      <c r="E287" s="181">
        <v>11391.5296</v>
      </c>
      <c r="F287" s="181">
        <v>6.03891</v>
      </c>
      <c r="G287" s="181">
        <v>5.81575</v>
      </c>
      <c r="H287" s="181">
        <v>22.2291666666667</v>
      </c>
      <c r="I287" s="182">
        <v>0.782395376545799</v>
      </c>
      <c r="J287" s="182">
        <v>0.196867302640675</v>
      </c>
      <c r="K287" s="181"/>
      <c r="L287" s="181"/>
      <c r="M287" s="108">
        <v>2411</v>
      </c>
    </row>
    <row r="288" spans="1:13">
      <c r="A288" s="111" t="s">
        <v>12</v>
      </c>
      <c r="B288" s="25">
        <v>46033</v>
      </c>
      <c r="C288" s="52"/>
      <c r="D288" s="52"/>
      <c r="E288" s="181">
        <v>11665.4196</v>
      </c>
      <c r="F288" s="181">
        <v>6.20611</v>
      </c>
      <c r="G288" s="181">
        <v>5.98043</v>
      </c>
      <c r="H288" s="181">
        <v>22.7766666666667</v>
      </c>
      <c r="I288" s="182">
        <v>0.779621281170081</v>
      </c>
      <c r="J288" s="182">
        <v>0.201600642886769</v>
      </c>
      <c r="K288" s="181"/>
      <c r="L288" s="181"/>
      <c r="M288" s="108">
        <v>2411</v>
      </c>
    </row>
    <row r="289" spans="1:13">
      <c r="A289" s="111" t="s">
        <v>12</v>
      </c>
      <c r="B289" s="25">
        <v>46034</v>
      </c>
      <c r="C289" s="52"/>
      <c r="D289" s="52"/>
      <c r="E289" s="181">
        <v>11487.6796</v>
      </c>
      <c r="F289" s="181">
        <v>5.9892</v>
      </c>
      <c r="G289" s="181">
        <v>5.77011</v>
      </c>
      <c r="H289" s="181">
        <v>19.48875</v>
      </c>
      <c r="I289" s="182">
        <v>0.795547816291916</v>
      </c>
      <c r="J289" s="182">
        <v>0.198528957555648</v>
      </c>
      <c r="K289" s="181"/>
      <c r="L289" s="181"/>
      <c r="M289" s="108">
        <v>2411</v>
      </c>
    </row>
    <row r="290" spans="1:13">
      <c r="A290" s="111" t="s">
        <v>12</v>
      </c>
      <c r="B290" s="25">
        <v>46035</v>
      </c>
      <c r="C290" s="52"/>
      <c r="D290" s="52"/>
      <c r="E290" s="181">
        <v>-28.4704</v>
      </c>
      <c r="F290" s="181">
        <v>6.03959</v>
      </c>
      <c r="G290" s="181">
        <v>5.82086</v>
      </c>
      <c r="H290" s="181">
        <v>20.8079166666667</v>
      </c>
      <c r="I290" s="182">
        <v>-0.00195518970203979</v>
      </c>
      <c r="J290" s="182">
        <v>-0.000492022673855938</v>
      </c>
      <c r="K290" s="181"/>
      <c r="L290" s="181"/>
      <c r="M290" s="108">
        <v>2411</v>
      </c>
    </row>
    <row r="291" spans="1:13">
      <c r="A291" s="111" t="s">
        <v>12</v>
      </c>
      <c r="B291" s="25">
        <v>46036</v>
      </c>
      <c r="C291" s="52"/>
      <c r="D291" s="52"/>
      <c r="E291" s="181">
        <v>11380.1496</v>
      </c>
      <c r="F291" s="181">
        <v>5.94544</v>
      </c>
      <c r="G291" s="181">
        <v>5.72962</v>
      </c>
      <c r="H291" s="181">
        <v>21.2091666666667</v>
      </c>
      <c r="I291" s="182">
        <v>0.793901751627287</v>
      </c>
      <c r="J291" s="182">
        <v>0.196670634591456</v>
      </c>
      <c r="K291" s="181"/>
      <c r="L291" s="181"/>
      <c r="M291" s="108">
        <v>2411</v>
      </c>
    </row>
    <row r="292" spans="1:13">
      <c r="A292" s="111" t="s">
        <v>12</v>
      </c>
      <c r="B292" s="25">
        <v>46037</v>
      </c>
      <c r="C292" s="52"/>
      <c r="D292" s="52"/>
      <c r="E292" s="181">
        <v>11325.9196</v>
      </c>
      <c r="F292" s="181">
        <v>5.90586</v>
      </c>
      <c r="G292" s="181">
        <v>5.68802</v>
      </c>
      <c r="H292" s="181">
        <v>20.1716666666667</v>
      </c>
      <c r="I292" s="182">
        <v>0.795413790471488</v>
      </c>
      <c r="J292" s="182">
        <v>0.195733437024748</v>
      </c>
      <c r="K292" s="181"/>
      <c r="L292" s="181"/>
      <c r="M292" s="108">
        <v>2411</v>
      </c>
    </row>
    <row r="293" spans="1:13">
      <c r="A293" s="111" t="s">
        <v>12</v>
      </c>
      <c r="B293" s="25">
        <v>46038</v>
      </c>
      <c r="C293" s="52"/>
      <c r="D293" s="52"/>
      <c r="E293" s="181">
        <v>11429.0896</v>
      </c>
      <c r="F293" s="181">
        <v>5.97654</v>
      </c>
      <c r="G293" s="181">
        <v>5.75998</v>
      </c>
      <c r="H293" s="181">
        <v>21.49375</v>
      </c>
      <c r="I293" s="182">
        <v>0.793166926259721</v>
      </c>
      <c r="J293" s="182">
        <v>0.197516410894511</v>
      </c>
      <c r="K293" s="181"/>
      <c r="L293" s="181"/>
      <c r="M293" s="108">
        <v>2411</v>
      </c>
    </row>
    <row r="294" spans="1:13">
      <c r="A294" s="111" t="s">
        <v>12</v>
      </c>
      <c r="B294" s="25">
        <v>46039</v>
      </c>
      <c r="C294" s="52"/>
      <c r="D294" s="52"/>
      <c r="E294" s="181">
        <v>11711.9396</v>
      </c>
      <c r="F294" s="181">
        <v>6.18203</v>
      </c>
      <c r="G294" s="181">
        <v>5.96182</v>
      </c>
      <c r="H294" s="181">
        <v>22.9808333333333</v>
      </c>
      <c r="I294" s="182">
        <v>0.785779157924641</v>
      </c>
      <c r="J294" s="182">
        <v>0.202404596986036</v>
      </c>
      <c r="K294" s="181"/>
      <c r="L294" s="181"/>
      <c r="M294" s="108">
        <v>2411</v>
      </c>
    </row>
    <row r="295" spans="1:13">
      <c r="A295" s="111" t="s">
        <v>12</v>
      </c>
      <c r="B295" s="25">
        <v>46040</v>
      </c>
      <c r="C295" s="52"/>
      <c r="D295" s="52"/>
      <c r="E295" s="181">
        <v>11885.5796</v>
      </c>
      <c r="F295" s="181">
        <v>6.28483</v>
      </c>
      <c r="G295" s="181">
        <v>6.06474</v>
      </c>
      <c r="H295" s="181">
        <v>23.9295833333333</v>
      </c>
      <c r="I295" s="182">
        <v>0.784385613678719</v>
      </c>
      <c r="J295" s="182">
        <v>0.205405426517351</v>
      </c>
      <c r="K295" s="181"/>
      <c r="L295" s="181"/>
      <c r="M295" s="108">
        <v>2411</v>
      </c>
    </row>
    <row r="296" spans="1:13">
      <c r="A296" s="111" t="s">
        <v>12</v>
      </c>
      <c r="B296" s="25">
        <v>46041</v>
      </c>
      <c r="C296" s="52"/>
      <c r="D296" s="52"/>
      <c r="E296" s="181">
        <v>12031.6496</v>
      </c>
      <c r="F296" s="181">
        <v>6.38916</v>
      </c>
      <c r="G296" s="181">
        <v>6.16734</v>
      </c>
      <c r="H296" s="181">
        <v>25.0091666666667</v>
      </c>
      <c r="I296" s="182">
        <v>0.781059647276538</v>
      </c>
      <c r="J296" s="182">
        <v>0.207929793999723</v>
      </c>
      <c r="K296" s="181"/>
      <c r="L296" s="181"/>
      <c r="M296" s="108">
        <v>2411</v>
      </c>
    </row>
    <row r="297" spans="1:13">
      <c r="A297" s="111" t="s">
        <v>12</v>
      </c>
      <c r="B297" s="25">
        <v>46042</v>
      </c>
      <c r="C297" s="52"/>
      <c r="D297" s="52"/>
      <c r="E297" s="181">
        <v>11930.2296</v>
      </c>
      <c r="F297" s="181">
        <v>6.26654</v>
      </c>
      <c r="G297" s="181">
        <v>6.0516</v>
      </c>
      <c r="H297" s="181">
        <v>24.5254166666667</v>
      </c>
      <c r="I297" s="182">
        <v>0.789630246199576</v>
      </c>
      <c r="J297" s="182">
        <v>0.206177063459145</v>
      </c>
      <c r="K297" s="181"/>
      <c r="L297" s="181"/>
      <c r="M297" s="108">
        <v>2411</v>
      </c>
    </row>
    <row r="298" spans="1:13">
      <c r="A298" s="111" t="s">
        <v>12</v>
      </c>
      <c r="B298" s="25">
        <v>46043</v>
      </c>
      <c r="C298" s="52"/>
      <c r="D298" s="52"/>
      <c r="E298" s="181">
        <v>11603.3996</v>
      </c>
      <c r="F298" s="181">
        <v>6.09657</v>
      </c>
      <c r="G298" s="181">
        <v>5.88761</v>
      </c>
      <c r="H298" s="181">
        <v>26.1458333333333</v>
      </c>
      <c r="I298" s="182">
        <v>0.789409727635422</v>
      </c>
      <c r="J298" s="182">
        <v>0.200528819300429</v>
      </c>
      <c r="K298" s="181"/>
      <c r="L298" s="181"/>
      <c r="M298" s="108">
        <v>2411</v>
      </c>
    </row>
    <row r="299" spans="1:13">
      <c r="A299" s="111" t="s">
        <v>12</v>
      </c>
      <c r="B299" s="25">
        <v>46044</v>
      </c>
      <c r="C299" s="52"/>
      <c r="D299" s="52"/>
      <c r="E299" s="181">
        <v>11418.3696</v>
      </c>
      <c r="F299" s="181">
        <v>5.98855</v>
      </c>
      <c r="G299" s="181">
        <v>5.77796</v>
      </c>
      <c r="H299" s="181">
        <v>26.5054166666667</v>
      </c>
      <c r="I299" s="182">
        <v>0.790833770047992</v>
      </c>
      <c r="J299" s="182">
        <v>0.197331148900871</v>
      </c>
      <c r="K299" s="181"/>
      <c r="L299" s="181"/>
      <c r="M299" s="108">
        <v>2411</v>
      </c>
    </row>
    <row r="300" spans="1:13">
      <c r="A300" s="111" t="s">
        <v>12</v>
      </c>
      <c r="B300" s="25">
        <v>46045</v>
      </c>
      <c r="C300" s="52"/>
      <c r="D300" s="52"/>
      <c r="E300" s="181">
        <v>4042.1736</v>
      </c>
      <c r="F300" s="181">
        <v>1.988637</v>
      </c>
      <c r="G300" s="181">
        <v>1.882685</v>
      </c>
      <c r="H300" s="181">
        <v>24.91375</v>
      </c>
      <c r="I300" s="182">
        <v>0.843067282034551</v>
      </c>
      <c r="J300" s="182">
        <v>0.0698564496059726</v>
      </c>
      <c r="K300" s="181"/>
      <c r="L300" s="181"/>
      <c r="M300" s="108">
        <v>2411</v>
      </c>
    </row>
    <row r="301" spans="1:13">
      <c r="A301" s="111" t="s">
        <v>12</v>
      </c>
      <c r="B301" s="25">
        <v>46046</v>
      </c>
      <c r="C301" s="52"/>
      <c r="D301" s="52"/>
      <c r="E301" s="181">
        <v>11312.3296</v>
      </c>
      <c r="F301" s="181">
        <v>5.78137</v>
      </c>
      <c r="G301" s="181">
        <v>5.57864</v>
      </c>
      <c r="H301" s="181">
        <v>21.9058333333333</v>
      </c>
      <c r="I301" s="182">
        <v>0.811566432058462</v>
      </c>
      <c r="J301" s="182">
        <v>0.195498575971243</v>
      </c>
      <c r="K301" s="181"/>
      <c r="L301" s="181"/>
      <c r="M301" s="108">
        <v>2411</v>
      </c>
    </row>
    <row r="302" spans="1:13">
      <c r="A302" s="111" t="s">
        <v>12</v>
      </c>
      <c r="B302" s="25">
        <v>46047</v>
      </c>
      <c r="C302" s="52"/>
      <c r="D302" s="52"/>
      <c r="E302" s="181">
        <v>12823.0296</v>
      </c>
      <c r="F302" s="181">
        <v>6.70872</v>
      </c>
      <c r="G302" s="181">
        <v>6.48779</v>
      </c>
      <c r="H302" s="181">
        <v>22.3341666666667</v>
      </c>
      <c r="I302" s="182">
        <v>0.792781976584117</v>
      </c>
      <c r="J302" s="182">
        <v>0.221606345914558</v>
      </c>
      <c r="K302" s="181"/>
      <c r="L302" s="181"/>
      <c r="M302" s="108">
        <v>2411</v>
      </c>
    </row>
    <row r="303" spans="1:13">
      <c r="A303" s="111" t="s">
        <v>12</v>
      </c>
      <c r="B303" s="25">
        <v>46048</v>
      </c>
      <c r="C303" s="52"/>
      <c r="D303" s="52"/>
      <c r="E303" s="181">
        <v>12387.2296</v>
      </c>
      <c r="F303" s="181">
        <v>6.49575</v>
      </c>
      <c r="G303" s="181">
        <v>6.28034</v>
      </c>
      <c r="H303" s="181">
        <v>25.3229166666667</v>
      </c>
      <c r="I303" s="182">
        <v>0.790947531609579</v>
      </c>
      <c r="J303" s="182">
        <v>0.214074892852205</v>
      </c>
      <c r="K303" s="181"/>
      <c r="L303" s="181"/>
      <c r="M303" s="108">
        <v>2411</v>
      </c>
    </row>
    <row r="304" spans="1:13">
      <c r="A304" s="111" t="s">
        <v>12</v>
      </c>
      <c r="B304" s="25">
        <v>46049</v>
      </c>
      <c r="C304" s="52"/>
      <c r="D304" s="52"/>
      <c r="E304" s="181">
        <v>11902.3996</v>
      </c>
      <c r="F304" s="181">
        <v>6.13694</v>
      </c>
      <c r="G304" s="181">
        <v>5.9343</v>
      </c>
      <c r="H304" s="181">
        <v>25.24875</v>
      </c>
      <c r="I304" s="182">
        <v>0.804424777621087</v>
      </c>
      <c r="J304" s="182">
        <v>0.205696108115581</v>
      </c>
      <c r="K304" s="181"/>
      <c r="L304" s="181"/>
      <c r="M304" s="108">
        <v>2411</v>
      </c>
    </row>
    <row r="305" spans="1:13">
      <c r="A305" s="111" t="s">
        <v>12</v>
      </c>
      <c r="B305" s="25">
        <v>46050</v>
      </c>
      <c r="C305" s="52"/>
      <c r="D305" s="52"/>
      <c r="E305" s="181">
        <v>11443.8396</v>
      </c>
      <c r="F305" s="181">
        <v>5.86563</v>
      </c>
      <c r="G305" s="181">
        <v>5.65977</v>
      </c>
      <c r="H305" s="181">
        <v>23.8216666666667</v>
      </c>
      <c r="I305" s="182">
        <v>0.809207477272684</v>
      </c>
      <c r="J305" s="182">
        <v>0.19777131895479</v>
      </c>
      <c r="K305" s="181"/>
      <c r="L305" s="181"/>
      <c r="M305" s="108">
        <v>2411</v>
      </c>
    </row>
    <row r="306" spans="1:13">
      <c r="A306" s="111" t="s">
        <v>12</v>
      </c>
      <c r="B306" s="25">
        <v>46051</v>
      </c>
      <c r="C306" s="52"/>
      <c r="D306" s="52"/>
      <c r="E306" s="181">
        <v>11945.4496</v>
      </c>
      <c r="F306" s="181">
        <v>6.12476</v>
      </c>
      <c r="G306" s="181">
        <v>5.92369</v>
      </c>
      <c r="H306" s="181">
        <v>24.28</v>
      </c>
      <c r="I306" s="182">
        <v>0.808939820715453</v>
      </c>
      <c r="J306" s="182">
        <v>0.206440094013549</v>
      </c>
      <c r="K306" s="181"/>
      <c r="L306" s="181"/>
      <c r="M306" s="108">
        <v>2411</v>
      </c>
    </row>
    <row r="307" spans="1:13">
      <c r="A307" s="111" t="s">
        <v>12</v>
      </c>
      <c r="B307" s="25">
        <v>46052</v>
      </c>
      <c r="C307" s="52"/>
      <c r="D307" s="52"/>
      <c r="E307" s="181">
        <v>11626.4896</v>
      </c>
      <c r="F307" s="181">
        <v>5.92635</v>
      </c>
      <c r="G307" s="181">
        <v>5.73127</v>
      </c>
      <c r="H307" s="181">
        <v>24.8670833333333</v>
      </c>
      <c r="I307" s="182">
        <v>0.813699596250598</v>
      </c>
      <c r="J307" s="182">
        <v>0.200927858426656</v>
      </c>
      <c r="K307" s="181"/>
      <c r="L307" s="181"/>
      <c r="M307" s="108">
        <v>2411</v>
      </c>
    </row>
    <row r="308" spans="1:13">
      <c r="A308" s="111" t="s">
        <v>12</v>
      </c>
      <c r="B308" s="25">
        <v>46053</v>
      </c>
      <c r="C308" s="52"/>
      <c r="D308" s="52"/>
      <c r="E308" s="181">
        <v>11808.2396</v>
      </c>
      <c r="F308" s="181">
        <v>6.08037</v>
      </c>
      <c r="G308" s="181">
        <v>5.88324</v>
      </c>
      <c r="H308" s="181">
        <v>27.0091666666667</v>
      </c>
      <c r="I308" s="182">
        <v>0.805485893205978</v>
      </c>
      <c r="J308" s="182">
        <v>0.204068844186368</v>
      </c>
      <c r="K308" s="181"/>
      <c r="L308" s="181"/>
      <c r="M308" s="108">
        <v>2411</v>
      </c>
    </row>
    <row r="309" spans="1:13">
      <c r="A309" s="111" t="s">
        <v>12</v>
      </c>
      <c r="B309" s="25">
        <v>46054</v>
      </c>
      <c r="C309" s="52"/>
      <c r="D309" s="52"/>
      <c r="E309" s="181">
        <v>11585.2696</v>
      </c>
      <c r="F309" s="181">
        <v>5.9249085</v>
      </c>
      <c r="G309" s="181">
        <v>5.727044</v>
      </c>
      <c r="H309" s="181">
        <v>26.2141666666667</v>
      </c>
      <c r="I309" s="182">
        <v>0.811012011719938</v>
      </c>
      <c r="J309" s="182">
        <v>0.200215498410065</v>
      </c>
      <c r="K309" s="181"/>
      <c r="L309" s="181"/>
      <c r="M309" s="108">
        <v>2411</v>
      </c>
    </row>
    <row r="310" spans="1:13">
      <c r="A310" s="111" t="s">
        <v>12</v>
      </c>
      <c r="B310" s="25">
        <v>46055</v>
      </c>
      <c r="C310" s="52"/>
      <c r="D310" s="52"/>
      <c r="E310" s="181">
        <v>12144.0196</v>
      </c>
      <c r="F310" s="181">
        <v>6.2360376</v>
      </c>
      <c r="G310" s="181">
        <v>6.0327532</v>
      </c>
      <c r="H310" s="181">
        <v>25.9316666666667</v>
      </c>
      <c r="I310" s="182">
        <v>0.807711979304904</v>
      </c>
      <c r="J310" s="182">
        <v>0.209871761371492</v>
      </c>
      <c r="K310" s="181"/>
      <c r="L310" s="181"/>
      <c r="M310" s="108">
        <v>2411</v>
      </c>
    </row>
    <row r="311" spans="1:13">
      <c r="A311" s="111" t="s">
        <v>12</v>
      </c>
      <c r="B311" s="25">
        <v>46056</v>
      </c>
      <c r="C311" s="52"/>
      <c r="D311" s="52"/>
      <c r="E311" s="181">
        <v>12534.6696</v>
      </c>
      <c r="F311" s="181">
        <v>6.3936121</v>
      </c>
      <c r="G311" s="181">
        <v>6.1933086</v>
      </c>
      <c r="H311" s="181">
        <v>24.6070833333333</v>
      </c>
      <c r="I311" s="182">
        <v>0.813147622293274</v>
      </c>
      <c r="J311" s="182">
        <v>0.216622936540854</v>
      </c>
      <c r="K311" s="181"/>
      <c r="L311" s="181"/>
      <c r="M311" s="108">
        <v>2411</v>
      </c>
    </row>
    <row r="312" spans="1:13">
      <c r="A312" s="111" t="s">
        <v>12</v>
      </c>
      <c r="B312" s="25">
        <v>46057</v>
      </c>
      <c r="C312" s="52"/>
      <c r="D312" s="52"/>
      <c r="E312" s="181">
        <v>12272.0396</v>
      </c>
      <c r="F312" s="181">
        <v>6.1635204</v>
      </c>
      <c r="G312" s="181">
        <v>5.9669533</v>
      </c>
      <c r="H312" s="181">
        <v>21.6720833333333</v>
      </c>
      <c r="I312" s="182">
        <v>0.825830084439504</v>
      </c>
      <c r="J312" s="182">
        <v>0.212084190515692</v>
      </c>
      <c r="K312" s="181"/>
      <c r="L312" s="181"/>
      <c r="M312" s="108">
        <v>2411</v>
      </c>
    </row>
    <row r="313" spans="1:13">
      <c r="A313" s="111" t="s">
        <v>12</v>
      </c>
      <c r="B313" s="25">
        <v>46058</v>
      </c>
      <c r="C313" s="52"/>
      <c r="D313" s="52"/>
      <c r="E313" s="181">
        <v>11025.6853</v>
      </c>
      <c r="F313" s="181">
        <v>5.5164234</v>
      </c>
      <c r="G313" s="181">
        <v>5.3290854</v>
      </c>
      <c r="H313" s="181">
        <v>23.6066666666667</v>
      </c>
      <c r="I313" s="182">
        <v>0.8289928600802</v>
      </c>
      <c r="J313" s="182">
        <v>0.190544817157473</v>
      </c>
      <c r="K313" s="181"/>
      <c r="L313" s="181"/>
      <c r="M313" s="108">
        <v>2411</v>
      </c>
    </row>
    <row r="314" spans="1:13">
      <c r="A314" s="111" t="s">
        <v>12</v>
      </c>
      <c r="B314" s="25">
        <v>46059</v>
      </c>
      <c r="C314" s="52"/>
      <c r="D314" s="52"/>
      <c r="E314" s="181">
        <v>12329.7696</v>
      </c>
      <c r="F314" s="181">
        <v>6.212191</v>
      </c>
      <c r="G314" s="181">
        <v>6.0151468</v>
      </c>
      <c r="H314" s="181">
        <v>23.0066666666667</v>
      </c>
      <c r="I314" s="182">
        <v>0.823214385033962</v>
      </c>
      <c r="J314" s="182">
        <v>0.213081874740771</v>
      </c>
      <c r="K314" s="181"/>
      <c r="L314" s="181"/>
      <c r="M314" s="108">
        <v>2411</v>
      </c>
    </row>
    <row r="315" spans="1:13">
      <c r="A315" s="111" t="s">
        <v>12</v>
      </c>
      <c r="B315" s="25">
        <v>46060</v>
      </c>
      <c r="C315" s="52"/>
      <c r="D315" s="52"/>
      <c r="E315" s="181">
        <v>12438.7312</v>
      </c>
      <c r="F315" s="181">
        <v>6.2940619</v>
      </c>
      <c r="G315" s="181">
        <v>6.0949198</v>
      </c>
      <c r="H315" s="181">
        <v>24.055</v>
      </c>
      <c r="I315" s="182">
        <v>0.819686651546001</v>
      </c>
      <c r="J315" s="182">
        <v>0.214964938476427</v>
      </c>
      <c r="K315" s="181"/>
      <c r="L315" s="181"/>
      <c r="M315" s="108">
        <v>2411</v>
      </c>
    </row>
    <row r="316" spans="1:13">
      <c r="A316" s="111" t="s">
        <v>12</v>
      </c>
      <c r="B316" s="25">
        <v>46061</v>
      </c>
      <c r="C316" s="52"/>
      <c r="D316" s="52"/>
      <c r="E316" s="181">
        <v>12448.2079</v>
      </c>
      <c r="F316" s="181">
        <v>6.2381618</v>
      </c>
      <c r="G316" s="181">
        <v>6.0401868</v>
      </c>
      <c r="H316" s="181">
        <v>22.5479166666667</v>
      </c>
      <c r="I316" s="182">
        <v>0.827661945725706</v>
      </c>
      <c r="J316" s="182">
        <v>0.215128713880824</v>
      </c>
      <c r="K316" s="181"/>
      <c r="L316" s="181"/>
      <c r="M316" s="108">
        <v>2411</v>
      </c>
    </row>
    <row r="317" spans="1:13">
      <c r="A317" s="111" t="s">
        <v>12</v>
      </c>
      <c r="B317" s="25">
        <v>46062</v>
      </c>
      <c r="C317" s="52"/>
      <c r="D317" s="52"/>
      <c r="E317" s="181">
        <v>12282.8294</v>
      </c>
      <c r="F317" s="181">
        <v>6.1345137</v>
      </c>
      <c r="G317" s="181">
        <v>5.9391885</v>
      </c>
      <c r="H317" s="181">
        <v>22.035</v>
      </c>
      <c r="I317" s="182">
        <v>0.830464493194768</v>
      </c>
      <c r="J317" s="182">
        <v>0.212270658786119</v>
      </c>
      <c r="K317" s="181"/>
      <c r="L317" s="181"/>
      <c r="M317" s="108">
        <v>2411</v>
      </c>
    </row>
    <row r="318" spans="1:13">
      <c r="A318" s="111" t="s">
        <v>12</v>
      </c>
      <c r="B318" s="25">
        <v>46063</v>
      </c>
      <c r="C318" s="52"/>
      <c r="D318" s="52"/>
      <c r="E318" s="181">
        <v>12761.4062</v>
      </c>
      <c r="F318" s="181">
        <v>6.4185138</v>
      </c>
      <c r="G318" s="181">
        <v>6.2184272</v>
      </c>
      <c r="H318" s="181">
        <v>23.1416666666667</v>
      </c>
      <c r="I318" s="182">
        <v>0.824644644674123</v>
      </c>
      <c r="J318" s="182">
        <v>0.220541376330706</v>
      </c>
      <c r="K318" s="181"/>
      <c r="L318" s="181"/>
      <c r="M318" s="108">
        <v>2411</v>
      </c>
    </row>
    <row r="319" spans="1:13">
      <c r="A319" s="111" t="s">
        <v>12</v>
      </c>
      <c r="B319" s="25">
        <v>46064</v>
      </c>
      <c r="C319" s="52"/>
      <c r="D319" s="52"/>
      <c r="E319" s="181">
        <v>12627.9717</v>
      </c>
      <c r="F319" s="181">
        <v>6.3559045</v>
      </c>
      <c r="G319" s="181">
        <v>6.1579075</v>
      </c>
      <c r="H319" s="181">
        <v>23.8716666666667</v>
      </c>
      <c r="I319" s="182">
        <v>0.824060365259443</v>
      </c>
      <c r="J319" s="182">
        <v>0.218235374326006</v>
      </c>
      <c r="K319" s="181"/>
      <c r="L319" s="181"/>
      <c r="M319" s="108">
        <v>2411</v>
      </c>
    </row>
    <row r="320" spans="1:13">
      <c r="A320" s="111" t="s">
        <v>12</v>
      </c>
      <c r="B320" s="25">
        <v>46065</v>
      </c>
      <c r="C320" s="52"/>
      <c r="D320" s="52"/>
      <c r="E320" s="181">
        <v>12347.9062</v>
      </c>
      <c r="F320" s="181">
        <v>6.1816392</v>
      </c>
      <c r="G320" s="181">
        <v>5.9873605</v>
      </c>
      <c r="H320" s="181">
        <v>23.43375</v>
      </c>
      <c r="I320" s="182">
        <v>0.828499895723545</v>
      </c>
      <c r="J320" s="182">
        <v>0.213395309691691</v>
      </c>
      <c r="K320" s="181"/>
      <c r="L320" s="181"/>
      <c r="M320" s="108">
        <v>2411</v>
      </c>
    </row>
    <row r="321" spans="1:13">
      <c r="A321" s="111" t="s">
        <v>12</v>
      </c>
      <c r="B321" s="25">
        <v>46066</v>
      </c>
      <c r="C321" s="52"/>
      <c r="D321" s="52"/>
      <c r="E321" s="181">
        <v>12756.4312</v>
      </c>
      <c r="F321" s="181">
        <v>6.4500308</v>
      </c>
      <c r="G321" s="181">
        <v>6.2518301</v>
      </c>
      <c r="H321" s="181">
        <v>24.9529166666667</v>
      </c>
      <c r="I321" s="182">
        <v>0.820295241503555</v>
      </c>
      <c r="J321" s="182">
        <v>0.220455398866307</v>
      </c>
      <c r="K321" s="181"/>
      <c r="L321" s="181"/>
      <c r="M321" s="108">
        <v>2411</v>
      </c>
    </row>
    <row r="322" spans="1:13">
      <c r="A322" s="111" t="s">
        <v>12</v>
      </c>
      <c r="B322" s="25">
        <v>46067</v>
      </c>
      <c r="C322" s="52"/>
      <c r="D322" s="52"/>
      <c r="E322" s="181">
        <v>12894.8042</v>
      </c>
      <c r="F322" s="181">
        <v>6.3746538</v>
      </c>
      <c r="G322" s="181">
        <v>6.1764722</v>
      </c>
      <c r="H322" s="181">
        <v>19.5183333333333</v>
      </c>
      <c r="I322" s="182">
        <v>0.838998023877512</v>
      </c>
      <c r="J322" s="182">
        <v>0.22284674754597</v>
      </c>
      <c r="K322" s="181"/>
      <c r="L322" s="181"/>
      <c r="M322" s="108">
        <v>2411</v>
      </c>
    </row>
    <row r="323" spans="1:13">
      <c r="A323" s="111" t="s">
        <v>12</v>
      </c>
      <c r="B323" s="25">
        <v>46068</v>
      </c>
      <c r="C323" s="52"/>
      <c r="D323" s="52"/>
      <c r="E323" s="181">
        <v>13247.519</v>
      </c>
      <c r="F323" s="181">
        <v>6.5993378</v>
      </c>
      <c r="G323" s="181">
        <v>6.3977041</v>
      </c>
      <c r="H323" s="181">
        <v>20.4183333333333</v>
      </c>
      <c r="I323" s="182">
        <v>0.832601102341093</v>
      </c>
      <c r="J323" s="182">
        <v>0.228942330291718</v>
      </c>
      <c r="K323" s="181"/>
      <c r="L323" s="181"/>
      <c r="M323" s="108">
        <v>2411</v>
      </c>
    </row>
    <row r="324" spans="1:13">
      <c r="A324" s="111" t="s">
        <v>12</v>
      </c>
      <c r="B324" s="25">
        <v>46069</v>
      </c>
      <c r="C324" s="52"/>
      <c r="D324" s="52"/>
      <c r="E324" s="181">
        <v>11524.9428</v>
      </c>
      <c r="F324" s="181">
        <v>5.754961</v>
      </c>
      <c r="G324" s="181">
        <v>5.5554519</v>
      </c>
      <c r="H324" s="181">
        <v>24.7475</v>
      </c>
      <c r="I324" s="182">
        <v>0.830613878526806</v>
      </c>
      <c r="J324" s="182">
        <v>0.199172936540854</v>
      </c>
      <c r="K324" s="181"/>
      <c r="L324" s="181"/>
      <c r="M324" s="108">
        <v>2411</v>
      </c>
    </row>
    <row r="325" spans="1:13">
      <c r="A325" s="111" t="s">
        <v>12</v>
      </c>
      <c r="B325" s="25">
        <v>46070</v>
      </c>
      <c r="C325" s="52"/>
      <c r="D325" s="52"/>
      <c r="E325" s="181">
        <v>13579.9722</v>
      </c>
      <c r="F325" s="181">
        <v>6.900143</v>
      </c>
      <c r="G325" s="181">
        <v>6.6951504</v>
      </c>
      <c r="H325" s="181">
        <v>25.6833333333333</v>
      </c>
      <c r="I325" s="182">
        <v>0.816288314177715</v>
      </c>
      <c r="J325" s="182">
        <v>0.234687754043965</v>
      </c>
      <c r="K325" s="181"/>
      <c r="L325" s="181"/>
      <c r="M325" s="108">
        <v>2411</v>
      </c>
    </row>
    <row r="326" spans="1:13">
      <c r="A326" s="111" t="s">
        <v>12</v>
      </c>
      <c r="B326" s="25">
        <v>46071</v>
      </c>
      <c r="C326" s="52"/>
      <c r="D326" s="52"/>
      <c r="E326" s="181">
        <v>13841.7578</v>
      </c>
      <c r="F326" s="181">
        <v>7.000963</v>
      </c>
      <c r="G326" s="181">
        <v>6.7958134</v>
      </c>
      <c r="H326" s="181">
        <v>24.3258333333333</v>
      </c>
      <c r="I326" s="182">
        <v>0.820042296115256</v>
      </c>
      <c r="J326" s="182">
        <v>0.239211907230748</v>
      </c>
      <c r="K326" s="181"/>
      <c r="L326" s="181"/>
      <c r="M326" s="108">
        <v>2411</v>
      </c>
    </row>
    <row r="327" spans="1:13">
      <c r="A327" s="111" t="s">
        <v>12</v>
      </c>
      <c r="B327" s="25">
        <v>46072</v>
      </c>
      <c r="C327" s="52"/>
      <c r="D327" s="52"/>
      <c r="E327" s="181">
        <v>13201.4208</v>
      </c>
      <c r="F327" s="181">
        <v>6.655618</v>
      </c>
      <c r="G327" s="181">
        <v>6.4549133</v>
      </c>
      <c r="H327" s="181">
        <v>25.1766666666667</v>
      </c>
      <c r="I327" s="182">
        <v>0.822687837068342</v>
      </c>
      <c r="J327" s="182">
        <v>0.22814566569888</v>
      </c>
      <c r="K327" s="181"/>
      <c r="L327" s="181"/>
      <c r="M327" s="108">
        <v>2411</v>
      </c>
    </row>
    <row r="328" spans="1:13">
      <c r="A328" s="111" t="s">
        <v>12</v>
      </c>
      <c r="B328" s="25">
        <v>46073</v>
      </c>
      <c r="C328" s="52"/>
      <c r="D328" s="52"/>
      <c r="E328" s="181">
        <v>13043.5228</v>
      </c>
      <c r="F328" s="181">
        <v>6.588644</v>
      </c>
      <c r="G328" s="181">
        <v>6.3893331</v>
      </c>
      <c r="H328" s="181">
        <v>26.3670833333333</v>
      </c>
      <c r="I328" s="182">
        <v>0.821110581934676</v>
      </c>
      <c r="J328" s="182">
        <v>0.225416887875017</v>
      </c>
      <c r="K328" s="181"/>
      <c r="L328" s="181"/>
      <c r="M328" s="108">
        <v>2411</v>
      </c>
    </row>
    <row r="329" spans="1:13">
      <c r="A329" s="111" t="s">
        <v>12</v>
      </c>
      <c r="B329" s="25">
        <v>46074</v>
      </c>
      <c r="C329" s="52"/>
      <c r="D329" s="52"/>
      <c r="E329" s="181">
        <v>12872.7018</v>
      </c>
      <c r="F329" s="181">
        <v>6.543168</v>
      </c>
      <c r="G329" s="181">
        <v>6.3472133</v>
      </c>
      <c r="H329" s="181">
        <v>28.515</v>
      </c>
      <c r="I329" s="182">
        <v>0.815989231002028</v>
      </c>
      <c r="J329" s="182">
        <v>0.222464776026545</v>
      </c>
      <c r="K329" s="181"/>
      <c r="L329" s="181"/>
      <c r="M329" s="108">
        <v>2411</v>
      </c>
    </row>
    <row r="330" spans="1:13">
      <c r="A330" s="111" t="s">
        <v>12</v>
      </c>
      <c r="B330" s="25">
        <v>46075</v>
      </c>
      <c r="C330" s="52"/>
      <c r="D330" s="52"/>
      <c r="E330" s="181">
        <v>12753.0428</v>
      </c>
      <c r="F330" s="181">
        <v>6.488478</v>
      </c>
      <c r="G330" s="181">
        <v>6.2937646</v>
      </c>
      <c r="H330" s="181">
        <v>29.0183333333333</v>
      </c>
      <c r="I330" s="182">
        <v>0.815218018900245</v>
      </c>
      <c r="J330" s="182">
        <v>0.220396840868243</v>
      </c>
      <c r="K330" s="181"/>
      <c r="L330" s="181"/>
      <c r="M330" s="108">
        <v>2411</v>
      </c>
    </row>
    <row r="331" spans="1:13">
      <c r="A331" s="111" t="s">
        <v>12</v>
      </c>
      <c r="B331" s="25">
        <v>46076</v>
      </c>
      <c r="C331" s="52"/>
      <c r="D331" s="52"/>
      <c r="E331" s="181">
        <v>12518.4428</v>
      </c>
      <c r="F331" s="181">
        <v>6.289147</v>
      </c>
      <c r="G331" s="181">
        <v>6.0956981</v>
      </c>
      <c r="H331" s="181">
        <v>26.8641666666667</v>
      </c>
      <c r="I331" s="182">
        <v>0.825584162305468</v>
      </c>
      <c r="J331" s="182">
        <v>0.216342506567123</v>
      </c>
      <c r="K331" s="181"/>
      <c r="L331" s="181"/>
      <c r="M331" s="108">
        <v>2411</v>
      </c>
    </row>
    <row r="332" spans="1:13">
      <c r="A332" s="111" t="s">
        <v>12</v>
      </c>
      <c r="B332" s="25">
        <v>46077</v>
      </c>
      <c r="C332" s="52"/>
      <c r="D332" s="52"/>
      <c r="E332" s="181">
        <v>12691.3808</v>
      </c>
      <c r="F332" s="181">
        <v>6.395139</v>
      </c>
      <c r="G332" s="181">
        <v>6.202264</v>
      </c>
      <c r="H332" s="181">
        <v>27.0504166666667</v>
      </c>
      <c r="I332" s="182">
        <v>0.823117198996145</v>
      </c>
      <c r="J332" s="182">
        <v>0.219331204202959</v>
      </c>
      <c r="K332" s="181"/>
      <c r="L332" s="181"/>
      <c r="M332" s="108">
        <v>2411</v>
      </c>
    </row>
    <row r="333" spans="1:13">
      <c r="A333" s="111" t="s">
        <v>12</v>
      </c>
      <c r="B333" s="25">
        <v>46078</v>
      </c>
      <c r="C333" s="52"/>
      <c r="D333" s="52"/>
      <c r="E333" s="181">
        <v>12796.4918</v>
      </c>
      <c r="F333" s="181">
        <v>6.433203</v>
      </c>
      <c r="G333" s="181">
        <v>6.240653</v>
      </c>
      <c r="H333" s="181">
        <v>26.6175</v>
      </c>
      <c r="I333" s="182">
        <v>0.82502376093003</v>
      </c>
      <c r="J333" s="182">
        <v>0.221147722245265</v>
      </c>
      <c r="K333" s="181"/>
      <c r="L333" s="181"/>
      <c r="M333" s="108">
        <v>2411</v>
      </c>
    </row>
    <row r="334" spans="1:13">
      <c r="A334" s="111" t="s">
        <v>12</v>
      </c>
      <c r="B334" s="25">
        <v>46079</v>
      </c>
      <c r="C334" s="52"/>
      <c r="D334" s="52"/>
      <c r="E334" s="181">
        <v>13023.8168</v>
      </c>
      <c r="F334" s="181">
        <v>6.517327</v>
      </c>
      <c r="G334" s="181">
        <v>6.324811</v>
      </c>
      <c r="H334" s="181">
        <v>25.4725</v>
      </c>
      <c r="I334" s="182">
        <v>0.828841630465315</v>
      </c>
      <c r="J334" s="182">
        <v>0.225076330706484</v>
      </c>
      <c r="K334" s="181"/>
      <c r="L334" s="181"/>
      <c r="M334" s="108">
        <v>2411</v>
      </c>
    </row>
    <row r="335" spans="1:13">
      <c r="A335" s="111" t="s">
        <v>12</v>
      </c>
      <c r="B335" s="25">
        <v>46080</v>
      </c>
      <c r="C335" s="52"/>
      <c r="D335" s="52"/>
      <c r="E335" s="181">
        <v>12840.7388</v>
      </c>
      <c r="F335" s="181">
        <v>6.471151</v>
      </c>
      <c r="G335" s="181">
        <v>6.278781</v>
      </c>
      <c r="H335" s="181">
        <v>27.5108333333333</v>
      </c>
      <c r="I335" s="182">
        <v>0.823021664913937</v>
      </c>
      <c r="J335" s="182">
        <v>0.221912394580395</v>
      </c>
      <c r="K335" s="181"/>
      <c r="L335" s="181"/>
      <c r="M335" s="108">
        <v>2411</v>
      </c>
    </row>
    <row r="336" spans="1:13">
      <c r="A336" s="111" t="s">
        <v>12</v>
      </c>
      <c r="B336" s="25">
        <v>46081</v>
      </c>
      <c r="C336" s="52"/>
      <c r="D336" s="52"/>
      <c r="E336" s="181">
        <v>12541.1888</v>
      </c>
      <c r="F336" s="181">
        <v>6.306402</v>
      </c>
      <c r="G336" s="181">
        <v>6.115206</v>
      </c>
      <c r="H336" s="181">
        <v>28.0366666666667</v>
      </c>
      <c r="I336" s="182">
        <v>0.824821255805489</v>
      </c>
      <c r="J336" s="182">
        <v>0.216735600718927</v>
      </c>
      <c r="K336" s="181"/>
      <c r="L336" s="181"/>
      <c r="M336" s="108">
        <v>2411</v>
      </c>
    </row>
    <row r="337" spans="1:13">
      <c r="A337" s="111" t="s">
        <v>12</v>
      </c>
      <c r="B337" s="25">
        <v>46082</v>
      </c>
      <c r="C337" s="52"/>
      <c r="D337" s="52"/>
      <c r="E337" s="181">
        <v>12959.5918</v>
      </c>
      <c r="F337" s="181">
        <v>6.488365</v>
      </c>
      <c r="G337" s="181">
        <v>6.29548</v>
      </c>
      <c r="H337" s="181">
        <v>26.9279166666667</v>
      </c>
      <c r="I337" s="182">
        <v>0.828435763494945</v>
      </c>
      <c r="J337" s="182">
        <v>0.22396640052537</v>
      </c>
      <c r="K337" s="181"/>
      <c r="L337" s="181"/>
      <c r="M337" s="108">
        <v>2411</v>
      </c>
    </row>
    <row r="338" spans="1:13">
      <c r="A338" s="111" t="s">
        <v>12</v>
      </c>
      <c r="B338" s="25">
        <v>46083</v>
      </c>
      <c r="C338" s="52"/>
      <c r="D338" s="52"/>
      <c r="E338" s="181">
        <v>12405.1308</v>
      </c>
      <c r="F338" s="181">
        <v>6.191542</v>
      </c>
      <c r="G338" s="181">
        <v>6.001096</v>
      </c>
      <c r="H338" s="181">
        <v>26.7379166666667</v>
      </c>
      <c r="I338" s="182">
        <v>0.831008209495992</v>
      </c>
      <c r="J338" s="182">
        <v>0.214384259643301</v>
      </c>
      <c r="K338" s="181"/>
      <c r="L338" s="181"/>
      <c r="M338" s="108">
        <v>2411</v>
      </c>
    </row>
    <row r="339" spans="1:13">
      <c r="A339" s="111" t="s">
        <v>12</v>
      </c>
      <c r="B339" s="25">
        <v>46084</v>
      </c>
      <c r="C339" s="52"/>
      <c r="D339" s="52"/>
      <c r="E339" s="181">
        <v>13389.7298</v>
      </c>
      <c r="F339" s="181">
        <v>6.687952</v>
      </c>
      <c r="G339" s="181">
        <v>6.493509</v>
      </c>
      <c r="H339" s="181">
        <v>25.2341666666667</v>
      </c>
      <c r="I339" s="182">
        <v>0.830388747250747</v>
      </c>
      <c r="J339" s="182">
        <v>0.23140000345638</v>
      </c>
      <c r="K339" s="181"/>
      <c r="L339" s="181"/>
      <c r="M339" s="108">
        <v>2411</v>
      </c>
    </row>
    <row r="340" spans="1:13">
      <c r="A340" s="111" t="s">
        <v>12</v>
      </c>
      <c r="B340" s="25">
        <v>46085</v>
      </c>
      <c r="C340" s="52"/>
      <c r="D340" s="52"/>
      <c r="E340" s="181">
        <v>9151.9708</v>
      </c>
      <c r="F340" s="181">
        <v>4.464563</v>
      </c>
      <c r="G340" s="181">
        <v>4.287959</v>
      </c>
      <c r="H340" s="181">
        <v>24.6766666666667</v>
      </c>
      <c r="I340" s="182">
        <v>0.850233983796454</v>
      </c>
      <c r="J340" s="182">
        <v>0.158163466058344</v>
      </c>
      <c r="K340" s="181"/>
      <c r="L340" s="181"/>
      <c r="M340" s="108">
        <v>2411</v>
      </c>
    </row>
    <row r="341" spans="1:13">
      <c r="A341" s="111" t="s">
        <v>12</v>
      </c>
      <c r="B341" s="25">
        <v>46086</v>
      </c>
      <c r="C341" s="52"/>
      <c r="D341" s="52"/>
      <c r="E341" s="181">
        <v>10109.9722</v>
      </c>
      <c r="F341" s="181">
        <v>5.0148417</v>
      </c>
      <c r="G341" s="181">
        <v>4.8399059</v>
      </c>
      <c r="H341" s="181">
        <v>25.5875</v>
      </c>
      <c r="I341" s="182">
        <v>0.836171810939672</v>
      </c>
      <c r="J341" s="182">
        <v>0.174719552744366</v>
      </c>
      <c r="K341" s="181"/>
      <c r="L341" s="181"/>
      <c r="M341" s="108">
        <v>2411</v>
      </c>
    </row>
    <row r="342" spans="1:13">
      <c r="A342" s="111" t="s">
        <v>12</v>
      </c>
      <c r="B342" s="25">
        <v>46087</v>
      </c>
      <c r="C342" s="52"/>
      <c r="D342" s="52"/>
      <c r="E342" s="181">
        <v>9548.9192</v>
      </c>
      <c r="F342" s="181">
        <v>4.7020064</v>
      </c>
      <c r="G342" s="181">
        <v>4.529506</v>
      </c>
      <c r="H342" s="181">
        <v>26.1695833333333</v>
      </c>
      <c r="I342" s="182">
        <v>0.842313559905308</v>
      </c>
      <c r="J342" s="182">
        <v>0.165023489561731</v>
      </c>
      <c r="K342" s="181"/>
      <c r="L342" s="181"/>
      <c r="M342" s="108">
        <v>2411</v>
      </c>
    </row>
    <row r="343" spans="1:13">
      <c r="A343" s="111" t="s">
        <v>12</v>
      </c>
      <c r="B343" s="25">
        <v>46088</v>
      </c>
      <c r="C343" s="52"/>
      <c r="D343" s="52"/>
      <c r="E343" s="181">
        <v>14071.1998</v>
      </c>
      <c r="F343" s="181">
        <v>7.065083</v>
      </c>
      <c r="G343" s="181">
        <v>6.866188</v>
      </c>
      <c r="H343" s="181">
        <v>25.75</v>
      </c>
      <c r="I343" s="182">
        <v>0.82606962090947</v>
      </c>
      <c r="J343" s="182">
        <v>0.243177101479331</v>
      </c>
      <c r="K343" s="181"/>
      <c r="L343" s="181"/>
      <c r="M343" s="108">
        <v>2411</v>
      </c>
    </row>
    <row r="344" spans="1:13">
      <c r="A344" s="111" t="s">
        <v>12</v>
      </c>
      <c r="B344" s="25">
        <v>46089</v>
      </c>
      <c r="C344" s="52"/>
      <c r="D344" s="52"/>
      <c r="E344" s="181">
        <v>14257.2408</v>
      </c>
      <c r="F344" s="181">
        <v>7.101271</v>
      </c>
      <c r="G344" s="181">
        <v>6.898949</v>
      </c>
      <c r="H344" s="181">
        <v>23.4633333333333</v>
      </c>
      <c r="I344" s="182">
        <v>0.832726120883565</v>
      </c>
      <c r="J344" s="182">
        <v>0.246392243882206</v>
      </c>
      <c r="K344" s="181"/>
      <c r="L344" s="181"/>
      <c r="M344" s="108">
        <v>2411</v>
      </c>
    </row>
    <row r="345" spans="1:13">
      <c r="A345" s="111" t="s">
        <v>12</v>
      </c>
      <c r="B345" s="25">
        <v>46090</v>
      </c>
      <c r="C345" s="52"/>
      <c r="D345" s="52"/>
      <c r="E345" s="181">
        <v>14708.2508</v>
      </c>
      <c r="F345" s="181">
        <v>7.379849</v>
      </c>
      <c r="G345" s="181">
        <v>7.175532</v>
      </c>
      <c r="H345" s="181">
        <v>23.92</v>
      </c>
      <c r="I345" s="182">
        <v>0.826639855682486</v>
      </c>
      <c r="J345" s="182">
        <v>0.254186554679939</v>
      </c>
      <c r="K345" s="181"/>
      <c r="L345" s="181"/>
      <c r="M345" s="108">
        <v>2411</v>
      </c>
    </row>
    <row r="346" spans="1:13">
      <c r="A346" s="111" t="s">
        <v>12</v>
      </c>
      <c r="B346" s="25">
        <v>46091</v>
      </c>
      <c r="C346" s="52"/>
      <c r="D346" s="52"/>
      <c r="E346" s="181">
        <v>14781.7448</v>
      </c>
      <c r="F346" s="181">
        <v>7.435864</v>
      </c>
      <c r="G346" s="181">
        <v>7.230579</v>
      </c>
      <c r="H346" s="181">
        <v>24.8066666666667</v>
      </c>
      <c r="I346" s="182">
        <v>0.824512134641483</v>
      </c>
      <c r="J346" s="182">
        <v>0.255456670814323</v>
      </c>
      <c r="K346" s="181"/>
      <c r="L346" s="181"/>
      <c r="M346" s="108">
        <v>2411</v>
      </c>
    </row>
    <row r="347" spans="1:13">
      <c r="A347" s="111" t="s">
        <v>12</v>
      </c>
      <c r="B347" s="25">
        <v>46092</v>
      </c>
      <c r="C347" s="52"/>
      <c r="D347" s="52"/>
      <c r="E347" s="181">
        <v>13272.5838</v>
      </c>
      <c r="F347" s="181">
        <v>6.619496</v>
      </c>
      <c r="G347" s="181">
        <v>6.422591</v>
      </c>
      <c r="H347" s="181">
        <v>26.3041666666667</v>
      </c>
      <c r="I347" s="182">
        <v>0.831636116292076</v>
      </c>
      <c r="J347" s="182">
        <v>0.229375497718789</v>
      </c>
      <c r="K347" s="181"/>
      <c r="L347" s="181"/>
      <c r="M347" s="108">
        <v>2411</v>
      </c>
    </row>
    <row r="348" spans="1:13">
      <c r="A348" s="111" t="s">
        <v>12</v>
      </c>
      <c r="B348" s="25">
        <v>46093</v>
      </c>
      <c r="C348" s="52"/>
      <c r="D348" s="52"/>
      <c r="E348" s="181">
        <v>15046.2928</v>
      </c>
      <c r="F348" s="181">
        <v>7.663256</v>
      </c>
      <c r="G348" s="181">
        <v>7.455252</v>
      </c>
      <c r="H348" s="181">
        <v>25.9041666666667</v>
      </c>
      <c r="I348" s="182">
        <v>0.814364745831088</v>
      </c>
      <c r="J348" s="182">
        <v>0.260028563528273</v>
      </c>
      <c r="K348" s="181"/>
      <c r="L348" s="181"/>
      <c r="M348" s="108">
        <v>2411</v>
      </c>
    </row>
    <row r="349" spans="1:13">
      <c r="A349" s="111" t="s">
        <v>12</v>
      </c>
      <c r="B349" s="25">
        <v>46094</v>
      </c>
      <c r="C349" s="52"/>
      <c r="D349" s="52"/>
      <c r="E349" s="181">
        <v>14650.1388</v>
      </c>
      <c r="F349" s="181">
        <v>7.398292</v>
      </c>
      <c r="G349" s="181">
        <v>7.191848</v>
      </c>
      <c r="H349" s="181">
        <v>26.4904166666667</v>
      </c>
      <c r="I349" s="182">
        <v>0.821321252315467</v>
      </c>
      <c r="J349" s="182">
        <v>0.253182268768146</v>
      </c>
      <c r="K349" s="181"/>
      <c r="L349" s="181"/>
      <c r="M349" s="108">
        <v>2411</v>
      </c>
    </row>
    <row r="350" spans="1:13">
      <c r="A350" s="111" t="s">
        <v>12</v>
      </c>
      <c r="B350" s="25">
        <v>46095</v>
      </c>
      <c r="C350" s="52"/>
      <c r="D350" s="52"/>
      <c r="E350" s="181">
        <v>13241.3598</v>
      </c>
      <c r="F350" s="181">
        <v>6.636849</v>
      </c>
      <c r="G350" s="181">
        <v>6.439954</v>
      </c>
      <c r="H350" s="181">
        <v>27.1170833333333</v>
      </c>
      <c r="I350" s="182">
        <v>0.82751035956433</v>
      </c>
      <c r="J350" s="182">
        <v>0.228835887598507</v>
      </c>
      <c r="K350" s="181"/>
      <c r="L350" s="181"/>
      <c r="M350" s="108">
        <v>2411</v>
      </c>
    </row>
    <row r="351" spans="1:13">
      <c r="A351" s="111" t="s">
        <v>12</v>
      </c>
      <c r="B351" s="25">
        <v>46096</v>
      </c>
      <c r="C351" s="52"/>
      <c r="D351" s="52"/>
      <c r="E351" s="181">
        <v>13651.1188</v>
      </c>
      <c r="F351" s="181">
        <v>6.877185</v>
      </c>
      <c r="G351" s="181">
        <v>6.678864</v>
      </c>
      <c r="H351" s="181">
        <v>27.6904166666667</v>
      </c>
      <c r="I351" s="182">
        <v>0.823304195448601</v>
      </c>
      <c r="J351" s="182">
        <v>0.235917302640675</v>
      </c>
      <c r="K351" s="181"/>
      <c r="L351" s="181"/>
      <c r="M351" s="108">
        <v>2411</v>
      </c>
    </row>
    <row r="352" spans="1:13">
      <c r="A352" s="111" t="s">
        <v>12</v>
      </c>
      <c r="B352" s="25">
        <v>46097</v>
      </c>
      <c r="C352" s="52"/>
      <c r="D352" s="52"/>
      <c r="E352" s="181">
        <v>13310.2838</v>
      </c>
      <c r="F352" s="181">
        <v>6.690841</v>
      </c>
      <c r="G352" s="181">
        <v>6.494659</v>
      </c>
      <c r="H352" s="181">
        <v>28.0104166666667</v>
      </c>
      <c r="I352" s="182">
        <v>0.825105335866604</v>
      </c>
      <c r="J352" s="182">
        <v>0.23002702543896</v>
      </c>
      <c r="K352" s="181"/>
      <c r="L352" s="181"/>
      <c r="M352" s="108">
        <v>2411</v>
      </c>
    </row>
    <row r="353" spans="1:13">
      <c r="A353" s="111" t="s">
        <v>12</v>
      </c>
      <c r="B353" s="25">
        <v>46098</v>
      </c>
      <c r="C353" s="52"/>
      <c r="D353" s="52"/>
      <c r="E353" s="181">
        <v>14329.8448</v>
      </c>
      <c r="F353" s="181">
        <v>7.392776</v>
      </c>
      <c r="G353" s="181">
        <v>7.168726</v>
      </c>
      <c r="H353" s="181">
        <v>31.5216666666667</v>
      </c>
      <c r="I353" s="182">
        <v>0.803964234674916</v>
      </c>
      <c r="J353" s="182">
        <v>0.247646979123462</v>
      </c>
      <c r="K353" s="181"/>
      <c r="L353" s="181"/>
      <c r="M353" s="108">
        <v>2411</v>
      </c>
    </row>
    <row r="354" spans="1:13">
      <c r="A354" s="111" t="s">
        <v>12</v>
      </c>
      <c r="B354" s="25">
        <v>46099</v>
      </c>
      <c r="C354" s="52"/>
      <c r="D354" s="52"/>
      <c r="E354" s="181">
        <v>13255.3568</v>
      </c>
      <c r="F354" s="181">
        <v>6.680898</v>
      </c>
      <c r="G354" s="181">
        <v>6.471601</v>
      </c>
      <c r="H354" s="181">
        <v>29.13625</v>
      </c>
      <c r="I354" s="182">
        <v>0.822923322174779</v>
      </c>
      <c r="J354" s="182">
        <v>0.229077782386285</v>
      </c>
      <c r="K354" s="181"/>
      <c r="L354" s="181"/>
      <c r="M354" s="108">
        <v>2411</v>
      </c>
    </row>
    <row r="355" spans="1:13">
      <c r="A355" s="111" t="s">
        <v>12</v>
      </c>
      <c r="B355" s="25">
        <v>46100</v>
      </c>
      <c r="C355" s="52"/>
      <c r="D355" s="52"/>
      <c r="E355" s="181">
        <v>13382.6238</v>
      </c>
      <c r="F355" s="181">
        <v>6.753088</v>
      </c>
      <c r="G355" s="181">
        <v>6.541877</v>
      </c>
      <c r="H355" s="181">
        <v>28.6633333333333</v>
      </c>
      <c r="I355" s="182">
        <v>0.821942903482321</v>
      </c>
      <c r="J355" s="182">
        <v>0.231277198257984</v>
      </c>
      <c r="K355" s="181"/>
      <c r="L355" s="181"/>
      <c r="M355" s="108">
        <v>2411</v>
      </c>
    </row>
    <row r="356" spans="1:13">
      <c r="A356" s="111" t="s">
        <v>12</v>
      </c>
      <c r="B356" s="25">
        <v>46101</v>
      </c>
      <c r="C356" s="52"/>
      <c r="D356" s="52"/>
      <c r="E356" s="181">
        <v>11567.3568</v>
      </c>
      <c r="F356" s="181">
        <v>6.016799</v>
      </c>
      <c r="G356" s="181">
        <v>5.814628</v>
      </c>
      <c r="H356" s="181">
        <v>27.3254166666667</v>
      </c>
      <c r="I356" s="182">
        <v>0.797391162239859</v>
      </c>
      <c r="J356" s="182">
        <v>0.199905931148901</v>
      </c>
      <c r="K356" s="181"/>
      <c r="L356" s="181"/>
      <c r="M356" s="108">
        <v>2411</v>
      </c>
    </row>
    <row r="357" spans="1:13">
      <c r="A357" s="111" t="s">
        <v>12</v>
      </c>
      <c r="B357" s="25">
        <v>46102</v>
      </c>
      <c r="C357" s="52"/>
      <c r="D357" s="52"/>
      <c r="E357" s="181">
        <v>12.7168</v>
      </c>
      <c r="F357" s="181">
        <v>6.905913</v>
      </c>
      <c r="G357" s="181">
        <v>6.691818</v>
      </c>
      <c r="H357" s="181">
        <v>27.4904166666667</v>
      </c>
      <c r="I357" s="182">
        <v>0.000763764604632245</v>
      </c>
      <c r="J357" s="182">
        <v>0.000219770496336237</v>
      </c>
      <c r="K357" s="181"/>
      <c r="L357" s="181"/>
      <c r="M357" s="108">
        <v>2411</v>
      </c>
    </row>
    <row r="358" spans="1:13">
      <c r="A358" s="111" t="s">
        <v>12</v>
      </c>
      <c r="B358" s="25">
        <v>46103</v>
      </c>
      <c r="C358" s="52"/>
      <c r="D358" s="52"/>
      <c r="E358" s="181">
        <v>14120.6478</v>
      </c>
      <c r="F358" s="181">
        <v>7.175829</v>
      </c>
      <c r="G358" s="181">
        <v>6.958433</v>
      </c>
      <c r="H358" s="181">
        <v>29.0091666666667</v>
      </c>
      <c r="I358" s="182">
        <v>0.81617883700005</v>
      </c>
      <c r="J358" s="182">
        <v>0.244031656988801</v>
      </c>
      <c r="K358" s="181"/>
      <c r="L358" s="181"/>
      <c r="M358" s="108">
        <v>2411</v>
      </c>
    </row>
    <row r="359" spans="1:13">
      <c r="A359" s="111" t="s">
        <v>12</v>
      </c>
      <c r="B359" s="25">
        <v>46104</v>
      </c>
      <c r="C359" s="52"/>
      <c r="D359" s="52"/>
      <c r="E359" s="181">
        <v>14707.8098</v>
      </c>
      <c r="F359" s="181">
        <v>7.472773</v>
      </c>
      <c r="G359" s="181">
        <v>7.246624</v>
      </c>
      <c r="H359" s="181">
        <v>28.1770833333333</v>
      </c>
      <c r="I359" s="182">
        <v>0.816336104504128</v>
      </c>
      <c r="J359" s="182">
        <v>0.254178933360984</v>
      </c>
      <c r="K359" s="181"/>
      <c r="L359" s="181"/>
      <c r="M359" s="108">
        <v>2411</v>
      </c>
    </row>
    <row r="360" spans="1:13">
      <c r="A360" s="111" t="s">
        <v>12</v>
      </c>
      <c r="B360" s="25">
        <v>46105</v>
      </c>
      <c r="C360" s="52"/>
      <c r="D360" s="52"/>
      <c r="E360" s="181">
        <v>14394.4208</v>
      </c>
      <c r="F360" s="181">
        <v>7.308874</v>
      </c>
      <c r="G360" s="181">
        <v>7.091619</v>
      </c>
      <c r="H360" s="181">
        <v>28.515</v>
      </c>
      <c r="I360" s="182">
        <v>0.816857891660956</v>
      </c>
      <c r="J360" s="182">
        <v>0.248762975252316</v>
      </c>
      <c r="K360" s="181"/>
      <c r="L360" s="181"/>
      <c r="M360" s="108">
        <v>2411</v>
      </c>
    </row>
    <row r="361" spans="1:13">
      <c r="A361" s="111" t="s">
        <v>12</v>
      </c>
      <c r="B361" s="25">
        <v>46106</v>
      </c>
      <c r="C361" s="52"/>
      <c r="D361" s="52"/>
      <c r="E361" s="181">
        <v>14541.1708</v>
      </c>
      <c r="F361" s="181">
        <v>7.382126</v>
      </c>
      <c r="G361" s="181">
        <v>7.160093</v>
      </c>
      <c r="H361" s="181">
        <v>28.3445833333333</v>
      </c>
      <c r="I361" s="182">
        <v>0.816997470143364</v>
      </c>
      <c r="J361" s="182">
        <v>0.251299094428315</v>
      </c>
      <c r="K361" s="181"/>
      <c r="L361" s="181"/>
      <c r="M361" s="108">
        <v>2411</v>
      </c>
    </row>
    <row r="362" spans="1:13">
      <c r="A362" s="111" t="s">
        <v>12</v>
      </c>
      <c r="B362" s="25">
        <v>46107</v>
      </c>
      <c r="C362" s="52"/>
      <c r="D362" s="52"/>
      <c r="E362" s="181">
        <v>14105.7438</v>
      </c>
      <c r="F362" s="181">
        <v>7.117544</v>
      </c>
      <c r="G362" s="181">
        <v>6.902444</v>
      </c>
      <c r="H362" s="181">
        <v>27.84</v>
      </c>
      <c r="I362" s="182">
        <v>0.821993949088799</v>
      </c>
      <c r="J362" s="182">
        <v>0.243774087515554</v>
      </c>
      <c r="K362" s="181"/>
      <c r="L362" s="181"/>
      <c r="M362" s="108">
        <v>2411</v>
      </c>
    </row>
    <row r="363" spans="1:13">
      <c r="A363" s="111" t="s">
        <v>12</v>
      </c>
      <c r="B363" s="25">
        <v>46108</v>
      </c>
      <c r="C363" s="52"/>
      <c r="D363" s="52"/>
      <c r="E363" s="181">
        <v>13415.4198</v>
      </c>
      <c r="F363" s="181">
        <v>6.813169</v>
      </c>
      <c r="G363" s="181">
        <v>6.603986</v>
      </c>
      <c r="H363" s="181">
        <v>30.1691666666667</v>
      </c>
      <c r="I363" s="182">
        <v>0.8166912361475</v>
      </c>
      <c r="J363" s="182">
        <v>0.231843975528826</v>
      </c>
      <c r="K363" s="181"/>
      <c r="L363" s="181"/>
      <c r="M363" s="108">
        <v>2411</v>
      </c>
    </row>
    <row r="364" spans="1:13">
      <c r="A364" s="111" t="s">
        <v>12</v>
      </c>
      <c r="B364" s="25">
        <v>46109</v>
      </c>
      <c r="C364" s="52"/>
      <c r="D364" s="52"/>
      <c r="E364" s="181">
        <v>13774.7218</v>
      </c>
      <c r="F364" s="181">
        <v>6.990955</v>
      </c>
      <c r="G364" s="181">
        <v>6.777298</v>
      </c>
      <c r="H364" s="181">
        <v>29.8395833333333</v>
      </c>
      <c r="I364" s="182">
        <v>0.817239067184418</v>
      </c>
      <c r="J364" s="182">
        <v>0.23805339762201</v>
      </c>
      <c r="K364" s="181"/>
      <c r="L364" s="181"/>
      <c r="M364" s="108">
        <v>2411</v>
      </c>
    </row>
    <row r="365" spans="1:13">
      <c r="A365" s="111" t="s">
        <v>12</v>
      </c>
      <c r="B365" s="25">
        <v>46110</v>
      </c>
      <c r="C365" s="52"/>
      <c r="D365" s="52"/>
      <c r="E365" s="181">
        <v>12772.9648</v>
      </c>
      <c r="F365" s="181">
        <v>6.406829</v>
      </c>
      <c r="G365" s="181">
        <v>6.197234</v>
      </c>
      <c r="H365" s="181">
        <v>28.8258333333333</v>
      </c>
      <c r="I365" s="182">
        <v>0.826896916128808</v>
      </c>
      <c r="J365" s="182">
        <v>0.220741130927692</v>
      </c>
      <c r="K365" s="181"/>
      <c r="L365" s="181"/>
      <c r="M365" s="108">
        <v>2411</v>
      </c>
    </row>
    <row r="366" spans="1:13">
      <c r="A366" s="111" t="s">
        <v>12</v>
      </c>
      <c r="B366" s="25">
        <v>46111</v>
      </c>
      <c r="C366" s="52"/>
      <c r="D366" s="52"/>
      <c r="E366" s="181">
        <v>13702.3128</v>
      </c>
      <c r="F366" s="181">
        <v>6.93729</v>
      </c>
      <c r="G366" s="181">
        <v>6.724865</v>
      </c>
      <c r="H366" s="181">
        <v>29.5108333333333</v>
      </c>
      <c r="I366" s="182">
        <v>0.819231829207271</v>
      </c>
      <c r="J366" s="182">
        <v>0.236802032351721</v>
      </c>
      <c r="K366" s="181"/>
      <c r="L366" s="181"/>
      <c r="M366" s="108">
        <v>2411</v>
      </c>
    </row>
    <row r="367" ht="15.75" spans="1:13">
      <c r="A367" s="183" t="s">
        <v>12</v>
      </c>
      <c r="B367" s="101">
        <v>46112</v>
      </c>
      <c r="C367" s="120"/>
      <c r="D367" s="120"/>
      <c r="E367" s="120">
        <v>14336.7508</v>
      </c>
      <c r="F367" s="120">
        <v>7.350502</v>
      </c>
      <c r="G367" s="120">
        <v>7.130775</v>
      </c>
      <c r="H367" s="120">
        <v>30.8566666666667</v>
      </c>
      <c r="I367" s="120">
        <v>0.808977654940181</v>
      </c>
      <c r="J367" s="120">
        <v>0.24776632794138</v>
      </c>
      <c r="K367" s="120"/>
      <c r="L367" s="120"/>
      <c r="M367" s="122"/>
    </row>
  </sheetData>
  <sheetProtection algorithmName="SHA-512" hashValue="yrEq1QzRjWkojTraOqOM2NAiAL2G+HI1UuC7ggExycRALNd07GSr9LLs8n7NLpEBZiDqe5W/Ifv5G72smckt0Q==" saltValue="iKEtb1alpe5vekOXDjH/RA==" spinCount="100000" sheet="1" objects="1" scenario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20" zoomScaleNormal="120" workbookViewId="0">
      <selection activeCell="B4" sqref="B4"/>
    </sheetView>
  </sheetViews>
  <sheetFormatPr defaultColWidth="0" defaultRowHeight="14.25"/>
  <cols>
    <col min="1" max="1" width="14" style="132" customWidth="1"/>
    <col min="2" max="3" width="13.75" style="132" customWidth="1"/>
    <col min="4" max="4" width="13" style="132" customWidth="1"/>
    <col min="5" max="5" width="12" style="132" customWidth="1"/>
    <col min="6" max="6" width="13.75" style="132" customWidth="1"/>
    <col min="7" max="7" width="12.25" style="132" customWidth="1"/>
    <col min="8" max="8" width="12" style="132" customWidth="1"/>
    <col min="9" max="9" width="13.75" style="132" customWidth="1"/>
    <col min="10" max="10" width="12.25" style="132" customWidth="1"/>
    <col min="11" max="11" width="12" style="132" customWidth="1"/>
    <col min="12" max="12" width="5.125" style="132" customWidth="1"/>
    <col min="13" max="16384" width="8.25" style="132" hidden="1"/>
  </cols>
  <sheetData>
    <row r="1" ht="14.45" customHeight="1" spans="1:12">
      <c r="A1" s="133" t="s">
        <v>13</v>
      </c>
      <c r="B1" s="134"/>
      <c r="C1" s="134"/>
      <c r="D1" s="134"/>
      <c r="E1" s="134"/>
      <c r="F1" s="134"/>
      <c r="G1" s="134"/>
      <c r="H1" s="134"/>
      <c r="I1" s="134"/>
      <c r="J1" s="134"/>
      <c r="K1" s="135"/>
    </row>
    <row r="2" ht="14.45" customHeight="1" spans="1:12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8"/>
    </row>
    <row r="3" spans="1:12">
      <c r="A3" s="139"/>
      <c r="B3" s="140">
        <f>DATE(YEAR(B4),MONTH(B4),1)</f>
        <v>46174</v>
      </c>
      <c r="C3" s="141">
        <f>VLOOKUP(L3,Basic_Data!$A$28:$B$48,2,0)</f>
        <v>45748</v>
      </c>
      <c r="D3" s="139"/>
      <c r="G3" s="139"/>
      <c r="H3" s="139"/>
      <c r="I3" s="139"/>
      <c r="J3" s="139"/>
      <c r="K3" s="142"/>
      <c r="L3" s="143" t="s">
        <v>14</v>
      </c>
    </row>
    <row r="4" ht="17.25" spans="1:12">
      <c r="A4" s="144" t="s">
        <v>1</v>
      </c>
      <c r="B4" s="145">
        <v>46181</v>
      </c>
      <c r="C4" s="146" t="s">
        <v>15</v>
      </c>
      <c r="D4" s="147"/>
      <c r="E4" s="148">
        <f>Basic_Data!F10</f>
        <v>1925</v>
      </c>
      <c r="F4" s="146" t="s">
        <v>16</v>
      </c>
      <c r="G4" s="147"/>
      <c r="H4" s="149">
        <f>Basic_Data!G10</f>
        <v>2411.08</v>
      </c>
      <c r="I4" s="146" t="s">
        <v>17</v>
      </c>
      <c r="J4" s="147"/>
      <c r="K4" s="150">
        <f>Basic_Data!B3</f>
        <v>45745</v>
      </c>
    </row>
    <row r="5" ht="17.25" spans="1:12">
      <c r="A5" s="151" t="s">
        <v>0</v>
      </c>
      <c r="B5" s="151"/>
      <c r="C5" s="152" t="s">
        <v>18</v>
      </c>
      <c r="D5" s="152"/>
      <c r="E5" s="152"/>
      <c r="F5" s="152" t="s">
        <v>19</v>
      </c>
      <c r="G5" s="152"/>
      <c r="H5" s="152"/>
      <c r="I5" s="152" t="s">
        <v>20</v>
      </c>
      <c r="J5" s="152"/>
      <c r="K5" s="152"/>
    </row>
    <row r="6" ht="17.25" spans="1:12">
      <c r="A6" s="153"/>
      <c r="B6" s="153"/>
      <c r="C6" s="153" t="s">
        <v>21</v>
      </c>
      <c r="D6" s="153" t="s">
        <v>22</v>
      </c>
      <c r="E6" s="153" t="s">
        <v>23</v>
      </c>
      <c r="F6" s="153" t="s">
        <v>21</v>
      </c>
      <c r="G6" s="153" t="s">
        <v>22</v>
      </c>
      <c r="H6" s="153" t="s">
        <v>23</v>
      </c>
      <c r="I6" s="153" t="s">
        <v>21</v>
      </c>
      <c r="J6" s="153" t="s">
        <v>22</v>
      </c>
      <c r="K6" s="153" t="s">
        <v>23</v>
      </c>
    </row>
    <row r="7" ht="15.75" spans="1:12">
      <c r="A7" s="154" t="s">
        <v>24</v>
      </c>
      <c r="B7" s="155"/>
      <c r="C7" s="156">
        <f>SUMIFS(Budgeted_Data!$E:$E,Budgeted_Data!$B:$B,'E-Mail_Copy'!$B$4)</f>
        <v>0</v>
      </c>
      <c r="D7" s="157">
        <f>SUMIFS(Data_Entry!$T:$T,Data_Entry!$C:$C,'E-Mail_Copy'!$B$4)</f>
        <v>12959.9999999998</v>
      </c>
      <c r="E7" s="158" t="e">
        <f>(D7-C7)/C7</f>
        <v>#DIV/0!</v>
      </c>
      <c r="F7" s="156">
        <f>SUMIFS(Budgeted_Data!$E:$E,Budgeted_Data!$B:$B,"&gt;="&amp;'E-Mail_Copy'!$B$3,Budgeted_Data!$B:$B,"&lt;="&amp;'E-Mail_Copy'!$B$4)</f>
        <v>0</v>
      </c>
      <c r="G7" s="157">
        <f>SUMIFS(Data_Entry!$T:$T,Data_Entry!$C:$C,"&gt;="&amp;'E-Mail_Copy'!$B$3,Data_Entry!$C:$C,"&lt;="&amp;'E-Mail_Copy'!$B$4)</f>
        <v>95070</v>
      </c>
      <c r="H7" s="158" t="e">
        <f>(G7-F7)/F7</f>
        <v>#DIV/0!</v>
      </c>
      <c r="I7" s="159">
        <f>SUMIFS(Budgeted_Data!$E:$E,Budgeted_Data!$B:$B,"&gt;="&amp;'E-Mail_Copy'!$C$3,Budgeted_Data!$B:$B,"&lt;="&amp;'E-Mail_Copy'!$B$4)</f>
        <v>4073422.3775</v>
      </c>
      <c r="J7" s="157">
        <f>SUMIFS(Data_Entry!$T:$T,Data_Entry!$C:$C,"&gt;="&amp;'E-Mail_Copy'!$C$3,Data_Entry!$C:$C,"&lt;="&amp;'E-Mail_Copy'!$B$4)</f>
        <v>4734060</v>
      </c>
      <c r="K7" s="158">
        <f>(J7-I7)/I7</f>
        <v>0.162182450351602</v>
      </c>
    </row>
    <row r="8" ht="16.5" spans="1:12">
      <c r="A8" s="160" t="s">
        <v>25</v>
      </c>
      <c r="B8" s="161"/>
      <c r="C8" s="162">
        <f>SUMIFS(Budgeted_Data!$F:$F,Budgeted_Data!$B:$B,'E-Mail_Copy'!$B$4)</f>
        <v>0</v>
      </c>
      <c r="D8" s="163">
        <f>SUMIFS(Data_Entry!$V:$V,Data_Entry!$C:$C,'E-Mail_Copy'!B4)</f>
        <v>4.36</v>
      </c>
      <c r="E8" s="164" t="e">
        <f t="shared" ref="E8:E13" si="0">(D8-C8)/C8</f>
        <v>#DIV/0!</v>
      </c>
      <c r="F8" s="162">
        <f>SUMIFS(Budgeted_Data!$F:$F,Budgeted_Data!$B:$B,"&gt;="&amp;'E-Mail_Copy'!$B$3,Budgeted_Data!$B:$B,"&lt;="&amp;'E-Mail_Copy'!$B$4)</f>
        <v>0</v>
      </c>
      <c r="G8" s="163">
        <f>SUMIFS(Data_Entry!$V:$V,Data_Entry!$C:$C,"&gt;="&amp;'E-Mail_Copy'!$B$3,Data_Entry!$C:$C,"&lt;="&amp;'E-Mail_Copy'!$B$4)</f>
        <v>37.95</v>
      </c>
      <c r="H8" s="164" t="e">
        <f t="shared" ref="H8:H13" si="1">(G8-F8)/F8</f>
        <v>#DIV/0!</v>
      </c>
      <c r="I8" s="165">
        <f>SUMIFS(Budgeted_Data!$F:$F,Budgeted_Data!$B:$B,"&gt;="&amp;'E-Mail_Copy'!$C$3,Budgeted_Data!$B:$B,"&lt;="&amp;'E-Mail_Copy'!$B$4)</f>
        <v>2079.3682734</v>
      </c>
      <c r="J8" s="163">
        <f>SUMIFS(Data_Entry!$V:$V,Data_Entry!$C:$C,"&gt;="&amp;'E-Mail_Copy'!$C$3,Data_Entry!$C:$C,"&lt;="&amp;'E-Mail_Copy'!$B$4)</f>
        <v>1678.168</v>
      </c>
      <c r="K8" s="164">
        <f t="shared" ref="K8:K13" si="2">(J8-I8)/I8</f>
        <v>-0.192943346559766</v>
      </c>
    </row>
    <row r="9" ht="16.5" spans="1:12">
      <c r="A9" s="160" t="s">
        <v>26</v>
      </c>
      <c r="B9" s="161"/>
      <c r="C9" s="162">
        <f>SUMIFS(Budgeted_Data!$G:$G,Budgeted_Data!$B:$B,'E-Mail_Copy'!$B$4)</f>
        <v>0</v>
      </c>
      <c r="D9" s="163">
        <f>SUMIFS(Data_Entry!$U:$U,Data_Entry!$C:$C,'E-Mail_Copy'!$B$4)</f>
        <v>0</v>
      </c>
      <c r="E9" s="164" t="e">
        <f t="shared" si="0"/>
        <v>#DIV/0!</v>
      </c>
      <c r="F9" s="162">
        <f>SUMIFS(Budgeted_Data!$G:$G,Budgeted_Data!$B:$B,"&gt;="&amp;'E-Mail_Copy'!$B$3,Budgeted_Data!$B:$B,"&lt;="&amp;'E-Mail_Copy'!$B$4)</f>
        <v>0</v>
      </c>
      <c r="G9" s="163">
        <f>SUMIFS(Data_Entry!$U:$U,Data_Entry!$C:$C,"&gt;="&amp;'E-Mail_Copy'!$B$3,Data_Entry!$C:$C,"&lt;="&amp;'E-Mail_Copy'!$B$4)</f>
        <v>0</v>
      </c>
      <c r="H9" s="164" t="e">
        <f t="shared" si="1"/>
        <v>#DIV/0!</v>
      </c>
      <c r="I9" s="165">
        <f>SUMIFS(Budgeted_Data!$G:$G,Budgeted_Data!$B:$B,"&gt;="&amp;'E-Mail_Copy'!$C$3,Budgeted_Data!$B:$B,"&lt;="&amp;'E-Mail_Copy'!$B$4)</f>
        <v>2005.4308289</v>
      </c>
      <c r="J9" s="163">
        <f>SUMIFS(Data_Entry!$U:$U,Data_Entry!$C:$C,"&gt;="&amp;'E-Mail_Copy'!$C$3,Data_Entry!$C:$C,"&lt;="&amp;'E-Mail_Copy'!$B$4)</f>
        <v>3.9</v>
      </c>
      <c r="K9" s="164">
        <f t="shared" si="2"/>
        <v>-0.998055280718837</v>
      </c>
    </row>
    <row r="10" ht="15" spans="1:12">
      <c r="A10" s="160" t="s">
        <v>27</v>
      </c>
      <c r="B10" s="161"/>
      <c r="C10" s="166" t="e">
        <f>C7/C8/H4</f>
        <v>#DIV/0!</v>
      </c>
      <c r="D10" s="166">
        <f>D7/D8/H4</f>
        <v>1.23284049646637</v>
      </c>
      <c r="E10" s="164" t="e">
        <f t="shared" si="0"/>
        <v>#DIV/0!</v>
      </c>
      <c r="F10" s="166" t="e">
        <f>F7/F8/H4/(B4-B3+1)</f>
        <v>#DIV/0!</v>
      </c>
      <c r="G10" s="166">
        <f>G7/G8/H4/(B4-B3+1)</f>
        <v>0.129876359345239</v>
      </c>
      <c r="H10" s="164" t="e">
        <f t="shared" si="1"/>
        <v>#DIV/0!</v>
      </c>
      <c r="I10" s="167">
        <f>I7/I8/H4/(($B$4-$C$3)+1)</f>
        <v>0.00187208981914338</v>
      </c>
      <c r="J10" s="167">
        <f>J7/J8/H4/(($B$4-$C$3)+1)</f>
        <v>0.00269585774928681</v>
      </c>
      <c r="K10" s="164">
        <f t="shared" si="2"/>
        <v>0.440025858652644</v>
      </c>
    </row>
    <row r="11" ht="15" spans="1:12">
      <c r="A11" s="160" t="s">
        <v>28</v>
      </c>
      <c r="B11" s="161"/>
      <c r="C11" s="166">
        <f>C7/E4/24</f>
        <v>0</v>
      </c>
      <c r="D11" s="168">
        <f>D7/24/E4</f>
        <v>0.280519480519476</v>
      </c>
      <c r="E11" s="164" t="e">
        <f t="shared" si="0"/>
        <v>#DIV/0!</v>
      </c>
      <c r="F11" s="166">
        <f>F7/24/E4/(B4-B3+1)</f>
        <v>0</v>
      </c>
      <c r="G11" s="168">
        <f>G7/24/E4/(B4-B3+1)</f>
        <v>0.257224025974026</v>
      </c>
      <c r="H11" s="164" t="e">
        <f t="shared" si="1"/>
        <v>#DIV/0!</v>
      </c>
      <c r="I11" s="167">
        <f>I7/24/$E$4/(($B$4-$C$3)+1)</f>
        <v>0.203155104908532</v>
      </c>
      <c r="J11" s="167">
        <f>J7/24/$E$4/(($B$4-$C$3)+1)</f>
        <v>0.236103297624035</v>
      </c>
      <c r="K11" s="164">
        <f t="shared" si="2"/>
        <v>0.162182450351602</v>
      </c>
    </row>
    <row r="12" ht="15" spans="1:12">
      <c r="A12" s="160" t="s">
        <v>29</v>
      </c>
      <c r="B12" s="161"/>
      <c r="C12" s="162" t="e">
        <f>AVERAGEIFS(Budgeted_Data!$L:$L,Budgeted_Data!$B:$B,'E-Mail_Copy'!$B$4)</f>
        <v>#DIV/0!</v>
      </c>
      <c r="D12" s="163" t="e">
        <f>AVERAGEIFS(Data_Entry!$Y:$Y,Data_Entry!$C:$C,'E-Mail_Copy'!$B$4)</f>
        <v>#DIV/0!</v>
      </c>
      <c r="E12" s="164" t="e">
        <f t="shared" si="0"/>
        <v>#DIV/0!</v>
      </c>
      <c r="F12" s="162" t="e">
        <f>AVERAGEIFS(Budgeted_Data!$L:$L,Budgeted_Data!$B:$B,"&gt;="&amp;'E-Mail_Copy'!$B$3,Budgeted_Data!$B:$B,"&lt;="&amp;'E-Mail_Copy'!$B$4)</f>
        <v>#DIV/0!</v>
      </c>
      <c r="G12" s="163" t="e">
        <f>AVERAGEIFS(Data_Entry!$Y:$Y,Data_Entry!$C:$C,"&gt;="&amp;'E-Mail_Copy'!$B$3,Data_Entry!$C:$C,"&lt;="&amp;'E-Mail_Copy'!$B$4)</f>
        <v>#DIV/0!</v>
      </c>
      <c r="H12" s="164" t="e">
        <f t="shared" si="1"/>
        <v>#DIV/0!</v>
      </c>
      <c r="I12" s="162" t="e">
        <f>AVERAGEIFS(Budgeted_Data!$L:$L,Budgeted_Data!$B:$B,"&gt;="&amp;'E-Mail_Copy'!$C$3,Budgeted_Data!$B:$B,"&lt;="&amp;'E-Mail_Copy'!$B$4)</f>
        <v>#DIV/0!</v>
      </c>
      <c r="J12" s="163" t="e">
        <f>AVERAGEIFS(Data_Entry!$Y:$Y,Data_Entry!$C:$C,"&gt;="&amp;'E-Mail_Copy'!$C$3,Data_Entry!$C:$C,"&lt;="&amp;'E-Mail_Copy'!$B$4)</f>
        <v>#DIV/0!</v>
      </c>
      <c r="K12" s="164" t="e">
        <f t="shared" si="2"/>
        <v>#DIV/0!</v>
      </c>
    </row>
    <row r="13" ht="17.25" spans="1:12">
      <c r="A13" s="169" t="s">
        <v>30</v>
      </c>
      <c r="B13" s="170"/>
      <c r="C13" s="171" t="e">
        <f>AVERAGEIFS(Budgeted_Data!$H:$H,Budgeted_Data!$B:$B,'E-Mail_Copy'!$B$4)</f>
        <v>#DIV/0!</v>
      </c>
      <c r="D13" s="172">
        <f>AVERAGEIFS(Data_Entry!$W:$W,Data_Entry!$C:$C,'E-Mail_Copy'!$B$4)</f>
        <v>33.41</v>
      </c>
      <c r="E13" s="173" t="e">
        <f t="shared" si="0"/>
        <v>#DIV/0!</v>
      </c>
      <c r="F13" s="171" t="e">
        <f>AVERAGEIFS(Budgeted_Data!$H:$H,Budgeted_Data!$B:$B,"&gt;="&amp;'E-Mail_Copy'!$B$3,Budgeted_Data!$B:$B,"&lt;="&amp;'E-Mail_Copy'!$B$4)</f>
        <v>#DIV/0!</v>
      </c>
      <c r="G13" s="172">
        <f>AVERAGEIFS(Data_Entry!$W:$W,Data_Entry!$C:$C,"&gt;="&amp;'E-Mail_Copy'!$B$3,Data_Entry!$C:$C,"&lt;="&amp;'E-Mail_Copy'!$B$4)</f>
        <v>34.145</v>
      </c>
      <c r="H13" s="173" t="e">
        <f t="shared" si="1"/>
        <v>#DIV/0!</v>
      </c>
      <c r="I13" s="174">
        <f>AVERAGEIFS(Budgeted_Data!$H:$H,Budgeted_Data!$B:$B,"&gt;="&amp;'E-Mail_Copy'!$C$3,Budgeted_Data!$B:$B,"&lt;="&amp;'E-Mail_Copy'!$B$4)</f>
        <v>27.2710730593607</v>
      </c>
      <c r="J13" s="172">
        <f>AVERAGEIFS(Data_Entry!$W:$W,Data_Entry!$C:$C,"&gt;="&amp;'E-Mail_Copy'!$C$3,Data_Entry!$C:$C,"&lt;="&amp;'E-Mail_Copy'!$B$4)</f>
        <v>30.2208541114059</v>
      </c>
      <c r="K13" s="173">
        <f t="shared" si="2"/>
        <v>0.108165199279999</v>
      </c>
    </row>
    <row r="14" ht="15" spans="1:12">
      <c r="C14" s="132" t="s">
        <v>31</v>
      </c>
    </row>
    <row r="17" spans="9:9">
      <c r="I17" s="175"/>
    </row>
  </sheetData>
  <sheetProtection algorithmName="SHA-512" hashValue="VM20qZ7VTCkb2GmEaylMqaeO/dQCQo4wkgdMu817XAKrVKpCcZD1hJWwjw74dukxGHAEMOMLPKTQC2Xiv/YfUQ==" saltValue="1J+XEtHoD9nz0jHy2k+qaw==" spinCount="100000" sheet="1" objects="1" scenarios="1"/>
  <protectedRanges>
    <protectedRange sqref="L3" name="Range1"/>
  </protectedRanges>
  <mergeCells count="15">
    <mergeCell ref="C4:D4"/>
    <mergeCell ref="F4:G4"/>
    <mergeCell ref="I4:J4"/>
    <mergeCell ref="C5:E5"/>
    <mergeCell ref="F5:H5"/>
    <mergeCell ref="I5:K5"/>
    <mergeCell ref="A7:B7"/>
    <mergeCell ref="A8:B8"/>
    <mergeCell ref="A9:B9"/>
    <mergeCell ref="A10:B10"/>
    <mergeCell ref="A11:B11"/>
    <mergeCell ref="A12:B12"/>
    <mergeCell ref="A13:B13"/>
    <mergeCell ref="A1:K2"/>
    <mergeCell ref="A5:B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98"/>
  <sheetViews>
    <sheetView workbookViewId="0">
      <pane xSplit="1" ySplit="3" topLeftCell="B13" activePane="bottomRight" state="frozen"/>
      <selection/>
      <selection pane="topRight"/>
      <selection pane="bottomLeft"/>
      <selection pane="bottomRight" activeCell="A22" sqref="A22"/>
    </sheetView>
  </sheetViews>
  <sheetFormatPr defaultColWidth="12" defaultRowHeight="15" customHeight="1"/>
  <cols>
    <col min="1" max="1" width="27.625" style="90" customWidth="1"/>
    <col min="2" max="2" width="9" style="90" customWidth="1"/>
    <col min="3" max="7" width="6.75" style="90" customWidth="1"/>
    <col min="8" max="9" width="6.25" style="90" customWidth="1"/>
    <col min="10" max="11" width="6.75" style="90" customWidth="1"/>
    <col min="12" max="12" width="6.875" style="90" customWidth="1"/>
    <col min="13" max="14" width="6.75" style="90" customWidth="1"/>
    <col min="15" max="31" width="6.25" style="90" customWidth="1"/>
    <col min="32" max="32" width="7" style="90" customWidth="1"/>
    <col min="33" max="16384" width="12" style="90"/>
  </cols>
  <sheetData>
    <row r="1" ht="14.25" customHeight="1" spans="1:33">
      <c r="A1" s="124" t="s">
        <v>32</v>
      </c>
    </row>
    <row r="2" ht="14.25" customHeight="1"/>
    <row r="3" ht="14.25" customHeight="1" spans="1:33">
      <c r="A3" s="125" t="s">
        <v>33</v>
      </c>
      <c r="B3" s="126">
        <f>'E-Mail_Copy'!B4</f>
        <v>46181</v>
      </c>
      <c r="C3" s="126">
        <f>B3+1</f>
        <v>46182</v>
      </c>
      <c r="D3" s="126">
        <f t="shared" ref="D3:AF3" si="0">C3+1</f>
        <v>46183</v>
      </c>
      <c r="E3" s="126">
        <f t="shared" si="0"/>
        <v>46184</v>
      </c>
      <c r="F3" s="126">
        <f t="shared" si="0"/>
        <v>46185</v>
      </c>
      <c r="G3" s="126">
        <f t="shared" si="0"/>
        <v>46186</v>
      </c>
      <c r="H3" s="126">
        <f t="shared" si="0"/>
        <v>46187</v>
      </c>
      <c r="I3" s="126">
        <f t="shared" si="0"/>
        <v>46188</v>
      </c>
      <c r="J3" s="126">
        <f t="shared" si="0"/>
        <v>46189</v>
      </c>
      <c r="K3" s="126">
        <f t="shared" si="0"/>
        <v>46190</v>
      </c>
      <c r="L3" s="126">
        <f t="shared" si="0"/>
        <v>46191</v>
      </c>
      <c r="M3" s="126">
        <f t="shared" si="0"/>
        <v>46192</v>
      </c>
      <c r="N3" s="126">
        <f t="shared" si="0"/>
        <v>46193</v>
      </c>
      <c r="O3" s="126">
        <f t="shared" si="0"/>
        <v>46194</v>
      </c>
      <c r="P3" s="126">
        <f t="shared" si="0"/>
        <v>46195</v>
      </c>
      <c r="Q3" s="126">
        <f t="shared" si="0"/>
        <v>46196</v>
      </c>
      <c r="R3" s="126">
        <f t="shared" si="0"/>
        <v>46197</v>
      </c>
      <c r="S3" s="126">
        <f t="shared" si="0"/>
        <v>46198</v>
      </c>
      <c r="T3" s="126">
        <f t="shared" si="0"/>
        <v>46199</v>
      </c>
      <c r="U3" s="126">
        <f t="shared" si="0"/>
        <v>46200</v>
      </c>
      <c r="V3" s="126">
        <f t="shared" si="0"/>
        <v>46201</v>
      </c>
      <c r="W3" s="126">
        <f t="shared" si="0"/>
        <v>46202</v>
      </c>
      <c r="X3" s="126">
        <f t="shared" si="0"/>
        <v>46203</v>
      </c>
      <c r="Y3" s="126">
        <f t="shared" si="0"/>
        <v>46204</v>
      </c>
      <c r="Z3" s="126">
        <f t="shared" si="0"/>
        <v>46205</v>
      </c>
      <c r="AA3" s="126">
        <f t="shared" si="0"/>
        <v>46206</v>
      </c>
      <c r="AB3" s="126">
        <f t="shared" si="0"/>
        <v>46207</v>
      </c>
      <c r="AC3" s="126">
        <f t="shared" si="0"/>
        <v>46208</v>
      </c>
      <c r="AD3" s="126">
        <f t="shared" si="0"/>
        <v>46209</v>
      </c>
      <c r="AE3" s="126">
        <f t="shared" si="0"/>
        <v>46210</v>
      </c>
      <c r="AF3" s="126">
        <f t="shared" si="0"/>
        <v>46211</v>
      </c>
      <c r="AG3" s="125" t="s">
        <v>34</v>
      </c>
    </row>
    <row r="4" ht="14.25" customHeight="1" spans="1:33">
      <c r="A4" s="127" t="s">
        <v>35</v>
      </c>
      <c r="B4" s="128">
        <f>IFERROR(VLOOKUP(B$3,Data_Entry!$C:$AB,Data_Entry!$A2,0),"")</f>
        <v>1843.22</v>
      </c>
      <c r="C4" s="128">
        <f>IFERROR(VLOOKUP(C$3,Data_Entry!$C:$AB,Data_Entry!$A2,0),"")</f>
        <v>0</v>
      </c>
      <c r="D4" s="128">
        <f>IFERROR(VLOOKUP(D$3,Data_Entry!$C:$AB,Data_Entry!$A2,0),"")</f>
        <v>0</v>
      </c>
      <c r="E4" s="128">
        <f>IFERROR(VLOOKUP(E$3,Data_Entry!$C:$AB,Data_Entry!$A2,0),"")</f>
        <v>0</v>
      </c>
      <c r="F4" s="128">
        <f>IFERROR(VLOOKUP(F$3,Data_Entry!$C:$AB,Data_Entry!$A2,0),"")</f>
        <v>0</v>
      </c>
      <c r="G4" s="128">
        <f>IFERROR(VLOOKUP(G$3,Data_Entry!$C:$AB,Data_Entry!$A2,0),"")</f>
        <v>0</v>
      </c>
      <c r="H4" s="128">
        <f>IFERROR(VLOOKUP(H$3,Data_Entry!$C:$AB,Data_Entry!$A2,0),"")</f>
        <v>0</v>
      </c>
      <c r="I4" s="128">
        <f>IFERROR(VLOOKUP(I$3,Data_Entry!$C:$AB,Data_Entry!$A2,0),"")</f>
        <v>0</v>
      </c>
      <c r="J4" s="128" t="str">
        <f>IFERROR(VLOOKUP(J$3,Data_Entry!$C:$AB,Data_Entry!$A2,0),"")</f>
        <v/>
      </c>
      <c r="K4" s="128" t="str">
        <f>IFERROR(VLOOKUP(K$3,Data_Entry!$C:$AB,Data_Entry!$A2,0),"")</f>
        <v/>
      </c>
      <c r="L4" s="128" t="str">
        <f>IFERROR(VLOOKUP(L$3,Data_Entry!$C:$AB,Data_Entry!$A2,0),"")</f>
        <v/>
      </c>
      <c r="M4" s="128" t="str">
        <f>IFERROR(VLOOKUP(M$3,Data_Entry!$C:$AB,Data_Entry!$A2,0),"")</f>
        <v/>
      </c>
      <c r="N4" s="128" t="str">
        <f>IFERROR(VLOOKUP(N$3,Data_Entry!$C:$AB,Data_Entry!$A2,0),"")</f>
        <v/>
      </c>
      <c r="O4" s="128" t="str">
        <f>IFERROR(VLOOKUP(O$3,Data_Entry!$C:$AB,Data_Entry!$A2,0),"")</f>
        <v/>
      </c>
      <c r="P4" s="128" t="str">
        <f>IFERROR(VLOOKUP(P$3,Data_Entry!$C:$AB,Data_Entry!$A2,0),"")</f>
        <v/>
      </c>
      <c r="Q4" s="128" t="str">
        <f>IFERROR(VLOOKUP(Q$3,Data_Entry!$C:$AB,Data_Entry!$A2,0),"")</f>
        <v/>
      </c>
      <c r="R4" s="128" t="str">
        <f>IFERROR(VLOOKUP(R$3,Data_Entry!$C:$AB,Data_Entry!$A2,0),"")</f>
        <v/>
      </c>
      <c r="S4" s="128" t="str">
        <f>IFERROR(VLOOKUP(S$3,Data_Entry!$C:$AB,Data_Entry!$A2,0),"")</f>
        <v/>
      </c>
      <c r="T4" s="128" t="str">
        <f>IFERROR(VLOOKUP(T$3,Data_Entry!$C:$AB,Data_Entry!$A2,0),"")</f>
        <v/>
      </c>
      <c r="U4" s="128" t="str">
        <f>IFERROR(VLOOKUP(U$3,Data_Entry!$C:$AB,Data_Entry!$A2,0),"")</f>
        <v/>
      </c>
      <c r="V4" s="128" t="str">
        <f>IFERROR(VLOOKUP(V$3,Data_Entry!$C:$AB,Data_Entry!$A2,0),"")</f>
        <v/>
      </c>
      <c r="W4" s="128" t="str">
        <f>IFERROR(VLOOKUP(W$3,Data_Entry!$C:$AB,Data_Entry!$A2,0),"")</f>
        <v/>
      </c>
      <c r="X4" s="128" t="str">
        <f>IFERROR(VLOOKUP(X$3,Data_Entry!$C:$AB,Data_Entry!$A2,0),"")</f>
        <v/>
      </c>
      <c r="Y4" s="128" t="str">
        <f>IFERROR(VLOOKUP(Y$3,Data_Entry!$C:$AB,Data_Entry!$A2,0),"")</f>
        <v/>
      </c>
      <c r="Z4" s="128" t="str">
        <f>IFERROR(VLOOKUP(Z$3,Data_Entry!$C:$AB,Data_Entry!$A2,0),"")</f>
        <v/>
      </c>
      <c r="AA4" s="128" t="str">
        <f>IFERROR(VLOOKUP(AA$3,Data_Entry!$C:$AB,Data_Entry!$A2,0),"")</f>
        <v/>
      </c>
      <c r="AB4" s="128" t="str">
        <f>IFERROR(VLOOKUP(AB$3,Data_Entry!$C:$AB,Data_Entry!$A2,0),"")</f>
        <v/>
      </c>
      <c r="AC4" s="128" t="str">
        <f>IFERROR(VLOOKUP(AC$3,Data_Entry!$C:$AB,Data_Entry!$A2,0),"")</f>
        <v/>
      </c>
      <c r="AD4" s="128" t="str">
        <f>IFERROR(VLOOKUP(AD$3,Data_Entry!$C:$AB,Data_Entry!$A2,0),"")</f>
        <v/>
      </c>
      <c r="AE4" s="128" t="str">
        <f>IFERROR(VLOOKUP(AE$3,Data_Entry!$C:$AB,Data_Entry!$A2,0),"")</f>
        <v/>
      </c>
      <c r="AF4" s="128" t="str">
        <f>IFERROR(VLOOKUP(AF$3,Data_Entry!$C:$AB,Data_Entry!$A2,0),"")</f>
        <v/>
      </c>
      <c r="AG4" s="128">
        <f>IFERROR(SUM(B4:AF4),"")</f>
        <v>1843.22</v>
      </c>
    </row>
    <row r="5" ht="14.25" customHeight="1" spans="1:33">
      <c r="A5" s="127" t="s">
        <v>36</v>
      </c>
      <c r="B5" s="128">
        <f>IFERROR(VLOOKUP(B$3,Data_Entry!$C:$AB,Data_Entry!$A3,0),"")</f>
        <v>1838.4</v>
      </c>
      <c r="C5" s="128">
        <f>IFERROR(VLOOKUP(C$3,Data_Entry!$C:$AB,Data_Entry!$A3,0),"")</f>
        <v>0</v>
      </c>
      <c r="D5" s="128">
        <f>IFERROR(VLOOKUP(D$3,Data_Entry!$C:$AB,Data_Entry!$A3,0),"")</f>
        <v>0</v>
      </c>
      <c r="E5" s="128">
        <f>IFERROR(VLOOKUP(E$3,Data_Entry!$C:$AB,Data_Entry!$A3,0),"")</f>
        <v>0</v>
      </c>
      <c r="F5" s="128">
        <f>IFERROR(VLOOKUP(F$3,Data_Entry!$C:$AB,Data_Entry!$A3,0),"")</f>
        <v>0</v>
      </c>
      <c r="G5" s="128">
        <f>IFERROR(VLOOKUP(G$3,Data_Entry!$C:$AB,Data_Entry!$A3,0),"")</f>
        <v>0</v>
      </c>
      <c r="H5" s="128">
        <f>IFERROR(VLOOKUP(H$3,Data_Entry!$C:$AB,Data_Entry!$A3,0),"")</f>
        <v>0</v>
      </c>
      <c r="I5" s="128">
        <f>IFERROR(VLOOKUP(I$3,Data_Entry!$C:$AB,Data_Entry!$A3,0),"")</f>
        <v>0</v>
      </c>
      <c r="J5" s="128" t="str">
        <f>IFERROR(VLOOKUP(J$3,Data_Entry!$C:$AB,Data_Entry!$A3,0),"")</f>
        <v/>
      </c>
      <c r="K5" s="128" t="str">
        <f>IFERROR(VLOOKUP(K$3,Data_Entry!$C:$AB,Data_Entry!$A3,0),"")</f>
        <v/>
      </c>
      <c r="L5" s="128" t="str">
        <f>IFERROR(VLOOKUP(L$3,Data_Entry!$C:$AB,Data_Entry!$A3,0),"")</f>
        <v/>
      </c>
      <c r="M5" s="128" t="str">
        <f>IFERROR(VLOOKUP(M$3,Data_Entry!$C:$AB,Data_Entry!$A3,0),"")</f>
        <v/>
      </c>
      <c r="N5" s="128" t="str">
        <f>IFERROR(VLOOKUP(N$3,Data_Entry!$C:$AB,Data_Entry!$A3,0),"")</f>
        <v/>
      </c>
      <c r="O5" s="128" t="str">
        <f>IFERROR(VLOOKUP(O$3,Data_Entry!$C:$AB,Data_Entry!$A3,0),"")</f>
        <v/>
      </c>
      <c r="P5" s="128" t="str">
        <f>IFERROR(VLOOKUP(P$3,Data_Entry!$C:$AB,Data_Entry!$A3,0),"")</f>
        <v/>
      </c>
      <c r="Q5" s="128" t="str">
        <f>IFERROR(VLOOKUP(Q$3,Data_Entry!$C:$AB,Data_Entry!$A3,0),"")</f>
        <v/>
      </c>
      <c r="R5" s="128" t="str">
        <f>IFERROR(VLOOKUP(R$3,Data_Entry!$C:$AB,Data_Entry!$A3,0),"")</f>
        <v/>
      </c>
      <c r="S5" s="128" t="str">
        <f>IFERROR(VLOOKUP(S$3,Data_Entry!$C:$AB,Data_Entry!$A3,0),"")</f>
        <v/>
      </c>
      <c r="T5" s="128" t="str">
        <f>IFERROR(VLOOKUP(T$3,Data_Entry!$C:$AB,Data_Entry!$A3,0),"")</f>
        <v/>
      </c>
      <c r="U5" s="128" t="str">
        <f>IFERROR(VLOOKUP(U$3,Data_Entry!$C:$AB,Data_Entry!$A3,0),"")</f>
        <v/>
      </c>
      <c r="V5" s="128" t="str">
        <f>IFERROR(VLOOKUP(V$3,Data_Entry!$C:$AB,Data_Entry!$A3,0),"")</f>
        <v/>
      </c>
      <c r="W5" s="128" t="str">
        <f>IFERROR(VLOOKUP(W$3,Data_Entry!$C:$AB,Data_Entry!$A3,0),"")</f>
        <v/>
      </c>
      <c r="X5" s="128" t="str">
        <f>IFERROR(VLOOKUP(X$3,Data_Entry!$C:$AB,Data_Entry!$A3,0),"")</f>
        <v/>
      </c>
      <c r="Y5" s="128" t="str">
        <f>IFERROR(VLOOKUP(Y$3,Data_Entry!$C:$AB,Data_Entry!$A3,0),"")</f>
        <v/>
      </c>
      <c r="Z5" s="128" t="str">
        <f>IFERROR(VLOOKUP(Z$3,Data_Entry!$C:$AB,Data_Entry!$A3,0),"")</f>
        <v/>
      </c>
      <c r="AA5" s="128" t="str">
        <f>IFERROR(VLOOKUP(AA$3,Data_Entry!$C:$AB,Data_Entry!$A3,0),"")</f>
        <v/>
      </c>
      <c r="AB5" s="128" t="str">
        <f>IFERROR(VLOOKUP(AB$3,Data_Entry!$C:$AB,Data_Entry!$A3,0),"")</f>
        <v/>
      </c>
      <c r="AC5" s="128" t="str">
        <f>IFERROR(VLOOKUP(AC$3,Data_Entry!$C:$AB,Data_Entry!$A3,0),"")</f>
        <v/>
      </c>
      <c r="AD5" s="128" t="str">
        <f>IFERROR(VLOOKUP(AD$3,Data_Entry!$C:$AB,Data_Entry!$A3,0),"")</f>
        <v/>
      </c>
      <c r="AE5" s="128" t="str">
        <f>IFERROR(VLOOKUP(AE$3,Data_Entry!$C:$AB,Data_Entry!$A3,0),"")</f>
        <v/>
      </c>
      <c r="AF5" s="128" t="str">
        <f>IFERROR(VLOOKUP(AF$3,Data_Entry!$C:$AB,Data_Entry!$A3,0),"")</f>
        <v/>
      </c>
      <c r="AG5" s="128">
        <f t="shared" ref="AG5:AG10" si="1">IFERROR(SUM(B5:AF5),"")</f>
        <v>1838.4</v>
      </c>
    </row>
    <row r="6" ht="14.25" customHeight="1" spans="1:33">
      <c r="A6" s="127" t="s">
        <v>37</v>
      </c>
      <c r="B6" s="128">
        <f>IFERROR(VLOOKUP(B$3,Data_Entry!$C:$AB,Data_Entry!$A4,0),"")</f>
        <v>1835.24</v>
      </c>
      <c r="C6" s="128">
        <f>IFERROR(VLOOKUP(C$3,Data_Entry!$C:$AB,Data_Entry!$A4,0),"")</f>
        <v>0</v>
      </c>
      <c r="D6" s="128">
        <f>IFERROR(VLOOKUP(D$3,Data_Entry!$C:$AB,Data_Entry!$A4,0),"")</f>
        <v>0</v>
      </c>
      <c r="E6" s="128">
        <f>IFERROR(VLOOKUP(E$3,Data_Entry!$C:$AB,Data_Entry!$A4,0),"")</f>
        <v>0</v>
      </c>
      <c r="F6" s="128">
        <f>IFERROR(VLOOKUP(F$3,Data_Entry!$C:$AB,Data_Entry!$A4,0),"")</f>
        <v>0</v>
      </c>
      <c r="G6" s="128">
        <f>IFERROR(VLOOKUP(G$3,Data_Entry!$C:$AB,Data_Entry!$A4,0),"")</f>
        <v>0</v>
      </c>
      <c r="H6" s="128">
        <f>IFERROR(VLOOKUP(H$3,Data_Entry!$C:$AB,Data_Entry!$A4,0),"")</f>
        <v>0</v>
      </c>
      <c r="I6" s="128">
        <f>IFERROR(VLOOKUP(I$3,Data_Entry!$C:$AB,Data_Entry!$A4,0),"")</f>
        <v>0</v>
      </c>
      <c r="J6" s="128" t="str">
        <f>IFERROR(VLOOKUP(J$3,Data_Entry!$C:$AB,Data_Entry!$A4,0),"")</f>
        <v/>
      </c>
      <c r="K6" s="128" t="str">
        <f>IFERROR(VLOOKUP(K$3,Data_Entry!$C:$AB,Data_Entry!$A4,0),"")</f>
        <v/>
      </c>
      <c r="L6" s="128" t="str">
        <f>IFERROR(VLOOKUP(L$3,Data_Entry!$C:$AB,Data_Entry!$A4,0),"")</f>
        <v/>
      </c>
      <c r="M6" s="128" t="str">
        <f>IFERROR(VLOOKUP(M$3,Data_Entry!$C:$AB,Data_Entry!$A4,0),"")</f>
        <v/>
      </c>
      <c r="N6" s="128" t="str">
        <f>IFERROR(VLOOKUP(N$3,Data_Entry!$C:$AB,Data_Entry!$A4,0),"")</f>
        <v/>
      </c>
      <c r="O6" s="128" t="str">
        <f>IFERROR(VLOOKUP(O$3,Data_Entry!$C:$AB,Data_Entry!$A4,0),"")</f>
        <v/>
      </c>
      <c r="P6" s="128" t="str">
        <f>IFERROR(VLOOKUP(P$3,Data_Entry!$C:$AB,Data_Entry!$A4,0),"")</f>
        <v/>
      </c>
      <c r="Q6" s="128" t="str">
        <f>IFERROR(VLOOKUP(Q$3,Data_Entry!$C:$AB,Data_Entry!$A4,0),"")</f>
        <v/>
      </c>
      <c r="R6" s="128" t="str">
        <f>IFERROR(VLOOKUP(R$3,Data_Entry!$C:$AB,Data_Entry!$A4,0),"")</f>
        <v/>
      </c>
      <c r="S6" s="128" t="str">
        <f>IFERROR(VLOOKUP(S$3,Data_Entry!$C:$AB,Data_Entry!$A4,0),"")</f>
        <v/>
      </c>
      <c r="T6" s="128" t="str">
        <f>IFERROR(VLOOKUP(T$3,Data_Entry!$C:$AB,Data_Entry!$A4,0),"")</f>
        <v/>
      </c>
      <c r="U6" s="128" t="str">
        <f>IFERROR(VLOOKUP(U$3,Data_Entry!$C:$AB,Data_Entry!$A4,0),"")</f>
        <v/>
      </c>
      <c r="V6" s="128" t="str">
        <f>IFERROR(VLOOKUP(V$3,Data_Entry!$C:$AB,Data_Entry!$A4,0),"")</f>
        <v/>
      </c>
      <c r="W6" s="128" t="str">
        <f>IFERROR(VLOOKUP(W$3,Data_Entry!$C:$AB,Data_Entry!$A4,0),"")</f>
        <v/>
      </c>
      <c r="X6" s="128" t="str">
        <f>IFERROR(VLOOKUP(X$3,Data_Entry!$C:$AB,Data_Entry!$A4,0),"")</f>
        <v/>
      </c>
      <c r="Y6" s="128" t="str">
        <f>IFERROR(VLOOKUP(Y$3,Data_Entry!$C:$AB,Data_Entry!$A4,0),"")</f>
        <v/>
      </c>
      <c r="Z6" s="128" t="str">
        <f>IFERROR(VLOOKUP(Z$3,Data_Entry!$C:$AB,Data_Entry!$A4,0),"")</f>
        <v/>
      </c>
      <c r="AA6" s="128" t="str">
        <f>IFERROR(VLOOKUP(AA$3,Data_Entry!$C:$AB,Data_Entry!$A4,0),"")</f>
        <v/>
      </c>
      <c r="AB6" s="128" t="str">
        <f>IFERROR(VLOOKUP(AB$3,Data_Entry!$C:$AB,Data_Entry!$A4,0),"")</f>
        <v/>
      </c>
      <c r="AC6" s="128" t="str">
        <f>IFERROR(VLOOKUP(AC$3,Data_Entry!$C:$AB,Data_Entry!$A4,0),"")</f>
        <v/>
      </c>
      <c r="AD6" s="128" t="str">
        <f>IFERROR(VLOOKUP(AD$3,Data_Entry!$C:$AB,Data_Entry!$A4,0),"")</f>
        <v/>
      </c>
      <c r="AE6" s="128" t="str">
        <f>IFERROR(VLOOKUP(AE$3,Data_Entry!$C:$AB,Data_Entry!$A4,0),"")</f>
        <v/>
      </c>
      <c r="AF6" s="128" t="str">
        <f>IFERROR(VLOOKUP(AF$3,Data_Entry!$C:$AB,Data_Entry!$A4,0),"")</f>
        <v/>
      </c>
      <c r="AG6" s="128">
        <f t="shared" si="1"/>
        <v>1835.24</v>
      </c>
    </row>
    <row r="7" ht="14.25" customHeight="1" spans="1:33">
      <c r="A7" s="127" t="s">
        <v>38</v>
      </c>
      <c r="B7" s="128">
        <f>IFERROR(VLOOKUP(B$3,Data_Entry!$C:$AB,Data_Entry!$A5,0),"")</f>
        <v>1906.74</v>
      </c>
      <c r="C7" s="128">
        <f>IFERROR(VLOOKUP(C$3,Data_Entry!$C:$AB,Data_Entry!$A5,0),"")</f>
        <v>0</v>
      </c>
      <c r="D7" s="128">
        <f>IFERROR(VLOOKUP(D$3,Data_Entry!$C:$AB,Data_Entry!$A5,0),"")</f>
        <v>0</v>
      </c>
      <c r="E7" s="128">
        <f>IFERROR(VLOOKUP(E$3,Data_Entry!$C:$AB,Data_Entry!$A5,0),"")</f>
        <v>0</v>
      </c>
      <c r="F7" s="128">
        <f>IFERROR(VLOOKUP(F$3,Data_Entry!$C:$AB,Data_Entry!$A5,0),"")</f>
        <v>0</v>
      </c>
      <c r="G7" s="128">
        <f>IFERROR(VLOOKUP(G$3,Data_Entry!$C:$AB,Data_Entry!$A5,0),"")</f>
        <v>0</v>
      </c>
      <c r="H7" s="128">
        <f>IFERROR(VLOOKUP(H$3,Data_Entry!$C:$AB,Data_Entry!$A5,0),"")</f>
        <v>0</v>
      </c>
      <c r="I7" s="128">
        <f>IFERROR(VLOOKUP(I$3,Data_Entry!$C:$AB,Data_Entry!$A5,0),"")</f>
        <v>0</v>
      </c>
      <c r="J7" s="128" t="str">
        <f>IFERROR(VLOOKUP(J$3,Data_Entry!$C:$AB,Data_Entry!$A5,0),"")</f>
        <v/>
      </c>
      <c r="K7" s="128" t="str">
        <f>IFERROR(VLOOKUP(K$3,Data_Entry!$C:$AB,Data_Entry!$A5,0),"")</f>
        <v/>
      </c>
      <c r="L7" s="128" t="str">
        <f>IFERROR(VLOOKUP(L$3,Data_Entry!$C:$AB,Data_Entry!$A5,0),"")</f>
        <v/>
      </c>
      <c r="M7" s="128" t="str">
        <f>IFERROR(VLOOKUP(M$3,Data_Entry!$C:$AB,Data_Entry!$A5,0),"")</f>
        <v/>
      </c>
      <c r="N7" s="128" t="str">
        <f>IFERROR(VLOOKUP(N$3,Data_Entry!$C:$AB,Data_Entry!$A5,0),"")</f>
        <v/>
      </c>
      <c r="O7" s="128" t="str">
        <f>IFERROR(VLOOKUP(O$3,Data_Entry!$C:$AB,Data_Entry!$A5,0),"")</f>
        <v/>
      </c>
      <c r="P7" s="128" t="str">
        <f>IFERROR(VLOOKUP(P$3,Data_Entry!$C:$AB,Data_Entry!$A5,0),"")</f>
        <v/>
      </c>
      <c r="Q7" s="128" t="str">
        <f>IFERROR(VLOOKUP(Q$3,Data_Entry!$C:$AB,Data_Entry!$A5,0),"")</f>
        <v/>
      </c>
      <c r="R7" s="128" t="str">
        <f>IFERROR(VLOOKUP(R$3,Data_Entry!$C:$AB,Data_Entry!$A5,0),"")</f>
        <v/>
      </c>
      <c r="S7" s="128" t="str">
        <f>IFERROR(VLOOKUP(S$3,Data_Entry!$C:$AB,Data_Entry!$A5,0),"")</f>
        <v/>
      </c>
      <c r="T7" s="128" t="str">
        <f>IFERROR(VLOOKUP(T$3,Data_Entry!$C:$AB,Data_Entry!$A5,0),"")</f>
        <v/>
      </c>
      <c r="U7" s="128" t="str">
        <f>IFERROR(VLOOKUP(U$3,Data_Entry!$C:$AB,Data_Entry!$A5,0),"")</f>
        <v/>
      </c>
      <c r="V7" s="128" t="str">
        <f>IFERROR(VLOOKUP(V$3,Data_Entry!$C:$AB,Data_Entry!$A5,0),"")</f>
        <v/>
      </c>
      <c r="W7" s="128" t="str">
        <f>IFERROR(VLOOKUP(W$3,Data_Entry!$C:$AB,Data_Entry!$A5,0),"")</f>
        <v/>
      </c>
      <c r="X7" s="128" t="str">
        <f>IFERROR(VLOOKUP(X$3,Data_Entry!$C:$AB,Data_Entry!$A5,0),"")</f>
        <v/>
      </c>
      <c r="Y7" s="128" t="str">
        <f>IFERROR(VLOOKUP(Y$3,Data_Entry!$C:$AB,Data_Entry!$A5,0),"")</f>
        <v/>
      </c>
      <c r="Z7" s="128" t="str">
        <f>IFERROR(VLOOKUP(Z$3,Data_Entry!$C:$AB,Data_Entry!$A5,0),"")</f>
        <v/>
      </c>
      <c r="AA7" s="128" t="str">
        <f>IFERROR(VLOOKUP(AA$3,Data_Entry!$C:$AB,Data_Entry!$A5,0),"")</f>
        <v/>
      </c>
      <c r="AB7" s="128" t="str">
        <f>IFERROR(VLOOKUP(AB$3,Data_Entry!$C:$AB,Data_Entry!$A5,0),"")</f>
        <v/>
      </c>
      <c r="AC7" s="128" t="str">
        <f>IFERROR(VLOOKUP(AC$3,Data_Entry!$C:$AB,Data_Entry!$A5,0),"")</f>
        <v/>
      </c>
      <c r="AD7" s="128" t="str">
        <f>IFERROR(VLOOKUP(AD$3,Data_Entry!$C:$AB,Data_Entry!$A5,0),"")</f>
        <v/>
      </c>
      <c r="AE7" s="128" t="str">
        <f>IFERROR(VLOOKUP(AE$3,Data_Entry!$C:$AB,Data_Entry!$A5,0),"")</f>
        <v/>
      </c>
      <c r="AF7" s="128" t="str">
        <f>IFERROR(VLOOKUP(AF$3,Data_Entry!$C:$AB,Data_Entry!$A5,0),"")</f>
        <v/>
      </c>
      <c r="AG7" s="128">
        <f t="shared" si="1"/>
        <v>1906.74</v>
      </c>
    </row>
    <row r="8" ht="14.25" customHeight="1" spans="1:33">
      <c r="A8" s="127" t="s">
        <v>39</v>
      </c>
      <c r="B8" s="128">
        <f>IFERROR(VLOOKUP(B$3,Data_Entry!$C:$AB,Data_Entry!$A6,0),"")</f>
        <v>1900.18</v>
      </c>
      <c r="C8" s="128">
        <f>IFERROR(VLOOKUP(C$3,Data_Entry!$C:$AB,Data_Entry!$A6,0),"")</f>
        <v>0</v>
      </c>
      <c r="D8" s="128">
        <f>IFERROR(VLOOKUP(D$3,Data_Entry!$C:$AB,Data_Entry!$A6,0),"")</f>
        <v>0</v>
      </c>
      <c r="E8" s="128">
        <f>IFERROR(VLOOKUP(E$3,Data_Entry!$C:$AB,Data_Entry!$A6,0),"")</f>
        <v>0</v>
      </c>
      <c r="F8" s="128">
        <f>IFERROR(VLOOKUP(F$3,Data_Entry!$C:$AB,Data_Entry!$A6,0),"")</f>
        <v>0</v>
      </c>
      <c r="G8" s="128">
        <f>IFERROR(VLOOKUP(G$3,Data_Entry!$C:$AB,Data_Entry!$A6,0),"")</f>
        <v>0</v>
      </c>
      <c r="H8" s="128">
        <f>IFERROR(VLOOKUP(H$3,Data_Entry!$C:$AB,Data_Entry!$A6,0),"")</f>
        <v>0</v>
      </c>
      <c r="I8" s="128">
        <f>IFERROR(VLOOKUP(I$3,Data_Entry!$C:$AB,Data_Entry!$A6,0),"")</f>
        <v>0</v>
      </c>
      <c r="J8" s="128" t="str">
        <f>IFERROR(VLOOKUP(J$3,Data_Entry!$C:$AB,Data_Entry!$A6,0),"")</f>
        <v/>
      </c>
      <c r="K8" s="128" t="str">
        <f>IFERROR(VLOOKUP(K$3,Data_Entry!$C:$AB,Data_Entry!$A6,0),"")</f>
        <v/>
      </c>
      <c r="L8" s="128" t="str">
        <f>IFERROR(VLOOKUP(L$3,Data_Entry!$C:$AB,Data_Entry!$A6,0),"")</f>
        <v/>
      </c>
      <c r="M8" s="128" t="str">
        <f>IFERROR(VLOOKUP(M$3,Data_Entry!$C:$AB,Data_Entry!$A6,0),"")</f>
        <v/>
      </c>
      <c r="N8" s="128" t="str">
        <f>IFERROR(VLOOKUP(N$3,Data_Entry!$C:$AB,Data_Entry!$A6,0),"")</f>
        <v/>
      </c>
      <c r="O8" s="128" t="str">
        <f>IFERROR(VLOOKUP(O$3,Data_Entry!$C:$AB,Data_Entry!$A6,0),"")</f>
        <v/>
      </c>
      <c r="P8" s="128" t="str">
        <f>IFERROR(VLOOKUP(P$3,Data_Entry!$C:$AB,Data_Entry!$A6,0),"")</f>
        <v/>
      </c>
      <c r="Q8" s="128" t="str">
        <f>IFERROR(VLOOKUP(Q$3,Data_Entry!$C:$AB,Data_Entry!$A6,0),"")</f>
        <v/>
      </c>
      <c r="R8" s="128" t="str">
        <f>IFERROR(VLOOKUP(R$3,Data_Entry!$C:$AB,Data_Entry!$A6,0),"")</f>
        <v/>
      </c>
      <c r="S8" s="128" t="str">
        <f>IFERROR(VLOOKUP(S$3,Data_Entry!$C:$AB,Data_Entry!$A6,0),"")</f>
        <v/>
      </c>
      <c r="T8" s="128" t="str">
        <f>IFERROR(VLOOKUP(T$3,Data_Entry!$C:$AB,Data_Entry!$A6,0),"")</f>
        <v/>
      </c>
      <c r="U8" s="128" t="str">
        <f>IFERROR(VLOOKUP(U$3,Data_Entry!$C:$AB,Data_Entry!$A6,0),"")</f>
        <v/>
      </c>
      <c r="V8" s="128" t="str">
        <f>IFERROR(VLOOKUP(V$3,Data_Entry!$C:$AB,Data_Entry!$A6,0),"")</f>
        <v/>
      </c>
      <c r="W8" s="128" t="str">
        <f>IFERROR(VLOOKUP(W$3,Data_Entry!$C:$AB,Data_Entry!$A6,0),"")</f>
        <v/>
      </c>
      <c r="X8" s="128" t="str">
        <f>IFERROR(VLOOKUP(X$3,Data_Entry!$C:$AB,Data_Entry!$A6,0),"")</f>
        <v/>
      </c>
      <c r="Y8" s="128" t="str">
        <f>IFERROR(VLOOKUP(Y$3,Data_Entry!$C:$AB,Data_Entry!$A6,0),"")</f>
        <v/>
      </c>
      <c r="Z8" s="128" t="str">
        <f>IFERROR(VLOOKUP(Z$3,Data_Entry!$C:$AB,Data_Entry!$A6,0),"")</f>
        <v/>
      </c>
      <c r="AA8" s="128" t="str">
        <f>IFERROR(VLOOKUP(AA$3,Data_Entry!$C:$AB,Data_Entry!$A6,0),"")</f>
        <v/>
      </c>
      <c r="AB8" s="128" t="str">
        <f>IFERROR(VLOOKUP(AB$3,Data_Entry!$C:$AB,Data_Entry!$A6,0),"")</f>
        <v/>
      </c>
      <c r="AC8" s="128" t="str">
        <f>IFERROR(VLOOKUP(AC$3,Data_Entry!$C:$AB,Data_Entry!$A6,0),"")</f>
        <v/>
      </c>
      <c r="AD8" s="128" t="str">
        <f>IFERROR(VLOOKUP(AD$3,Data_Entry!$C:$AB,Data_Entry!$A6,0),"")</f>
        <v/>
      </c>
      <c r="AE8" s="128" t="str">
        <f>IFERROR(VLOOKUP(AE$3,Data_Entry!$C:$AB,Data_Entry!$A6,0),"")</f>
        <v/>
      </c>
      <c r="AF8" s="128" t="str">
        <f>IFERROR(VLOOKUP(AF$3,Data_Entry!$C:$AB,Data_Entry!$A6,0),"")</f>
        <v/>
      </c>
      <c r="AG8" s="128">
        <f t="shared" si="1"/>
        <v>1900.18</v>
      </c>
    </row>
    <row r="9" ht="14.25" customHeight="1" spans="1:33">
      <c r="A9" s="127" t="s">
        <v>40</v>
      </c>
      <c r="B9" s="128">
        <f>IFERROR(VLOOKUP(B$3,Data_Entry!$C:$AB,Data_Entry!$A7,0),"")</f>
        <v>1902.3</v>
      </c>
      <c r="C9" s="128">
        <f>IFERROR(VLOOKUP(C$3,Data_Entry!$C:$AB,Data_Entry!$A7,0),"")</f>
        <v>0</v>
      </c>
      <c r="D9" s="128">
        <f>IFERROR(VLOOKUP(D$3,Data_Entry!$C:$AB,Data_Entry!$A7,0),"")</f>
        <v>0</v>
      </c>
      <c r="E9" s="128">
        <f>IFERROR(VLOOKUP(E$3,Data_Entry!$C:$AB,Data_Entry!$A7,0),"")</f>
        <v>0</v>
      </c>
      <c r="F9" s="128">
        <f>IFERROR(VLOOKUP(F$3,Data_Entry!$C:$AB,Data_Entry!$A7,0),"")</f>
        <v>0</v>
      </c>
      <c r="G9" s="128">
        <f>IFERROR(VLOOKUP(G$3,Data_Entry!$C:$AB,Data_Entry!$A7,0),"")</f>
        <v>0</v>
      </c>
      <c r="H9" s="128">
        <f>IFERROR(VLOOKUP(H$3,Data_Entry!$C:$AB,Data_Entry!$A7,0),"")</f>
        <v>0</v>
      </c>
      <c r="I9" s="128">
        <f>IFERROR(VLOOKUP(I$3,Data_Entry!$C:$AB,Data_Entry!$A7,0),"")</f>
        <v>0</v>
      </c>
      <c r="J9" s="128" t="str">
        <f>IFERROR(VLOOKUP(J$3,Data_Entry!$C:$AB,Data_Entry!$A7,0),"")</f>
        <v/>
      </c>
      <c r="K9" s="128" t="str">
        <f>IFERROR(VLOOKUP(K$3,Data_Entry!$C:$AB,Data_Entry!$A7,0),"")</f>
        <v/>
      </c>
      <c r="L9" s="128" t="str">
        <f>IFERROR(VLOOKUP(L$3,Data_Entry!$C:$AB,Data_Entry!$A7,0),"")</f>
        <v/>
      </c>
      <c r="M9" s="128" t="str">
        <f>IFERROR(VLOOKUP(M$3,Data_Entry!$C:$AB,Data_Entry!$A7,0),"")</f>
        <v/>
      </c>
      <c r="N9" s="128" t="str">
        <f>IFERROR(VLOOKUP(N$3,Data_Entry!$C:$AB,Data_Entry!$A7,0),"")</f>
        <v/>
      </c>
      <c r="O9" s="128" t="str">
        <f>IFERROR(VLOOKUP(O$3,Data_Entry!$C:$AB,Data_Entry!$A7,0),"")</f>
        <v/>
      </c>
      <c r="P9" s="128" t="str">
        <f>IFERROR(VLOOKUP(P$3,Data_Entry!$C:$AB,Data_Entry!$A7,0),"")</f>
        <v/>
      </c>
      <c r="Q9" s="128" t="str">
        <f>IFERROR(VLOOKUP(Q$3,Data_Entry!$C:$AB,Data_Entry!$A7,0),"")</f>
        <v/>
      </c>
      <c r="R9" s="128" t="str">
        <f>IFERROR(VLOOKUP(R$3,Data_Entry!$C:$AB,Data_Entry!$A7,0),"")</f>
        <v/>
      </c>
      <c r="S9" s="128" t="str">
        <f>IFERROR(VLOOKUP(S$3,Data_Entry!$C:$AB,Data_Entry!$A7,0),"")</f>
        <v/>
      </c>
      <c r="T9" s="128" t="str">
        <f>IFERROR(VLOOKUP(T$3,Data_Entry!$C:$AB,Data_Entry!$A7,0),"")</f>
        <v/>
      </c>
      <c r="U9" s="128" t="str">
        <f>IFERROR(VLOOKUP(U$3,Data_Entry!$C:$AB,Data_Entry!$A7,0),"")</f>
        <v/>
      </c>
      <c r="V9" s="128" t="str">
        <f>IFERROR(VLOOKUP(V$3,Data_Entry!$C:$AB,Data_Entry!$A7,0),"")</f>
        <v/>
      </c>
      <c r="W9" s="128" t="str">
        <f>IFERROR(VLOOKUP(W$3,Data_Entry!$C:$AB,Data_Entry!$A7,0),"")</f>
        <v/>
      </c>
      <c r="X9" s="128" t="str">
        <f>IFERROR(VLOOKUP(X$3,Data_Entry!$C:$AB,Data_Entry!$A7,0),"")</f>
        <v/>
      </c>
      <c r="Y9" s="128" t="str">
        <f>IFERROR(VLOOKUP(Y$3,Data_Entry!$C:$AB,Data_Entry!$A7,0),"")</f>
        <v/>
      </c>
      <c r="Z9" s="128" t="str">
        <f>IFERROR(VLOOKUP(Z$3,Data_Entry!$C:$AB,Data_Entry!$A7,0),"")</f>
        <v/>
      </c>
      <c r="AA9" s="128" t="str">
        <f>IFERROR(VLOOKUP(AA$3,Data_Entry!$C:$AB,Data_Entry!$A7,0),"")</f>
        <v/>
      </c>
      <c r="AB9" s="128" t="str">
        <f>IFERROR(VLOOKUP(AB$3,Data_Entry!$C:$AB,Data_Entry!$A7,0),"")</f>
        <v/>
      </c>
      <c r="AC9" s="128" t="str">
        <f>IFERROR(VLOOKUP(AC$3,Data_Entry!$C:$AB,Data_Entry!$A7,0),"")</f>
        <v/>
      </c>
      <c r="AD9" s="128" t="str">
        <f>IFERROR(VLOOKUP(AD$3,Data_Entry!$C:$AB,Data_Entry!$A7,0),"")</f>
        <v/>
      </c>
      <c r="AE9" s="128" t="str">
        <f>IFERROR(VLOOKUP(AE$3,Data_Entry!$C:$AB,Data_Entry!$A7,0),"")</f>
        <v/>
      </c>
      <c r="AF9" s="128" t="str">
        <f>IFERROR(VLOOKUP(AF$3,Data_Entry!$C:$AB,Data_Entry!$A7,0),"")</f>
        <v/>
      </c>
      <c r="AG9" s="128">
        <f t="shared" si="1"/>
        <v>1902.3</v>
      </c>
    </row>
    <row r="10" ht="14.25" customHeight="1" spans="1:33">
      <c r="A10" s="127" t="s">
        <v>41</v>
      </c>
      <c r="B10" s="128">
        <f>IFERROR(VLOOKUP(B$3,Data_Entry!$C:$AB,Data_Entry!$A8,0),"")</f>
        <v>1902.22</v>
      </c>
      <c r="C10" s="128">
        <f>IFERROR(VLOOKUP(C$3,Data_Entry!$C:$AB,Data_Entry!$A8,0),"")</f>
        <v>0</v>
      </c>
      <c r="D10" s="128">
        <f>IFERROR(VLOOKUP(D$3,Data_Entry!$C:$AB,Data_Entry!$A8,0),"")</f>
        <v>0</v>
      </c>
      <c r="E10" s="128">
        <f>IFERROR(VLOOKUP(E$3,Data_Entry!$C:$AB,Data_Entry!$A8,0),"")</f>
        <v>0</v>
      </c>
      <c r="F10" s="128">
        <f>IFERROR(VLOOKUP(F$3,Data_Entry!$C:$AB,Data_Entry!$A8,0),"")</f>
        <v>0</v>
      </c>
      <c r="G10" s="128">
        <f>IFERROR(VLOOKUP(G$3,Data_Entry!$C:$AB,Data_Entry!$A8,0),"")</f>
        <v>0</v>
      </c>
      <c r="H10" s="128">
        <f>IFERROR(VLOOKUP(H$3,Data_Entry!$C:$AB,Data_Entry!$A8,0),"")</f>
        <v>0</v>
      </c>
      <c r="I10" s="128">
        <f>IFERROR(VLOOKUP(I$3,Data_Entry!$C:$AB,Data_Entry!$A8,0),"")</f>
        <v>0</v>
      </c>
      <c r="J10" s="128" t="str">
        <f>IFERROR(VLOOKUP(J$3,Data_Entry!$C:$AB,Data_Entry!$A8,0),"")</f>
        <v/>
      </c>
      <c r="K10" s="128" t="str">
        <f>IFERROR(VLOOKUP(K$3,Data_Entry!$C:$AB,Data_Entry!$A8,0),"")</f>
        <v/>
      </c>
      <c r="L10" s="128" t="str">
        <f>IFERROR(VLOOKUP(L$3,Data_Entry!$C:$AB,Data_Entry!$A8,0),"")</f>
        <v/>
      </c>
      <c r="M10" s="128" t="str">
        <f>IFERROR(VLOOKUP(M$3,Data_Entry!$C:$AB,Data_Entry!$A8,0),"")</f>
        <v/>
      </c>
      <c r="N10" s="128" t="str">
        <f>IFERROR(VLOOKUP(N$3,Data_Entry!$C:$AB,Data_Entry!$A8,0),"")</f>
        <v/>
      </c>
      <c r="O10" s="128" t="str">
        <f>IFERROR(VLOOKUP(O$3,Data_Entry!$C:$AB,Data_Entry!$A8,0),"")</f>
        <v/>
      </c>
      <c r="P10" s="128" t="str">
        <f>IFERROR(VLOOKUP(P$3,Data_Entry!$C:$AB,Data_Entry!$A8,0),"")</f>
        <v/>
      </c>
      <c r="Q10" s="128" t="str">
        <f>IFERROR(VLOOKUP(Q$3,Data_Entry!$C:$AB,Data_Entry!$A8,0),"")</f>
        <v/>
      </c>
      <c r="R10" s="128" t="str">
        <f>IFERROR(VLOOKUP(R$3,Data_Entry!$C:$AB,Data_Entry!$A8,0),"")</f>
        <v/>
      </c>
      <c r="S10" s="128" t="str">
        <f>IFERROR(VLOOKUP(S$3,Data_Entry!$C:$AB,Data_Entry!$A8,0),"")</f>
        <v/>
      </c>
      <c r="T10" s="128" t="str">
        <f>IFERROR(VLOOKUP(T$3,Data_Entry!$C:$AB,Data_Entry!$A8,0),"")</f>
        <v/>
      </c>
      <c r="U10" s="128" t="str">
        <f>IFERROR(VLOOKUP(U$3,Data_Entry!$C:$AB,Data_Entry!$A8,0),"")</f>
        <v/>
      </c>
      <c r="V10" s="128" t="str">
        <f>IFERROR(VLOOKUP(V$3,Data_Entry!$C:$AB,Data_Entry!$A8,0),"")</f>
        <v/>
      </c>
      <c r="W10" s="128" t="str">
        <f>IFERROR(VLOOKUP(W$3,Data_Entry!$C:$AB,Data_Entry!$A8,0),"")</f>
        <v/>
      </c>
      <c r="X10" s="128" t="str">
        <f>IFERROR(VLOOKUP(X$3,Data_Entry!$C:$AB,Data_Entry!$A8,0),"")</f>
        <v/>
      </c>
      <c r="Y10" s="128" t="str">
        <f>IFERROR(VLOOKUP(Y$3,Data_Entry!$C:$AB,Data_Entry!$A8,0),"")</f>
        <v/>
      </c>
      <c r="Z10" s="128" t="str">
        <f>IFERROR(VLOOKUP(Z$3,Data_Entry!$C:$AB,Data_Entry!$A8,0),"")</f>
        <v/>
      </c>
      <c r="AA10" s="128" t="str">
        <f>IFERROR(VLOOKUP(AA$3,Data_Entry!$C:$AB,Data_Entry!$A8,0),"")</f>
        <v/>
      </c>
      <c r="AB10" s="128" t="str">
        <f>IFERROR(VLOOKUP(AB$3,Data_Entry!$C:$AB,Data_Entry!$A8,0),"")</f>
        <v/>
      </c>
      <c r="AC10" s="128" t="str">
        <f>IFERROR(VLOOKUP(AC$3,Data_Entry!$C:$AB,Data_Entry!$A8,0),"")</f>
        <v/>
      </c>
      <c r="AD10" s="128" t="str">
        <f>IFERROR(VLOOKUP(AD$3,Data_Entry!$C:$AB,Data_Entry!$A8,0),"")</f>
        <v/>
      </c>
      <c r="AE10" s="128" t="str">
        <f>IFERROR(VLOOKUP(AE$3,Data_Entry!$C:$AB,Data_Entry!$A8,0),"")</f>
        <v/>
      </c>
      <c r="AF10" s="128" t="str">
        <f>IFERROR(VLOOKUP(AF$3,Data_Entry!$C:$AB,Data_Entry!$A8,0),"")</f>
        <v/>
      </c>
      <c r="AG10" s="128">
        <f t="shared" si="1"/>
        <v>1902.22</v>
      </c>
    </row>
    <row r="11" ht="14.25" customHeight="1" spans="1:33">
      <c r="A11" s="129" t="s">
        <v>42</v>
      </c>
      <c r="B11" s="128">
        <f>SUM(B4:B10)</f>
        <v>13128.3</v>
      </c>
      <c r="C11" s="128">
        <f t="shared" ref="C11:AG11" si="2">SUM(C4:C10)</f>
        <v>0</v>
      </c>
      <c r="D11" s="128">
        <f t="shared" si="2"/>
        <v>0</v>
      </c>
      <c r="E11" s="128">
        <f t="shared" si="2"/>
        <v>0</v>
      </c>
      <c r="F11" s="128">
        <f t="shared" si="2"/>
        <v>0</v>
      </c>
      <c r="G11" s="128">
        <f t="shared" si="2"/>
        <v>0</v>
      </c>
      <c r="H11" s="128">
        <f t="shared" si="2"/>
        <v>0</v>
      </c>
      <c r="I11" s="128">
        <f t="shared" si="2"/>
        <v>0</v>
      </c>
      <c r="J11" s="128">
        <f t="shared" si="2"/>
        <v>0</v>
      </c>
      <c r="K11" s="128">
        <f t="shared" si="2"/>
        <v>0</v>
      </c>
      <c r="L11" s="128">
        <f t="shared" si="2"/>
        <v>0</v>
      </c>
      <c r="M11" s="128">
        <f t="shared" si="2"/>
        <v>0</v>
      </c>
      <c r="N11" s="128">
        <f t="shared" si="2"/>
        <v>0</v>
      </c>
      <c r="O11" s="128">
        <f t="shared" si="2"/>
        <v>0</v>
      </c>
      <c r="P11" s="128">
        <f t="shared" si="2"/>
        <v>0</v>
      </c>
      <c r="Q11" s="128">
        <f t="shared" si="2"/>
        <v>0</v>
      </c>
      <c r="R11" s="128">
        <f t="shared" si="2"/>
        <v>0</v>
      </c>
      <c r="S11" s="128">
        <f t="shared" si="2"/>
        <v>0</v>
      </c>
      <c r="T11" s="128">
        <f t="shared" si="2"/>
        <v>0</v>
      </c>
      <c r="U11" s="128">
        <f t="shared" si="2"/>
        <v>0</v>
      </c>
      <c r="V11" s="128">
        <f t="shared" si="2"/>
        <v>0</v>
      </c>
      <c r="W11" s="128">
        <f t="shared" si="2"/>
        <v>0</v>
      </c>
      <c r="X11" s="128">
        <f t="shared" si="2"/>
        <v>0</v>
      </c>
      <c r="Y11" s="128">
        <f t="shared" si="2"/>
        <v>0</v>
      </c>
      <c r="Z11" s="128">
        <f t="shared" si="2"/>
        <v>0</v>
      </c>
      <c r="AA11" s="128">
        <f t="shared" si="2"/>
        <v>0</v>
      </c>
      <c r="AB11" s="128">
        <f t="shared" si="2"/>
        <v>0</v>
      </c>
      <c r="AC11" s="128">
        <f t="shared" si="2"/>
        <v>0</v>
      </c>
      <c r="AD11" s="128">
        <f t="shared" si="2"/>
        <v>0</v>
      </c>
      <c r="AE11" s="128">
        <f t="shared" si="2"/>
        <v>0</v>
      </c>
      <c r="AF11" s="128">
        <f t="shared" si="2"/>
        <v>0</v>
      </c>
      <c r="AG11" s="128">
        <f t="shared" si="2"/>
        <v>13128.3</v>
      </c>
    </row>
    <row r="12" ht="14.25" customHeight="1" spans="1:33">
      <c r="A12" s="129" t="s">
        <v>43</v>
      </c>
      <c r="B12" s="128">
        <f>IFERROR(VLOOKUP(B$3,Data_Entry!$C:$AB,14,0)," ")</f>
        <v>12989.9999999998</v>
      </c>
      <c r="C12" s="128">
        <f>IFERROR(VLOOKUP(C$3,Data_Entry!$C:$AB,14,0)," ")</f>
        <v>0</v>
      </c>
      <c r="D12" s="128">
        <f>IFERROR(VLOOKUP(D$3,Data_Entry!$C:$AB,14,0)," ")</f>
        <v>0</v>
      </c>
      <c r="E12" s="128">
        <f>IFERROR(VLOOKUP(E$3,Data_Entry!$C:$AB,14,0)," ")</f>
        <v>0</v>
      </c>
      <c r="F12" s="128">
        <f>IFERROR(VLOOKUP(F$3,Data_Entry!$C:$AB,14,0)," ")</f>
        <v>0</v>
      </c>
      <c r="G12" s="128">
        <f>IFERROR(VLOOKUP(G$3,Data_Entry!$C:$AB,14,0)," ")</f>
        <v>0</v>
      </c>
      <c r="H12" s="128">
        <f>IFERROR(VLOOKUP(H$3,Data_Entry!$C:$AB,14,0)," ")</f>
        <v>0</v>
      </c>
      <c r="I12" s="128">
        <f>IFERROR(VLOOKUP(I$3,Data_Entry!$C:$AB,14,0)," ")</f>
        <v>0</v>
      </c>
      <c r="J12" s="128" t="str">
        <f>IFERROR(VLOOKUP(J$3,Data_Entry!$C:$AB,14,0)," ")</f>
        <v> </v>
      </c>
      <c r="K12" s="128" t="str">
        <f>IFERROR(VLOOKUP(K$3,Data_Entry!$C:$AB,14,0)," ")</f>
        <v> </v>
      </c>
      <c r="L12" s="128" t="str">
        <f>IFERROR(VLOOKUP(L$3,Data_Entry!$C:$AB,14,0)," ")</f>
        <v> </v>
      </c>
      <c r="M12" s="128" t="str">
        <f>IFERROR(VLOOKUP(M$3,Data_Entry!$C:$AB,14,0)," ")</f>
        <v> </v>
      </c>
      <c r="N12" s="128" t="str">
        <f>IFERROR(VLOOKUP(N$3,Data_Entry!$C:$AB,14,0)," ")</f>
        <v> </v>
      </c>
      <c r="O12" s="128" t="str">
        <f>IFERROR(VLOOKUP(O$3,Data_Entry!$C:$AB,14,0)," ")</f>
        <v> </v>
      </c>
      <c r="P12" s="128" t="str">
        <f>IFERROR(VLOOKUP(P$3,Data_Entry!$C:$AB,14,0)," ")</f>
        <v> </v>
      </c>
      <c r="Q12" s="128" t="str">
        <f>IFERROR(VLOOKUP(Q$3,Data_Entry!$C:$AB,14,0)," ")</f>
        <v> </v>
      </c>
      <c r="R12" s="128" t="str">
        <f>IFERROR(VLOOKUP(R$3,Data_Entry!$C:$AB,14,0)," ")</f>
        <v> </v>
      </c>
      <c r="S12" s="128" t="str">
        <f>IFERROR(VLOOKUP(S$3,Data_Entry!$C:$AB,14,0)," ")</f>
        <v> </v>
      </c>
      <c r="T12" s="128" t="str">
        <f>IFERROR(VLOOKUP(T$3,Data_Entry!$C:$AB,14,0)," ")</f>
        <v> </v>
      </c>
      <c r="U12" s="128" t="str">
        <f>IFERROR(VLOOKUP(U$3,Data_Entry!$C:$AB,14,0)," ")</f>
        <v> </v>
      </c>
      <c r="V12" s="128" t="str">
        <f>IFERROR(VLOOKUP(V$3,Data_Entry!$C:$AB,14,0)," ")</f>
        <v> </v>
      </c>
      <c r="W12" s="128" t="str">
        <f>IFERROR(VLOOKUP(W$3,Data_Entry!$C:$AB,14,0)," ")</f>
        <v> </v>
      </c>
      <c r="X12" s="128" t="str">
        <f>IFERROR(VLOOKUP(X$3,Data_Entry!$C:$AB,14,0)," ")</f>
        <v> </v>
      </c>
      <c r="Y12" s="128" t="str">
        <f>IFERROR(VLOOKUP(Y$3,Data_Entry!$C:$AB,14,0)," ")</f>
        <v> </v>
      </c>
      <c r="Z12" s="128" t="str">
        <f>IFERROR(VLOOKUP(Z$3,Data_Entry!$C:$AB,14,0)," ")</f>
        <v> </v>
      </c>
      <c r="AA12" s="128" t="str">
        <f>IFERROR(VLOOKUP(AA$3,Data_Entry!$C:$AB,14,0)," ")</f>
        <v> </v>
      </c>
      <c r="AB12" s="128" t="str">
        <f>IFERROR(VLOOKUP(AB$3,Data_Entry!$C:$AB,14,0)," ")</f>
        <v> </v>
      </c>
      <c r="AC12" s="128" t="str">
        <f>IFERROR(VLOOKUP(AC$3,Data_Entry!$C:$AB,14,0)," ")</f>
        <v> </v>
      </c>
      <c r="AD12" s="128" t="str">
        <f>IFERROR(VLOOKUP(AD$3,Data_Entry!$C:$AB,14,0)," ")</f>
        <v> </v>
      </c>
      <c r="AE12" s="128" t="str">
        <f>IFERROR(VLOOKUP(AE$3,Data_Entry!$C:$AB,14,0)," ")</f>
        <v> </v>
      </c>
      <c r="AF12" s="128" t="str">
        <f>IFERROR(VLOOKUP(AF$3,Data_Entry!$C:$AB,14,0)," ")</f>
        <v> </v>
      </c>
      <c r="AG12" s="128" t="str">
        <f>IFERROR(VLOOKUP(AG$3,Data_Entry!$C:$AB,14,0)," ")</f>
        <v> </v>
      </c>
    </row>
    <row r="13" ht="14.25" customHeight="1" spans="1:33">
      <c r="A13" s="129" t="s">
        <v>44</v>
      </c>
      <c r="B13" s="128">
        <f>IFERROR(VLOOKUP(B$3,Data_Entry!$C:$AB,17,0)," ")</f>
        <v>29.9999999999994</v>
      </c>
      <c r="C13" s="128">
        <f>IFERROR(VLOOKUP(C$3,Data_Entry!$C:$AB,17,0)," ")</f>
        <v>0</v>
      </c>
      <c r="D13" s="128">
        <f>IFERROR(VLOOKUP(D$3,Data_Entry!$C:$AB,17,0)," ")</f>
        <v>0</v>
      </c>
      <c r="E13" s="128">
        <f>IFERROR(VLOOKUP(E$3,Data_Entry!$C:$AB,17,0)," ")</f>
        <v>0</v>
      </c>
      <c r="F13" s="128">
        <f>IFERROR(VLOOKUP(F$3,Data_Entry!$C:$AB,17,0)," ")</f>
        <v>0</v>
      </c>
      <c r="G13" s="128">
        <f>IFERROR(VLOOKUP(G$3,Data_Entry!$C:$AB,17,0)," ")</f>
        <v>0</v>
      </c>
      <c r="H13" s="128">
        <f>IFERROR(VLOOKUP(H$3,Data_Entry!$C:$AB,17,0)," ")</f>
        <v>0</v>
      </c>
      <c r="I13" s="128">
        <f>IFERROR(VLOOKUP(I$3,Data_Entry!$C:$AB,17,0)," ")</f>
        <v>0</v>
      </c>
      <c r="J13" s="128" t="str">
        <f>IFERROR(VLOOKUP(J$3,Data_Entry!$C:$AB,17,0)," ")</f>
        <v> </v>
      </c>
      <c r="K13" s="128" t="str">
        <f>IFERROR(VLOOKUP(K$3,Data_Entry!$C:$AB,17,0)," ")</f>
        <v> </v>
      </c>
      <c r="L13" s="128" t="str">
        <f>IFERROR(VLOOKUP(L$3,Data_Entry!$C:$AB,17,0)," ")</f>
        <v> </v>
      </c>
      <c r="M13" s="128" t="str">
        <f>IFERROR(VLOOKUP(M$3,Data_Entry!$C:$AB,17,0)," ")</f>
        <v> </v>
      </c>
      <c r="N13" s="128" t="str">
        <f>IFERROR(VLOOKUP(N$3,Data_Entry!$C:$AB,17,0)," ")</f>
        <v> </v>
      </c>
      <c r="O13" s="128" t="str">
        <f>IFERROR(VLOOKUP(O$3,Data_Entry!$C:$AB,17,0)," ")</f>
        <v> </v>
      </c>
      <c r="P13" s="128" t="str">
        <f>IFERROR(VLOOKUP(P$3,Data_Entry!$C:$AB,17,0)," ")</f>
        <v> </v>
      </c>
      <c r="Q13" s="128" t="str">
        <f>IFERROR(VLOOKUP(Q$3,Data_Entry!$C:$AB,17,0)," ")</f>
        <v> </v>
      </c>
      <c r="R13" s="128" t="str">
        <f>IFERROR(VLOOKUP(R$3,Data_Entry!$C:$AB,17,0)," ")</f>
        <v> </v>
      </c>
      <c r="S13" s="128" t="str">
        <f>IFERROR(VLOOKUP(S$3,Data_Entry!$C:$AB,17,0)," ")</f>
        <v> </v>
      </c>
      <c r="T13" s="128" t="str">
        <f>IFERROR(VLOOKUP(T$3,Data_Entry!$C:$AB,17,0)," ")</f>
        <v> </v>
      </c>
      <c r="U13" s="128" t="str">
        <f>IFERROR(VLOOKUP(U$3,Data_Entry!$C:$AB,17,0)," ")</f>
        <v> </v>
      </c>
      <c r="V13" s="128" t="str">
        <f>IFERROR(VLOOKUP(V$3,Data_Entry!$C:$AB,17,0)," ")</f>
        <v> </v>
      </c>
      <c r="W13" s="128" t="str">
        <f>IFERROR(VLOOKUP(W$3,Data_Entry!$C:$AB,17,0)," ")</f>
        <v> </v>
      </c>
      <c r="X13" s="128" t="str">
        <f>IFERROR(VLOOKUP(X$3,Data_Entry!$C:$AB,17,0)," ")</f>
        <v> </v>
      </c>
      <c r="Y13" s="128" t="str">
        <f>IFERROR(VLOOKUP(Y$3,Data_Entry!$C:$AB,17,0)," ")</f>
        <v> </v>
      </c>
      <c r="Z13" s="128" t="str">
        <f>IFERROR(VLOOKUP(Z$3,Data_Entry!$C:$AB,17,0)," ")</f>
        <v> </v>
      </c>
      <c r="AA13" s="128" t="str">
        <f>IFERROR(VLOOKUP(AA$3,Data_Entry!$C:$AB,17,0)," ")</f>
        <v> </v>
      </c>
      <c r="AB13" s="128" t="str">
        <f>IFERROR(VLOOKUP(AB$3,Data_Entry!$C:$AB,17,0)," ")</f>
        <v> </v>
      </c>
      <c r="AC13" s="128" t="str">
        <f>IFERROR(VLOOKUP(AC$3,Data_Entry!$C:$AB,17,0)," ")</f>
        <v> </v>
      </c>
      <c r="AD13" s="128" t="str">
        <f>IFERROR(VLOOKUP(AD$3,Data_Entry!$C:$AB,17,0)," ")</f>
        <v> </v>
      </c>
      <c r="AE13" s="128" t="str">
        <f>IFERROR(VLOOKUP(AE$3,Data_Entry!$C:$AB,17,0)," ")</f>
        <v> </v>
      </c>
      <c r="AF13" s="128" t="str">
        <f>IFERROR(VLOOKUP(AF$3,Data_Entry!$C:$AB,17,0)," ")</f>
        <v> </v>
      </c>
      <c r="AG13" s="128" t="str">
        <f>IFERROR(VLOOKUP(AG$3,Data_Entry!$C:$AB,17,0)," ")</f>
        <v> </v>
      </c>
    </row>
    <row r="14" ht="14.25" customHeight="1" spans="1:33">
      <c r="A14" s="129" t="s">
        <v>45</v>
      </c>
      <c r="B14" s="128">
        <f>IFERROR(VLOOKUP(B$3,Data_Entry!$C:$AB,18,0)," ")</f>
        <v>12959.9999999998</v>
      </c>
      <c r="C14" s="128">
        <f>IFERROR(VLOOKUP(C$3,Data_Entry!$C:$AB,18,0)," ")</f>
        <v>0</v>
      </c>
      <c r="D14" s="128">
        <f>IFERROR(VLOOKUP(D$3,Data_Entry!$C:$AB,18,0)," ")</f>
        <v>0</v>
      </c>
      <c r="E14" s="128">
        <f>IFERROR(VLOOKUP(E$3,Data_Entry!$C:$AB,18,0)," ")</f>
        <v>0</v>
      </c>
      <c r="F14" s="128">
        <f>IFERROR(VLOOKUP(F$3,Data_Entry!$C:$AB,18,0)," ")</f>
        <v>0</v>
      </c>
      <c r="G14" s="128">
        <f>IFERROR(VLOOKUP(G$3,Data_Entry!$C:$AB,18,0)," ")</f>
        <v>0</v>
      </c>
      <c r="H14" s="128">
        <f>IFERROR(VLOOKUP(H$3,Data_Entry!$C:$AB,18,0)," ")</f>
        <v>0</v>
      </c>
      <c r="I14" s="128">
        <f>IFERROR(VLOOKUP(I$3,Data_Entry!$C:$AB,18,0)," ")</f>
        <v>0</v>
      </c>
      <c r="J14" s="128" t="str">
        <f>IFERROR(VLOOKUP(J$3,Data_Entry!$C:$AB,18,0)," ")</f>
        <v> </v>
      </c>
      <c r="K14" s="128" t="str">
        <f>IFERROR(VLOOKUP(K$3,Data_Entry!$C:$AB,18,0)," ")</f>
        <v> </v>
      </c>
      <c r="L14" s="128" t="str">
        <f>IFERROR(VLOOKUP(L$3,Data_Entry!$C:$AB,18,0)," ")</f>
        <v> </v>
      </c>
      <c r="M14" s="128" t="str">
        <f>IFERROR(VLOOKUP(M$3,Data_Entry!$C:$AB,18,0)," ")</f>
        <v> </v>
      </c>
      <c r="N14" s="128" t="str">
        <f>IFERROR(VLOOKUP(N$3,Data_Entry!$C:$AB,18,0)," ")</f>
        <v> </v>
      </c>
      <c r="O14" s="128" t="str">
        <f>IFERROR(VLOOKUP(O$3,Data_Entry!$C:$AB,18,0)," ")</f>
        <v> </v>
      </c>
      <c r="P14" s="128" t="str">
        <f>IFERROR(VLOOKUP(P$3,Data_Entry!$C:$AB,18,0)," ")</f>
        <v> </v>
      </c>
      <c r="Q14" s="128" t="str">
        <f>IFERROR(VLOOKUP(Q$3,Data_Entry!$C:$AB,18,0)," ")</f>
        <v> </v>
      </c>
      <c r="R14" s="128" t="str">
        <f>IFERROR(VLOOKUP(R$3,Data_Entry!$C:$AB,18,0)," ")</f>
        <v> </v>
      </c>
      <c r="S14" s="128" t="str">
        <f>IFERROR(VLOOKUP(S$3,Data_Entry!$C:$AB,18,0)," ")</f>
        <v> </v>
      </c>
      <c r="T14" s="128" t="str">
        <f>IFERROR(VLOOKUP(T$3,Data_Entry!$C:$AB,18,0)," ")</f>
        <v> </v>
      </c>
      <c r="U14" s="128" t="str">
        <f>IFERROR(VLOOKUP(U$3,Data_Entry!$C:$AB,18,0)," ")</f>
        <v> </v>
      </c>
      <c r="V14" s="128" t="str">
        <f>IFERROR(VLOOKUP(V$3,Data_Entry!$C:$AB,18,0)," ")</f>
        <v> </v>
      </c>
      <c r="W14" s="128" t="str">
        <f>IFERROR(VLOOKUP(W$3,Data_Entry!$C:$AB,18,0)," ")</f>
        <v> </v>
      </c>
      <c r="X14" s="128" t="str">
        <f>IFERROR(VLOOKUP(X$3,Data_Entry!$C:$AB,18,0)," ")</f>
        <v> </v>
      </c>
      <c r="Y14" s="128" t="str">
        <f>IFERROR(VLOOKUP(Y$3,Data_Entry!$C:$AB,18,0)," ")</f>
        <v> </v>
      </c>
      <c r="Z14" s="128" t="str">
        <f>IFERROR(VLOOKUP(Z$3,Data_Entry!$C:$AB,18,0)," ")</f>
        <v> </v>
      </c>
      <c r="AA14" s="128" t="str">
        <f>IFERROR(VLOOKUP(AA$3,Data_Entry!$C:$AB,18,0)," ")</f>
        <v> </v>
      </c>
      <c r="AB14" s="128" t="str">
        <f>IFERROR(VLOOKUP(AB$3,Data_Entry!$C:$AB,18,0)," ")</f>
        <v> </v>
      </c>
      <c r="AC14" s="128" t="str">
        <f>IFERROR(VLOOKUP(AC$3,Data_Entry!$C:$AB,18,0)," ")</f>
        <v> </v>
      </c>
      <c r="AD14" s="128" t="str">
        <f>IFERROR(VLOOKUP(AD$3,Data_Entry!$C:$AB,18,0)," ")</f>
        <v> </v>
      </c>
      <c r="AE14" s="128" t="str">
        <f>IFERROR(VLOOKUP(AE$3,Data_Entry!$C:$AB,18,0)," ")</f>
        <v> </v>
      </c>
      <c r="AF14" s="128" t="str">
        <f>IFERROR(VLOOKUP(AF$3,Data_Entry!$C:$AB,18,0)," ")</f>
        <v> </v>
      </c>
      <c r="AG14" s="128" t="str">
        <f>IFERROR(VLOOKUP(AG$3,Data_Entry!$C:$AB,18,0)," ")</f>
        <v> </v>
      </c>
    </row>
    <row r="15" ht="14.25" customHeight="1" spans="1:33">
      <c r="A15" s="129" t="s">
        <v>46</v>
      </c>
      <c r="B15" s="130">
        <f>IFERROR(VLOOKUP(B$3,Data_Entry!$C:$AB,20,0)," ")</f>
        <v>4.36</v>
      </c>
      <c r="C15" s="130">
        <f>IFERROR(VLOOKUP(C$3,Data_Entry!$C:$AB,20,0)," ")</f>
        <v>0</v>
      </c>
      <c r="D15" s="130">
        <f>IFERROR(VLOOKUP(D$3,Data_Entry!$C:$AB,20,0)," ")</f>
        <v>0</v>
      </c>
      <c r="E15" s="130">
        <f>IFERROR(VLOOKUP(E$3,Data_Entry!$C:$AB,20,0)," ")</f>
        <v>0</v>
      </c>
      <c r="F15" s="130">
        <f>IFERROR(VLOOKUP(F$3,Data_Entry!$C:$AB,20,0)," ")</f>
        <v>0</v>
      </c>
      <c r="G15" s="130">
        <f>IFERROR(VLOOKUP(G$3,Data_Entry!$C:$AB,20,0)," ")</f>
        <v>0</v>
      </c>
      <c r="H15" s="130">
        <f>IFERROR(VLOOKUP(H$3,Data_Entry!$C:$AB,20,0)," ")</f>
        <v>0</v>
      </c>
      <c r="I15" s="130">
        <f>IFERROR(VLOOKUP(I$3,Data_Entry!$C:$AB,20,0)," ")</f>
        <v>0</v>
      </c>
      <c r="J15" s="130" t="str">
        <f>IFERROR(VLOOKUP(J$3,Data_Entry!$C:$AB,20,0)," ")</f>
        <v> </v>
      </c>
      <c r="K15" s="130" t="str">
        <f>IFERROR(VLOOKUP(K$3,Data_Entry!$C:$AB,20,0)," ")</f>
        <v> </v>
      </c>
      <c r="L15" s="130" t="str">
        <f>IFERROR(VLOOKUP(L$3,Data_Entry!$C:$AB,20,0)," ")</f>
        <v> </v>
      </c>
      <c r="M15" s="130" t="str">
        <f>IFERROR(VLOOKUP(M$3,Data_Entry!$C:$AB,20,0)," ")</f>
        <v> </v>
      </c>
      <c r="N15" s="130" t="str">
        <f>IFERROR(VLOOKUP(N$3,Data_Entry!$C:$AB,20,0)," ")</f>
        <v> </v>
      </c>
      <c r="O15" s="130" t="str">
        <f>IFERROR(VLOOKUP(O$3,Data_Entry!$C:$AB,20,0)," ")</f>
        <v> </v>
      </c>
      <c r="P15" s="130" t="str">
        <f>IFERROR(VLOOKUP(P$3,Data_Entry!$C:$AB,20,0)," ")</f>
        <v> </v>
      </c>
      <c r="Q15" s="130" t="str">
        <f>IFERROR(VLOOKUP(Q$3,Data_Entry!$C:$AB,20,0)," ")</f>
        <v> </v>
      </c>
      <c r="R15" s="130" t="str">
        <f>IFERROR(VLOOKUP(R$3,Data_Entry!$C:$AB,20,0)," ")</f>
        <v> </v>
      </c>
      <c r="S15" s="130" t="str">
        <f>IFERROR(VLOOKUP(S$3,Data_Entry!$C:$AB,20,0)," ")</f>
        <v> </v>
      </c>
      <c r="T15" s="130" t="str">
        <f>IFERROR(VLOOKUP(T$3,Data_Entry!$C:$AB,20,0)," ")</f>
        <v> </v>
      </c>
      <c r="U15" s="130" t="str">
        <f>IFERROR(VLOOKUP(U$3,Data_Entry!$C:$AB,20,0)," ")</f>
        <v> </v>
      </c>
      <c r="V15" s="130" t="str">
        <f>IFERROR(VLOOKUP(V$3,Data_Entry!$C:$AB,20,0)," ")</f>
        <v> </v>
      </c>
      <c r="W15" s="130" t="str">
        <f>IFERROR(VLOOKUP(W$3,Data_Entry!$C:$AB,20,0)," ")</f>
        <v> </v>
      </c>
      <c r="X15" s="130" t="str">
        <f>IFERROR(VLOOKUP(X$3,Data_Entry!$C:$AB,20,0)," ")</f>
        <v> </v>
      </c>
      <c r="Y15" s="130" t="str">
        <f>IFERROR(VLOOKUP(Y$3,Data_Entry!$C:$AB,20,0)," ")</f>
        <v> </v>
      </c>
      <c r="Z15" s="130" t="str">
        <f>IFERROR(VLOOKUP(Z$3,Data_Entry!$C:$AB,20,0)," ")</f>
        <v> </v>
      </c>
      <c r="AA15" s="130" t="str">
        <f>IFERROR(VLOOKUP(AA$3,Data_Entry!$C:$AB,20,0)," ")</f>
        <v> </v>
      </c>
      <c r="AB15" s="130" t="str">
        <f>IFERROR(VLOOKUP(AB$3,Data_Entry!$C:$AB,20,0)," ")</f>
        <v> </v>
      </c>
      <c r="AC15" s="130" t="str">
        <f>IFERROR(VLOOKUP(AC$3,Data_Entry!$C:$AB,20,0)," ")</f>
        <v> </v>
      </c>
      <c r="AD15" s="130" t="str">
        <f>IFERROR(VLOOKUP(AD$3,Data_Entry!$C:$AB,20,0)," ")</f>
        <v> </v>
      </c>
      <c r="AE15" s="130" t="str">
        <f>IFERROR(VLOOKUP(AE$3,Data_Entry!$C:$AB,20,0)," ")</f>
        <v> </v>
      </c>
      <c r="AF15" s="130" t="str">
        <f>IFERROR(VLOOKUP(AF$3,Data_Entry!$C:$AB,20,0)," ")</f>
        <v> </v>
      </c>
    </row>
    <row r="16" ht="14.25" customHeight="1" spans="1:33">
      <c r="A16" s="129" t="s">
        <v>47</v>
      </c>
      <c r="B16" s="130">
        <f>IFERROR(VLOOKUP(B$3,Data_Entry!$C:$AB,19,0)," ")</f>
        <v>0</v>
      </c>
      <c r="C16" s="130">
        <f>IFERROR(VLOOKUP(C$3,Data_Entry!$C:$AB,19,0)," ")</f>
        <v>0</v>
      </c>
      <c r="D16" s="130">
        <f>IFERROR(VLOOKUP(D$3,Data_Entry!$C:$AB,19,0)," ")</f>
        <v>0</v>
      </c>
      <c r="E16" s="130">
        <f>IFERROR(VLOOKUP(E$3,Data_Entry!$C:$AB,19,0)," ")</f>
        <v>0</v>
      </c>
      <c r="F16" s="130">
        <f>IFERROR(VLOOKUP(F$3,Data_Entry!$C:$AB,19,0)," ")</f>
        <v>0</v>
      </c>
      <c r="G16" s="130">
        <f>IFERROR(VLOOKUP(G$3,Data_Entry!$C:$AB,19,0)," ")</f>
        <v>0</v>
      </c>
      <c r="H16" s="130">
        <f>IFERROR(VLOOKUP(H$3,Data_Entry!$C:$AB,19,0)," ")</f>
        <v>0</v>
      </c>
      <c r="I16" s="130">
        <f>IFERROR(VLOOKUP(I$3,Data_Entry!$C:$AB,19,0)," ")</f>
        <v>0</v>
      </c>
      <c r="J16" s="130" t="str">
        <f>IFERROR(VLOOKUP(J$3,Data_Entry!$C:$AB,19,0)," ")</f>
        <v> </v>
      </c>
      <c r="K16" s="130" t="str">
        <f>IFERROR(VLOOKUP(K$3,Data_Entry!$C:$AB,19,0)," ")</f>
        <v> </v>
      </c>
      <c r="L16" s="130" t="str">
        <f>IFERROR(VLOOKUP(L$3,Data_Entry!$C:$AB,19,0)," ")</f>
        <v> </v>
      </c>
      <c r="M16" s="130" t="str">
        <f>IFERROR(VLOOKUP(M$3,Data_Entry!$C:$AB,19,0)," ")</f>
        <v> </v>
      </c>
      <c r="N16" s="130" t="str">
        <f>IFERROR(VLOOKUP(N$3,Data_Entry!$C:$AB,19,0)," ")</f>
        <v> </v>
      </c>
      <c r="O16" s="130" t="str">
        <f>IFERROR(VLOOKUP(O$3,Data_Entry!$C:$AB,19,0)," ")</f>
        <v> </v>
      </c>
      <c r="P16" s="130" t="str">
        <f>IFERROR(VLOOKUP(P$3,Data_Entry!$C:$AB,19,0)," ")</f>
        <v> </v>
      </c>
      <c r="Q16" s="130" t="str">
        <f>IFERROR(VLOOKUP(Q$3,Data_Entry!$C:$AB,19,0)," ")</f>
        <v> </v>
      </c>
      <c r="R16" s="130" t="str">
        <f>IFERROR(VLOOKUP(R$3,Data_Entry!$C:$AB,19,0)," ")</f>
        <v> </v>
      </c>
      <c r="S16" s="130" t="str">
        <f>IFERROR(VLOOKUP(S$3,Data_Entry!$C:$AB,19,0)," ")</f>
        <v> </v>
      </c>
      <c r="T16" s="130" t="str">
        <f>IFERROR(VLOOKUP(T$3,Data_Entry!$C:$AB,19,0)," ")</f>
        <v> </v>
      </c>
      <c r="U16" s="130" t="str">
        <f>IFERROR(VLOOKUP(U$3,Data_Entry!$C:$AB,19,0)," ")</f>
        <v> </v>
      </c>
      <c r="V16" s="130" t="str">
        <f>IFERROR(VLOOKUP(V$3,Data_Entry!$C:$AB,19,0)," ")</f>
        <v> </v>
      </c>
      <c r="W16" s="130" t="str">
        <f>IFERROR(VLOOKUP(W$3,Data_Entry!$C:$AB,19,0)," ")</f>
        <v> </v>
      </c>
      <c r="X16" s="130" t="str">
        <f>IFERROR(VLOOKUP(X$3,Data_Entry!$C:$AB,19,0)," ")</f>
        <v> </v>
      </c>
      <c r="Y16" s="130" t="str">
        <f>IFERROR(VLOOKUP(Y$3,Data_Entry!$C:$AB,19,0)," ")</f>
        <v> </v>
      </c>
      <c r="Z16" s="130" t="str">
        <f>IFERROR(VLOOKUP(Z$3,Data_Entry!$C:$AB,19,0)," ")</f>
        <v> </v>
      </c>
      <c r="AA16" s="130" t="str">
        <f>IFERROR(VLOOKUP(AA$3,Data_Entry!$C:$AB,19,0)," ")</f>
        <v> </v>
      </c>
      <c r="AB16" s="130" t="str">
        <f>IFERROR(VLOOKUP(AB$3,Data_Entry!$C:$AB,19,0)," ")</f>
        <v> </v>
      </c>
      <c r="AC16" s="130" t="str">
        <f>IFERROR(VLOOKUP(AC$3,Data_Entry!$C:$AB,19,0)," ")</f>
        <v> </v>
      </c>
      <c r="AD16" s="130" t="str">
        <f>IFERROR(VLOOKUP(AD$3,Data_Entry!$C:$AB,19,0)," ")</f>
        <v> </v>
      </c>
      <c r="AE16" s="130" t="str">
        <f>IFERROR(VLOOKUP(AE$3,Data_Entry!$C:$AB,19,0)," ")</f>
        <v> </v>
      </c>
      <c r="AF16" s="130" t="str">
        <f>IFERROR(VLOOKUP(AF$3,Data_Entry!$C:$AB,19,0)," ")</f>
        <v> </v>
      </c>
    </row>
    <row r="17" ht="14.25" customHeight="1" spans="1:33">
      <c r="A17" s="129" t="s">
        <v>48</v>
      </c>
      <c r="B17" s="130">
        <f>IFERROR(VLOOKUP(B$3,Data_Entry!$C:$AB,23,0)," ")</f>
        <v>0</v>
      </c>
      <c r="C17" s="130">
        <f>IFERROR(VLOOKUP(C$3,Data_Entry!$C:$AB,23,0)," ")</f>
        <v>0</v>
      </c>
      <c r="D17" s="130">
        <f>IFERROR(VLOOKUP(D$3,Data_Entry!$C:$AB,23,0)," ")</f>
        <v>0</v>
      </c>
      <c r="E17" s="130">
        <f>IFERROR(VLOOKUP(E$3,Data_Entry!$C:$AB,23,0)," ")</f>
        <v>0</v>
      </c>
      <c r="F17" s="130">
        <f>IFERROR(VLOOKUP(F$3,Data_Entry!$C:$AB,23,0)," ")</f>
        <v>0</v>
      </c>
      <c r="G17" s="130">
        <f>IFERROR(VLOOKUP(G$3,Data_Entry!$C:$AB,23,0)," ")</f>
        <v>0</v>
      </c>
      <c r="H17" s="130">
        <f>IFERROR(VLOOKUP(H$3,Data_Entry!$C:$AB,23,0)," ")</f>
        <v>0</v>
      </c>
      <c r="I17" s="130">
        <f>IFERROR(VLOOKUP(I$3,Data_Entry!$C:$AB,23,0)," ")</f>
        <v>0</v>
      </c>
      <c r="J17" s="130" t="str">
        <f>IFERROR(VLOOKUP(J$3,Data_Entry!$C:$AB,23,0)," ")</f>
        <v> </v>
      </c>
      <c r="K17" s="130" t="str">
        <f>IFERROR(VLOOKUP(K$3,Data_Entry!$C:$AB,23,0)," ")</f>
        <v> </v>
      </c>
      <c r="L17" s="130" t="str">
        <f>IFERROR(VLOOKUP(L$3,Data_Entry!$C:$AB,23,0)," ")</f>
        <v> </v>
      </c>
      <c r="M17" s="130" t="str">
        <f>IFERROR(VLOOKUP(M$3,Data_Entry!$C:$AB,23,0)," ")</f>
        <v> </v>
      </c>
      <c r="N17" s="130" t="str">
        <f>IFERROR(VLOOKUP(N$3,Data_Entry!$C:$AB,23,0)," ")</f>
        <v> </v>
      </c>
      <c r="O17" s="130" t="str">
        <f>IFERROR(VLOOKUP(O$3,Data_Entry!$C:$AB,23,0)," ")</f>
        <v> </v>
      </c>
      <c r="P17" s="130" t="str">
        <f>IFERROR(VLOOKUP(P$3,Data_Entry!$C:$AB,23,0)," ")</f>
        <v> </v>
      </c>
      <c r="Q17" s="130" t="str">
        <f>IFERROR(VLOOKUP(Q$3,Data_Entry!$C:$AB,23,0)," ")</f>
        <v> </v>
      </c>
      <c r="R17" s="130" t="str">
        <f>IFERROR(VLOOKUP(R$3,Data_Entry!$C:$AB,23,0)," ")</f>
        <v> </v>
      </c>
      <c r="S17" s="130" t="str">
        <f>IFERROR(VLOOKUP(S$3,Data_Entry!$C:$AB,23,0)," ")</f>
        <v> </v>
      </c>
      <c r="T17" s="130" t="str">
        <f>IFERROR(VLOOKUP(T$3,Data_Entry!$C:$AB,23,0)," ")</f>
        <v> </v>
      </c>
      <c r="U17" s="130" t="str">
        <f>IFERROR(VLOOKUP(U$3,Data_Entry!$C:$AB,23,0)," ")</f>
        <v> </v>
      </c>
      <c r="V17" s="130" t="str">
        <f>IFERROR(VLOOKUP(V$3,Data_Entry!$C:$AB,23,0)," ")</f>
        <v> </v>
      </c>
      <c r="W17" s="130" t="str">
        <f>IFERROR(VLOOKUP(W$3,Data_Entry!$C:$AB,23,0)," ")</f>
        <v> </v>
      </c>
      <c r="X17" s="130" t="str">
        <f>IFERROR(VLOOKUP(X$3,Data_Entry!$C:$AB,23,0)," ")</f>
        <v> </v>
      </c>
      <c r="Y17" s="130" t="str">
        <f>IFERROR(VLOOKUP(Y$3,Data_Entry!$C:$AB,23,0)," ")</f>
        <v> </v>
      </c>
      <c r="Z17" s="130" t="str">
        <f>IFERROR(VLOOKUP(Z$3,Data_Entry!$C:$AB,23,0)," ")</f>
        <v> </v>
      </c>
      <c r="AA17" s="130" t="str">
        <f>IFERROR(VLOOKUP(AA$3,Data_Entry!$C:$AB,23,0)," ")</f>
        <v> </v>
      </c>
      <c r="AB17" s="130" t="str">
        <f>IFERROR(VLOOKUP(AB$3,Data_Entry!$C:$AB,23,0)," ")</f>
        <v> </v>
      </c>
      <c r="AC17" s="130" t="str">
        <f>IFERROR(VLOOKUP(AC$3,Data_Entry!$C:$AB,23,0)," ")</f>
        <v> </v>
      </c>
      <c r="AD17" s="130" t="str">
        <f>IFERROR(VLOOKUP(AD$3,Data_Entry!$C:$AB,23,0)," ")</f>
        <v> </v>
      </c>
      <c r="AE17" s="130" t="str">
        <f>IFERROR(VLOOKUP(AE$3,Data_Entry!$C:$AB,23,0)," ")</f>
        <v> </v>
      </c>
      <c r="AF17" s="130" t="str">
        <f>IFERROR(VLOOKUP(AF$3,Data_Entry!$C:$AB,23,0)," ")</f>
        <v> </v>
      </c>
    </row>
    <row r="18" ht="14.25" customHeight="1" spans="1:33">
      <c r="A18" s="129" t="s">
        <v>49</v>
      </c>
      <c r="B18" s="130">
        <f>IFERROR(VLOOKUP(B$3,Data_Entry!$C:$AB,21,0)," ")</f>
        <v>33.41</v>
      </c>
      <c r="C18" s="130">
        <f>IFERROR(VLOOKUP(C$3,Data_Entry!$C:$AB,21,0)," ")</f>
        <v>0</v>
      </c>
      <c r="D18" s="130">
        <f>IFERROR(VLOOKUP(D$3,Data_Entry!$C:$AB,21,0)," ")</f>
        <v>0</v>
      </c>
      <c r="E18" s="130">
        <f>IFERROR(VLOOKUP(E$3,Data_Entry!$C:$AB,21,0)," ")</f>
        <v>0</v>
      </c>
      <c r="F18" s="130">
        <f>IFERROR(VLOOKUP(F$3,Data_Entry!$C:$AB,21,0)," ")</f>
        <v>0</v>
      </c>
      <c r="G18" s="130">
        <f>IFERROR(VLOOKUP(G$3,Data_Entry!$C:$AB,21,0)," ")</f>
        <v>0</v>
      </c>
      <c r="H18" s="130">
        <f>IFERROR(VLOOKUP(H$3,Data_Entry!$C:$AB,21,0)," ")</f>
        <v>0</v>
      </c>
      <c r="I18" s="130">
        <f>IFERROR(VLOOKUP(I$3,Data_Entry!$C:$AB,21,0)," ")</f>
        <v>0</v>
      </c>
      <c r="J18" s="130" t="str">
        <f>IFERROR(VLOOKUP(J$3,Data_Entry!$C:$AB,21,0)," ")</f>
        <v> </v>
      </c>
      <c r="K18" s="130" t="str">
        <f>IFERROR(VLOOKUP(K$3,Data_Entry!$C:$AB,21,0)," ")</f>
        <v> </v>
      </c>
      <c r="L18" s="130" t="str">
        <f>IFERROR(VLOOKUP(L$3,Data_Entry!$C:$AB,21,0)," ")</f>
        <v> </v>
      </c>
      <c r="M18" s="130" t="str">
        <f>IFERROR(VLOOKUP(M$3,Data_Entry!$C:$AB,21,0)," ")</f>
        <v> </v>
      </c>
      <c r="N18" s="130" t="str">
        <f>IFERROR(VLOOKUP(N$3,Data_Entry!$C:$AB,21,0)," ")</f>
        <v> </v>
      </c>
      <c r="O18" s="130" t="str">
        <f>IFERROR(VLOOKUP(O$3,Data_Entry!$C:$AB,21,0)," ")</f>
        <v> </v>
      </c>
      <c r="P18" s="130" t="str">
        <f>IFERROR(VLOOKUP(P$3,Data_Entry!$C:$AB,21,0)," ")</f>
        <v> </v>
      </c>
      <c r="Q18" s="130" t="str">
        <f>IFERROR(VLOOKUP(Q$3,Data_Entry!$C:$AB,21,0)," ")</f>
        <v> </v>
      </c>
      <c r="R18" s="130" t="str">
        <f>IFERROR(VLOOKUP(R$3,Data_Entry!$C:$AB,21,0)," ")</f>
        <v> </v>
      </c>
      <c r="S18" s="130" t="str">
        <f>IFERROR(VLOOKUP(S$3,Data_Entry!$C:$AB,21,0)," ")</f>
        <v> </v>
      </c>
      <c r="T18" s="130" t="str">
        <f>IFERROR(VLOOKUP(T$3,Data_Entry!$C:$AB,21,0)," ")</f>
        <v> </v>
      </c>
      <c r="U18" s="130" t="str">
        <f>IFERROR(VLOOKUP(U$3,Data_Entry!$C:$AB,21,0)," ")</f>
        <v> </v>
      </c>
      <c r="V18" s="130" t="str">
        <f>IFERROR(VLOOKUP(V$3,Data_Entry!$C:$AB,21,0)," ")</f>
        <v> </v>
      </c>
      <c r="W18" s="130" t="str">
        <f>IFERROR(VLOOKUP(W$3,Data_Entry!$C:$AB,21,0)," ")</f>
        <v> </v>
      </c>
      <c r="X18" s="130" t="str">
        <f>IFERROR(VLOOKUP(X$3,Data_Entry!$C:$AB,21,0)," ")</f>
        <v> </v>
      </c>
      <c r="Y18" s="130" t="str">
        <f>IFERROR(VLOOKUP(Y$3,Data_Entry!$C:$AB,21,0)," ")</f>
        <v> </v>
      </c>
      <c r="Z18" s="130" t="str">
        <f>IFERROR(VLOOKUP(Z$3,Data_Entry!$C:$AB,21,0)," ")</f>
        <v> </v>
      </c>
      <c r="AA18" s="130" t="str">
        <f>IFERROR(VLOOKUP(AA$3,Data_Entry!$C:$AB,21,0)," ")</f>
        <v> </v>
      </c>
      <c r="AB18" s="130" t="str">
        <f>IFERROR(VLOOKUP(AB$3,Data_Entry!$C:$AB,21,0)," ")</f>
        <v> </v>
      </c>
      <c r="AC18" s="130" t="str">
        <f>IFERROR(VLOOKUP(AC$3,Data_Entry!$C:$AB,21,0)," ")</f>
        <v> </v>
      </c>
      <c r="AD18" s="130" t="str">
        <f>IFERROR(VLOOKUP(AD$3,Data_Entry!$C:$AB,21,0)," ")</f>
        <v> </v>
      </c>
      <c r="AE18" s="130" t="str">
        <f>IFERROR(VLOOKUP(AE$3,Data_Entry!$C:$AB,21,0)," ")</f>
        <v> </v>
      </c>
      <c r="AF18" s="130" t="str">
        <f>IFERROR(VLOOKUP(AF$3,Data_Entry!$C:$AB,21,0)," ")</f>
        <v> </v>
      </c>
    </row>
    <row r="19" ht="14.25" customHeight="1" spans="1:33">
      <c r="A19" s="129" t="s">
        <v>50</v>
      </c>
      <c r="B19" s="131">
        <f>IFERROR(B12/B15/(Basic_Data!$G$10),"")</f>
        <v>1.23569429391189</v>
      </c>
      <c r="C19" s="131" t="str">
        <f>IFERROR(C12/C15/(Basic_Data!$G$10),"")</f>
        <v/>
      </c>
      <c r="D19" s="131" t="str">
        <f>IFERROR(D12/D15/(Basic_Data!$G$10),"")</f>
        <v/>
      </c>
      <c r="E19" s="131" t="str">
        <f>IFERROR(E12/E15/(Basic_Data!$G$10),"")</f>
        <v/>
      </c>
      <c r="F19" s="131" t="str">
        <f>IFERROR(F12/F15/(Basic_Data!$G$10),"")</f>
        <v/>
      </c>
      <c r="G19" s="131" t="str">
        <f>IFERROR(G12/G15/(Basic_Data!$G$10),"")</f>
        <v/>
      </c>
      <c r="H19" s="131" t="str">
        <f>IFERROR(H12/H15/(Basic_Data!$G$10),"")</f>
        <v/>
      </c>
      <c r="I19" s="131" t="str">
        <f>IFERROR(I12/I15/(Basic_Data!$G$10),"")</f>
        <v/>
      </c>
      <c r="J19" s="131" t="str">
        <f>IFERROR(J12/J15/(Basic_Data!$G$10),"")</f>
        <v/>
      </c>
      <c r="K19" s="131" t="str">
        <f>IFERROR(K12/K15/(Basic_Data!$G$10),"")</f>
        <v/>
      </c>
      <c r="L19" s="131" t="str">
        <f>IFERROR(L12/L15/(Basic_Data!$G$10),"")</f>
        <v/>
      </c>
      <c r="M19" s="131" t="str">
        <f>IFERROR(M12/M15/(Basic_Data!$G$10),"")</f>
        <v/>
      </c>
      <c r="N19" s="131" t="str">
        <f>IFERROR(N12/N15/(Basic_Data!$G$10),"")</f>
        <v/>
      </c>
      <c r="O19" s="131" t="str">
        <f>IFERROR(O12/O15/(Basic_Data!$G$10),"")</f>
        <v/>
      </c>
      <c r="P19" s="131" t="str">
        <f>IFERROR(P12/P15/(Basic_Data!$G$10),"")</f>
        <v/>
      </c>
      <c r="Q19" s="131" t="str">
        <f>IFERROR(Q12/Q15/(Basic_Data!$G$10),"")</f>
        <v/>
      </c>
      <c r="R19" s="131" t="str">
        <f>IFERROR(R12/R15/(Basic_Data!$G$10),"")</f>
        <v/>
      </c>
      <c r="S19" s="131" t="str">
        <f>IFERROR(S12/S15/(Basic_Data!$G$10),"")</f>
        <v/>
      </c>
      <c r="T19" s="131" t="str">
        <f>IFERROR(T12/T15/(Basic_Data!$G$10),"")</f>
        <v/>
      </c>
      <c r="U19" s="131" t="str">
        <f>IFERROR(U12/U15/(Basic_Data!$G$10),"")</f>
        <v/>
      </c>
      <c r="V19" s="131" t="str">
        <f>IFERROR(V12/V15/(Basic_Data!$G$10),"")</f>
        <v/>
      </c>
      <c r="W19" s="131" t="str">
        <f>IFERROR(W12/W15/(Basic_Data!$G$10),"")</f>
        <v/>
      </c>
      <c r="X19" s="131" t="str">
        <f>IFERROR(X12/X15/(Basic_Data!$G$10),"")</f>
        <v/>
      </c>
      <c r="Y19" s="131" t="str">
        <f>IFERROR(Y12/Y15/(Basic_Data!$G$10),"")</f>
        <v/>
      </c>
      <c r="Z19" s="131" t="str">
        <f>IFERROR(Z12/Z15/(Basic_Data!$G$10),"")</f>
        <v/>
      </c>
      <c r="AA19" s="131" t="str">
        <f>IFERROR(AA12/AA15/(Basic_Data!$G$10),"")</f>
        <v/>
      </c>
      <c r="AB19" s="131" t="str">
        <f>IFERROR(AB12/AB15/(Basic_Data!$G$10),"")</f>
        <v/>
      </c>
      <c r="AC19" s="131" t="str">
        <f>IFERROR(AC12/AC15/(Basic_Data!$G$10),"")</f>
        <v/>
      </c>
      <c r="AD19" s="131" t="str">
        <f>IFERROR(AD12/AD15/(Basic_Data!$G$10),"")</f>
        <v/>
      </c>
      <c r="AE19" s="131" t="str">
        <f>IFERROR(AE12/AE15/(Basic_Data!$G$10),"")</f>
        <v/>
      </c>
      <c r="AF19" s="131" t="str">
        <f>IFERROR(AF12/AF15/(Basic_Data!$G$10),"")</f>
        <v/>
      </c>
      <c r="AG19" s="131" t="str">
        <f>IFERROR(AG12/AG15/(Basic_Data!$G$10),"")</f>
        <v/>
      </c>
    </row>
    <row r="20" ht="14.25" customHeight="1" spans="1:33">
      <c r="A20" s="129" t="s">
        <v>51</v>
      </c>
      <c r="B20" s="131">
        <f>IFERROR(B12/(Basic_Data!$F$10*24),"")</f>
        <v>0.281168831168826</v>
      </c>
      <c r="C20" s="131">
        <f>IFERROR(C12/(Basic_Data!$F$10*24),"")</f>
        <v>0</v>
      </c>
      <c r="D20" s="131">
        <f>IFERROR(D12/(Basic_Data!$F$10*24),"")</f>
        <v>0</v>
      </c>
      <c r="E20" s="131">
        <f>IFERROR(E12/(Basic_Data!$F$10*24),"")</f>
        <v>0</v>
      </c>
      <c r="F20" s="131">
        <f>IFERROR(F12/(Basic_Data!$F$10*24),"")</f>
        <v>0</v>
      </c>
      <c r="G20" s="131">
        <f>IFERROR(G12/(Basic_Data!$F$10*24),"")</f>
        <v>0</v>
      </c>
      <c r="H20" s="131">
        <f>IFERROR(H12/(Basic_Data!$F$10*24),"")</f>
        <v>0</v>
      </c>
      <c r="I20" s="131">
        <f>IFERROR(I12/(Basic_Data!$F$10*24),"")</f>
        <v>0</v>
      </c>
      <c r="J20" s="131" t="str">
        <f>IFERROR(J12/(Basic_Data!$F$10*24),"")</f>
        <v/>
      </c>
      <c r="K20" s="131" t="str">
        <f>IFERROR(K12/(Basic_Data!$F$10*24),"")</f>
        <v/>
      </c>
      <c r="L20" s="131" t="str">
        <f>IFERROR(L12/(Basic_Data!$F$10*24),"")</f>
        <v/>
      </c>
      <c r="M20" s="131" t="str">
        <f>IFERROR(M12/(Basic_Data!$F$10*24),"")</f>
        <v/>
      </c>
      <c r="N20" s="131" t="str">
        <f>IFERROR(N12/(Basic_Data!$F$10*24),"")</f>
        <v/>
      </c>
      <c r="O20" s="131" t="str">
        <f>IFERROR(O12/(Basic_Data!$F$10*24),"")</f>
        <v/>
      </c>
      <c r="P20" s="131" t="str">
        <f>IFERROR(P12/(Basic_Data!$F$10*24),"")</f>
        <v/>
      </c>
      <c r="Q20" s="131" t="str">
        <f>IFERROR(Q12/(Basic_Data!$F$10*24),"")</f>
        <v/>
      </c>
      <c r="R20" s="131" t="str">
        <f>IFERROR(R12/(Basic_Data!$F$10*24),"")</f>
        <v/>
      </c>
      <c r="S20" s="131" t="str">
        <f>IFERROR(S12/(Basic_Data!$F$10*24),"")</f>
        <v/>
      </c>
      <c r="T20" s="131" t="str">
        <f>IFERROR(T12/(Basic_Data!$F$10*24),"")</f>
        <v/>
      </c>
      <c r="U20" s="131" t="str">
        <f>IFERROR(U12/(Basic_Data!$F$10*24),"")</f>
        <v/>
      </c>
      <c r="V20" s="131" t="str">
        <f>IFERROR(V12/(Basic_Data!$F$10*24),"")</f>
        <v/>
      </c>
      <c r="W20" s="131" t="str">
        <f>IFERROR(W12/(Basic_Data!$F$10*24),"")</f>
        <v/>
      </c>
      <c r="X20" s="131" t="str">
        <f>IFERROR(X12/(Basic_Data!$F$10*24),"")</f>
        <v/>
      </c>
      <c r="Y20" s="131" t="str">
        <f>IFERROR(Y12/(Basic_Data!$F$10*24),"")</f>
        <v/>
      </c>
      <c r="Z20" s="131" t="str">
        <f>IFERROR(Z12/(Basic_Data!$F$10*24),"")</f>
        <v/>
      </c>
      <c r="AA20" s="131" t="str">
        <f>IFERROR(AA12/(Basic_Data!$F$10*24),"")</f>
        <v/>
      </c>
      <c r="AB20" s="131" t="str">
        <f>IFERROR(AB12/(Basic_Data!$F$10*24),"")</f>
        <v/>
      </c>
      <c r="AC20" s="131" t="str">
        <f>IFERROR(AC12/(Basic_Data!$F$10*24),"")</f>
        <v/>
      </c>
      <c r="AD20" s="131" t="str">
        <f>IFERROR(AD12/(Basic_Data!$F$10*24),"")</f>
        <v/>
      </c>
      <c r="AE20" s="131" t="str">
        <f>IFERROR(AE12/(Basic_Data!$F$10*24),"")</f>
        <v/>
      </c>
      <c r="AF20" s="131" t="str">
        <f>IFERROR(AF12/(Basic_Data!$F$10*24),"")</f>
        <v/>
      </c>
      <c r="AG20" s="131" t="str">
        <f>IFERROR(AG12/(Basic_Data!$F$10*24),"")</f>
        <v/>
      </c>
    </row>
    <row r="21" ht="14.25" customHeight="1" spans="1:33">
      <c r="A21" s="129" t="s">
        <v>52</v>
      </c>
      <c r="B21" s="131">
        <f>IFERROR((B11-B12)/B11,"")</f>
        <v>0.0105344941843358</v>
      </c>
      <c r="C21" s="131" t="str">
        <f t="shared" ref="C21:AG21" si="3">IFERROR((C11-C12)/C11,"")</f>
        <v/>
      </c>
      <c r="D21" s="131" t="str">
        <f t="shared" si="3"/>
        <v/>
      </c>
      <c r="E21" s="131" t="str">
        <f t="shared" si="3"/>
        <v/>
      </c>
      <c r="F21" s="131" t="str">
        <f t="shared" si="3"/>
        <v/>
      </c>
      <c r="G21" s="131" t="str">
        <f t="shared" si="3"/>
        <v/>
      </c>
      <c r="H21" s="131" t="str">
        <f t="shared" si="3"/>
        <v/>
      </c>
      <c r="I21" s="131" t="str">
        <f t="shared" si="3"/>
        <v/>
      </c>
      <c r="J21" s="131" t="str">
        <f t="shared" si="3"/>
        <v/>
      </c>
      <c r="K21" s="131" t="str">
        <f t="shared" si="3"/>
        <v/>
      </c>
      <c r="L21" s="131" t="str">
        <f t="shared" si="3"/>
        <v/>
      </c>
      <c r="M21" s="131" t="str">
        <f t="shared" si="3"/>
        <v/>
      </c>
      <c r="N21" s="131" t="str">
        <f t="shared" si="3"/>
        <v/>
      </c>
      <c r="O21" s="131" t="str">
        <f t="shared" si="3"/>
        <v/>
      </c>
      <c r="P21" s="131" t="str">
        <f t="shared" si="3"/>
        <v/>
      </c>
      <c r="Q21" s="131" t="str">
        <f t="shared" si="3"/>
        <v/>
      </c>
      <c r="R21" s="131" t="str">
        <f t="shared" si="3"/>
        <v/>
      </c>
      <c r="S21" s="131" t="str">
        <f t="shared" si="3"/>
        <v/>
      </c>
      <c r="T21" s="131" t="str">
        <f t="shared" si="3"/>
        <v/>
      </c>
      <c r="U21" s="131" t="str">
        <f t="shared" si="3"/>
        <v/>
      </c>
      <c r="V21" s="131" t="str">
        <f t="shared" si="3"/>
        <v/>
      </c>
      <c r="W21" s="131" t="str">
        <f t="shared" si="3"/>
        <v/>
      </c>
      <c r="X21" s="131" t="str">
        <f t="shared" si="3"/>
        <v/>
      </c>
      <c r="Y21" s="131" t="str">
        <f t="shared" si="3"/>
        <v/>
      </c>
      <c r="Z21" s="131" t="str">
        <f t="shared" si="3"/>
        <v/>
      </c>
      <c r="AA21" s="131" t="str">
        <f t="shared" si="3"/>
        <v/>
      </c>
      <c r="AB21" s="131" t="str">
        <f t="shared" si="3"/>
        <v/>
      </c>
      <c r="AC21" s="131" t="str">
        <f t="shared" si="3"/>
        <v/>
      </c>
      <c r="AD21" s="131" t="str">
        <f t="shared" si="3"/>
        <v/>
      </c>
      <c r="AE21" s="131" t="str">
        <f t="shared" si="3"/>
        <v/>
      </c>
      <c r="AF21" s="131" t="str">
        <f t="shared" si="3"/>
        <v/>
      </c>
      <c r="AG21" s="131" t="str">
        <f t="shared" si="3"/>
        <v/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algorithmName="SHA-512" hashValue="0u2SQuC6pLZcLrwX/8KFmghQsdR5v+Ep2KzxT24rbbRqFtzQSw4CCY6/ffdN4dR40rq5eDzL5XYiFisTewEFtA==" saltValue="eJ0r9MDkUUPuqlvvwYHSbw==" spinCount="100000" sheet="1" objects="1" scenarios="1"/>
  <pageMargins left="0.7" right="0.7" top="0.75" bottom="0.75" header="0" footer="0"/>
  <pageSetup paperSize="9" fitToWidth="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B443"/>
  <sheetViews>
    <sheetView tabSelected="1" workbookViewId="0">
      <pane xSplit="5" ySplit="1" topLeftCell="F415" activePane="bottomRight" state="frozen"/>
      <selection/>
      <selection pane="topRight"/>
      <selection pane="bottomLeft"/>
      <selection pane="bottomRight" activeCell="D437" sqref="D437"/>
    </sheetView>
  </sheetViews>
  <sheetFormatPr defaultColWidth="8.75" defaultRowHeight="15"/>
  <cols>
    <col min="1" max="1" width="4" style="90" customWidth="1"/>
    <col min="2" max="2" width="6.5" style="90" customWidth="1"/>
    <col min="3" max="3" width="8.875" style="90" customWidth="1"/>
    <col min="4" max="4" width="12.5" style="90" customWidth="1"/>
    <col min="5" max="5" width="14.75" style="90" customWidth="1"/>
    <col min="6" max="6" width="8.375" style="90" customWidth="1"/>
    <col min="7" max="12" width="7.25" style="90" customWidth="1"/>
    <col min="13" max="13" width="14.875" style="90" customWidth="1"/>
    <col min="14" max="14" width="14.875" style="102" customWidth="1"/>
    <col min="15" max="15" width="14.25" style="90" customWidth="1"/>
    <col min="16" max="16" width="10.5" style="90" customWidth="1"/>
    <col min="17" max="17" width="15.25" style="90" customWidth="1"/>
    <col min="18" max="18" width="14.5" style="90" customWidth="1"/>
    <col min="19" max="19" width="10.75" style="90" customWidth="1"/>
    <col min="20" max="20" width="11.875" style="103" customWidth="1"/>
    <col min="21" max="21" width="11.375" style="90" customWidth="1"/>
    <col min="22" max="22" width="11" style="90" customWidth="1"/>
    <col min="23" max="23" width="14.25" style="90" customWidth="1"/>
    <col min="24" max="24" width="15.875" style="90" customWidth="1"/>
    <col min="25" max="25" width="16.25" style="90" customWidth="1"/>
    <col min="26" max="26" width="10" style="90" customWidth="1"/>
    <col min="27" max="27" width="13.25" style="90" customWidth="1"/>
    <col min="28" max="28" width="15.75" style="90" customWidth="1"/>
    <col min="29" max="16384" width="8.75" style="90"/>
  </cols>
  <sheetData>
    <row r="1" ht="14.45" customHeight="1" spans="1:28">
      <c r="B1" s="104" t="s">
        <v>2</v>
      </c>
      <c r="C1" s="104" t="s">
        <v>1</v>
      </c>
      <c r="D1" s="104" t="s">
        <v>53</v>
      </c>
      <c r="E1" s="105" t="s">
        <v>54</v>
      </c>
      <c r="F1" s="106" t="s">
        <v>35</v>
      </c>
      <c r="G1" s="104" t="s">
        <v>36</v>
      </c>
      <c r="H1" s="104" t="s">
        <v>37</v>
      </c>
      <c r="I1" s="104" t="s">
        <v>38</v>
      </c>
      <c r="J1" s="104" t="s">
        <v>39</v>
      </c>
      <c r="K1" s="104" t="s">
        <v>40</v>
      </c>
      <c r="L1" s="104" t="s">
        <v>41</v>
      </c>
      <c r="M1" s="107" t="s">
        <v>55</v>
      </c>
      <c r="N1" s="104" t="s">
        <v>56</v>
      </c>
      <c r="O1" s="104" t="s">
        <v>57</v>
      </c>
      <c r="P1" s="104" t="s">
        <v>58</v>
      </c>
      <c r="Q1" s="104" t="s">
        <v>59</v>
      </c>
      <c r="R1" s="104" t="s">
        <v>60</v>
      </c>
      <c r="S1" s="104" t="s">
        <v>61</v>
      </c>
      <c r="T1" s="105" t="s">
        <v>62</v>
      </c>
      <c r="U1" s="106" t="s">
        <v>63</v>
      </c>
      <c r="V1" s="104" t="s">
        <v>64</v>
      </c>
      <c r="W1" s="104" t="s">
        <v>65</v>
      </c>
      <c r="X1" s="104" t="s">
        <v>66</v>
      </c>
      <c r="Y1" s="104" t="s">
        <v>29</v>
      </c>
      <c r="Z1" s="104" t="s">
        <v>67</v>
      </c>
      <c r="AA1" s="104" t="s">
        <v>68</v>
      </c>
      <c r="AB1" s="105" t="s">
        <v>69</v>
      </c>
    </row>
    <row r="2" spans="1:28">
      <c r="A2" s="90">
        <v>4</v>
      </c>
      <c r="B2" s="98">
        <v>45747</v>
      </c>
      <c r="C2" s="25">
        <v>45747</v>
      </c>
      <c r="D2" s="52"/>
      <c r="E2" s="108"/>
      <c r="F2" s="109"/>
      <c r="G2" s="109"/>
      <c r="H2" s="109"/>
      <c r="I2" s="109"/>
      <c r="J2" s="109"/>
      <c r="K2" s="109"/>
      <c r="L2" s="109"/>
      <c r="M2" s="110">
        <f>SUM(F2:L2)</f>
        <v>0</v>
      </c>
      <c r="N2" s="111"/>
      <c r="O2" s="52"/>
      <c r="P2" s="52">
        <f>MAX((O2-N2)*3000,0)</f>
        <v>0</v>
      </c>
      <c r="Q2" s="52"/>
      <c r="R2" s="52"/>
      <c r="S2" s="52">
        <f>MAX((R2-Q2)*3000,0)</f>
        <v>0</v>
      </c>
      <c r="T2" s="108">
        <f>P2-S2</f>
        <v>0</v>
      </c>
      <c r="U2" s="112"/>
      <c r="V2" s="52"/>
      <c r="W2" s="113"/>
      <c r="X2" s="113"/>
      <c r="Y2" s="113"/>
      <c r="Z2" s="52"/>
      <c r="AA2" s="52"/>
      <c r="AB2" s="108"/>
    </row>
    <row r="3" spans="1:28">
      <c r="A3" s="90">
        <f t="shared" ref="A3:A66" si="0">A2+1</f>
        <v>5</v>
      </c>
      <c r="B3" s="98">
        <v>45748</v>
      </c>
      <c r="C3" s="25">
        <v>45748</v>
      </c>
      <c r="D3" s="52"/>
      <c r="E3" s="108"/>
      <c r="F3" s="109">
        <v>1907.18</v>
      </c>
      <c r="G3" s="109">
        <v>1939.32</v>
      </c>
      <c r="H3" s="109">
        <v>1904.51</v>
      </c>
      <c r="I3" s="109">
        <v>2007.77</v>
      </c>
      <c r="J3" s="109">
        <v>2023.7</v>
      </c>
      <c r="K3" s="109">
        <v>2022.23</v>
      </c>
      <c r="L3" s="109">
        <v>2004.7</v>
      </c>
      <c r="M3" s="110">
        <f>SUM(F3:L3)</f>
        <v>13809.41</v>
      </c>
      <c r="N3" s="52">
        <v>12.12</v>
      </c>
      <c r="O3" s="52">
        <v>16.58</v>
      </c>
      <c r="P3" s="52">
        <f t="shared" ref="P3:P66" si="1">MAX((O3-N3)*3000,0)</f>
        <v>13380</v>
      </c>
      <c r="Q3" s="52">
        <v>1.94</v>
      </c>
      <c r="R3" s="52">
        <v>1.95</v>
      </c>
      <c r="S3" s="52">
        <f t="shared" ref="S3:S66" si="2">MAX((R3-Q3)*3000,0)</f>
        <v>30</v>
      </c>
      <c r="T3" s="108">
        <f t="shared" ref="T3:T66" si="3">P3-S3</f>
        <v>13350</v>
      </c>
      <c r="U3" s="112"/>
      <c r="V3" s="94">
        <v>4.70075</v>
      </c>
      <c r="W3" s="113"/>
      <c r="X3" s="113"/>
      <c r="Y3" s="113"/>
      <c r="Z3" s="52"/>
      <c r="AA3" s="52"/>
      <c r="AB3" s="108"/>
    </row>
    <row r="4" spans="1:28">
      <c r="A4" s="90">
        <f t="shared" si="0"/>
        <v>6</v>
      </c>
      <c r="B4" s="98">
        <v>45749</v>
      </c>
      <c r="C4" s="25">
        <v>45749</v>
      </c>
      <c r="D4" s="52"/>
      <c r="E4" s="108"/>
      <c r="F4" s="109">
        <v>1946.04</v>
      </c>
      <c r="G4" s="109">
        <v>1934.35</v>
      </c>
      <c r="H4" s="109">
        <v>1916.69</v>
      </c>
      <c r="I4" s="109">
        <v>2016.27</v>
      </c>
      <c r="J4" s="109">
        <v>1966.31</v>
      </c>
      <c r="K4" s="109">
        <v>1972.08</v>
      </c>
      <c r="L4" s="109">
        <v>1940.16</v>
      </c>
      <c r="M4" s="110">
        <f t="shared" ref="M4:M12" si="4">SUM(F4:L4)</f>
        <v>13691.9</v>
      </c>
      <c r="N4" s="52">
        <v>16.58</v>
      </c>
      <c r="O4" s="52">
        <v>21.09</v>
      </c>
      <c r="P4" s="52">
        <f t="shared" si="1"/>
        <v>13530</v>
      </c>
      <c r="Q4" s="52">
        <v>1.95</v>
      </c>
      <c r="R4" s="52">
        <v>1.96</v>
      </c>
      <c r="S4" s="52">
        <f t="shared" si="2"/>
        <v>30</v>
      </c>
      <c r="T4" s="108">
        <f t="shared" si="3"/>
        <v>13500</v>
      </c>
      <c r="U4" s="112"/>
      <c r="V4" s="94">
        <v>4.70525</v>
      </c>
      <c r="W4" s="113"/>
      <c r="X4" s="113"/>
      <c r="Y4" s="113"/>
      <c r="Z4" s="52"/>
      <c r="AA4" s="52"/>
      <c r="AB4" s="108"/>
    </row>
    <row r="5" spans="1:28">
      <c r="A5" s="90">
        <f t="shared" si="0"/>
        <v>7</v>
      </c>
      <c r="B5" s="98">
        <v>45750</v>
      </c>
      <c r="C5" s="25">
        <v>45750</v>
      </c>
      <c r="D5" s="52"/>
      <c r="E5" s="108"/>
      <c r="F5" s="109">
        <v>1851.77</v>
      </c>
      <c r="G5" s="109">
        <v>1838.41</v>
      </c>
      <c r="H5" s="109">
        <v>1826.56</v>
      </c>
      <c r="I5" s="109">
        <v>1920.42</v>
      </c>
      <c r="J5" s="109">
        <v>1872.57</v>
      </c>
      <c r="K5" s="109">
        <v>1880.64</v>
      </c>
      <c r="L5" s="109">
        <v>1846.67</v>
      </c>
      <c r="M5" s="110">
        <f t="shared" si="4"/>
        <v>13037.04</v>
      </c>
      <c r="N5" s="52">
        <v>21.09</v>
      </c>
      <c r="O5" s="52">
        <v>25.39</v>
      </c>
      <c r="P5" s="52">
        <f t="shared" si="1"/>
        <v>12900</v>
      </c>
      <c r="Q5" s="52">
        <v>1.96</v>
      </c>
      <c r="R5" s="52">
        <v>1.97</v>
      </c>
      <c r="S5" s="52">
        <f t="shared" si="2"/>
        <v>30</v>
      </c>
      <c r="T5" s="108">
        <f t="shared" si="3"/>
        <v>12870</v>
      </c>
      <c r="U5" s="112"/>
      <c r="V5" s="94">
        <v>4.574</v>
      </c>
      <c r="W5" s="113"/>
      <c r="X5" s="113"/>
      <c r="Y5" s="113"/>
      <c r="Z5" s="52"/>
      <c r="AA5" s="52"/>
      <c r="AB5" s="108"/>
    </row>
    <row r="6" spans="1:28">
      <c r="A6" s="90">
        <f t="shared" si="0"/>
        <v>8</v>
      </c>
      <c r="B6" s="98">
        <v>45751</v>
      </c>
      <c r="C6" s="25">
        <v>45751</v>
      </c>
      <c r="D6" s="52"/>
      <c r="E6" s="108"/>
      <c r="F6" s="109">
        <v>1922.67</v>
      </c>
      <c r="G6" s="109">
        <v>1906.56</v>
      </c>
      <c r="H6" s="109">
        <v>1894.57</v>
      </c>
      <c r="I6" s="109">
        <v>1994.46</v>
      </c>
      <c r="J6" s="109">
        <v>1942.86</v>
      </c>
      <c r="K6" s="109">
        <v>1954.23</v>
      </c>
      <c r="L6" s="109">
        <v>1915.01</v>
      </c>
      <c r="M6" s="110">
        <f t="shared" si="4"/>
        <v>13530.36</v>
      </c>
      <c r="N6" s="52">
        <v>25.39</v>
      </c>
      <c r="O6" s="52">
        <v>29.86</v>
      </c>
      <c r="P6" s="52">
        <f t="shared" si="1"/>
        <v>13410</v>
      </c>
      <c r="Q6" s="52">
        <v>1.97</v>
      </c>
      <c r="R6" s="52">
        <v>1.98</v>
      </c>
      <c r="S6" s="52">
        <f t="shared" si="2"/>
        <v>30</v>
      </c>
      <c r="T6" s="108">
        <f t="shared" si="3"/>
        <v>13380</v>
      </c>
      <c r="U6" s="112"/>
      <c r="V6" s="94">
        <v>4.706</v>
      </c>
      <c r="W6" s="113"/>
      <c r="X6" s="113"/>
      <c r="Y6" s="113"/>
      <c r="Z6" s="52"/>
      <c r="AA6" s="52"/>
      <c r="AB6" s="108"/>
    </row>
    <row r="7" spans="1:28">
      <c r="A7" s="90">
        <f t="shared" si="0"/>
        <v>9</v>
      </c>
      <c r="B7" s="98">
        <v>45752</v>
      </c>
      <c r="C7" s="25">
        <v>45752</v>
      </c>
      <c r="D7" s="52"/>
      <c r="E7" s="108"/>
      <c r="F7" s="109">
        <v>1900.72</v>
      </c>
      <c r="G7" s="109">
        <v>1888.35</v>
      </c>
      <c r="H7" s="109">
        <v>1873.9</v>
      </c>
      <c r="I7" s="109">
        <v>1974.18</v>
      </c>
      <c r="J7" s="109">
        <v>1922.82</v>
      </c>
      <c r="K7" s="109">
        <v>1934.16</v>
      </c>
      <c r="L7" s="109">
        <v>1806</v>
      </c>
      <c r="M7" s="110">
        <f t="shared" si="4"/>
        <v>13300.13</v>
      </c>
      <c r="N7" s="52">
        <v>29.86</v>
      </c>
      <c r="O7" s="52">
        <v>34.28</v>
      </c>
      <c r="P7" s="52">
        <f t="shared" si="1"/>
        <v>13260</v>
      </c>
      <c r="Q7" s="52">
        <v>1.98</v>
      </c>
      <c r="R7" s="52">
        <v>1.99</v>
      </c>
      <c r="S7" s="52">
        <f t="shared" si="2"/>
        <v>30</v>
      </c>
      <c r="T7" s="108">
        <f t="shared" si="3"/>
        <v>13230</v>
      </c>
      <c r="U7" s="112"/>
      <c r="V7" s="94">
        <v>4.71575</v>
      </c>
      <c r="W7" s="113"/>
      <c r="X7" s="113"/>
      <c r="Y7" s="113"/>
      <c r="Z7" s="52"/>
      <c r="AA7" s="52"/>
      <c r="AB7" s="108"/>
    </row>
    <row r="8" spans="1:28">
      <c r="A8" s="90">
        <f t="shared" si="0"/>
        <v>10</v>
      </c>
      <c r="B8" s="98">
        <v>45753</v>
      </c>
      <c r="C8" s="25">
        <v>45753</v>
      </c>
      <c r="D8" s="52"/>
      <c r="E8" s="108"/>
      <c r="F8" s="109">
        <v>1910.69</v>
      </c>
      <c r="G8" s="109">
        <v>1900.96</v>
      </c>
      <c r="H8" s="109">
        <v>1885.91</v>
      </c>
      <c r="I8" s="109">
        <v>1990.97</v>
      </c>
      <c r="J8" s="109">
        <v>1938.67</v>
      </c>
      <c r="K8" s="109">
        <v>1948.05</v>
      </c>
      <c r="L8" s="109">
        <v>1914.38</v>
      </c>
      <c r="M8" s="110">
        <f t="shared" si="4"/>
        <v>13489.63</v>
      </c>
      <c r="N8" s="52">
        <v>34.28</v>
      </c>
      <c r="O8" s="52">
        <v>38.73</v>
      </c>
      <c r="P8" s="52">
        <f t="shared" si="1"/>
        <v>13350</v>
      </c>
      <c r="Q8" s="52">
        <v>1.99</v>
      </c>
      <c r="R8" s="52">
        <v>2</v>
      </c>
      <c r="S8" s="52">
        <f t="shared" si="2"/>
        <v>30</v>
      </c>
      <c r="T8" s="108">
        <f t="shared" si="3"/>
        <v>13320</v>
      </c>
      <c r="U8" s="112"/>
      <c r="V8" s="94">
        <v>4.834</v>
      </c>
      <c r="W8" s="113"/>
      <c r="X8" s="113"/>
      <c r="Y8" s="113"/>
      <c r="Z8" s="52"/>
      <c r="AA8" s="52"/>
      <c r="AB8" s="108"/>
    </row>
    <row r="9" spans="1:28">
      <c r="A9" s="90">
        <f t="shared" si="0"/>
        <v>11</v>
      </c>
      <c r="B9" s="98">
        <v>45754</v>
      </c>
      <c r="C9" s="25">
        <v>45754</v>
      </c>
      <c r="D9" s="52"/>
      <c r="E9" s="108"/>
      <c r="F9" s="109">
        <v>1871.95</v>
      </c>
      <c r="G9" s="109">
        <v>1858.79</v>
      </c>
      <c r="H9" s="109">
        <v>1843.59</v>
      </c>
      <c r="I9" s="109">
        <v>1944.86</v>
      </c>
      <c r="J9" s="109">
        <v>1894.89</v>
      </c>
      <c r="K9" s="109">
        <v>1905.29</v>
      </c>
      <c r="L9" s="109">
        <v>1874.6</v>
      </c>
      <c r="M9" s="110">
        <f t="shared" si="4"/>
        <v>13193.97</v>
      </c>
      <c r="N9" s="52">
        <v>38.73</v>
      </c>
      <c r="O9" s="52">
        <v>43.09</v>
      </c>
      <c r="P9" s="52">
        <f t="shared" si="1"/>
        <v>13080</v>
      </c>
      <c r="Q9" s="52">
        <v>2</v>
      </c>
      <c r="R9" s="52">
        <v>2.01</v>
      </c>
      <c r="S9" s="52">
        <f t="shared" si="2"/>
        <v>29.9999999999994</v>
      </c>
      <c r="T9" s="108">
        <f t="shared" si="3"/>
        <v>13050</v>
      </c>
      <c r="U9" s="112"/>
      <c r="V9" s="94">
        <v>4.746</v>
      </c>
      <c r="W9" s="113"/>
      <c r="X9" s="113"/>
      <c r="Y9" s="113"/>
      <c r="Z9" s="52"/>
      <c r="AA9" s="52"/>
      <c r="AB9" s="108"/>
    </row>
    <row r="10" spans="1:28">
      <c r="A10" s="90">
        <f t="shared" si="0"/>
        <v>12</v>
      </c>
      <c r="B10" s="98">
        <v>45755</v>
      </c>
      <c r="C10" s="25">
        <v>45755</v>
      </c>
      <c r="D10" s="52"/>
      <c r="E10" s="108"/>
      <c r="F10" s="109">
        <v>1747.98</v>
      </c>
      <c r="G10" s="109">
        <v>1739.72</v>
      </c>
      <c r="H10" s="109">
        <v>1725.16</v>
      </c>
      <c r="I10" s="109">
        <v>1838.87</v>
      </c>
      <c r="J10" s="109">
        <v>1774.48</v>
      </c>
      <c r="K10" s="109">
        <v>1782.44</v>
      </c>
      <c r="L10" s="109">
        <v>1753.28</v>
      </c>
      <c r="M10" s="110">
        <f t="shared" si="4"/>
        <v>12361.93</v>
      </c>
      <c r="N10" s="52">
        <v>43.09</v>
      </c>
      <c r="O10" s="52">
        <v>47.17</v>
      </c>
      <c r="P10" s="52">
        <f t="shared" si="1"/>
        <v>12240</v>
      </c>
      <c r="Q10" s="52">
        <v>2.01</v>
      </c>
      <c r="R10" s="52">
        <v>2.02</v>
      </c>
      <c r="S10" s="52">
        <f t="shared" si="2"/>
        <v>30.0000000000007</v>
      </c>
      <c r="T10" s="108">
        <f t="shared" si="3"/>
        <v>12210</v>
      </c>
      <c r="U10" s="112"/>
      <c r="V10" s="94">
        <v>4.6445</v>
      </c>
      <c r="W10" s="113"/>
      <c r="X10" s="113"/>
      <c r="Y10" s="113"/>
      <c r="Z10" s="52"/>
      <c r="AA10" s="52"/>
      <c r="AB10" s="108"/>
    </row>
    <row r="11" spans="1:28">
      <c r="A11" s="90">
        <f t="shared" si="0"/>
        <v>13</v>
      </c>
      <c r="B11" s="98">
        <v>45756</v>
      </c>
      <c r="C11" s="25">
        <v>45756</v>
      </c>
      <c r="D11" s="52"/>
      <c r="E11" s="108"/>
      <c r="F11" s="109">
        <v>1795.76</v>
      </c>
      <c r="G11" s="52">
        <v>1784.89</v>
      </c>
      <c r="H11" s="52">
        <v>1771.68</v>
      </c>
      <c r="I11" s="52">
        <v>1904.8</v>
      </c>
      <c r="J11" s="52">
        <v>1819.83</v>
      </c>
      <c r="K11" s="52">
        <v>1827.37</v>
      </c>
      <c r="L11" s="52">
        <v>1798.97</v>
      </c>
      <c r="M11" s="110">
        <f t="shared" si="4"/>
        <v>12703.3</v>
      </c>
      <c r="N11" s="111">
        <v>47.17</v>
      </c>
      <c r="O11" s="52">
        <v>51.36</v>
      </c>
      <c r="P11" s="52">
        <f t="shared" si="1"/>
        <v>12570</v>
      </c>
      <c r="Q11" s="52">
        <v>2.02</v>
      </c>
      <c r="R11" s="52">
        <v>2.04</v>
      </c>
      <c r="S11" s="52">
        <f t="shared" si="2"/>
        <v>60.0000000000001</v>
      </c>
      <c r="T11" s="108">
        <f t="shared" si="3"/>
        <v>12510</v>
      </c>
      <c r="U11" s="112"/>
      <c r="V11" s="94">
        <v>4.74175</v>
      </c>
      <c r="W11" s="113"/>
      <c r="X11" s="113"/>
      <c r="Y11" s="113"/>
      <c r="Z11" s="52"/>
      <c r="AA11" s="52"/>
      <c r="AB11" s="108"/>
    </row>
    <row r="12" spans="1:28">
      <c r="A12" s="90">
        <f t="shared" si="0"/>
        <v>14</v>
      </c>
      <c r="B12" s="98">
        <v>45757</v>
      </c>
      <c r="C12" s="25">
        <v>45757</v>
      </c>
      <c r="D12" s="52"/>
      <c r="E12" s="108"/>
      <c r="F12" s="109">
        <v>1844.1</v>
      </c>
      <c r="G12" s="52">
        <v>1826.08</v>
      </c>
      <c r="H12" s="52">
        <v>1814.23</v>
      </c>
      <c r="I12" s="52">
        <v>1970.73</v>
      </c>
      <c r="J12" s="52">
        <v>1921.79</v>
      </c>
      <c r="K12" s="52">
        <v>1944.7</v>
      </c>
      <c r="L12" s="52">
        <v>1926.7</v>
      </c>
      <c r="M12" s="110">
        <f t="shared" si="4"/>
        <v>13248.33</v>
      </c>
      <c r="N12" s="111">
        <f>O11</f>
        <v>51.36</v>
      </c>
      <c r="O12" s="52">
        <v>55.73</v>
      </c>
      <c r="P12" s="52">
        <f t="shared" si="1"/>
        <v>13110</v>
      </c>
      <c r="Q12" s="52">
        <f>R11</f>
        <v>2.04</v>
      </c>
      <c r="R12" s="52">
        <v>2.05</v>
      </c>
      <c r="S12" s="52">
        <f t="shared" si="2"/>
        <v>29.9999999999994</v>
      </c>
      <c r="T12" s="108">
        <f t="shared" si="3"/>
        <v>13080</v>
      </c>
      <c r="U12" s="112"/>
      <c r="V12" s="52">
        <v>4.9</v>
      </c>
      <c r="W12" s="113"/>
      <c r="X12" s="113"/>
      <c r="Y12" s="113"/>
      <c r="Z12" s="52"/>
      <c r="AA12" s="52"/>
      <c r="AB12" s="108"/>
    </row>
    <row r="13" spans="1:28">
      <c r="A13" s="90">
        <f t="shared" si="0"/>
        <v>15</v>
      </c>
      <c r="B13" s="98">
        <v>45758</v>
      </c>
      <c r="C13" s="25">
        <v>45758</v>
      </c>
      <c r="D13" s="52"/>
      <c r="E13" s="108"/>
      <c r="F13" s="109">
        <v>1982.14</v>
      </c>
      <c r="G13" s="52">
        <v>1971.26</v>
      </c>
      <c r="H13" s="52">
        <v>1966.63</v>
      </c>
      <c r="I13" s="52">
        <v>2078.11</v>
      </c>
      <c r="J13" s="52">
        <v>2014.72</v>
      </c>
      <c r="K13" s="52">
        <v>2013.29</v>
      </c>
      <c r="L13" s="52">
        <v>2001.59</v>
      </c>
      <c r="M13" s="110">
        <f t="shared" ref="M13:M76" si="5">SUM(F13:L13)</f>
        <v>14027.74</v>
      </c>
      <c r="N13" s="111">
        <f t="shared" ref="N13:N76" si="6">O12</f>
        <v>55.73</v>
      </c>
      <c r="O13" s="52">
        <v>60.36</v>
      </c>
      <c r="P13" s="52">
        <f t="shared" si="1"/>
        <v>13890</v>
      </c>
      <c r="Q13" s="52">
        <f t="shared" ref="Q13:Q76" si="7">R12</f>
        <v>2.05</v>
      </c>
      <c r="R13" s="52">
        <v>2.06</v>
      </c>
      <c r="S13" s="52">
        <f t="shared" si="2"/>
        <v>30.0000000000007</v>
      </c>
      <c r="T13" s="108">
        <f t="shared" si="3"/>
        <v>13860</v>
      </c>
      <c r="U13" s="112"/>
      <c r="V13" s="52">
        <v>4.92</v>
      </c>
      <c r="W13" s="52">
        <v>60</v>
      </c>
      <c r="X13" s="52"/>
      <c r="Y13" s="52"/>
      <c r="Z13" s="52"/>
      <c r="AA13" s="52"/>
      <c r="AB13" s="108"/>
    </row>
    <row r="14" spans="1:28">
      <c r="A14" s="90">
        <f t="shared" si="0"/>
        <v>16</v>
      </c>
      <c r="B14" s="98">
        <v>45759</v>
      </c>
      <c r="C14" s="25">
        <v>45759</v>
      </c>
      <c r="D14" s="52"/>
      <c r="E14" s="108"/>
      <c r="F14" s="109">
        <v>2000.12</v>
      </c>
      <c r="G14" s="52">
        <v>1989.96</v>
      </c>
      <c r="H14" s="52">
        <v>2054.8</v>
      </c>
      <c r="I14" s="52">
        <v>2103.08</v>
      </c>
      <c r="J14" s="52">
        <v>2033.46</v>
      </c>
      <c r="K14" s="52">
        <v>2028.7</v>
      </c>
      <c r="L14" s="52">
        <v>2016.47</v>
      </c>
      <c r="M14" s="110">
        <f t="shared" si="5"/>
        <v>14226.59</v>
      </c>
      <c r="N14" s="111">
        <f t="shared" si="6"/>
        <v>60.36</v>
      </c>
      <c r="O14" s="52">
        <v>65.05</v>
      </c>
      <c r="P14" s="52">
        <f t="shared" si="1"/>
        <v>14070</v>
      </c>
      <c r="Q14" s="52">
        <f t="shared" si="7"/>
        <v>2.06</v>
      </c>
      <c r="R14" s="52">
        <v>2.07</v>
      </c>
      <c r="S14" s="52">
        <f t="shared" si="2"/>
        <v>29.9999999999994</v>
      </c>
      <c r="T14" s="108">
        <f t="shared" si="3"/>
        <v>14040</v>
      </c>
      <c r="U14" s="112"/>
      <c r="V14" s="52">
        <v>5.08</v>
      </c>
      <c r="W14" s="52"/>
      <c r="X14" s="52"/>
      <c r="Y14" s="52"/>
      <c r="Z14" s="52"/>
      <c r="AA14" s="52"/>
      <c r="AB14" s="108" t="s">
        <v>70</v>
      </c>
    </row>
    <row r="15" spans="1:28">
      <c r="A15" s="90">
        <f t="shared" si="0"/>
        <v>17</v>
      </c>
      <c r="B15" s="98">
        <v>45760</v>
      </c>
      <c r="C15" s="25">
        <v>45760</v>
      </c>
      <c r="D15" s="52"/>
      <c r="E15" s="108"/>
      <c r="F15" s="109">
        <v>2116.18</v>
      </c>
      <c r="G15" s="52">
        <v>2112.73</v>
      </c>
      <c r="H15" s="52">
        <v>2117</v>
      </c>
      <c r="I15" s="52">
        <v>2195.22</v>
      </c>
      <c r="J15" s="52">
        <v>2075.64</v>
      </c>
      <c r="K15" s="52">
        <v>2068.07</v>
      </c>
      <c r="L15" s="52">
        <v>2053.15</v>
      </c>
      <c r="M15" s="110">
        <f t="shared" si="5"/>
        <v>14737.99</v>
      </c>
      <c r="N15" s="111">
        <f t="shared" si="6"/>
        <v>65.05</v>
      </c>
      <c r="O15" s="52">
        <v>69.91</v>
      </c>
      <c r="P15" s="52">
        <f t="shared" si="1"/>
        <v>14580</v>
      </c>
      <c r="Q15" s="52">
        <f t="shared" si="7"/>
        <v>2.07</v>
      </c>
      <c r="R15" s="52">
        <v>2.08</v>
      </c>
      <c r="S15" s="52">
        <f t="shared" si="2"/>
        <v>30.0000000000007</v>
      </c>
      <c r="T15" s="108">
        <f t="shared" si="3"/>
        <v>14550</v>
      </c>
      <c r="U15" s="112"/>
      <c r="V15" s="52">
        <v>5.21</v>
      </c>
      <c r="W15" s="52"/>
      <c r="X15" s="52"/>
      <c r="Y15" s="52"/>
      <c r="Z15" s="52"/>
      <c r="AA15" s="52"/>
      <c r="AB15" s="108" t="s">
        <v>70</v>
      </c>
    </row>
    <row r="16" spans="1:28">
      <c r="A16" s="90">
        <f t="shared" si="0"/>
        <v>18</v>
      </c>
      <c r="B16" s="98">
        <v>45761</v>
      </c>
      <c r="C16" s="25">
        <v>45761</v>
      </c>
      <c r="D16" s="52"/>
      <c r="E16" s="108"/>
      <c r="F16" s="109">
        <v>2102.77</v>
      </c>
      <c r="G16" s="52">
        <v>2079.13</v>
      </c>
      <c r="H16" s="52">
        <v>2090.55</v>
      </c>
      <c r="I16" s="52">
        <v>2200.6</v>
      </c>
      <c r="J16" s="52">
        <v>2172.37</v>
      </c>
      <c r="K16" s="52">
        <v>2164.42</v>
      </c>
      <c r="L16" s="52">
        <v>2154.04</v>
      </c>
      <c r="M16" s="110">
        <f t="shared" si="5"/>
        <v>14963.88</v>
      </c>
      <c r="N16" s="111">
        <f t="shared" si="6"/>
        <v>69.91</v>
      </c>
      <c r="O16" s="52">
        <v>74.83</v>
      </c>
      <c r="P16" s="52">
        <f t="shared" si="1"/>
        <v>14760</v>
      </c>
      <c r="Q16" s="52">
        <f t="shared" si="7"/>
        <v>2.08</v>
      </c>
      <c r="R16" s="52">
        <v>2.09</v>
      </c>
      <c r="S16" s="52">
        <f t="shared" si="2"/>
        <v>29.9999999999994</v>
      </c>
      <c r="T16" s="108">
        <f t="shared" si="3"/>
        <v>14730</v>
      </c>
      <c r="U16" s="112"/>
      <c r="V16" s="52">
        <v>5.14</v>
      </c>
      <c r="W16" s="52"/>
      <c r="X16" s="52"/>
      <c r="Y16" s="52"/>
      <c r="Z16" s="52"/>
      <c r="AA16" s="52"/>
      <c r="AB16" s="108" t="s">
        <v>70</v>
      </c>
    </row>
    <row r="17" spans="1:28">
      <c r="A17" s="90">
        <f t="shared" si="0"/>
        <v>19</v>
      </c>
      <c r="B17" s="98">
        <v>45762</v>
      </c>
      <c r="C17" s="25">
        <v>45762</v>
      </c>
      <c r="D17" s="52"/>
      <c r="E17" s="108"/>
      <c r="F17" s="109">
        <v>2085.01</v>
      </c>
      <c r="G17" s="52">
        <v>2062.99</v>
      </c>
      <c r="H17" s="52">
        <v>2072.03</v>
      </c>
      <c r="I17" s="52">
        <v>2177.98</v>
      </c>
      <c r="J17" s="52">
        <v>2145.8</v>
      </c>
      <c r="K17" s="52">
        <v>2147.49</v>
      </c>
      <c r="L17" s="52">
        <v>2160.53</v>
      </c>
      <c r="M17" s="110">
        <f t="shared" si="5"/>
        <v>14851.83</v>
      </c>
      <c r="N17" s="111">
        <f t="shared" si="6"/>
        <v>74.83</v>
      </c>
      <c r="O17" s="52">
        <v>79.73</v>
      </c>
      <c r="P17" s="52">
        <f t="shared" si="1"/>
        <v>14700</v>
      </c>
      <c r="Q17" s="52">
        <f t="shared" si="7"/>
        <v>2.09</v>
      </c>
      <c r="R17" s="52">
        <v>2.1</v>
      </c>
      <c r="S17" s="52">
        <f t="shared" si="2"/>
        <v>30.0000000000007</v>
      </c>
      <c r="T17" s="108">
        <f t="shared" si="3"/>
        <v>14670</v>
      </c>
      <c r="U17" s="112"/>
      <c r="V17" s="52">
        <v>5.13</v>
      </c>
      <c r="W17" s="52"/>
      <c r="X17" s="52"/>
      <c r="Y17" s="52"/>
      <c r="Z17" s="52"/>
      <c r="AA17" s="52"/>
      <c r="AB17" s="108" t="s">
        <v>70</v>
      </c>
    </row>
    <row r="18" spans="1:28">
      <c r="A18" s="90">
        <f t="shared" si="0"/>
        <v>20</v>
      </c>
      <c r="B18" s="98">
        <v>45763</v>
      </c>
      <c r="C18" s="25">
        <v>45763</v>
      </c>
      <c r="D18" s="52"/>
      <c r="E18" s="108"/>
      <c r="F18" s="109">
        <v>2045.52</v>
      </c>
      <c r="G18" s="52">
        <v>2024.81</v>
      </c>
      <c r="H18" s="52">
        <v>2028.81</v>
      </c>
      <c r="I18" s="52">
        <v>2132.32</v>
      </c>
      <c r="J18" s="52">
        <v>2108.15</v>
      </c>
      <c r="K18" s="52">
        <v>2115.88</v>
      </c>
      <c r="L18" s="52">
        <v>2127.22</v>
      </c>
      <c r="M18" s="110">
        <f t="shared" si="5"/>
        <v>14582.71</v>
      </c>
      <c r="N18" s="111">
        <f t="shared" si="6"/>
        <v>79.73</v>
      </c>
      <c r="O18" s="52">
        <v>84.55</v>
      </c>
      <c r="P18" s="52">
        <f t="shared" si="1"/>
        <v>14460</v>
      </c>
      <c r="Q18" s="52">
        <f t="shared" si="7"/>
        <v>2.1</v>
      </c>
      <c r="R18" s="52">
        <v>2.11</v>
      </c>
      <c r="S18" s="52">
        <f t="shared" si="2"/>
        <v>29.9999999999994</v>
      </c>
      <c r="T18" s="108">
        <f t="shared" si="3"/>
        <v>14430</v>
      </c>
      <c r="U18" s="112"/>
      <c r="V18" s="52">
        <v>5.04</v>
      </c>
      <c r="W18" s="52">
        <v>34.2</v>
      </c>
      <c r="X18" s="52"/>
      <c r="Y18" s="52"/>
      <c r="Z18" s="52"/>
      <c r="AA18" s="52"/>
      <c r="AB18" s="108" t="s">
        <v>70</v>
      </c>
    </row>
    <row r="19" spans="1:28">
      <c r="A19" s="90">
        <f t="shared" si="0"/>
        <v>21</v>
      </c>
      <c r="B19" s="98">
        <v>45764</v>
      </c>
      <c r="C19" s="25">
        <v>45764</v>
      </c>
      <c r="D19" s="52"/>
      <c r="E19" s="108"/>
      <c r="F19" s="109">
        <v>871.85</v>
      </c>
      <c r="G19" s="52">
        <v>870</v>
      </c>
      <c r="H19" s="52">
        <v>872.65</v>
      </c>
      <c r="I19" s="52">
        <v>911.72</v>
      </c>
      <c r="J19" s="90">
        <v>906.16</v>
      </c>
      <c r="K19" s="90">
        <v>901.18</v>
      </c>
      <c r="L19" s="90">
        <v>905.53</v>
      </c>
      <c r="M19" s="110">
        <f t="shared" si="5"/>
        <v>6239.09</v>
      </c>
      <c r="N19" s="111">
        <f t="shared" si="6"/>
        <v>84.55</v>
      </c>
      <c r="O19" s="90">
        <v>86.6</v>
      </c>
      <c r="P19" s="52">
        <f t="shared" si="1"/>
        <v>6149.99999999999</v>
      </c>
      <c r="Q19" s="52">
        <f t="shared" si="7"/>
        <v>2.11</v>
      </c>
      <c r="R19" s="52">
        <v>2.12</v>
      </c>
      <c r="S19" s="52">
        <f t="shared" si="2"/>
        <v>30.0000000000007</v>
      </c>
      <c r="T19" s="108">
        <f t="shared" si="3"/>
        <v>6119.99999999999</v>
      </c>
      <c r="U19" s="112"/>
      <c r="V19" s="114"/>
      <c r="W19" s="52"/>
      <c r="X19" s="52"/>
      <c r="Y19" s="52"/>
      <c r="Z19" s="52"/>
      <c r="AA19" s="52"/>
      <c r="AB19" s="108" t="s">
        <v>70</v>
      </c>
    </row>
    <row r="20" spans="1:28">
      <c r="A20" s="90">
        <f t="shared" si="0"/>
        <v>22</v>
      </c>
      <c r="B20" s="98">
        <v>45765</v>
      </c>
      <c r="C20" s="25">
        <v>45765</v>
      </c>
      <c r="D20" s="52"/>
      <c r="E20" s="108"/>
      <c r="F20" s="109">
        <v>0</v>
      </c>
      <c r="G20" s="109">
        <v>0</v>
      </c>
      <c r="H20" s="109">
        <v>0</v>
      </c>
      <c r="I20" s="109">
        <v>0</v>
      </c>
      <c r="J20" s="109">
        <v>0</v>
      </c>
      <c r="K20" s="109">
        <v>0</v>
      </c>
      <c r="L20" s="109">
        <v>0</v>
      </c>
      <c r="M20" s="110">
        <f t="shared" si="5"/>
        <v>0</v>
      </c>
      <c r="N20" s="111">
        <f t="shared" si="6"/>
        <v>86.6</v>
      </c>
      <c r="O20" s="52">
        <v>86.6</v>
      </c>
      <c r="P20" s="52">
        <f t="shared" si="1"/>
        <v>0</v>
      </c>
      <c r="Q20" s="52">
        <f t="shared" si="7"/>
        <v>2.12</v>
      </c>
      <c r="R20" s="52">
        <v>2.12</v>
      </c>
      <c r="S20" s="52">
        <f t="shared" si="2"/>
        <v>0</v>
      </c>
      <c r="T20" s="108">
        <f t="shared" si="3"/>
        <v>0</v>
      </c>
      <c r="U20" s="52"/>
      <c r="V20" s="114"/>
      <c r="W20" s="52"/>
      <c r="X20" s="110"/>
      <c r="Y20" s="111"/>
      <c r="Z20" s="52"/>
      <c r="AA20" s="52"/>
      <c r="AB20" s="108" t="s">
        <v>70</v>
      </c>
    </row>
    <row r="21" spans="1:28">
      <c r="A21" s="90">
        <f t="shared" si="0"/>
        <v>23</v>
      </c>
      <c r="B21" s="98">
        <v>45766</v>
      </c>
      <c r="C21" s="25">
        <v>45766</v>
      </c>
      <c r="D21" s="52"/>
      <c r="E21" s="108"/>
      <c r="F21" s="109">
        <v>0</v>
      </c>
      <c r="G21" s="109">
        <v>0</v>
      </c>
      <c r="H21" s="109">
        <v>0</v>
      </c>
      <c r="I21" s="109">
        <v>0</v>
      </c>
      <c r="J21" s="109">
        <v>0</v>
      </c>
      <c r="K21" s="109">
        <v>0</v>
      </c>
      <c r="L21" s="109">
        <v>0</v>
      </c>
      <c r="M21" s="110">
        <f t="shared" si="5"/>
        <v>0</v>
      </c>
      <c r="N21" s="111">
        <f t="shared" si="6"/>
        <v>86.6</v>
      </c>
      <c r="O21" s="52">
        <v>86.6</v>
      </c>
      <c r="P21" s="52">
        <f t="shared" si="1"/>
        <v>0</v>
      </c>
      <c r="Q21" s="52">
        <f t="shared" si="7"/>
        <v>2.12</v>
      </c>
      <c r="R21" s="52">
        <v>2.12</v>
      </c>
      <c r="S21" s="52">
        <f t="shared" si="2"/>
        <v>0</v>
      </c>
      <c r="T21" s="108">
        <f t="shared" si="3"/>
        <v>0</v>
      </c>
      <c r="U21" s="112"/>
      <c r="V21" s="114"/>
      <c r="W21" s="52"/>
      <c r="X21" s="52"/>
      <c r="Y21" s="52"/>
      <c r="Z21" s="52"/>
      <c r="AA21" s="52"/>
      <c r="AB21" s="108" t="s">
        <v>70</v>
      </c>
    </row>
    <row r="22" spans="1:28">
      <c r="A22" s="90">
        <f t="shared" si="0"/>
        <v>24</v>
      </c>
      <c r="B22" s="98">
        <v>45767</v>
      </c>
      <c r="C22" s="25">
        <v>45767</v>
      </c>
      <c r="D22" s="52"/>
      <c r="E22" s="108"/>
      <c r="F22" s="109">
        <v>2111.28</v>
      </c>
      <c r="G22" s="52">
        <v>2109.21</v>
      </c>
      <c r="H22" s="52">
        <v>2112.3</v>
      </c>
      <c r="I22" s="52">
        <v>2208.71</v>
      </c>
      <c r="J22" s="52">
        <v>2198.85</v>
      </c>
      <c r="K22" s="52">
        <v>2204.77</v>
      </c>
      <c r="L22" s="52">
        <v>2227.06</v>
      </c>
      <c r="M22" s="110">
        <f t="shared" si="5"/>
        <v>15172.18</v>
      </c>
      <c r="N22" s="111">
        <f t="shared" si="6"/>
        <v>86.6</v>
      </c>
      <c r="O22" s="52">
        <v>91.6</v>
      </c>
      <c r="P22" s="52">
        <f t="shared" si="1"/>
        <v>15000</v>
      </c>
      <c r="Q22" s="52">
        <f t="shared" si="7"/>
        <v>2.12</v>
      </c>
      <c r="R22" s="52">
        <v>2.13</v>
      </c>
      <c r="S22" s="52">
        <f t="shared" si="2"/>
        <v>29.9999999999994</v>
      </c>
      <c r="T22" s="108">
        <f t="shared" si="3"/>
        <v>14970</v>
      </c>
      <c r="U22" s="112"/>
      <c r="V22" s="52">
        <v>5.33</v>
      </c>
      <c r="W22" s="52">
        <v>33.9</v>
      </c>
      <c r="X22" s="52"/>
      <c r="Y22" s="52"/>
      <c r="Z22" s="52"/>
      <c r="AA22" s="52"/>
      <c r="AB22" s="108" t="s">
        <v>70</v>
      </c>
    </row>
    <row r="23" spans="1:28">
      <c r="A23" s="90">
        <f t="shared" si="0"/>
        <v>25</v>
      </c>
      <c r="B23" s="98">
        <v>45768</v>
      </c>
      <c r="C23" s="25">
        <v>45768</v>
      </c>
      <c r="D23" s="52"/>
      <c r="E23" s="108"/>
      <c r="F23" s="109">
        <v>2044.26</v>
      </c>
      <c r="G23" s="52">
        <v>2043.53</v>
      </c>
      <c r="H23" s="52">
        <v>2044.57</v>
      </c>
      <c r="I23" s="52">
        <v>2140.32</v>
      </c>
      <c r="J23" s="52">
        <v>2132.27</v>
      </c>
      <c r="K23" s="52">
        <v>2136.15</v>
      </c>
      <c r="L23" s="52">
        <v>2151.63</v>
      </c>
      <c r="M23" s="110">
        <f t="shared" si="5"/>
        <v>14692.73</v>
      </c>
      <c r="N23" s="111">
        <f t="shared" si="6"/>
        <v>91.6</v>
      </c>
      <c r="O23" s="52">
        <v>96.45</v>
      </c>
      <c r="P23" s="52">
        <f t="shared" si="1"/>
        <v>14550</v>
      </c>
      <c r="Q23" s="52">
        <f t="shared" si="7"/>
        <v>2.13</v>
      </c>
      <c r="R23" s="52">
        <v>2.14</v>
      </c>
      <c r="S23" s="52">
        <f t="shared" si="2"/>
        <v>30.0000000000007</v>
      </c>
      <c r="T23" s="108">
        <f t="shared" si="3"/>
        <v>14520</v>
      </c>
      <c r="U23" s="112"/>
      <c r="V23" s="52">
        <v>5.25</v>
      </c>
      <c r="W23" s="52">
        <v>35.25</v>
      </c>
      <c r="X23" s="52"/>
      <c r="Y23" s="52"/>
      <c r="Z23" s="52"/>
      <c r="AA23" s="52"/>
      <c r="AB23" s="108" t="s">
        <v>70</v>
      </c>
    </row>
    <row r="24" spans="1:28">
      <c r="A24" s="90">
        <f t="shared" si="0"/>
        <v>26</v>
      </c>
      <c r="B24" s="98">
        <v>45769</v>
      </c>
      <c r="C24" s="25">
        <v>45769</v>
      </c>
      <c r="D24" s="52"/>
      <c r="E24" s="108"/>
      <c r="F24" s="109">
        <v>2051.52</v>
      </c>
      <c r="G24" s="52">
        <v>2068.96</v>
      </c>
      <c r="H24" s="52">
        <v>2100.98</v>
      </c>
      <c r="I24" s="52">
        <v>2189.7</v>
      </c>
      <c r="J24" s="52">
        <v>2136.27</v>
      </c>
      <c r="K24" s="52">
        <v>2144.32</v>
      </c>
      <c r="L24" s="52">
        <v>2161.91</v>
      </c>
      <c r="M24" s="110">
        <f t="shared" si="5"/>
        <v>14853.66</v>
      </c>
      <c r="N24" s="111">
        <f t="shared" si="6"/>
        <v>96.45</v>
      </c>
      <c r="O24" s="52">
        <v>101.35</v>
      </c>
      <c r="P24" s="52">
        <f t="shared" si="1"/>
        <v>14700</v>
      </c>
      <c r="Q24" s="52">
        <f t="shared" si="7"/>
        <v>2.14</v>
      </c>
      <c r="R24" s="52">
        <v>2.15</v>
      </c>
      <c r="S24" s="52">
        <f t="shared" si="2"/>
        <v>29.9999999999994</v>
      </c>
      <c r="T24" s="108">
        <f t="shared" si="3"/>
        <v>14670</v>
      </c>
      <c r="U24" s="112"/>
      <c r="V24" s="52">
        <v>5.28</v>
      </c>
      <c r="W24" s="52">
        <v>37</v>
      </c>
      <c r="X24" s="52"/>
      <c r="Y24" s="52"/>
      <c r="Z24" s="52"/>
      <c r="AA24" s="52"/>
      <c r="AB24" s="108" t="s">
        <v>70</v>
      </c>
    </row>
    <row r="25" spans="1:28">
      <c r="A25" s="90">
        <f t="shared" si="0"/>
        <v>27</v>
      </c>
      <c r="B25" s="98">
        <v>45770</v>
      </c>
      <c r="C25" s="25">
        <v>45770</v>
      </c>
      <c r="D25" s="52"/>
      <c r="E25" s="108"/>
      <c r="F25" s="109">
        <v>2036.09</v>
      </c>
      <c r="G25" s="52">
        <v>2032.74</v>
      </c>
      <c r="H25" s="52">
        <v>2033.4</v>
      </c>
      <c r="I25" s="52">
        <v>2127.45</v>
      </c>
      <c r="J25" s="52">
        <v>2106.96</v>
      </c>
      <c r="K25" s="52">
        <v>2094.6</v>
      </c>
      <c r="L25" s="52">
        <v>2083.49</v>
      </c>
      <c r="M25" s="110">
        <f t="shared" si="5"/>
        <v>14514.73</v>
      </c>
      <c r="N25" s="111">
        <f t="shared" si="6"/>
        <v>101.35</v>
      </c>
      <c r="O25" s="52">
        <v>106.14</v>
      </c>
      <c r="P25" s="52">
        <f t="shared" si="1"/>
        <v>14370</v>
      </c>
      <c r="Q25" s="52">
        <f t="shared" si="7"/>
        <v>2.15</v>
      </c>
      <c r="R25" s="52">
        <v>2.16</v>
      </c>
      <c r="S25" s="52">
        <f t="shared" si="2"/>
        <v>30.0000000000007</v>
      </c>
      <c r="T25" s="108">
        <f t="shared" si="3"/>
        <v>14340</v>
      </c>
      <c r="U25" s="112"/>
      <c r="V25" s="52">
        <v>5.16</v>
      </c>
      <c r="W25" s="52">
        <v>37.04</v>
      </c>
      <c r="X25" s="52"/>
      <c r="Y25" s="52"/>
      <c r="Z25" s="52"/>
      <c r="AA25" s="52"/>
      <c r="AB25" s="108" t="s">
        <v>70</v>
      </c>
    </row>
    <row r="26" spans="1:28">
      <c r="A26" s="90">
        <f t="shared" si="0"/>
        <v>28</v>
      </c>
      <c r="B26" s="98">
        <v>45771</v>
      </c>
      <c r="C26" s="25">
        <v>45771</v>
      </c>
      <c r="D26" s="52"/>
      <c r="E26" s="108"/>
      <c r="F26" s="109">
        <v>2087.2</v>
      </c>
      <c r="G26" s="52">
        <v>2081.03</v>
      </c>
      <c r="H26" s="52">
        <v>2082.75</v>
      </c>
      <c r="I26" s="52">
        <v>2178.48</v>
      </c>
      <c r="J26" s="52">
        <v>2175.08</v>
      </c>
      <c r="K26" s="52">
        <v>2175.9</v>
      </c>
      <c r="L26" s="52">
        <v>2196.2</v>
      </c>
      <c r="M26" s="110">
        <f t="shared" si="5"/>
        <v>14976.64</v>
      </c>
      <c r="N26" s="111">
        <f t="shared" si="6"/>
        <v>106.14</v>
      </c>
      <c r="O26" s="52">
        <v>111.07</v>
      </c>
      <c r="P26" s="52">
        <f t="shared" si="1"/>
        <v>14790</v>
      </c>
      <c r="Q26" s="52">
        <f t="shared" si="7"/>
        <v>2.16</v>
      </c>
      <c r="R26" s="52">
        <v>2.17</v>
      </c>
      <c r="S26" s="52">
        <f t="shared" si="2"/>
        <v>29.9999999999994</v>
      </c>
      <c r="T26" s="108">
        <f t="shared" si="3"/>
        <v>14760</v>
      </c>
      <c r="U26" s="112"/>
      <c r="V26" s="52">
        <v>5.24</v>
      </c>
      <c r="W26" s="52">
        <v>35.34</v>
      </c>
      <c r="X26" s="52"/>
      <c r="Y26" s="52"/>
      <c r="Z26" s="52"/>
      <c r="AA26" s="52"/>
      <c r="AB26" s="108" t="s">
        <v>70</v>
      </c>
    </row>
    <row r="27" spans="1:28">
      <c r="A27" s="90">
        <f t="shared" si="0"/>
        <v>29</v>
      </c>
      <c r="B27" s="98">
        <v>45772</v>
      </c>
      <c r="C27" s="25">
        <v>45772</v>
      </c>
      <c r="D27" s="52"/>
      <c r="E27" s="108"/>
      <c r="F27" s="109">
        <v>2102.3</v>
      </c>
      <c r="G27" s="52">
        <v>2088.6</v>
      </c>
      <c r="H27" s="52">
        <v>2073</v>
      </c>
      <c r="I27" s="52">
        <v>2176.04</v>
      </c>
      <c r="J27" s="52">
        <v>2179.13</v>
      </c>
      <c r="K27" s="52">
        <v>2188.77</v>
      </c>
      <c r="L27" s="52">
        <v>2214.35</v>
      </c>
      <c r="M27" s="110">
        <f t="shared" si="5"/>
        <v>15022.19</v>
      </c>
      <c r="N27" s="111">
        <f t="shared" si="6"/>
        <v>111.07</v>
      </c>
      <c r="O27" s="52">
        <v>116.04</v>
      </c>
      <c r="P27" s="52">
        <f t="shared" si="1"/>
        <v>14910</v>
      </c>
      <c r="Q27" s="52">
        <f t="shared" si="7"/>
        <v>2.17</v>
      </c>
      <c r="R27" s="52">
        <v>2.18</v>
      </c>
      <c r="S27" s="52">
        <f t="shared" si="2"/>
        <v>30.0000000000007</v>
      </c>
      <c r="T27" s="108">
        <f t="shared" si="3"/>
        <v>14880</v>
      </c>
      <c r="U27" s="112"/>
      <c r="V27" s="52">
        <v>5.36</v>
      </c>
      <c r="W27" s="52">
        <v>31.86</v>
      </c>
      <c r="X27" s="52"/>
      <c r="Y27" s="52"/>
      <c r="Z27" s="52"/>
      <c r="AA27" s="52"/>
      <c r="AB27" s="108" t="s">
        <v>70</v>
      </c>
    </row>
    <row r="28" spans="1:28">
      <c r="A28" s="90">
        <f t="shared" si="0"/>
        <v>30</v>
      </c>
      <c r="B28" s="98">
        <v>45773</v>
      </c>
      <c r="C28" s="25">
        <v>45773</v>
      </c>
      <c r="D28" s="52"/>
      <c r="E28" s="108"/>
      <c r="F28" s="109">
        <v>2095.09</v>
      </c>
      <c r="G28" s="52">
        <v>2079.96</v>
      </c>
      <c r="H28" s="52">
        <v>2062.85</v>
      </c>
      <c r="I28" s="52">
        <v>2162.06</v>
      </c>
      <c r="J28" s="52">
        <v>2171.46</v>
      </c>
      <c r="K28" s="52">
        <v>2181.79</v>
      </c>
      <c r="L28" s="52">
        <v>2206.55</v>
      </c>
      <c r="M28" s="110">
        <f t="shared" si="5"/>
        <v>14959.76</v>
      </c>
      <c r="N28" s="111">
        <f t="shared" si="6"/>
        <v>116.04</v>
      </c>
      <c r="O28" s="52">
        <v>120.98</v>
      </c>
      <c r="P28" s="52">
        <f t="shared" si="1"/>
        <v>14820</v>
      </c>
      <c r="Q28" s="52">
        <f t="shared" si="7"/>
        <v>2.18</v>
      </c>
      <c r="R28" s="52">
        <v>2.19</v>
      </c>
      <c r="S28" s="52">
        <f t="shared" si="2"/>
        <v>29.9999999999994</v>
      </c>
      <c r="T28" s="108">
        <f t="shared" si="3"/>
        <v>14790</v>
      </c>
      <c r="U28" s="112"/>
      <c r="V28" s="52">
        <v>5.39</v>
      </c>
      <c r="W28" s="52">
        <v>34.96</v>
      </c>
      <c r="X28" s="52"/>
      <c r="Y28" s="52"/>
      <c r="Z28" s="52"/>
      <c r="AA28" s="52"/>
      <c r="AB28" s="108" t="s">
        <v>70</v>
      </c>
    </row>
    <row r="29" spans="1:28">
      <c r="A29" s="90">
        <f t="shared" si="0"/>
        <v>31</v>
      </c>
      <c r="B29" s="98">
        <v>45774</v>
      </c>
      <c r="C29" s="25">
        <v>45774</v>
      </c>
      <c r="D29" s="52"/>
      <c r="E29" s="108"/>
      <c r="F29" s="109">
        <v>2060</v>
      </c>
      <c r="G29" s="94">
        <v>2046.34</v>
      </c>
      <c r="H29" s="52">
        <v>2027.3</v>
      </c>
      <c r="I29" s="52">
        <v>2124.14</v>
      </c>
      <c r="J29" s="52">
        <v>2134.74</v>
      </c>
      <c r="K29" s="52">
        <v>2146.57</v>
      </c>
      <c r="L29" s="52">
        <v>2168.26</v>
      </c>
      <c r="M29" s="110">
        <f t="shared" si="5"/>
        <v>14707.35</v>
      </c>
      <c r="N29" s="111">
        <f t="shared" si="6"/>
        <v>120.98</v>
      </c>
      <c r="O29" s="52">
        <v>125.84</v>
      </c>
      <c r="P29" s="52">
        <f t="shared" si="1"/>
        <v>14580</v>
      </c>
      <c r="Q29" s="52">
        <f t="shared" si="7"/>
        <v>2.19</v>
      </c>
      <c r="R29" s="52">
        <v>2.2</v>
      </c>
      <c r="S29" s="52">
        <f t="shared" si="2"/>
        <v>30.0000000000007</v>
      </c>
      <c r="T29" s="108">
        <f t="shared" si="3"/>
        <v>14550</v>
      </c>
      <c r="U29" s="112"/>
      <c r="V29" s="52">
        <v>5.39</v>
      </c>
      <c r="W29" s="52">
        <v>35.68</v>
      </c>
      <c r="X29" s="52"/>
      <c r="Y29" s="52"/>
      <c r="Z29" s="52"/>
      <c r="AA29" s="52"/>
      <c r="AB29" s="108" t="s">
        <v>70</v>
      </c>
    </row>
    <row r="30" spans="1:28">
      <c r="A30" s="90">
        <f t="shared" si="0"/>
        <v>32</v>
      </c>
      <c r="B30" s="98">
        <v>45775</v>
      </c>
      <c r="C30" s="25">
        <v>45775</v>
      </c>
      <c r="D30" s="115">
        <v>0.282638888888889</v>
      </c>
      <c r="E30" s="116">
        <v>0.78125</v>
      </c>
      <c r="F30" s="109">
        <v>1845.54</v>
      </c>
      <c r="G30" s="52">
        <v>1806.3</v>
      </c>
      <c r="H30" s="52">
        <v>1785.4</v>
      </c>
      <c r="I30" s="52">
        <v>1867.44</v>
      </c>
      <c r="J30" s="52">
        <v>1876.8</v>
      </c>
      <c r="K30" s="52">
        <v>1888.4</v>
      </c>
      <c r="L30" s="52">
        <v>1906.11</v>
      </c>
      <c r="M30" s="110">
        <f t="shared" si="5"/>
        <v>12975.99</v>
      </c>
      <c r="N30" s="111">
        <f t="shared" si="6"/>
        <v>125.84</v>
      </c>
      <c r="O30" s="52">
        <v>130.13</v>
      </c>
      <c r="P30" s="52">
        <f t="shared" si="1"/>
        <v>12870</v>
      </c>
      <c r="Q30" s="52">
        <f t="shared" si="7"/>
        <v>2.2</v>
      </c>
      <c r="R30" s="52">
        <v>2.21</v>
      </c>
      <c r="S30" s="52">
        <f t="shared" si="2"/>
        <v>29.9999999999994</v>
      </c>
      <c r="T30" s="108">
        <f t="shared" si="3"/>
        <v>12840</v>
      </c>
      <c r="U30" s="112"/>
      <c r="V30" s="52">
        <v>5.28</v>
      </c>
      <c r="W30" s="52">
        <v>36.36</v>
      </c>
      <c r="X30" s="52"/>
      <c r="Y30" s="52"/>
      <c r="Z30" s="52"/>
      <c r="AA30" s="52"/>
      <c r="AB30" s="108" t="s">
        <v>70</v>
      </c>
    </row>
    <row r="31" spans="1:28">
      <c r="A31" s="90">
        <f t="shared" si="0"/>
        <v>33</v>
      </c>
      <c r="B31" s="98">
        <v>45776</v>
      </c>
      <c r="C31" s="25">
        <v>45776</v>
      </c>
      <c r="D31" s="115">
        <v>0.28125</v>
      </c>
      <c r="E31" s="116">
        <v>0.78125</v>
      </c>
      <c r="F31" s="109">
        <v>2121.64</v>
      </c>
      <c r="G31" s="52">
        <v>2111</v>
      </c>
      <c r="H31" s="52">
        <v>2100.88</v>
      </c>
      <c r="I31" s="52">
        <v>2189.97</v>
      </c>
      <c r="J31" s="52">
        <v>2155.82</v>
      </c>
      <c r="K31" s="52">
        <v>2160.51</v>
      </c>
      <c r="L31" s="52">
        <v>2181.7</v>
      </c>
      <c r="M31" s="110">
        <f t="shared" si="5"/>
        <v>15021.52</v>
      </c>
      <c r="N31" s="111">
        <f t="shared" si="6"/>
        <v>130.13</v>
      </c>
      <c r="O31" s="52">
        <v>135.09</v>
      </c>
      <c r="P31" s="52">
        <f t="shared" si="1"/>
        <v>14880</v>
      </c>
      <c r="Q31" s="52">
        <f t="shared" si="7"/>
        <v>2.21</v>
      </c>
      <c r="R31" s="52">
        <v>2.22</v>
      </c>
      <c r="S31" s="52">
        <f t="shared" si="2"/>
        <v>30.0000000000007</v>
      </c>
      <c r="T31" s="108">
        <f t="shared" si="3"/>
        <v>14850</v>
      </c>
      <c r="U31" s="112"/>
      <c r="V31" s="52">
        <v>5.55</v>
      </c>
      <c r="W31" s="52">
        <v>37.01</v>
      </c>
      <c r="X31" s="52"/>
      <c r="Y31" s="52"/>
      <c r="Z31" s="52"/>
      <c r="AA31" s="52"/>
      <c r="AB31" s="108" t="s">
        <v>70</v>
      </c>
    </row>
    <row r="32" spans="1:28">
      <c r="A32" s="90">
        <f t="shared" si="0"/>
        <v>34</v>
      </c>
      <c r="B32" s="98">
        <v>45777</v>
      </c>
      <c r="C32" s="25">
        <v>45777</v>
      </c>
      <c r="D32" s="115">
        <v>0.28125</v>
      </c>
      <c r="E32" s="116">
        <v>0.78125</v>
      </c>
      <c r="F32" s="109">
        <v>2090</v>
      </c>
      <c r="G32" s="52">
        <v>2081.16</v>
      </c>
      <c r="H32" s="52">
        <v>2071.47</v>
      </c>
      <c r="I32" s="52">
        <v>2172.86</v>
      </c>
      <c r="J32" s="52">
        <v>2165.84</v>
      </c>
      <c r="K32" s="52">
        <v>2130.54</v>
      </c>
      <c r="L32" s="52">
        <v>2143.81</v>
      </c>
      <c r="M32" s="110">
        <f t="shared" si="5"/>
        <v>14855.68</v>
      </c>
      <c r="N32" s="111">
        <f t="shared" si="6"/>
        <v>135.09</v>
      </c>
      <c r="O32" s="52">
        <v>140</v>
      </c>
      <c r="P32" s="52">
        <f t="shared" si="1"/>
        <v>14730</v>
      </c>
      <c r="Q32" s="52">
        <f t="shared" si="7"/>
        <v>2.22</v>
      </c>
      <c r="R32" s="52">
        <v>2.23</v>
      </c>
      <c r="S32" s="52">
        <f t="shared" si="2"/>
        <v>29.9999999999994</v>
      </c>
      <c r="T32" s="108">
        <f t="shared" si="3"/>
        <v>14700</v>
      </c>
      <c r="U32" s="112"/>
      <c r="V32" s="52">
        <v>5.47</v>
      </c>
      <c r="W32" s="52">
        <v>35.9</v>
      </c>
      <c r="X32" s="52"/>
      <c r="Y32" s="52"/>
      <c r="Z32" s="52"/>
      <c r="AA32" s="52"/>
      <c r="AB32" s="108" t="s">
        <v>70</v>
      </c>
    </row>
    <row r="33" spans="1:28">
      <c r="A33" s="90">
        <f t="shared" si="0"/>
        <v>35</v>
      </c>
      <c r="B33" s="98">
        <v>45778</v>
      </c>
      <c r="C33" s="25">
        <v>45778</v>
      </c>
      <c r="D33" s="115">
        <v>0.28125</v>
      </c>
      <c r="E33" s="116">
        <v>0.781944444444444</v>
      </c>
      <c r="F33" s="109">
        <v>2080.73</v>
      </c>
      <c r="G33" s="52">
        <v>2068.31</v>
      </c>
      <c r="H33" s="52">
        <v>2061.44</v>
      </c>
      <c r="I33" s="52">
        <v>2161.49</v>
      </c>
      <c r="J33" s="52">
        <v>2155.99</v>
      </c>
      <c r="K33" s="52">
        <v>2167.05</v>
      </c>
      <c r="L33" s="52">
        <v>2195.77</v>
      </c>
      <c r="M33" s="110">
        <f t="shared" si="5"/>
        <v>14890.78</v>
      </c>
      <c r="N33" s="111">
        <f t="shared" si="6"/>
        <v>140</v>
      </c>
      <c r="O33" s="52">
        <v>144.91</v>
      </c>
      <c r="P33" s="52">
        <f t="shared" si="1"/>
        <v>14730</v>
      </c>
      <c r="Q33" s="52">
        <f t="shared" si="7"/>
        <v>2.23</v>
      </c>
      <c r="R33" s="52">
        <v>2.24</v>
      </c>
      <c r="S33" s="52">
        <f t="shared" si="2"/>
        <v>30.0000000000007</v>
      </c>
      <c r="T33" s="108">
        <f t="shared" si="3"/>
        <v>14700</v>
      </c>
      <c r="U33" s="112"/>
      <c r="V33" s="52">
        <v>5.52</v>
      </c>
      <c r="W33" s="52">
        <v>35.78</v>
      </c>
      <c r="X33" s="52"/>
      <c r="Y33" s="52"/>
      <c r="Z33" s="52"/>
      <c r="AA33" s="52"/>
      <c r="AB33" s="108" t="s">
        <v>70</v>
      </c>
    </row>
    <row r="34" spans="1:28">
      <c r="A34" s="90">
        <f t="shared" si="0"/>
        <v>36</v>
      </c>
      <c r="B34" s="98">
        <v>45779</v>
      </c>
      <c r="C34" s="25">
        <v>45779</v>
      </c>
      <c r="D34" s="115">
        <v>0.28125</v>
      </c>
      <c r="E34" s="116">
        <v>0.781944444444444</v>
      </c>
      <c r="F34" s="109">
        <v>2167.71</v>
      </c>
      <c r="G34" s="52">
        <v>2144.78</v>
      </c>
      <c r="H34" s="52">
        <v>2138.28</v>
      </c>
      <c r="I34" s="52">
        <v>2242.8</v>
      </c>
      <c r="J34" s="52">
        <v>2237.89</v>
      </c>
      <c r="K34" s="52">
        <v>2250.4</v>
      </c>
      <c r="L34" s="52">
        <v>2268.68</v>
      </c>
      <c r="M34" s="110">
        <f t="shared" si="5"/>
        <v>15450.54</v>
      </c>
      <c r="N34" s="111">
        <f t="shared" si="6"/>
        <v>144.91</v>
      </c>
      <c r="O34" s="52">
        <v>150</v>
      </c>
      <c r="P34" s="52">
        <f t="shared" si="1"/>
        <v>15270</v>
      </c>
      <c r="Q34" s="52">
        <f t="shared" si="7"/>
        <v>2.24</v>
      </c>
      <c r="R34" s="52">
        <v>2.25</v>
      </c>
      <c r="S34" s="52">
        <f t="shared" si="2"/>
        <v>29.9999999999994</v>
      </c>
      <c r="T34" s="108">
        <f t="shared" si="3"/>
        <v>15240</v>
      </c>
      <c r="U34" s="112"/>
      <c r="V34" s="52">
        <v>5.85</v>
      </c>
      <c r="W34" s="52">
        <v>35.96</v>
      </c>
      <c r="X34" s="52"/>
      <c r="Y34" s="52"/>
      <c r="Z34" s="52"/>
      <c r="AA34" s="52"/>
      <c r="AB34" s="108" t="s">
        <v>70</v>
      </c>
    </row>
    <row r="35" spans="1:28">
      <c r="A35" s="90">
        <f t="shared" si="0"/>
        <v>37</v>
      </c>
      <c r="B35" s="98">
        <v>45780</v>
      </c>
      <c r="C35" s="25">
        <v>45780</v>
      </c>
      <c r="D35" s="115">
        <v>0.28125</v>
      </c>
      <c r="E35" s="116">
        <v>0.781944444444444</v>
      </c>
      <c r="F35" s="109">
        <v>2035.03</v>
      </c>
      <c r="G35" s="52">
        <v>2022.08</v>
      </c>
      <c r="H35" s="52">
        <v>2013.82</v>
      </c>
      <c r="I35" s="52">
        <v>2111.03</v>
      </c>
      <c r="J35" s="52">
        <v>2106.59</v>
      </c>
      <c r="K35" s="52">
        <v>2116.26</v>
      </c>
      <c r="L35" s="52">
        <v>2137.34</v>
      </c>
      <c r="M35" s="110">
        <f t="shared" si="5"/>
        <v>14542.15</v>
      </c>
      <c r="N35" s="111">
        <f t="shared" si="6"/>
        <v>150</v>
      </c>
      <c r="O35" s="52">
        <v>154.8</v>
      </c>
      <c r="P35" s="52">
        <f t="shared" si="1"/>
        <v>14400</v>
      </c>
      <c r="Q35" s="52">
        <f t="shared" si="7"/>
        <v>2.25</v>
      </c>
      <c r="R35" s="52">
        <v>2.26</v>
      </c>
      <c r="S35" s="52">
        <f t="shared" si="2"/>
        <v>29.9999999999994</v>
      </c>
      <c r="T35" s="108">
        <f t="shared" si="3"/>
        <v>14370</v>
      </c>
      <c r="U35" s="112"/>
      <c r="V35" s="52">
        <v>5.39</v>
      </c>
      <c r="W35" s="52">
        <v>33.54</v>
      </c>
      <c r="X35" s="52"/>
      <c r="Y35" s="52"/>
      <c r="Z35" s="52"/>
      <c r="AA35" s="52"/>
      <c r="AB35" s="108" t="s">
        <v>70</v>
      </c>
    </row>
    <row r="36" spans="1:28">
      <c r="A36" s="90">
        <f t="shared" si="0"/>
        <v>38</v>
      </c>
      <c r="B36" s="98">
        <v>45781</v>
      </c>
      <c r="C36" s="25">
        <v>45781</v>
      </c>
      <c r="D36" s="115">
        <v>0.28125</v>
      </c>
      <c r="E36" s="116">
        <v>0.78125</v>
      </c>
      <c r="F36" s="109">
        <v>1905.43</v>
      </c>
      <c r="G36" s="52">
        <v>1894.04</v>
      </c>
      <c r="H36" s="52">
        <v>1889.89</v>
      </c>
      <c r="I36" s="52">
        <v>1977.99</v>
      </c>
      <c r="J36" s="52">
        <v>1976.69</v>
      </c>
      <c r="K36" s="52">
        <v>1987.41</v>
      </c>
      <c r="L36" s="52">
        <v>2009.93</v>
      </c>
      <c r="M36" s="110">
        <f t="shared" si="5"/>
        <v>13641.38</v>
      </c>
      <c r="N36" s="111">
        <f t="shared" si="6"/>
        <v>154.8</v>
      </c>
      <c r="O36" s="52">
        <v>159.31</v>
      </c>
      <c r="P36" s="52">
        <f t="shared" si="1"/>
        <v>13530</v>
      </c>
      <c r="Q36" s="52">
        <f t="shared" si="7"/>
        <v>2.26</v>
      </c>
      <c r="R36" s="52">
        <v>2.27</v>
      </c>
      <c r="S36" s="52">
        <f t="shared" si="2"/>
        <v>30.0000000000007</v>
      </c>
      <c r="T36" s="108">
        <f t="shared" si="3"/>
        <v>13500</v>
      </c>
      <c r="U36" s="112"/>
      <c r="V36" s="52">
        <v>5.04</v>
      </c>
      <c r="W36" s="52">
        <v>33.37</v>
      </c>
      <c r="X36" s="52"/>
      <c r="Y36" s="52"/>
      <c r="Z36" s="52"/>
      <c r="AA36" s="52"/>
      <c r="AB36" s="108" t="s">
        <v>70</v>
      </c>
    </row>
    <row r="37" spans="1:28">
      <c r="A37" s="90">
        <f t="shared" si="0"/>
        <v>39</v>
      </c>
      <c r="B37" s="98">
        <v>45782</v>
      </c>
      <c r="C37" s="25">
        <v>45782</v>
      </c>
      <c r="D37" s="115">
        <v>0.28125</v>
      </c>
      <c r="E37" s="116">
        <v>0.78125</v>
      </c>
      <c r="F37" s="109">
        <v>1897.04</v>
      </c>
      <c r="G37" s="52">
        <v>1882.65</v>
      </c>
      <c r="H37" s="52">
        <v>1874.3</v>
      </c>
      <c r="I37" s="52">
        <v>1968.13</v>
      </c>
      <c r="J37" s="52">
        <v>1975.47</v>
      </c>
      <c r="K37" s="52">
        <v>1991.66</v>
      </c>
      <c r="L37" s="52">
        <v>2016.33</v>
      </c>
      <c r="M37" s="110">
        <f t="shared" si="5"/>
        <v>13605.58</v>
      </c>
      <c r="N37" s="111">
        <f t="shared" si="6"/>
        <v>159.31</v>
      </c>
      <c r="O37" s="52">
        <v>163.8</v>
      </c>
      <c r="P37" s="52">
        <f t="shared" si="1"/>
        <v>13470</v>
      </c>
      <c r="Q37" s="52">
        <f t="shared" si="7"/>
        <v>2.27</v>
      </c>
      <c r="R37" s="52">
        <v>2.28</v>
      </c>
      <c r="S37" s="52">
        <f t="shared" si="2"/>
        <v>29.9999999999994</v>
      </c>
      <c r="T37" s="108">
        <f t="shared" si="3"/>
        <v>13440</v>
      </c>
      <c r="U37" s="112"/>
      <c r="V37" s="52">
        <v>4.23</v>
      </c>
      <c r="W37" s="52">
        <v>31.68</v>
      </c>
      <c r="X37" s="52"/>
      <c r="Y37" s="52"/>
      <c r="Z37" s="52"/>
      <c r="AA37" s="52"/>
      <c r="AB37" s="108" t="s">
        <v>71</v>
      </c>
    </row>
    <row r="38" spans="1:28">
      <c r="A38" s="90">
        <f t="shared" si="0"/>
        <v>40</v>
      </c>
      <c r="B38" s="98">
        <v>45783</v>
      </c>
      <c r="C38" s="25">
        <v>45783</v>
      </c>
      <c r="D38" s="115">
        <v>0.291666666666667</v>
      </c>
      <c r="E38" s="116">
        <v>0.625</v>
      </c>
      <c r="F38" s="109">
        <v>1253.46</v>
      </c>
      <c r="G38" s="52">
        <v>1246.19</v>
      </c>
      <c r="H38" s="52">
        <v>1241.61</v>
      </c>
      <c r="I38" s="52">
        <v>1301.63</v>
      </c>
      <c r="J38" s="52">
        <v>1293.55</v>
      </c>
      <c r="K38" s="52">
        <v>1293.12</v>
      </c>
      <c r="L38" s="52">
        <v>1303.87</v>
      </c>
      <c r="M38" s="110">
        <f t="shared" si="5"/>
        <v>8933.43</v>
      </c>
      <c r="N38" s="111">
        <f t="shared" si="6"/>
        <v>163.8</v>
      </c>
      <c r="O38" s="52">
        <v>166.67</v>
      </c>
      <c r="P38" s="52">
        <f t="shared" si="1"/>
        <v>8609.99999999993</v>
      </c>
      <c r="Q38" s="52">
        <f t="shared" si="7"/>
        <v>2.28</v>
      </c>
      <c r="R38" s="52">
        <v>2.29</v>
      </c>
      <c r="S38" s="52">
        <f t="shared" si="2"/>
        <v>30.0000000000007</v>
      </c>
      <c r="T38" s="108">
        <f t="shared" si="3"/>
        <v>8579.99999999993</v>
      </c>
      <c r="U38" s="112"/>
      <c r="V38" s="114">
        <v>3.29</v>
      </c>
      <c r="W38" s="52">
        <v>30.13</v>
      </c>
      <c r="X38" s="52"/>
      <c r="Y38" s="52"/>
      <c r="Z38" s="52"/>
      <c r="AA38" s="52"/>
      <c r="AB38" s="108" t="s">
        <v>72</v>
      </c>
    </row>
    <row r="39" spans="1:28">
      <c r="A39" s="90">
        <f t="shared" si="0"/>
        <v>41</v>
      </c>
      <c r="B39" s="98">
        <v>45784</v>
      </c>
      <c r="C39" s="25">
        <v>45784</v>
      </c>
      <c r="D39" s="115">
        <v>0.28125</v>
      </c>
      <c r="E39" s="116">
        <v>0.78125</v>
      </c>
      <c r="F39" s="109">
        <v>1015.68</v>
      </c>
      <c r="G39" s="52">
        <v>1010.52</v>
      </c>
      <c r="H39" s="52">
        <v>1004.47</v>
      </c>
      <c r="I39" s="52">
        <v>1051.98</v>
      </c>
      <c r="J39" s="52">
        <v>1055.87</v>
      </c>
      <c r="K39" s="52">
        <v>1060.14</v>
      </c>
      <c r="L39" s="52">
        <v>1074.74</v>
      </c>
      <c r="M39" s="110">
        <f t="shared" si="5"/>
        <v>7273.4</v>
      </c>
      <c r="N39" s="111">
        <f t="shared" si="6"/>
        <v>166.67</v>
      </c>
      <c r="O39" s="52">
        <v>169.14</v>
      </c>
      <c r="P39" s="52">
        <f t="shared" si="1"/>
        <v>7410</v>
      </c>
      <c r="Q39" s="52">
        <f t="shared" si="7"/>
        <v>2.29</v>
      </c>
      <c r="R39" s="52">
        <v>2.3</v>
      </c>
      <c r="S39" s="52">
        <f t="shared" si="2"/>
        <v>29.9999999999994</v>
      </c>
      <c r="T39" s="108">
        <f t="shared" si="3"/>
        <v>7380</v>
      </c>
      <c r="U39" s="112"/>
      <c r="V39" s="52">
        <v>2.65</v>
      </c>
      <c r="W39" s="52">
        <v>27.47</v>
      </c>
      <c r="X39" s="52"/>
      <c r="Y39" s="52"/>
      <c r="Z39" s="52"/>
      <c r="AA39" s="52"/>
      <c r="AB39" s="108" t="s">
        <v>73</v>
      </c>
    </row>
    <row r="40" spans="1:28">
      <c r="A40" s="90">
        <f t="shared" si="0"/>
        <v>42</v>
      </c>
      <c r="B40" s="98">
        <v>45785</v>
      </c>
      <c r="C40" s="25">
        <v>45785</v>
      </c>
      <c r="D40" s="115">
        <v>0.28125</v>
      </c>
      <c r="E40" s="116">
        <v>0.78125</v>
      </c>
      <c r="F40" s="109">
        <v>1953.56</v>
      </c>
      <c r="G40" s="52">
        <v>1949.73</v>
      </c>
      <c r="H40" s="52">
        <v>1946.56</v>
      </c>
      <c r="I40" s="52">
        <v>2033.03</v>
      </c>
      <c r="J40" s="52">
        <v>2026.38</v>
      </c>
      <c r="K40" s="52">
        <v>2030.49</v>
      </c>
      <c r="L40" s="52">
        <v>2049.24</v>
      </c>
      <c r="M40" s="110">
        <f t="shared" si="5"/>
        <v>13988.99</v>
      </c>
      <c r="N40" s="111">
        <f t="shared" si="6"/>
        <v>169.14</v>
      </c>
      <c r="O40" s="52">
        <v>173.77</v>
      </c>
      <c r="P40" s="52">
        <f t="shared" si="1"/>
        <v>13890.0000000001</v>
      </c>
      <c r="Q40" s="52">
        <f t="shared" si="7"/>
        <v>2.3</v>
      </c>
      <c r="R40" s="52">
        <v>2.31</v>
      </c>
      <c r="S40" s="52">
        <f t="shared" si="2"/>
        <v>30.0000000000007</v>
      </c>
      <c r="T40" s="108">
        <f t="shared" si="3"/>
        <v>13860.0000000001</v>
      </c>
      <c r="U40" s="112"/>
      <c r="V40" s="52">
        <v>5.95</v>
      </c>
      <c r="W40" s="52">
        <v>31.8</v>
      </c>
      <c r="X40" s="52"/>
      <c r="Y40" s="52"/>
      <c r="Z40" s="52"/>
      <c r="AA40" s="52"/>
      <c r="AB40" s="108" t="s">
        <v>72</v>
      </c>
    </row>
    <row r="41" spans="1:28">
      <c r="A41" s="90">
        <f t="shared" si="0"/>
        <v>43</v>
      </c>
      <c r="B41" s="98">
        <v>45786</v>
      </c>
      <c r="C41" s="25">
        <v>45786</v>
      </c>
      <c r="D41" s="115">
        <v>0.28125</v>
      </c>
      <c r="E41" s="116">
        <v>0.739583333333333</v>
      </c>
      <c r="F41" s="109">
        <v>1657.28</v>
      </c>
      <c r="G41" s="52">
        <v>1651.95</v>
      </c>
      <c r="H41" s="52">
        <v>1648.38</v>
      </c>
      <c r="I41" s="52">
        <v>1727.45</v>
      </c>
      <c r="J41" s="52">
        <v>1724.43</v>
      </c>
      <c r="K41" s="52">
        <v>1725.34</v>
      </c>
      <c r="L41" s="52">
        <v>1732.77</v>
      </c>
      <c r="M41" s="110">
        <f t="shared" si="5"/>
        <v>11867.6</v>
      </c>
      <c r="N41" s="111">
        <f t="shared" si="6"/>
        <v>173.77</v>
      </c>
      <c r="O41" s="52">
        <v>177.69</v>
      </c>
      <c r="P41" s="52">
        <f t="shared" si="1"/>
        <v>11760</v>
      </c>
      <c r="Q41" s="52">
        <f t="shared" si="7"/>
        <v>2.31</v>
      </c>
      <c r="R41" s="52">
        <v>2.32</v>
      </c>
      <c r="S41" s="52">
        <f t="shared" si="2"/>
        <v>29.9999999999994</v>
      </c>
      <c r="T41" s="108">
        <f t="shared" si="3"/>
        <v>11730</v>
      </c>
      <c r="U41" s="112"/>
      <c r="V41" s="52">
        <v>5.13</v>
      </c>
      <c r="W41" s="52">
        <v>31.24</v>
      </c>
      <c r="X41" s="52"/>
      <c r="Y41" s="52"/>
      <c r="Z41" s="52"/>
      <c r="AA41" s="52"/>
      <c r="AB41" s="108" t="s">
        <v>72</v>
      </c>
    </row>
    <row r="42" spans="1:28">
      <c r="A42" s="90">
        <f t="shared" si="0"/>
        <v>44</v>
      </c>
      <c r="B42" s="98">
        <v>45787</v>
      </c>
      <c r="C42" s="25">
        <v>45787</v>
      </c>
      <c r="D42" s="115">
        <v>0.28125</v>
      </c>
      <c r="E42" s="116">
        <v>0.698611111111111</v>
      </c>
      <c r="F42" s="109">
        <v>1536.74</v>
      </c>
      <c r="G42" s="52">
        <v>1531.03</v>
      </c>
      <c r="H42" s="52">
        <v>1531</v>
      </c>
      <c r="I42" s="52">
        <v>1600.34</v>
      </c>
      <c r="J42" s="52">
        <v>1595.99</v>
      </c>
      <c r="K42" s="52">
        <v>1597.53</v>
      </c>
      <c r="L42" s="52">
        <v>1609.59</v>
      </c>
      <c r="M42" s="110">
        <f t="shared" si="5"/>
        <v>11002.22</v>
      </c>
      <c r="N42" s="111">
        <f t="shared" si="6"/>
        <v>177.69</v>
      </c>
      <c r="O42" s="52">
        <v>181.31</v>
      </c>
      <c r="P42" s="52">
        <f t="shared" si="1"/>
        <v>10860</v>
      </c>
      <c r="Q42" s="52">
        <f t="shared" si="7"/>
        <v>2.32</v>
      </c>
      <c r="R42" s="52">
        <v>2.33</v>
      </c>
      <c r="S42" s="52">
        <f t="shared" si="2"/>
        <v>30.0000000000007</v>
      </c>
      <c r="T42" s="108">
        <f t="shared" si="3"/>
        <v>10830</v>
      </c>
      <c r="U42" s="112"/>
      <c r="V42" s="52">
        <v>4.83</v>
      </c>
      <c r="W42" s="52">
        <v>31.72</v>
      </c>
      <c r="X42" s="52"/>
      <c r="Y42" s="52"/>
      <c r="Z42" s="52"/>
      <c r="AA42" s="52"/>
      <c r="AB42" s="108" t="s">
        <v>73</v>
      </c>
    </row>
    <row r="43" spans="1:28">
      <c r="A43" s="90">
        <f t="shared" si="0"/>
        <v>45</v>
      </c>
      <c r="B43" s="98">
        <v>45788</v>
      </c>
      <c r="C43" s="25">
        <v>45788</v>
      </c>
      <c r="D43" s="115">
        <v>0.28125</v>
      </c>
      <c r="E43" s="116">
        <v>0.791666666666667</v>
      </c>
      <c r="F43" s="109">
        <v>1387.23</v>
      </c>
      <c r="G43" s="52">
        <v>1384.22</v>
      </c>
      <c r="H43" s="52">
        <v>1384.79</v>
      </c>
      <c r="I43" s="52">
        <v>1444.78</v>
      </c>
      <c r="J43" s="52">
        <v>1440.23</v>
      </c>
      <c r="K43" s="52">
        <v>1443</v>
      </c>
      <c r="L43" s="52">
        <v>1453.41</v>
      </c>
      <c r="M43" s="110">
        <f t="shared" si="5"/>
        <v>9937.66</v>
      </c>
      <c r="N43" s="111">
        <f t="shared" si="6"/>
        <v>181.31</v>
      </c>
      <c r="O43" s="52">
        <v>184.59</v>
      </c>
      <c r="P43" s="52">
        <f t="shared" si="1"/>
        <v>9840</v>
      </c>
      <c r="Q43" s="52">
        <f t="shared" si="7"/>
        <v>2.33</v>
      </c>
      <c r="R43" s="52">
        <v>2.34</v>
      </c>
      <c r="S43" s="52">
        <f t="shared" si="2"/>
        <v>29.9999999999994</v>
      </c>
      <c r="T43" s="108">
        <f t="shared" si="3"/>
        <v>9810</v>
      </c>
      <c r="U43" s="112"/>
      <c r="V43" s="52">
        <v>4.04</v>
      </c>
      <c r="W43" s="52">
        <v>30.1</v>
      </c>
      <c r="X43" s="52"/>
      <c r="Y43" s="52"/>
      <c r="Z43" s="52"/>
      <c r="AA43" s="52"/>
      <c r="AB43" s="108" t="s">
        <v>72</v>
      </c>
    </row>
    <row r="44" spans="1:28">
      <c r="A44" s="90">
        <f t="shared" si="0"/>
        <v>46</v>
      </c>
      <c r="B44" s="98">
        <v>45789</v>
      </c>
      <c r="C44" s="25">
        <v>45789</v>
      </c>
      <c r="D44" s="115">
        <v>0.28125</v>
      </c>
      <c r="E44" s="116">
        <v>0.791666666666667</v>
      </c>
      <c r="F44" s="109">
        <v>1454.17</v>
      </c>
      <c r="G44" s="52">
        <v>1450.17</v>
      </c>
      <c r="H44" s="52">
        <v>1450.04</v>
      </c>
      <c r="I44" s="52">
        <v>1516.99</v>
      </c>
      <c r="J44" s="52">
        <v>1517.78</v>
      </c>
      <c r="K44" s="52">
        <v>1525.74</v>
      </c>
      <c r="L44" s="52">
        <v>1548.85</v>
      </c>
      <c r="M44" s="110">
        <f t="shared" si="5"/>
        <v>10463.74</v>
      </c>
      <c r="N44" s="111">
        <f t="shared" si="6"/>
        <v>184.59</v>
      </c>
      <c r="O44" s="52">
        <v>188.06</v>
      </c>
      <c r="P44" s="52">
        <f t="shared" si="1"/>
        <v>10410</v>
      </c>
      <c r="Q44" s="52">
        <f t="shared" si="7"/>
        <v>2.34</v>
      </c>
      <c r="R44" s="52">
        <v>2.35</v>
      </c>
      <c r="S44" s="52">
        <f t="shared" si="2"/>
        <v>30.0000000000007</v>
      </c>
      <c r="T44" s="108">
        <f t="shared" si="3"/>
        <v>10380</v>
      </c>
      <c r="U44" s="112"/>
      <c r="V44" s="52">
        <v>4.51</v>
      </c>
      <c r="W44" s="52">
        <v>30.9</v>
      </c>
      <c r="X44" s="52"/>
      <c r="Y44" s="52"/>
      <c r="Z44" s="52"/>
      <c r="AA44" s="52"/>
      <c r="AB44" s="108" t="s">
        <v>72</v>
      </c>
    </row>
    <row r="45" spans="1:28">
      <c r="A45" s="90">
        <f t="shared" si="0"/>
        <v>47</v>
      </c>
      <c r="B45" s="98">
        <v>45790</v>
      </c>
      <c r="C45" s="25">
        <v>45790</v>
      </c>
      <c r="D45" s="115">
        <v>0.28125</v>
      </c>
      <c r="E45" s="116">
        <v>0.760416666666667</v>
      </c>
      <c r="F45" s="109">
        <v>2012.9</v>
      </c>
      <c r="G45" s="52">
        <v>2006.46</v>
      </c>
      <c r="H45" s="52">
        <v>2001.46</v>
      </c>
      <c r="I45" s="52">
        <v>2095.01</v>
      </c>
      <c r="J45" s="52">
        <v>2081.45</v>
      </c>
      <c r="K45" s="52">
        <v>2073.12</v>
      </c>
      <c r="L45" s="52">
        <v>2088.82</v>
      </c>
      <c r="M45" s="110">
        <f t="shared" si="5"/>
        <v>14359.22</v>
      </c>
      <c r="N45" s="111">
        <f t="shared" si="6"/>
        <v>188.06</v>
      </c>
      <c r="O45" s="52">
        <v>192.82</v>
      </c>
      <c r="P45" s="52">
        <f t="shared" si="1"/>
        <v>14280</v>
      </c>
      <c r="Q45" s="52">
        <f t="shared" si="7"/>
        <v>2.35</v>
      </c>
      <c r="R45" s="52">
        <v>2.36</v>
      </c>
      <c r="S45" s="52">
        <f t="shared" si="2"/>
        <v>29.9999999999994</v>
      </c>
      <c r="T45" s="108">
        <f t="shared" si="3"/>
        <v>14250</v>
      </c>
      <c r="U45" s="112"/>
      <c r="V45" s="52">
        <v>6.52</v>
      </c>
      <c r="W45" s="52">
        <v>34.88</v>
      </c>
      <c r="X45" s="52"/>
      <c r="Y45" s="52"/>
      <c r="Z45" s="52"/>
      <c r="AA45" s="52"/>
      <c r="AB45" s="108" t="s">
        <v>72</v>
      </c>
    </row>
    <row r="46" spans="1:28">
      <c r="A46" s="90">
        <f t="shared" si="0"/>
        <v>48</v>
      </c>
      <c r="B46" s="98">
        <v>45791</v>
      </c>
      <c r="C46" s="25">
        <v>45791</v>
      </c>
      <c r="D46" s="115">
        <v>0.270833333333333</v>
      </c>
      <c r="E46" s="116">
        <v>0.78125</v>
      </c>
      <c r="F46" s="109">
        <v>1975.19</v>
      </c>
      <c r="G46" s="52">
        <v>1964.46</v>
      </c>
      <c r="H46" s="52">
        <v>1958.76</v>
      </c>
      <c r="I46" s="52">
        <v>2046.93</v>
      </c>
      <c r="J46" s="52">
        <v>2037.97</v>
      </c>
      <c r="K46" s="52">
        <v>2037.88</v>
      </c>
      <c r="L46" s="52">
        <v>2050.89</v>
      </c>
      <c r="M46" s="110">
        <f t="shared" si="5"/>
        <v>14072.08</v>
      </c>
      <c r="N46" s="111">
        <f t="shared" si="6"/>
        <v>192.82</v>
      </c>
      <c r="O46" s="52">
        <v>197.46</v>
      </c>
      <c r="P46" s="52">
        <f t="shared" si="1"/>
        <v>13920</v>
      </c>
      <c r="Q46" s="52">
        <f t="shared" si="7"/>
        <v>2.36</v>
      </c>
      <c r="R46" s="52">
        <v>2.37</v>
      </c>
      <c r="S46" s="52">
        <f t="shared" si="2"/>
        <v>30.0000000000007</v>
      </c>
      <c r="T46" s="108">
        <f t="shared" si="3"/>
        <v>13890</v>
      </c>
      <c r="U46" s="112"/>
      <c r="V46" s="52">
        <v>6.49</v>
      </c>
      <c r="W46" s="52">
        <v>33.76</v>
      </c>
      <c r="X46" s="52"/>
      <c r="Y46" s="52"/>
      <c r="Z46" s="52"/>
      <c r="AA46" s="52"/>
      <c r="AB46" s="108" t="s">
        <v>70</v>
      </c>
    </row>
    <row r="47" spans="1:28">
      <c r="A47" s="90">
        <f t="shared" si="0"/>
        <v>49</v>
      </c>
      <c r="B47" s="98">
        <v>45792</v>
      </c>
      <c r="C47" s="25">
        <v>45792</v>
      </c>
      <c r="D47" s="115">
        <v>0.28125</v>
      </c>
      <c r="E47" s="116">
        <v>0.791666666666667</v>
      </c>
      <c r="F47" s="109">
        <v>1751.66</v>
      </c>
      <c r="G47" s="52">
        <v>1742.84</v>
      </c>
      <c r="H47" s="52">
        <v>1742.32</v>
      </c>
      <c r="I47" s="52">
        <v>1825</v>
      </c>
      <c r="J47" s="52">
        <v>1821.78</v>
      </c>
      <c r="K47" s="52">
        <v>1827.75</v>
      </c>
      <c r="L47" s="52">
        <v>1846.16</v>
      </c>
      <c r="M47" s="110">
        <f t="shared" si="5"/>
        <v>12557.51</v>
      </c>
      <c r="N47" s="111">
        <f t="shared" si="6"/>
        <v>197.46</v>
      </c>
      <c r="O47" s="52">
        <v>201.62</v>
      </c>
      <c r="P47" s="52">
        <f t="shared" si="1"/>
        <v>12480</v>
      </c>
      <c r="Q47" s="52">
        <f t="shared" si="7"/>
        <v>2.37</v>
      </c>
      <c r="R47" s="52">
        <v>2.38</v>
      </c>
      <c r="S47" s="52">
        <f t="shared" si="2"/>
        <v>29.9999999999994</v>
      </c>
      <c r="T47" s="108">
        <f t="shared" si="3"/>
        <v>12450</v>
      </c>
      <c r="U47" s="112"/>
      <c r="V47" s="52">
        <v>5.76</v>
      </c>
      <c r="W47" s="52">
        <v>34.11</v>
      </c>
      <c r="X47" s="52"/>
      <c r="Y47" s="52"/>
      <c r="Z47" s="52"/>
      <c r="AA47" s="52"/>
      <c r="AB47" s="108" t="s">
        <v>72</v>
      </c>
    </row>
    <row r="48" spans="1:28">
      <c r="A48" s="90">
        <f t="shared" si="0"/>
        <v>50</v>
      </c>
      <c r="B48" s="98">
        <v>45793</v>
      </c>
      <c r="C48" s="25">
        <v>45793</v>
      </c>
      <c r="D48" s="115">
        <v>0.270833333333333</v>
      </c>
      <c r="E48" s="116">
        <v>0.791666666666667</v>
      </c>
      <c r="F48" s="109">
        <v>1723.43</v>
      </c>
      <c r="G48" s="52">
        <v>1705.27</v>
      </c>
      <c r="H48" s="52">
        <v>1701.17</v>
      </c>
      <c r="I48" s="52">
        <v>1772.61</v>
      </c>
      <c r="J48" s="52">
        <v>1771.84</v>
      </c>
      <c r="K48" s="52">
        <v>1786.81</v>
      </c>
      <c r="L48" s="52">
        <v>1812.12</v>
      </c>
      <c r="M48" s="110">
        <f t="shared" si="5"/>
        <v>12273.25</v>
      </c>
      <c r="N48" s="111">
        <f t="shared" si="6"/>
        <v>201.62</v>
      </c>
      <c r="O48" s="52">
        <v>205.68</v>
      </c>
      <c r="P48" s="52">
        <f t="shared" si="1"/>
        <v>12180</v>
      </c>
      <c r="Q48" s="52">
        <f t="shared" si="7"/>
        <v>2.38</v>
      </c>
      <c r="R48" s="52">
        <v>2.39</v>
      </c>
      <c r="S48" s="52">
        <f t="shared" si="2"/>
        <v>30.0000000000007</v>
      </c>
      <c r="T48" s="108">
        <f t="shared" si="3"/>
        <v>12150</v>
      </c>
      <c r="U48" s="112"/>
      <c r="V48" s="52">
        <v>5.67</v>
      </c>
      <c r="W48" s="52">
        <v>34.13</v>
      </c>
      <c r="X48" s="52"/>
      <c r="Y48" s="52"/>
      <c r="Z48" s="52"/>
      <c r="AA48" s="52"/>
      <c r="AB48" s="108" t="s">
        <v>72</v>
      </c>
    </row>
    <row r="49" spans="1:28">
      <c r="A49" s="90">
        <f t="shared" si="0"/>
        <v>51</v>
      </c>
      <c r="B49" s="98">
        <v>45794</v>
      </c>
      <c r="C49" s="25">
        <v>45794</v>
      </c>
      <c r="D49" s="115">
        <v>0.270833333333333</v>
      </c>
      <c r="E49" s="116">
        <v>0.78125</v>
      </c>
      <c r="F49" s="109">
        <v>1882.47</v>
      </c>
      <c r="G49" s="52">
        <v>1865.09</v>
      </c>
      <c r="H49" s="52">
        <v>1850.36</v>
      </c>
      <c r="I49" s="52">
        <v>1928.38</v>
      </c>
      <c r="J49" s="52">
        <v>1921.91</v>
      </c>
      <c r="K49" s="52">
        <v>1923.31</v>
      </c>
      <c r="L49" s="52">
        <v>1935.84</v>
      </c>
      <c r="M49" s="110">
        <f t="shared" si="5"/>
        <v>13307.36</v>
      </c>
      <c r="N49" s="111">
        <f t="shared" si="6"/>
        <v>205.68</v>
      </c>
      <c r="O49" s="52">
        <v>210.09</v>
      </c>
      <c r="P49" s="52">
        <f t="shared" si="1"/>
        <v>13230</v>
      </c>
      <c r="Q49" s="52">
        <f t="shared" si="7"/>
        <v>2.39</v>
      </c>
      <c r="R49" s="52">
        <v>2.4</v>
      </c>
      <c r="S49" s="52">
        <f t="shared" si="2"/>
        <v>29.9999999999994</v>
      </c>
      <c r="T49" s="108">
        <f t="shared" si="3"/>
        <v>13200</v>
      </c>
      <c r="U49" s="112"/>
      <c r="V49" s="52">
        <v>6.12</v>
      </c>
      <c r="W49" s="52">
        <v>34.57</v>
      </c>
      <c r="X49" s="52"/>
      <c r="Y49" s="52"/>
      <c r="Z49" s="52"/>
      <c r="AA49" s="52"/>
      <c r="AB49" s="108" t="s">
        <v>70</v>
      </c>
    </row>
    <row r="50" spans="1:28">
      <c r="A50" s="90">
        <f t="shared" si="0"/>
        <v>52</v>
      </c>
      <c r="B50" s="98">
        <v>45795</v>
      </c>
      <c r="C50" s="25">
        <v>45795</v>
      </c>
      <c r="D50" s="115">
        <v>0.28125</v>
      </c>
      <c r="E50" s="116">
        <v>0.78125</v>
      </c>
      <c r="F50" s="109">
        <v>1954.32</v>
      </c>
      <c r="G50" s="52">
        <v>1940.63</v>
      </c>
      <c r="H50" s="52">
        <v>1922.8</v>
      </c>
      <c r="I50" s="52">
        <v>2004.61</v>
      </c>
      <c r="J50" s="52">
        <v>1995.85</v>
      </c>
      <c r="K50" s="52">
        <v>1990</v>
      </c>
      <c r="L50" s="52">
        <v>2008.84</v>
      </c>
      <c r="M50" s="110">
        <f t="shared" si="5"/>
        <v>13817.05</v>
      </c>
      <c r="N50" s="111">
        <f t="shared" si="6"/>
        <v>210.09</v>
      </c>
      <c r="O50" s="52">
        <v>214.65</v>
      </c>
      <c r="P50" s="52">
        <f t="shared" si="1"/>
        <v>13680</v>
      </c>
      <c r="Q50" s="52">
        <f t="shared" si="7"/>
        <v>2.4</v>
      </c>
      <c r="R50" s="52">
        <v>2.41</v>
      </c>
      <c r="S50" s="52">
        <f t="shared" si="2"/>
        <v>30.0000000000007</v>
      </c>
      <c r="T50" s="108">
        <f t="shared" si="3"/>
        <v>13650</v>
      </c>
      <c r="U50" s="112"/>
      <c r="V50" s="52">
        <v>6.62</v>
      </c>
      <c r="W50" s="52">
        <v>34.55</v>
      </c>
      <c r="X50" s="52"/>
      <c r="Y50" s="52"/>
      <c r="Z50" s="52"/>
      <c r="AA50" s="52"/>
      <c r="AB50" s="108" t="s">
        <v>70</v>
      </c>
    </row>
    <row r="51" spans="1:28">
      <c r="A51" s="90">
        <f t="shared" si="0"/>
        <v>53</v>
      </c>
      <c r="B51" s="98">
        <v>45796</v>
      </c>
      <c r="C51" s="25">
        <v>45796</v>
      </c>
      <c r="D51" s="115">
        <v>0.28125</v>
      </c>
      <c r="E51" s="116">
        <v>0.78125</v>
      </c>
      <c r="F51" s="109">
        <v>1842.6</v>
      </c>
      <c r="G51" s="52">
        <v>1840.49</v>
      </c>
      <c r="H51" s="52">
        <v>1824.85</v>
      </c>
      <c r="I51" s="52">
        <v>1900.28</v>
      </c>
      <c r="J51" s="52">
        <v>1893.08</v>
      </c>
      <c r="K51" s="52">
        <v>1895.77</v>
      </c>
      <c r="L51" s="52">
        <v>1908.07</v>
      </c>
      <c r="M51" s="110">
        <f t="shared" si="5"/>
        <v>13105.14</v>
      </c>
      <c r="N51" s="111">
        <f t="shared" si="6"/>
        <v>214.65</v>
      </c>
      <c r="O51" s="52">
        <v>218.99</v>
      </c>
      <c r="P51" s="52">
        <f t="shared" si="1"/>
        <v>13020</v>
      </c>
      <c r="Q51" s="52">
        <f t="shared" si="7"/>
        <v>2.41</v>
      </c>
      <c r="R51" s="52">
        <v>2.42</v>
      </c>
      <c r="S51" s="52">
        <f t="shared" si="2"/>
        <v>29.9999999999994</v>
      </c>
      <c r="T51" s="108">
        <f t="shared" si="3"/>
        <v>12990</v>
      </c>
      <c r="U51" s="112"/>
      <c r="V51" s="52">
        <v>5.94</v>
      </c>
      <c r="W51" s="52">
        <v>34.18</v>
      </c>
      <c r="X51" s="52"/>
      <c r="Y51" s="52"/>
      <c r="Z51" s="52"/>
      <c r="AA51" s="52"/>
      <c r="AB51" s="108" t="s">
        <v>70</v>
      </c>
    </row>
    <row r="52" spans="1:28">
      <c r="A52" s="90">
        <f t="shared" si="0"/>
        <v>54</v>
      </c>
      <c r="B52" s="98">
        <v>45797</v>
      </c>
      <c r="C52" s="25">
        <v>45797</v>
      </c>
      <c r="D52" s="115">
        <v>0.28125</v>
      </c>
      <c r="E52" s="116">
        <v>0.802083333333333</v>
      </c>
      <c r="F52" s="109">
        <v>1942.68</v>
      </c>
      <c r="G52" s="52">
        <v>1935.29</v>
      </c>
      <c r="H52" s="52">
        <v>1924.66</v>
      </c>
      <c r="I52" s="52">
        <v>2008.97</v>
      </c>
      <c r="J52" s="52">
        <v>2004.9</v>
      </c>
      <c r="K52" s="52">
        <v>2007.32</v>
      </c>
      <c r="L52" s="52">
        <v>2026.7</v>
      </c>
      <c r="M52" s="110">
        <f t="shared" si="5"/>
        <v>13850.52</v>
      </c>
      <c r="N52" s="111">
        <f t="shared" si="6"/>
        <v>218.99</v>
      </c>
      <c r="O52" s="52">
        <v>223.56</v>
      </c>
      <c r="P52" s="52">
        <f t="shared" si="1"/>
        <v>13710</v>
      </c>
      <c r="Q52" s="52">
        <f t="shared" si="7"/>
        <v>2.42</v>
      </c>
      <c r="R52" s="52">
        <v>2.43</v>
      </c>
      <c r="S52" s="52">
        <f t="shared" si="2"/>
        <v>30.0000000000007</v>
      </c>
      <c r="T52" s="108">
        <f t="shared" si="3"/>
        <v>13680</v>
      </c>
      <c r="U52" s="112"/>
      <c r="V52" s="52">
        <v>6.29</v>
      </c>
      <c r="W52" s="52">
        <v>33.75</v>
      </c>
      <c r="X52" s="52"/>
      <c r="Y52" s="52"/>
      <c r="Z52" s="52"/>
      <c r="AA52" s="52"/>
      <c r="AB52" s="108" t="s">
        <v>70</v>
      </c>
    </row>
    <row r="53" spans="1:28">
      <c r="A53" s="90">
        <f t="shared" si="0"/>
        <v>55</v>
      </c>
      <c r="B53" s="98">
        <v>45798</v>
      </c>
      <c r="C53" s="25">
        <v>45798</v>
      </c>
      <c r="D53" s="115">
        <v>0.28125</v>
      </c>
      <c r="E53" s="116">
        <v>0.791666666666667</v>
      </c>
      <c r="F53" s="109">
        <v>1488.42</v>
      </c>
      <c r="G53" s="52">
        <v>1477.9</v>
      </c>
      <c r="H53" s="52">
        <v>1474.14</v>
      </c>
      <c r="I53" s="52">
        <v>1525.62</v>
      </c>
      <c r="J53" s="52">
        <v>1517.75</v>
      </c>
      <c r="K53" s="52">
        <v>1515.89</v>
      </c>
      <c r="L53" s="52">
        <v>1525.51</v>
      </c>
      <c r="M53" s="110">
        <f t="shared" si="5"/>
        <v>10525.23</v>
      </c>
      <c r="N53" s="111">
        <f t="shared" si="6"/>
        <v>223.56</v>
      </c>
      <c r="O53" s="52">
        <v>227.05</v>
      </c>
      <c r="P53" s="52">
        <f t="shared" si="1"/>
        <v>10470</v>
      </c>
      <c r="Q53" s="52">
        <f t="shared" si="7"/>
        <v>2.43</v>
      </c>
      <c r="R53" s="52">
        <v>2.44</v>
      </c>
      <c r="S53" s="52">
        <f t="shared" si="2"/>
        <v>29.9999999999994</v>
      </c>
      <c r="T53" s="108">
        <f t="shared" si="3"/>
        <v>10440</v>
      </c>
      <c r="U53" s="112"/>
      <c r="V53" s="52">
        <v>4.61</v>
      </c>
      <c r="W53" s="52">
        <v>32.04</v>
      </c>
      <c r="X53" s="52"/>
      <c r="Y53" s="52"/>
      <c r="Z53" s="52"/>
      <c r="AA53" s="52"/>
      <c r="AB53" s="108" t="s">
        <v>72</v>
      </c>
    </row>
    <row r="54" spans="1:28">
      <c r="A54" s="90">
        <f t="shared" si="0"/>
        <v>56</v>
      </c>
      <c r="B54" s="98">
        <v>45799</v>
      </c>
      <c r="C54" s="25">
        <v>45799</v>
      </c>
      <c r="D54" s="115">
        <v>0.28125</v>
      </c>
      <c r="E54" s="116">
        <v>0.729166666666667</v>
      </c>
      <c r="F54" s="109">
        <v>1469.58</v>
      </c>
      <c r="G54" s="52">
        <v>1461.3</v>
      </c>
      <c r="H54" s="52">
        <v>1460.62</v>
      </c>
      <c r="I54" s="52">
        <v>1527.51</v>
      </c>
      <c r="J54" s="52">
        <v>1518.72</v>
      </c>
      <c r="K54" s="52">
        <v>1519.13</v>
      </c>
      <c r="L54" s="52">
        <v>1528.69</v>
      </c>
      <c r="M54" s="110">
        <f t="shared" si="5"/>
        <v>10485.55</v>
      </c>
      <c r="N54" s="111">
        <f t="shared" si="6"/>
        <v>227.05</v>
      </c>
      <c r="O54" s="52">
        <v>230.52</v>
      </c>
      <c r="P54" s="52">
        <f t="shared" si="1"/>
        <v>10410</v>
      </c>
      <c r="Q54" s="52">
        <f t="shared" si="7"/>
        <v>2.44</v>
      </c>
      <c r="R54" s="52">
        <v>2.45</v>
      </c>
      <c r="S54" s="52">
        <f t="shared" si="2"/>
        <v>30.0000000000007</v>
      </c>
      <c r="T54" s="108">
        <f t="shared" si="3"/>
        <v>10380</v>
      </c>
      <c r="U54" s="112"/>
      <c r="V54" s="52">
        <v>4.83</v>
      </c>
      <c r="W54" s="52">
        <v>36.27</v>
      </c>
      <c r="X54" s="52"/>
      <c r="Y54" s="52"/>
      <c r="Z54" s="52"/>
      <c r="AA54" s="52"/>
      <c r="AB54" s="108" t="s">
        <v>72</v>
      </c>
    </row>
    <row r="55" spans="1:28">
      <c r="A55" s="90">
        <f t="shared" si="0"/>
        <v>57</v>
      </c>
      <c r="B55" s="98">
        <v>45800</v>
      </c>
      <c r="C55" s="25">
        <v>45800</v>
      </c>
      <c r="D55" s="115">
        <v>0.270833333333333</v>
      </c>
      <c r="E55" s="116">
        <v>0.802083333333333</v>
      </c>
      <c r="F55" s="109">
        <v>567.96</v>
      </c>
      <c r="G55" s="52">
        <v>565.38</v>
      </c>
      <c r="H55" s="52">
        <v>562.15</v>
      </c>
      <c r="I55" s="52">
        <v>589.61</v>
      </c>
      <c r="J55" s="52">
        <v>584.43</v>
      </c>
      <c r="K55" s="52">
        <v>583.08</v>
      </c>
      <c r="L55" s="52">
        <v>588.37</v>
      </c>
      <c r="M55" s="110">
        <f t="shared" si="5"/>
        <v>4040.98</v>
      </c>
      <c r="N55" s="111">
        <f t="shared" si="6"/>
        <v>230.52</v>
      </c>
      <c r="O55" s="52">
        <v>231.86</v>
      </c>
      <c r="P55" s="52">
        <f t="shared" si="1"/>
        <v>4020.00000000001</v>
      </c>
      <c r="Q55" s="52">
        <f t="shared" si="7"/>
        <v>2.45</v>
      </c>
      <c r="R55" s="52">
        <v>2.46</v>
      </c>
      <c r="S55" s="52">
        <f t="shared" si="2"/>
        <v>29.9999999999994</v>
      </c>
      <c r="T55" s="108">
        <f t="shared" si="3"/>
        <v>3990.00000000001</v>
      </c>
      <c r="U55" s="112"/>
      <c r="V55" s="52">
        <v>5.14</v>
      </c>
      <c r="W55" s="52">
        <v>33.67</v>
      </c>
      <c r="X55" s="52"/>
      <c r="Y55" s="52"/>
      <c r="Z55" s="52"/>
      <c r="AA55" s="52"/>
      <c r="AB55" s="108" t="s">
        <v>70</v>
      </c>
    </row>
    <row r="56" spans="1:28">
      <c r="A56" s="90">
        <f t="shared" si="0"/>
        <v>58</v>
      </c>
      <c r="B56" s="98">
        <v>45801</v>
      </c>
      <c r="C56" s="25">
        <v>45801</v>
      </c>
      <c r="D56" s="115">
        <v>0.28125</v>
      </c>
      <c r="E56" s="116">
        <v>0.791666666666667</v>
      </c>
      <c r="F56" s="109">
        <v>1908.75</v>
      </c>
      <c r="G56" s="52">
        <v>1893.76</v>
      </c>
      <c r="H56" s="52">
        <v>1881.66</v>
      </c>
      <c r="I56" s="52">
        <v>1960.16</v>
      </c>
      <c r="J56" s="52">
        <v>1946.7</v>
      </c>
      <c r="K56" s="52">
        <v>1941.04</v>
      </c>
      <c r="L56" s="52">
        <v>1950.16</v>
      </c>
      <c r="M56" s="110">
        <f t="shared" si="5"/>
        <v>13482.23</v>
      </c>
      <c r="N56" s="111">
        <f t="shared" si="6"/>
        <v>231.86</v>
      </c>
      <c r="O56" s="52">
        <v>236.34</v>
      </c>
      <c r="P56" s="52">
        <f t="shared" si="1"/>
        <v>13440</v>
      </c>
      <c r="Q56" s="52">
        <f t="shared" si="7"/>
        <v>2.46</v>
      </c>
      <c r="R56" s="52">
        <v>2.47</v>
      </c>
      <c r="S56" s="52">
        <f t="shared" si="2"/>
        <v>30.0000000000007</v>
      </c>
      <c r="T56" s="108">
        <f t="shared" si="3"/>
        <v>13410</v>
      </c>
      <c r="U56" s="112"/>
      <c r="V56" s="52">
        <v>6.24</v>
      </c>
      <c r="W56" s="52">
        <v>34.78</v>
      </c>
      <c r="X56" s="52"/>
      <c r="Y56" s="52"/>
      <c r="Z56" s="52"/>
      <c r="AA56" s="52"/>
      <c r="AB56" s="108" t="s">
        <v>70</v>
      </c>
    </row>
    <row r="57" spans="1:28">
      <c r="A57" s="90">
        <f t="shared" si="0"/>
        <v>59</v>
      </c>
      <c r="B57" s="98">
        <v>45802</v>
      </c>
      <c r="C57" s="25">
        <v>45802</v>
      </c>
      <c r="D57" s="115">
        <v>0.28125</v>
      </c>
      <c r="E57" s="116">
        <v>0.791666666666667</v>
      </c>
      <c r="F57" s="109">
        <v>1937.21</v>
      </c>
      <c r="G57" s="52">
        <v>1921.62</v>
      </c>
      <c r="H57" s="52">
        <v>1919.17</v>
      </c>
      <c r="I57" s="52">
        <v>2005.89</v>
      </c>
      <c r="J57" s="52">
        <v>1999.13</v>
      </c>
      <c r="K57" s="52">
        <v>2000.89</v>
      </c>
      <c r="L57" s="52">
        <v>2015.71</v>
      </c>
      <c r="M57" s="110">
        <f t="shared" si="5"/>
        <v>13799.62</v>
      </c>
      <c r="N57" s="111">
        <f t="shared" si="6"/>
        <v>236.34</v>
      </c>
      <c r="O57" s="52">
        <v>240.9</v>
      </c>
      <c r="P57" s="52">
        <f t="shared" si="1"/>
        <v>13680</v>
      </c>
      <c r="Q57" s="52">
        <f t="shared" si="7"/>
        <v>2.47</v>
      </c>
      <c r="R57" s="52">
        <v>2.48</v>
      </c>
      <c r="S57" s="52">
        <f t="shared" si="2"/>
        <v>29.9999999999994</v>
      </c>
      <c r="T57" s="108">
        <f t="shared" si="3"/>
        <v>13650</v>
      </c>
      <c r="U57" s="112"/>
      <c r="V57" s="52">
        <v>6.48</v>
      </c>
      <c r="W57" s="52">
        <v>34.88</v>
      </c>
      <c r="X57" s="52"/>
      <c r="Y57" s="52"/>
      <c r="Z57" s="52"/>
      <c r="AA57" s="52"/>
      <c r="AB57" s="108" t="s">
        <v>70</v>
      </c>
    </row>
    <row r="58" spans="1:28">
      <c r="A58" s="90">
        <f t="shared" si="0"/>
        <v>60</v>
      </c>
      <c r="B58" s="98">
        <v>45803</v>
      </c>
      <c r="C58" s="25">
        <v>45803</v>
      </c>
      <c r="D58" s="115">
        <v>0.291666666666667</v>
      </c>
      <c r="E58" s="116">
        <v>0.791666666666667</v>
      </c>
      <c r="F58" s="109">
        <v>1445.61</v>
      </c>
      <c r="G58" s="52">
        <v>1452.47</v>
      </c>
      <c r="H58" s="52">
        <v>1438.01</v>
      </c>
      <c r="I58" s="52">
        <v>1508.79</v>
      </c>
      <c r="J58" s="52">
        <v>1520.45</v>
      </c>
      <c r="K58" s="52">
        <v>1522.42</v>
      </c>
      <c r="L58" s="52">
        <v>1525.42</v>
      </c>
      <c r="M58" s="110">
        <f t="shared" si="5"/>
        <v>10413.17</v>
      </c>
      <c r="N58" s="111">
        <f t="shared" si="6"/>
        <v>240.9</v>
      </c>
      <c r="O58" s="52">
        <v>244.52</v>
      </c>
      <c r="P58" s="52">
        <f t="shared" si="1"/>
        <v>10860</v>
      </c>
      <c r="Q58" s="52">
        <f t="shared" si="7"/>
        <v>2.48</v>
      </c>
      <c r="R58" s="52">
        <v>2.49</v>
      </c>
      <c r="S58" s="52">
        <f t="shared" si="2"/>
        <v>30.0000000000007</v>
      </c>
      <c r="T58" s="108">
        <f t="shared" si="3"/>
        <v>10830</v>
      </c>
      <c r="U58" s="112"/>
      <c r="V58" s="52">
        <v>4.84</v>
      </c>
      <c r="W58" s="52">
        <v>34.2</v>
      </c>
      <c r="X58" s="52"/>
      <c r="Y58" s="52"/>
      <c r="Z58" s="52"/>
      <c r="AA58" s="52"/>
      <c r="AB58" s="108" t="s">
        <v>72</v>
      </c>
    </row>
    <row r="59" spans="1:28">
      <c r="A59" s="90">
        <f t="shared" si="0"/>
        <v>61</v>
      </c>
      <c r="B59" s="98">
        <v>45804</v>
      </c>
      <c r="C59" s="25">
        <v>45804</v>
      </c>
      <c r="D59" s="115">
        <v>0.28125</v>
      </c>
      <c r="E59" s="116">
        <v>0.78125</v>
      </c>
      <c r="F59" s="109">
        <v>783.28</v>
      </c>
      <c r="G59" s="52">
        <v>757.03</v>
      </c>
      <c r="H59" s="52">
        <v>751.84</v>
      </c>
      <c r="I59" s="52">
        <v>783.36</v>
      </c>
      <c r="J59" s="52">
        <v>780.91</v>
      </c>
      <c r="K59" s="52">
        <v>780.76</v>
      </c>
      <c r="L59" s="52">
        <v>785.79</v>
      </c>
      <c r="M59" s="110">
        <f t="shared" si="5"/>
        <v>5422.97</v>
      </c>
      <c r="N59" s="111">
        <f t="shared" si="6"/>
        <v>244.52</v>
      </c>
      <c r="O59" s="52">
        <v>246.33</v>
      </c>
      <c r="P59" s="52">
        <f t="shared" si="1"/>
        <v>5430.00000000001</v>
      </c>
      <c r="Q59" s="52">
        <f t="shared" si="7"/>
        <v>2.49</v>
      </c>
      <c r="R59" s="52">
        <v>2.5</v>
      </c>
      <c r="S59" s="52">
        <f t="shared" si="2"/>
        <v>29.9999999999994</v>
      </c>
      <c r="T59" s="108">
        <f t="shared" si="3"/>
        <v>5400.00000000001</v>
      </c>
      <c r="U59" s="112"/>
      <c r="V59" s="52">
        <v>2.27</v>
      </c>
      <c r="W59" s="52">
        <v>29.95</v>
      </c>
      <c r="X59" s="52"/>
      <c r="Y59" s="52"/>
      <c r="Z59" s="52"/>
      <c r="AA59" s="52"/>
      <c r="AB59" s="108" t="s">
        <v>72</v>
      </c>
    </row>
    <row r="60" spans="1:28">
      <c r="A60" s="90">
        <f t="shared" si="0"/>
        <v>62</v>
      </c>
      <c r="B60" s="98">
        <v>45805</v>
      </c>
      <c r="C60" s="25">
        <v>45805</v>
      </c>
      <c r="D60" s="115">
        <v>0.28125</v>
      </c>
      <c r="E60" s="116">
        <v>0.78125</v>
      </c>
      <c r="F60" s="109">
        <v>1568.06</v>
      </c>
      <c r="G60" s="52">
        <v>1561.67</v>
      </c>
      <c r="H60" s="52">
        <v>1555.92</v>
      </c>
      <c r="I60" s="52">
        <v>1605.45</v>
      </c>
      <c r="J60" s="52">
        <v>1567.1</v>
      </c>
      <c r="K60" s="52">
        <v>1565.15</v>
      </c>
      <c r="L60" s="52">
        <v>1574.26</v>
      </c>
      <c r="M60" s="110">
        <f t="shared" si="5"/>
        <v>10997.61</v>
      </c>
      <c r="N60" s="111">
        <f t="shared" si="6"/>
        <v>246.33</v>
      </c>
      <c r="O60" s="52">
        <v>249.98</v>
      </c>
      <c r="P60" s="52">
        <f t="shared" si="1"/>
        <v>10949.9999999999</v>
      </c>
      <c r="Q60" s="52">
        <f t="shared" si="7"/>
        <v>2.5</v>
      </c>
      <c r="R60" s="52">
        <v>2.51</v>
      </c>
      <c r="S60" s="52">
        <f t="shared" si="2"/>
        <v>29.9999999999994</v>
      </c>
      <c r="T60" s="108">
        <f t="shared" si="3"/>
        <v>10919.9999999999</v>
      </c>
      <c r="U60" s="112"/>
      <c r="V60" s="52">
        <v>4.86</v>
      </c>
      <c r="W60" s="52">
        <v>32.94</v>
      </c>
      <c r="X60" s="52"/>
      <c r="Y60" s="52"/>
      <c r="Z60" s="52"/>
      <c r="AA60" s="52"/>
      <c r="AB60" s="108" t="s">
        <v>72</v>
      </c>
    </row>
    <row r="61" spans="1:28">
      <c r="A61" s="90">
        <f t="shared" si="0"/>
        <v>63</v>
      </c>
      <c r="B61" s="98">
        <v>45806</v>
      </c>
      <c r="C61" s="25">
        <v>45806</v>
      </c>
      <c r="D61" s="115">
        <v>0.28125</v>
      </c>
      <c r="E61" s="116">
        <v>0.791666666666667</v>
      </c>
      <c r="F61" s="109">
        <v>1875.27</v>
      </c>
      <c r="G61" s="52">
        <v>1865.95</v>
      </c>
      <c r="H61" s="52">
        <v>1865.27</v>
      </c>
      <c r="I61" s="52">
        <v>1945.68</v>
      </c>
      <c r="J61" s="52">
        <v>1928.83</v>
      </c>
      <c r="K61" s="52">
        <v>1901.76</v>
      </c>
      <c r="L61" s="52">
        <v>1895.46</v>
      </c>
      <c r="M61" s="110">
        <f t="shared" si="5"/>
        <v>13278.22</v>
      </c>
      <c r="N61" s="111">
        <f t="shared" si="6"/>
        <v>249.98</v>
      </c>
      <c r="O61" s="52">
        <v>254.37</v>
      </c>
      <c r="P61" s="52">
        <f t="shared" si="1"/>
        <v>13170</v>
      </c>
      <c r="Q61" s="52">
        <f t="shared" si="7"/>
        <v>2.51</v>
      </c>
      <c r="R61" s="52">
        <v>2.52</v>
      </c>
      <c r="S61" s="52">
        <f t="shared" si="2"/>
        <v>30.0000000000007</v>
      </c>
      <c r="T61" s="108">
        <f t="shared" si="3"/>
        <v>13140</v>
      </c>
      <c r="U61" s="112"/>
      <c r="V61" s="52">
        <v>5.97</v>
      </c>
      <c r="W61" s="52">
        <v>33.56</v>
      </c>
      <c r="X61" s="52"/>
      <c r="Y61" s="52"/>
      <c r="Z61" s="52"/>
      <c r="AA61" s="52"/>
      <c r="AB61" s="108" t="s">
        <v>72</v>
      </c>
    </row>
    <row r="62" spans="1:28">
      <c r="A62" s="90">
        <f t="shared" si="0"/>
        <v>64</v>
      </c>
      <c r="B62" s="98">
        <v>45807</v>
      </c>
      <c r="C62" s="25">
        <v>45807</v>
      </c>
      <c r="D62" s="115">
        <v>0.28125</v>
      </c>
      <c r="E62" s="116">
        <v>0.791666666666667</v>
      </c>
      <c r="F62" s="109">
        <v>1965.4</v>
      </c>
      <c r="G62" s="52">
        <v>1958.97</v>
      </c>
      <c r="H62" s="52">
        <v>1963.38</v>
      </c>
      <c r="I62" s="52">
        <v>2052.49</v>
      </c>
      <c r="J62" s="52">
        <v>2038.64</v>
      </c>
      <c r="K62" s="52">
        <v>2043.79</v>
      </c>
      <c r="L62" s="52">
        <v>2063.27</v>
      </c>
      <c r="M62" s="110">
        <f t="shared" si="5"/>
        <v>14085.94</v>
      </c>
      <c r="N62" s="111">
        <f t="shared" si="6"/>
        <v>254.37</v>
      </c>
      <c r="O62" s="52">
        <v>259.03</v>
      </c>
      <c r="P62" s="52">
        <f t="shared" si="1"/>
        <v>13979.9999999999</v>
      </c>
      <c r="Q62" s="52">
        <f t="shared" si="7"/>
        <v>2.52</v>
      </c>
      <c r="R62" s="52">
        <v>2.53</v>
      </c>
      <c r="S62" s="52">
        <f t="shared" si="2"/>
        <v>29.9999999999994</v>
      </c>
      <c r="T62" s="108">
        <f t="shared" si="3"/>
        <v>13949.9999999999</v>
      </c>
      <c r="U62" s="112"/>
      <c r="V62" s="52">
        <v>6.53</v>
      </c>
      <c r="W62" s="52">
        <v>33.54</v>
      </c>
      <c r="X62" s="52"/>
      <c r="Y62" s="52"/>
      <c r="Z62" s="52"/>
      <c r="AA62" s="52"/>
      <c r="AB62" s="108" t="s">
        <v>70</v>
      </c>
    </row>
    <row r="63" spans="1:28">
      <c r="A63" s="90">
        <f t="shared" si="0"/>
        <v>65</v>
      </c>
      <c r="B63" s="98">
        <v>45808</v>
      </c>
      <c r="C63" s="25">
        <v>45808</v>
      </c>
      <c r="D63" s="115">
        <v>0.28125</v>
      </c>
      <c r="E63" s="116">
        <v>0.78125</v>
      </c>
      <c r="F63" s="109">
        <v>1981.87</v>
      </c>
      <c r="G63" s="52">
        <v>1976.56</v>
      </c>
      <c r="H63" s="52">
        <v>1971.96</v>
      </c>
      <c r="I63" s="52">
        <v>2065.52</v>
      </c>
      <c r="J63" s="52">
        <v>2062.55</v>
      </c>
      <c r="K63" s="52">
        <v>2064.78</v>
      </c>
      <c r="L63" s="52">
        <v>2088.75</v>
      </c>
      <c r="M63" s="110">
        <f t="shared" si="5"/>
        <v>14211.99</v>
      </c>
      <c r="N63" s="111">
        <f t="shared" si="6"/>
        <v>259.03</v>
      </c>
      <c r="O63" s="52">
        <v>263.72</v>
      </c>
      <c r="P63" s="52">
        <f t="shared" si="1"/>
        <v>14070.0000000002</v>
      </c>
      <c r="Q63" s="52">
        <f t="shared" si="7"/>
        <v>2.53</v>
      </c>
      <c r="R63" s="52">
        <v>2.54</v>
      </c>
      <c r="S63" s="52">
        <f t="shared" si="2"/>
        <v>30.0000000000007</v>
      </c>
      <c r="T63" s="108">
        <f t="shared" si="3"/>
        <v>14040.0000000002</v>
      </c>
      <c r="U63" s="112"/>
      <c r="V63" s="52">
        <v>6.74</v>
      </c>
      <c r="W63" s="52">
        <v>33.52</v>
      </c>
      <c r="X63" s="52"/>
      <c r="Y63" s="52"/>
      <c r="Z63" s="52"/>
      <c r="AA63" s="52"/>
      <c r="AB63" s="108" t="s">
        <v>70</v>
      </c>
    </row>
    <row r="64" spans="1:28">
      <c r="A64" s="90">
        <f t="shared" si="0"/>
        <v>66</v>
      </c>
      <c r="B64" s="98">
        <v>45809</v>
      </c>
      <c r="C64" s="25">
        <v>45809</v>
      </c>
      <c r="D64" s="115">
        <v>0.270833333333333</v>
      </c>
      <c r="E64" s="116">
        <v>0.791666666666667</v>
      </c>
      <c r="F64" s="109">
        <v>1861.37</v>
      </c>
      <c r="G64" s="52">
        <v>1849.66</v>
      </c>
      <c r="H64" s="52">
        <v>1842.81</v>
      </c>
      <c r="I64" s="52">
        <v>1924.81</v>
      </c>
      <c r="J64" s="52">
        <v>1916.18</v>
      </c>
      <c r="K64" s="52">
        <v>1913.48</v>
      </c>
      <c r="L64" s="52">
        <v>1927.06</v>
      </c>
      <c r="M64" s="110">
        <f t="shared" si="5"/>
        <v>13235.37</v>
      </c>
      <c r="N64" s="111">
        <f t="shared" si="6"/>
        <v>263.72</v>
      </c>
      <c r="O64" s="52">
        <v>268.1</v>
      </c>
      <c r="P64" s="52">
        <f t="shared" si="1"/>
        <v>13140</v>
      </c>
      <c r="Q64" s="52">
        <f t="shared" si="7"/>
        <v>2.54</v>
      </c>
      <c r="R64" s="52">
        <v>2.55</v>
      </c>
      <c r="S64" s="52">
        <f t="shared" si="2"/>
        <v>29.9999999999994</v>
      </c>
      <c r="T64" s="108">
        <f t="shared" si="3"/>
        <v>13110</v>
      </c>
      <c r="U64" s="112"/>
      <c r="V64" s="52">
        <v>5.82</v>
      </c>
      <c r="W64" s="52">
        <v>33.25</v>
      </c>
      <c r="X64" s="52"/>
      <c r="Y64" s="52"/>
      <c r="Z64" s="52"/>
      <c r="AA64" s="52"/>
      <c r="AB64" s="108" t="s">
        <v>70</v>
      </c>
    </row>
    <row r="65" spans="1:28">
      <c r="A65" s="90">
        <f t="shared" si="0"/>
        <v>67</v>
      </c>
      <c r="B65" s="98">
        <v>45810</v>
      </c>
      <c r="C65" s="25">
        <v>45810</v>
      </c>
      <c r="D65" s="115">
        <v>0.270833333333333</v>
      </c>
      <c r="E65" s="116">
        <v>0.791666666666667</v>
      </c>
      <c r="F65" s="109">
        <v>1932.38</v>
      </c>
      <c r="G65" s="52">
        <v>1919.3</v>
      </c>
      <c r="H65" s="52">
        <v>1911.51</v>
      </c>
      <c r="I65" s="52">
        <v>1997.13</v>
      </c>
      <c r="J65" s="52">
        <v>1990.09</v>
      </c>
      <c r="K65" s="52">
        <v>1987.26</v>
      </c>
      <c r="L65" s="52">
        <v>2008.37</v>
      </c>
      <c r="M65" s="110">
        <f t="shared" si="5"/>
        <v>13746.04</v>
      </c>
      <c r="N65" s="111">
        <f t="shared" si="6"/>
        <v>268.1</v>
      </c>
      <c r="O65" s="52">
        <v>272.64</v>
      </c>
      <c r="P65" s="52">
        <f t="shared" si="1"/>
        <v>13619.9999999999</v>
      </c>
      <c r="Q65" s="52">
        <f t="shared" si="7"/>
        <v>2.55</v>
      </c>
      <c r="R65" s="52">
        <v>2.56</v>
      </c>
      <c r="S65" s="52">
        <f t="shared" si="2"/>
        <v>30.0000000000007</v>
      </c>
      <c r="T65" s="108">
        <f t="shared" si="3"/>
        <v>13589.9999999999</v>
      </c>
      <c r="U65" s="112"/>
      <c r="V65" s="52">
        <v>6.15</v>
      </c>
      <c r="W65" s="52">
        <v>33.43</v>
      </c>
      <c r="X65" s="52"/>
      <c r="Y65" s="52"/>
      <c r="Z65" s="52"/>
      <c r="AA65" s="52"/>
      <c r="AB65" s="108" t="s">
        <v>70</v>
      </c>
    </row>
    <row r="66" spans="1:28">
      <c r="A66" s="90">
        <f t="shared" si="0"/>
        <v>68</v>
      </c>
      <c r="B66" s="98">
        <v>45811</v>
      </c>
      <c r="C66" s="25">
        <v>45811</v>
      </c>
      <c r="D66" s="115">
        <v>0.270833333333333</v>
      </c>
      <c r="E66" s="116">
        <v>0.792361111111111</v>
      </c>
      <c r="F66" s="109">
        <v>1361.99</v>
      </c>
      <c r="G66" s="52">
        <v>1353.25</v>
      </c>
      <c r="H66" s="52">
        <v>1332.61</v>
      </c>
      <c r="I66" s="52">
        <v>1382.97</v>
      </c>
      <c r="J66" s="52">
        <v>1381.63</v>
      </c>
      <c r="K66" s="52">
        <v>1385.04</v>
      </c>
      <c r="L66" s="52">
        <v>1401.6</v>
      </c>
      <c r="M66" s="110">
        <f t="shared" si="5"/>
        <v>9599.09</v>
      </c>
      <c r="N66" s="111">
        <f t="shared" si="6"/>
        <v>272.64</v>
      </c>
      <c r="O66" s="52">
        <v>275.81</v>
      </c>
      <c r="P66" s="52">
        <f t="shared" si="1"/>
        <v>9510.00000000005</v>
      </c>
      <c r="Q66" s="52">
        <f t="shared" si="7"/>
        <v>2.56</v>
      </c>
      <c r="R66" s="52">
        <v>2.57</v>
      </c>
      <c r="S66" s="52">
        <f t="shared" si="2"/>
        <v>29.9999999999994</v>
      </c>
      <c r="T66" s="108">
        <f t="shared" si="3"/>
        <v>9480.00000000005</v>
      </c>
      <c r="U66" s="112"/>
      <c r="V66" s="52">
        <v>5.96</v>
      </c>
      <c r="W66" s="52">
        <v>33.67</v>
      </c>
      <c r="X66" s="52"/>
      <c r="Y66" s="52"/>
      <c r="Z66" s="52"/>
      <c r="AA66" s="52"/>
      <c r="AB66" s="108" t="s">
        <v>70</v>
      </c>
    </row>
    <row r="67" spans="1:28">
      <c r="A67" s="90">
        <f t="shared" ref="A67:A130" si="8">A66+1</f>
        <v>69</v>
      </c>
      <c r="B67" s="98">
        <v>45812</v>
      </c>
      <c r="C67" s="25">
        <v>45812</v>
      </c>
      <c r="D67" s="115">
        <v>0.270833333333333</v>
      </c>
      <c r="E67" s="116">
        <v>0.792361111111111</v>
      </c>
      <c r="F67" s="109">
        <v>1813.37</v>
      </c>
      <c r="G67" s="52">
        <v>1805.8</v>
      </c>
      <c r="H67" s="52">
        <v>1798.22</v>
      </c>
      <c r="I67" s="52">
        <v>1872.88</v>
      </c>
      <c r="J67" s="52">
        <v>1838.38</v>
      </c>
      <c r="K67" s="52">
        <v>1836.64</v>
      </c>
      <c r="L67" s="52">
        <v>1851.58</v>
      </c>
      <c r="M67" s="110">
        <f t="shared" si="5"/>
        <v>12816.87</v>
      </c>
      <c r="N67" s="111">
        <f t="shared" si="6"/>
        <v>275.81</v>
      </c>
      <c r="O67" s="52">
        <v>280.05</v>
      </c>
      <c r="P67" s="52">
        <f t="shared" ref="P67:P130" si="9">MAX((O67-N67)*3000,0)</f>
        <v>12720</v>
      </c>
      <c r="Q67" s="52">
        <f t="shared" si="7"/>
        <v>2.57</v>
      </c>
      <c r="R67" s="52">
        <v>2.58</v>
      </c>
      <c r="S67" s="52">
        <f t="shared" ref="S67:S130" si="10">MAX((R67-Q67)*3000,0)</f>
        <v>30.0000000000007</v>
      </c>
      <c r="T67" s="108">
        <f t="shared" ref="T67:T130" si="11">P67-S67</f>
        <v>12690</v>
      </c>
      <c r="U67" s="112"/>
      <c r="V67" s="52">
        <v>5.73</v>
      </c>
      <c r="W67" s="52">
        <v>33.09</v>
      </c>
      <c r="X67" s="52"/>
      <c r="Y67" s="52"/>
      <c r="Z67" s="52"/>
      <c r="AA67" s="52"/>
      <c r="AB67" s="108" t="s">
        <v>70</v>
      </c>
    </row>
    <row r="68" spans="1:28">
      <c r="A68" s="90">
        <f t="shared" si="8"/>
        <v>70</v>
      </c>
      <c r="B68" s="98">
        <v>45813</v>
      </c>
      <c r="C68" s="25">
        <v>45813</v>
      </c>
      <c r="D68" s="115">
        <v>0.270833333333333</v>
      </c>
      <c r="E68" s="116">
        <v>0.791666666666667</v>
      </c>
      <c r="F68" s="109">
        <v>1817.04</v>
      </c>
      <c r="G68" s="52">
        <v>1802.13</v>
      </c>
      <c r="H68" s="52">
        <v>1785.68</v>
      </c>
      <c r="I68" s="52">
        <v>1857.58</v>
      </c>
      <c r="J68" s="52">
        <v>1863.28</v>
      </c>
      <c r="K68" s="52">
        <v>1852.36</v>
      </c>
      <c r="L68" s="52">
        <v>1849.01</v>
      </c>
      <c r="M68" s="110">
        <f t="shared" si="5"/>
        <v>12827.08</v>
      </c>
      <c r="N68" s="111">
        <f t="shared" si="6"/>
        <v>280.05</v>
      </c>
      <c r="O68" s="52">
        <v>284.29</v>
      </c>
      <c r="P68" s="52">
        <f t="shared" si="9"/>
        <v>12720</v>
      </c>
      <c r="Q68" s="52">
        <f t="shared" si="7"/>
        <v>2.58</v>
      </c>
      <c r="R68" s="52">
        <v>2.58</v>
      </c>
      <c r="S68" s="52">
        <f t="shared" si="10"/>
        <v>0</v>
      </c>
      <c r="T68" s="108">
        <f t="shared" si="11"/>
        <v>12720</v>
      </c>
      <c r="U68" s="112"/>
      <c r="V68" s="52">
        <v>5.5</v>
      </c>
      <c r="W68" s="52">
        <v>34.28</v>
      </c>
      <c r="X68" s="52"/>
      <c r="Y68" s="52"/>
      <c r="Z68" s="52"/>
      <c r="AA68" s="52"/>
      <c r="AB68" s="108" t="s">
        <v>70</v>
      </c>
    </row>
    <row r="69" spans="1:28">
      <c r="A69" s="90">
        <f t="shared" si="8"/>
        <v>71</v>
      </c>
      <c r="B69" s="98">
        <v>45814</v>
      </c>
      <c r="C69" s="25">
        <v>45814</v>
      </c>
      <c r="D69" s="115">
        <v>0.270833333333333</v>
      </c>
      <c r="E69" s="116">
        <v>0.78125</v>
      </c>
      <c r="F69" s="109">
        <v>1708.24</v>
      </c>
      <c r="G69" s="52">
        <v>1700.61</v>
      </c>
      <c r="H69" s="52">
        <v>1699.15</v>
      </c>
      <c r="I69" s="52">
        <v>1786.16</v>
      </c>
      <c r="J69" s="52">
        <v>1809.74</v>
      </c>
      <c r="K69" s="52">
        <v>1824.55</v>
      </c>
      <c r="L69" s="52">
        <v>1857.28</v>
      </c>
      <c r="M69" s="110">
        <f t="shared" si="5"/>
        <v>12385.73</v>
      </c>
      <c r="N69" s="111">
        <f t="shared" si="6"/>
        <v>284.29</v>
      </c>
      <c r="O69" s="52">
        <v>288.39</v>
      </c>
      <c r="P69" s="52">
        <f t="shared" si="9"/>
        <v>12299.9999999999</v>
      </c>
      <c r="Q69" s="52">
        <f t="shared" si="7"/>
        <v>2.58</v>
      </c>
      <c r="R69" s="52">
        <v>2.59</v>
      </c>
      <c r="S69" s="52">
        <f t="shared" si="10"/>
        <v>29.9999999999994</v>
      </c>
      <c r="T69" s="108">
        <f t="shared" si="11"/>
        <v>12269.9999999999</v>
      </c>
      <c r="U69" s="112"/>
      <c r="V69" s="52">
        <v>5.55</v>
      </c>
      <c r="W69" s="52">
        <v>34.02</v>
      </c>
      <c r="X69" s="52"/>
      <c r="Y69" s="52"/>
      <c r="Z69" s="52"/>
      <c r="AA69" s="52"/>
      <c r="AB69" s="108" t="s">
        <v>70</v>
      </c>
    </row>
    <row r="70" spans="1:28">
      <c r="A70" s="90">
        <f t="shared" si="8"/>
        <v>72</v>
      </c>
      <c r="B70" s="98">
        <v>45815</v>
      </c>
      <c r="C70" s="25">
        <v>45815</v>
      </c>
      <c r="D70" s="115">
        <v>0.270833333333333</v>
      </c>
      <c r="E70" s="116">
        <v>0.78125</v>
      </c>
      <c r="F70" s="109">
        <v>1952.55</v>
      </c>
      <c r="G70" s="52">
        <v>1942.37</v>
      </c>
      <c r="H70" s="52">
        <v>1929</v>
      </c>
      <c r="I70" s="52">
        <v>2017.43</v>
      </c>
      <c r="J70" s="52">
        <v>2014.07</v>
      </c>
      <c r="K70" s="52">
        <v>2015.01</v>
      </c>
      <c r="L70" s="52">
        <v>2034.63</v>
      </c>
      <c r="M70" s="110">
        <f t="shared" si="5"/>
        <v>13905.06</v>
      </c>
      <c r="N70" s="111">
        <f t="shared" si="6"/>
        <v>288.39</v>
      </c>
      <c r="O70" s="52">
        <v>292.99</v>
      </c>
      <c r="P70" s="52">
        <f t="shared" si="9"/>
        <v>13800.0000000001</v>
      </c>
      <c r="Q70" s="52">
        <f t="shared" si="7"/>
        <v>2.59</v>
      </c>
      <c r="R70" s="52">
        <v>2.6</v>
      </c>
      <c r="S70" s="52">
        <f t="shared" si="10"/>
        <v>30.0000000000007</v>
      </c>
      <c r="T70" s="108">
        <f t="shared" si="11"/>
        <v>13770.0000000001</v>
      </c>
      <c r="U70" s="112"/>
      <c r="V70" s="52">
        <v>6.42</v>
      </c>
      <c r="W70" s="52">
        <v>33.56</v>
      </c>
      <c r="X70" s="52"/>
      <c r="Y70" s="52"/>
      <c r="Z70" s="52"/>
      <c r="AA70" s="52"/>
      <c r="AB70" s="108" t="s">
        <v>70</v>
      </c>
    </row>
    <row r="71" spans="1:28">
      <c r="A71" s="90">
        <f t="shared" si="8"/>
        <v>73</v>
      </c>
      <c r="B71" s="98">
        <v>45816</v>
      </c>
      <c r="C71" s="25">
        <v>45816</v>
      </c>
      <c r="D71" s="115">
        <v>0.270833333333333</v>
      </c>
      <c r="E71" s="116">
        <v>0.791666666666667</v>
      </c>
      <c r="F71" s="109">
        <v>1840.91</v>
      </c>
      <c r="G71" s="52">
        <v>1839.01</v>
      </c>
      <c r="H71" s="52">
        <v>1833.74</v>
      </c>
      <c r="I71" s="52">
        <v>1920.26</v>
      </c>
      <c r="J71" s="52">
        <v>1913.3</v>
      </c>
      <c r="K71" s="52">
        <v>1919</v>
      </c>
      <c r="L71" s="52">
        <v>1937.98</v>
      </c>
      <c r="M71" s="110">
        <f t="shared" si="5"/>
        <v>13204.2</v>
      </c>
      <c r="N71" s="111">
        <f t="shared" si="6"/>
        <v>292.99</v>
      </c>
      <c r="O71" s="52">
        <v>297.36</v>
      </c>
      <c r="P71" s="52">
        <f t="shared" si="9"/>
        <v>13110</v>
      </c>
      <c r="Q71" s="52">
        <f t="shared" si="7"/>
        <v>2.6</v>
      </c>
      <c r="R71" s="52">
        <v>2.61</v>
      </c>
      <c r="S71" s="52">
        <f t="shared" si="10"/>
        <v>29.9999999999994</v>
      </c>
      <c r="T71" s="108">
        <f t="shared" si="11"/>
        <v>13080</v>
      </c>
      <c r="U71" s="112"/>
      <c r="V71" s="52">
        <v>5.67</v>
      </c>
      <c r="W71" s="52">
        <v>33.7</v>
      </c>
      <c r="X71" s="52"/>
      <c r="Y71" s="52"/>
      <c r="Z71" s="52"/>
      <c r="AA71" s="52"/>
      <c r="AB71" s="108" t="s">
        <v>70</v>
      </c>
    </row>
    <row r="72" spans="1:28">
      <c r="A72" s="90">
        <f t="shared" si="8"/>
        <v>74</v>
      </c>
      <c r="B72" s="98">
        <v>45817</v>
      </c>
      <c r="C72" s="25">
        <v>45817</v>
      </c>
      <c r="D72" s="115">
        <v>0.270833333333333</v>
      </c>
      <c r="E72" s="116">
        <v>0.791666666666667</v>
      </c>
      <c r="F72" s="109">
        <v>1952.65</v>
      </c>
      <c r="G72" s="52">
        <v>1944.91</v>
      </c>
      <c r="H72" s="52">
        <v>1940.31</v>
      </c>
      <c r="I72" s="52">
        <v>2030.08</v>
      </c>
      <c r="J72" s="52">
        <v>2028.95</v>
      </c>
      <c r="K72" s="52">
        <v>2031.92</v>
      </c>
      <c r="L72" s="52">
        <v>2047.29</v>
      </c>
      <c r="M72" s="110">
        <f t="shared" si="5"/>
        <v>13976.11</v>
      </c>
      <c r="N72" s="111">
        <f t="shared" si="6"/>
        <v>297.36</v>
      </c>
      <c r="O72" s="52">
        <v>301.98</v>
      </c>
      <c r="P72" s="52">
        <f t="shared" si="9"/>
        <v>13860</v>
      </c>
      <c r="Q72" s="52">
        <f t="shared" si="7"/>
        <v>2.61</v>
      </c>
      <c r="R72" s="52">
        <v>2.62</v>
      </c>
      <c r="S72" s="52">
        <f t="shared" si="10"/>
        <v>30.0000000000007</v>
      </c>
      <c r="T72" s="108">
        <f t="shared" si="11"/>
        <v>13830</v>
      </c>
      <c r="U72" s="112"/>
      <c r="V72" s="52">
        <v>6.43</v>
      </c>
      <c r="W72" s="52">
        <v>27</v>
      </c>
      <c r="X72" s="52"/>
      <c r="Y72" s="52"/>
      <c r="Z72" s="52"/>
      <c r="AA72" s="52"/>
      <c r="AB72" s="108" t="s">
        <v>70</v>
      </c>
    </row>
    <row r="73" spans="1:28">
      <c r="A73" s="90">
        <f t="shared" si="8"/>
        <v>75</v>
      </c>
      <c r="B73" s="98">
        <v>45818</v>
      </c>
      <c r="C73" s="25">
        <v>45818</v>
      </c>
      <c r="D73" s="115">
        <v>0.270833333333333</v>
      </c>
      <c r="E73" s="116">
        <v>0.791666666666667</v>
      </c>
      <c r="F73" s="109">
        <v>2005.97</v>
      </c>
      <c r="G73" s="52">
        <v>1993.8</v>
      </c>
      <c r="H73" s="52">
        <v>1978.95</v>
      </c>
      <c r="I73" s="52">
        <v>2053.01</v>
      </c>
      <c r="J73" s="52">
        <v>2041.13</v>
      </c>
      <c r="K73" s="52">
        <v>2041.71</v>
      </c>
      <c r="L73" s="52">
        <v>2061.52</v>
      </c>
      <c r="M73" s="110">
        <f t="shared" si="5"/>
        <v>14176.09</v>
      </c>
      <c r="N73" s="111">
        <f t="shared" si="6"/>
        <v>301.98</v>
      </c>
      <c r="O73" s="52">
        <v>306.66</v>
      </c>
      <c r="P73" s="52">
        <f t="shared" si="9"/>
        <v>14040</v>
      </c>
      <c r="Q73" s="52">
        <f t="shared" si="7"/>
        <v>2.62</v>
      </c>
      <c r="R73" s="52">
        <v>2.63</v>
      </c>
      <c r="S73" s="52">
        <f t="shared" si="10"/>
        <v>29.9999999999994</v>
      </c>
      <c r="T73" s="108">
        <f t="shared" si="11"/>
        <v>14010</v>
      </c>
      <c r="U73" s="112"/>
      <c r="V73" s="52">
        <v>6.73</v>
      </c>
      <c r="W73" s="52">
        <v>33.35</v>
      </c>
      <c r="X73" s="52"/>
      <c r="Y73" s="52"/>
      <c r="Z73" s="52"/>
      <c r="AA73" s="52"/>
      <c r="AB73" s="108" t="s">
        <v>70</v>
      </c>
    </row>
    <row r="74" spans="1:28">
      <c r="A74" s="90">
        <f t="shared" si="8"/>
        <v>76</v>
      </c>
      <c r="B74" s="98">
        <v>45819</v>
      </c>
      <c r="C74" s="25">
        <v>45819</v>
      </c>
      <c r="D74" s="115">
        <v>0.270833333333333</v>
      </c>
      <c r="E74" s="116">
        <v>0.791666666666667</v>
      </c>
      <c r="F74" s="109">
        <v>1687.93</v>
      </c>
      <c r="G74" s="52">
        <v>1681.47</v>
      </c>
      <c r="H74" s="52">
        <v>1678.23</v>
      </c>
      <c r="I74" s="52">
        <v>1757.57</v>
      </c>
      <c r="J74" s="52">
        <v>1742.86</v>
      </c>
      <c r="K74" s="52">
        <v>1731.62</v>
      </c>
      <c r="L74" s="52">
        <v>1739.73</v>
      </c>
      <c r="M74" s="110">
        <f t="shared" si="5"/>
        <v>12019.41</v>
      </c>
      <c r="N74" s="111">
        <f t="shared" si="6"/>
        <v>306.66</v>
      </c>
      <c r="O74" s="52">
        <v>310.64</v>
      </c>
      <c r="P74" s="52">
        <f t="shared" si="9"/>
        <v>11939.9999999999</v>
      </c>
      <c r="Q74" s="52">
        <f t="shared" si="7"/>
        <v>2.63</v>
      </c>
      <c r="R74" s="52">
        <v>2.64</v>
      </c>
      <c r="S74" s="52">
        <f t="shared" si="10"/>
        <v>30.0000000000007</v>
      </c>
      <c r="T74" s="108">
        <f t="shared" si="11"/>
        <v>11909.9999999999</v>
      </c>
      <c r="U74" s="112"/>
      <c r="V74" s="52">
        <v>5.42</v>
      </c>
      <c r="W74" s="52">
        <v>33.89</v>
      </c>
      <c r="X74" s="52"/>
      <c r="Y74" s="52"/>
      <c r="Z74" s="52"/>
      <c r="AA74" s="52"/>
      <c r="AB74" s="108" t="s">
        <v>70</v>
      </c>
    </row>
    <row r="75" spans="1:28">
      <c r="A75" s="90">
        <f t="shared" si="8"/>
        <v>77</v>
      </c>
      <c r="B75" s="98">
        <v>45820</v>
      </c>
      <c r="C75" s="25">
        <v>45820</v>
      </c>
      <c r="D75" s="115">
        <v>0.270833333333333</v>
      </c>
      <c r="E75" s="116">
        <v>0.791666666666667</v>
      </c>
      <c r="F75" s="109">
        <v>1778.42</v>
      </c>
      <c r="G75" s="52">
        <v>1771.38</v>
      </c>
      <c r="H75" s="52">
        <v>1767.67</v>
      </c>
      <c r="I75" s="52">
        <v>1852.65</v>
      </c>
      <c r="J75" s="52">
        <v>1847.13</v>
      </c>
      <c r="K75" s="52">
        <v>1842.57</v>
      </c>
      <c r="L75" s="52">
        <v>1861.68</v>
      </c>
      <c r="M75" s="110">
        <f t="shared" si="5"/>
        <v>12721.5</v>
      </c>
      <c r="N75" s="111">
        <f t="shared" si="6"/>
        <v>310.64</v>
      </c>
      <c r="O75" s="52">
        <v>314.85</v>
      </c>
      <c r="P75" s="52">
        <f t="shared" si="9"/>
        <v>12630.0000000001</v>
      </c>
      <c r="Q75" s="52">
        <f t="shared" si="7"/>
        <v>2.64</v>
      </c>
      <c r="R75" s="52">
        <v>2.65</v>
      </c>
      <c r="S75" s="52">
        <f t="shared" si="10"/>
        <v>29.9999999999994</v>
      </c>
      <c r="T75" s="108">
        <f t="shared" si="11"/>
        <v>12600.0000000001</v>
      </c>
      <c r="U75" s="112"/>
      <c r="V75" s="52">
        <v>5.64</v>
      </c>
      <c r="W75" s="52">
        <v>34.47</v>
      </c>
      <c r="X75" s="52"/>
      <c r="Y75" s="52"/>
      <c r="Z75" s="52"/>
      <c r="AA75" s="52"/>
      <c r="AB75" s="108" t="s">
        <v>70</v>
      </c>
    </row>
    <row r="76" spans="1:28">
      <c r="A76" s="90">
        <f t="shared" si="8"/>
        <v>78</v>
      </c>
      <c r="B76" s="98">
        <v>45821</v>
      </c>
      <c r="C76" s="25">
        <v>45821</v>
      </c>
      <c r="D76" s="115">
        <v>0.28125</v>
      </c>
      <c r="E76" s="116">
        <v>0.791666666666667</v>
      </c>
      <c r="F76" s="109">
        <v>1045.35</v>
      </c>
      <c r="G76" s="52">
        <v>1039.69</v>
      </c>
      <c r="H76" s="52">
        <v>1037.08</v>
      </c>
      <c r="I76" s="52">
        <v>1086.16</v>
      </c>
      <c r="J76" s="52">
        <v>1082.24</v>
      </c>
      <c r="K76" s="52">
        <v>1081.32</v>
      </c>
      <c r="L76" s="52">
        <v>1088.09</v>
      </c>
      <c r="M76" s="110">
        <f t="shared" si="5"/>
        <v>7459.93</v>
      </c>
      <c r="N76" s="111">
        <f t="shared" si="6"/>
        <v>314.85</v>
      </c>
      <c r="O76" s="52">
        <v>317.33</v>
      </c>
      <c r="P76" s="52">
        <f t="shared" si="9"/>
        <v>7439.99999999988</v>
      </c>
      <c r="Q76" s="52">
        <f t="shared" si="7"/>
        <v>2.65</v>
      </c>
      <c r="R76" s="52">
        <v>2.66</v>
      </c>
      <c r="S76" s="52">
        <f t="shared" si="10"/>
        <v>30.0000000000007</v>
      </c>
      <c r="T76" s="108">
        <f t="shared" si="11"/>
        <v>7409.99999999988</v>
      </c>
      <c r="U76" s="112"/>
      <c r="V76" s="52">
        <v>3.1</v>
      </c>
      <c r="W76" s="52">
        <v>31.8</v>
      </c>
      <c r="X76" s="52"/>
      <c r="Y76" s="52"/>
      <c r="Z76" s="52"/>
      <c r="AA76" s="52"/>
      <c r="AB76" s="108" t="s">
        <v>72</v>
      </c>
    </row>
    <row r="77" spans="1:28">
      <c r="A77" s="90">
        <f t="shared" si="8"/>
        <v>79</v>
      </c>
      <c r="B77" s="98">
        <v>45822</v>
      </c>
      <c r="C77" s="25">
        <v>45822</v>
      </c>
      <c r="D77" s="115">
        <v>0.28125</v>
      </c>
      <c r="E77" s="116">
        <v>0.760416666666667</v>
      </c>
      <c r="F77" s="109">
        <v>1652.24</v>
      </c>
      <c r="G77" s="52">
        <v>1648.25</v>
      </c>
      <c r="H77" s="52">
        <v>1643.6</v>
      </c>
      <c r="I77" s="52">
        <v>1723.84</v>
      </c>
      <c r="J77" s="52">
        <v>1718.73</v>
      </c>
      <c r="K77" s="52">
        <v>1717.82</v>
      </c>
      <c r="L77" s="52">
        <v>1731.57</v>
      </c>
      <c r="M77" s="110">
        <f t="shared" ref="M77:M140" si="12">SUM(F77:L77)</f>
        <v>11836.05</v>
      </c>
      <c r="N77" s="111">
        <f t="shared" ref="N77:N140" si="13">O76</f>
        <v>317.33</v>
      </c>
      <c r="O77" s="52">
        <v>321.25</v>
      </c>
      <c r="P77" s="52">
        <f t="shared" si="9"/>
        <v>11760</v>
      </c>
      <c r="Q77" s="52">
        <f t="shared" ref="Q77:Q140" si="14">R76</f>
        <v>2.66</v>
      </c>
      <c r="R77" s="52">
        <v>2.67</v>
      </c>
      <c r="S77" s="52">
        <f t="shared" si="10"/>
        <v>29.9999999999994</v>
      </c>
      <c r="T77" s="108">
        <f t="shared" si="11"/>
        <v>11730</v>
      </c>
      <c r="U77" s="112"/>
      <c r="V77" s="52">
        <v>5.13</v>
      </c>
      <c r="W77" s="52">
        <v>34.66</v>
      </c>
      <c r="X77" s="52"/>
      <c r="Y77" s="52"/>
      <c r="Z77" s="52"/>
      <c r="AA77" s="52"/>
      <c r="AB77" s="108" t="s">
        <v>72</v>
      </c>
    </row>
    <row r="78" spans="1:28">
      <c r="A78" s="90">
        <f t="shared" si="8"/>
        <v>80</v>
      </c>
      <c r="B78" s="98">
        <v>45823</v>
      </c>
      <c r="C78" s="25">
        <v>45823</v>
      </c>
      <c r="D78" s="115">
        <v>0.28125</v>
      </c>
      <c r="E78" s="116">
        <v>0.770833333333333</v>
      </c>
      <c r="F78" s="109">
        <v>1190.39</v>
      </c>
      <c r="G78" s="52">
        <v>1183.03</v>
      </c>
      <c r="H78" s="52">
        <v>1182.74</v>
      </c>
      <c r="I78" s="52">
        <v>1236.91</v>
      </c>
      <c r="J78" s="52">
        <v>1233.49</v>
      </c>
      <c r="K78" s="52">
        <v>1230.49</v>
      </c>
      <c r="L78" s="52">
        <v>1238.15</v>
      </c>
      <c r="M78" s="110">
        <f t="shared" si="12"/>
        <v>8495.2</v>
      </c>
      <c r="N78" s="111">
        <f t="shared" si="13"/>
        <v>321.25</v>
      </c>
      <c r="O78" s="52">
        <v>324.06</v>
      </c>
      <c r="P78" s="52">
        <f t="shared" si="9"/>
        <v>8430.00000000001</v>
      </c>
      <c r="Q78" s="52">
        <f t="shared" si="14"/>
        <v>2.67</v>
      </c>
      <c r="R78" s="52">
        <v>2.68</v>
      </c>
      <c r="S78" s="52">
        <f t="shared" si="10"/>
        <v>30.0000000000007</v>
      </c>
      <c r="T78" s="108">
        <f t="shared" si="11"/>
        <v>8400.00000000001</v>
      </c>
      <c r="U78" s="112"/>
      <c r="V78" s="52">
        <v>3.48</v>
      </c>
      <c r="W78" s="52">
        <v>31.93</v>
      </c>
      <c r="X78" s="52"/>
      <c r="Y78" s="52"/>
      <c r="Z78" s="52"/>
      <c r="AA78" s="52"/>
      <c r="AB78" s="108" t="s">
        <v>73</v>
      </c>
    </row>
    <row r="79" spans="1:28">
      <c r="A79" s="90">
        <f t="shared" si="8"/>
        <v>81</v>
      </c>
      <c r="B79" s="98">
        <v>45824</v>
      </c>
      <c r="C79" s="25">
        <v>45824</v>
      </c>
      <c r="D79" s="115">
        <v>0.302083333333333</v>
      </c>
      <c r="E79" s="116">
        <v>0.697916666666667</v>
      </c>
      <c r="F79" s="109">
        <v>115.37</v>
      </c>
      <c r="G79" s="52">
        <v>111.58</v>
      </c>
      <c r="H79" s="52">
        <v>111.53</v>
      </c>
      <c r="I79" s="52">
        <v>117.21</v>
      </c>
      <c r="J79" s="52">
        <v>115.76</v>
      </c>
      <c r="K79" s="52">
        <v>114.9</v>
      </c>
      <c r="L79" s="52">
        <v>117.96</v>
      </c>
      <c r="M79" s="110">
        <f t="shared" si="12"/>
        <v>804.31</v>
      </c>
      <c r="N79" s="111">
        <f t="shared" si="13"/>
        <v>324.06</v>
      </c>
      <c r="O79" s="52">
        <v>324.31</v>
      </c>
      <c r="P79" s="52">
        <f t="shared" si="9"/>
        <v>750</v>
      </c>
      <c r="Q79" s="52">
        <f t="shared" si="14"/>
        <v>2.68</v>
      </c>
      <c r="R79" s="52">
        <v>2.69</v>
      </c>
      <c r="S79" s="52">
        <f t="shared" si="10"/>
        <v>29.9999999999994</v>
      </c>
      <c r="T79" s="108">
        <f t="shared" si="11"/>
        <v>720.000000000001</v>
      </c>
      <c r="U79" s="112"/>
      <c r="V79" s="52">
        <v>0.2</v>
      </c>
      <c r="W79" s="52">
        <v>25.55</v>
      </c>
      <c r="X79" s="52"/>
      <c r="Y79" s="52"/>
      <c r="Z79" s="52"/>
      <c r="AA79" s="52"/>
      <c r="AB79" s="108" t="s">
        <v>73</v>
      </c>
    </row>
    <row r="80" spans="1:28">
      <c r="A80" s="90">
        <f t="shared" si="8"/>
        <v>82</v>
      </c>
      <c r="B80" s="98">
        <v>45825</v>
      </c>
      <c r="C80" s="25">
        <v>45825</v>
      </c>
      <c r="D80" s="115">
        <v>0.302083333333333</v>
      </c>
      <c r="E80" s="116">
        <v>0.770833333333333</v>
      </c>
      <c r="F80" s="109">
        <v>642.12</v>
      </c>
      <c r="G80" s="52">
        <v>639.16</v>
      </c>
      <c r="H80" s="52">
        <v>635.79</v>
      </c>
      <c r="I80" s="52">
        <v>666.14</v>
      </c>
      <c r="J80" s="52">
        <v>664.51</v>
      </c>
      <c r="K80" s="52">
        <v>663.66</v>
      </c>
      <c r="L80" s="52">
        <v>669.17</v>
      </c>
      <c r="M80" s="110">
        <f t="shared" si="12"/>
        <v>4580.55</v>
      </c>
      <c r="N80" s="111">
        <f t="shared" si="13"/>
        <v>324.31</v>
      </c>
      <c r="O80" s="52">
        <v>325.83</v>
      </c>
      <c r="P80" s="52">
        <f t="shared" si="9"/>
        <v>4559.99999999995</v>
      </c>
      <c r="Q80" s="52">
        <f t="shared" si="14"/>
        <v>2.69</v>
      </c>
      <c r="R80" s="52">
        <v>2.7</v>
      </c>
      <c r="S80" s="52">
        <f t="shared" si="10"/>
        <v>30.0000000000007</v>
      </c>
      <c r="T80" s="108">
        <f t="shared" si="11"/>
        <v>4529.99999999994</v>
      </c>
      <c r="U80" s="112"/>
      <c r="V80" s="52">
        <v>1.83</v>
      </c>
      <c r="W80" s="52">
        <v>27.63</v>
      </c>
      <c r="X80" s="52"/>
      <c r="Y80" s="52"/>
      <c r="Z80" s="52"/>
      <c r="AA80" s="52"/>
      <c r="AB80" s="108" t="s">
        <v>73</v>
      </c>
    </row>
    <row r="81" spans="1:28">
      <c r="A81" s="90">
        <f t="shared" si="8"/>
        <v>83</v>
      </c>
      <c r="B81" s="98">
        <v>45826</v>
      </c>
      <c r="C81" s="25">
        <v>45826</v>
      </c>
      <c r="D81" s="115">
        <v>0.302083333333333</v>
      </c>
      <c r="E81" s="116">
        <v>0.791666666666667</v>
      </c>
      <c r="F81" s="109">
        <v>506.73</v>
      </c>
      <c r="G81" s="52">
        <v>501.9</v>
      </c>
      <c r="H81" s="52">
        <v>500.7</v>
      </c>
      <c r="I81" s="52">
        <v>525.22</v>
      </c>
      <c r="J81" s="52">
        <v>523.34</v>
      </c>
      <c r="K81" s="52">
        <v>522.87</v>
      </c>
      <c r="L81" s="52">
        <v>528.03</v>
      </c>
      <c r="M81" s="110">
        <f t="shared" si="12"/>
        <v>3608.79</v>
      </c>
      <c r="N81" s="111">
        <f t="shared" si="13"/>
        <v>325.83</v>
      </c>
      <c r="O81" s="52">
        <v>327.03</v>
      </c>
      <c r="P81" s="52">
        <f t="shared" si="9"/>
        <v>3599.99999999997</v>
      </c>
      <c r="Q81" s="52">
        <f t="shared" si="14"/>
        <v>2.7</v>
      </c>
      <c r="R81" s="52">
        <v>2.71</v>
      </c>
      <c r="S81" s="52">
        <f t="shared" si="10"/>
        <v>29.9999999999994</v>
      </c>
      <c r="T81" s="108">
        <f t="shared" si="11"/>
        <v>3569.99999999997</v>
      </c>
      <c r="U81" s="112"/>
      <c r="V81" s="52">
        <v>1.4</v>
      </c>
      <c r="W81" s="52">
        <v>27.66</v>
      </c>
      <c r="X81" s="52"/>
      <c r="Y81" s="52"/>
      <c r="Z81" s="52"/>
      <c r="AA81" s="52"/>
      <c r="AB81" s="108" t="s">
        <v>73</v>
      </c>
    </row>
    <row r="82" spans="1:28">
      <c r="A82" s="90">
        <f t="shared" si="8"/>
        <v>84</v>
      </c>
      <c r="B82" s="98">
        <v>45827</v>
      </c>
      <c r="C82" s="25">
        <v>45827</v>
      </c>
      <c r="D82" s="115">
        <v>0.28125</v>
      </c>
      <c r="E82" s="116">
        <v>0.791666666666667</v>
      </c>
      <c r="F82" s="109">
        <v>1438.12</v>
      </c>
      <c r="G82" s="52">
        <v>1430.42</v>
      </c>
      <c r="H82" s="52">
        <v>1425.77</v>
      </c>
      <c r="I82" s="52">
        <v>1492.82</v>
      </c>
      <c r="J82" s="52">
        <v>1486.71</v>
      </c>
      <c r="K82" s="52">
        <v>1483.75</v>
      </c>
      <c r="L82" s="52">
        <v>1489.98</v>
      </c>
      <c r="M82" s="110">
        <f t="shared" si="12"/>
        <v>10247.57</v>
      </c>
      <c r="N82" s="111">
        <f t="shared" si="13"/>
        <v>327.03</v>
      </c>
      <c r="O82" s="52">
        <v>330.43</v>
      </c>
      <c r="P82" s="52">
        <f t="shared" si="9"/>
        <v>10200.0000000001</v>
      </c>
      <c r="Q82" s="52">
        <f t="shared" si="14"/>
        <v>2.71</v>
      </c>
      <c r="R82" s="52">
        <v>2.72</v>
      </c>
      <c r="S82" s="52">
        <f t="shared" si="10"/>
        <v>30.0000000000007</v>
      </c>
      <c r="T82" s="108">
        <f t="shared" si="11"/>
        <v>10170.0000000001</v>
      </c>
      <c r="U82" s="112"/>
      <c r="V82" s="52">
        <v>4.16</v>
      </c>
      <c r="W82" s="52">
        <v>30.07</v>
      </c>
      <c r="X82" s="52"/>
      <c r="Y82" s="52"/>
      <c r="Z82" s="52"/>
      <c r="AA82" s="52"/>
      <c r="AB82" s="108" t="s">
        <v>72</v>
      </c>
    </row>
    <row r="83" spans="1:28">
      <c r="A83" s="90">
        <f t="shared" si="8"/>
        <v>85</v>
      </c>
      <c r="B83" s="98">
        <v>45828</v>
      </c>
      <c r="C83" s="25">
        <v>45828</v>
      </c>
      <c r="D83" s="115">
        <v>0.291666666666667</v>
      </c>
      <c r="E83" s="116">
        <v>0.791666666666667</v>
      </c>
      <c r="F83" s="109">
        <v>1486.14</v>
      </c>
      <c r="G83" s="52">
        <v>1478.08</v>
      </c>
      <c r="H83" s="52">
        <v>1471.93</v>
      </c>
      <c r="I83" s="52">
        <v>1537.94</v>
      </c>
      <c r="J83" s="52">
        <v>1531.62</v>
      </c>
      <c r="K83" s="52">
        <v>1526.87</v>
      </c>
      <c r="L83" s="52">
        <v>1533.37</v>
      </c>
      <c r="M83" s="110">
        <f t="shared" si="12"/>
        <v>10565.95</v>
      </c>
      <c r="N83" s="111">
        <f t="shared" si="13"/>
        <v>330.43</v>
      </c>
      <c r="O83" s="52">
        <v>333.94</v>
      </c>
      <c r="P83" s="52">
        <f t="shared" si="9"/>
        <v>10530</v>
      </c>
      <c r="Q83" s="52">
        <f t="shared" si="14"/>
        <v>2.72</v>
      </c>
      <c r="R83" s="52">
        <v>2.73</v>
      </c>
      <c r="S83" s="52">
        <f t="shared" si="10"/>
        <v>29.9999999999994</v>
      </c>
      <c r="T83" s="108">
        <f t="shared" si="11"/>
        <v>10500</v>
      </c>
      <c r="U83" s="112"/>
      <c r="V83" s="52">
        <v>4.26</v>
      </c>
      <c r="W83" s="52">
        <v>30.79</v>
      </c>
      <c r="X83" s="52"/>
      <c r="Y83" s="52"/>
      <c r="Z83" s="52"/>
      <c r="AA83" s="52"/>
      <c r="AB83" s="108" t="s">
        <v>72</v>
      </c>
    </row>
    <row r="84" spans="1:28">
      <c r="A84" s="90">
        <f t="shared" si="8"/>
        <v>86</v>
      </c>
      <c r="B84" s="98">
        <v>45829</v>
      </c>
      <c r="C84" s="25">
        <v>45829</v>
      </c>
      <c r="D84" s="115">
        <v>0.291666666666667</v>
      </c>
      <c r="E84" s="116">
        <v>0.78125</v>
      </c>
      <c r="F84" s="109">
        <v>1069.93</v>
      </c>
      <c r="G84" s="52">
        <v>1063.97</v>
      </c>
      <c r="H84" s="52">
        <v>1062.73</v>
      </c>
      <c r="I84" s="52">
        <v>1114.13</v>
      </c>
      <c r="J84" s="52">
        <v>1111.2</v>
      </c>
      <c r="K84" s="52">
        <v>1108.06</v>
      </c>
      <c r="L84" s="52">
        <v>1115.75</v>
      </c>
      <c r="M84" s="110">
        <f t="shared" si="12"/>
        <v>7645.77</v>
      </c>
      <c r="N84" s="111">
        <f t="shared" si="13"/>
        <v>333.94</v>
      </c>
      <c r="O84" s="52">
        <v>336.48</v>
      </c>
      <c r="P84" s="52">
        <f t="shared" si="9"/>
        <v>7620.00000000006</v>
      </c>
      <c r="Q84" s="52">
        <f t="shared" si="14"/>
        <v>2.73</v>
      </c>
      <c r="R84" s="52">
        <v>2.74</v>
      </c>
      <c r="S84" s="52">
        <f t="shared" si="10"/>
        <v>30.0000000000007</v>
      </c>
      <c r="T84" s="108">
        <f t="shared" si="11"/>
        <v>7590.00000000006</v>
      </c>
      <c r="U84" s="112"/>
      <c r="V84" s="52">
        <v>3.18</v>
      </c>
      <c r="W84" s="52">
        <v>29.51</v>
      </c>
      <c r="X84" s="52"/>
      <c r="Y84" s="52"/>
      <c r="Z84" s="52"/>
      <c r="AA84" s="52"/>
      <c r="AB84" s="108" t="s">
        <v>72</v>
      </c>
    </row>
    <row r="85" spans="1:28">
      <c r="A85" s="90">
        <f t="shared" si="8"/>
        <v>87</v>
      </c>
      <c r="B85" s="98">
        <v>45830</v>
      </c>
      <c r="C85" s="25">
        <v>45830</v>
      </c>
      <c r="D85" s="115">
        <v>0.28125</v>
      </c>
      <c r="E85" s="116">
        <v>0.75</v>
      </c>
      <c r="F85" s="109">
        <v>653.68</v>
      </c>
      <c r="G85" s="52">
        <v>646.46</v>
      </c>
      <c r="H85" s="52">
        <v>643.19</v>
      </c>
      <c r="I85" s="52">
        <v>672.27</v>
      </c>
      <c r="J85" s="52">
        <v>667.77</v>
      </c>
      <c r="K85" s="52">
        <v>664.9</v>
      </c>
      <c r="L85" s="52">
        <v>669.92</v>
      </c>
      <c r="M85" s="110">
        <f t="shared" si="12"/>
        <v>4618.19</v>
      </c>
      <c r="N85" s="111">
        <f t="shared" si="13"/>
        <v>336.48</v>
      </c>
      <c r="O85" s="52">
        <v>338.01</v>
      </c>
      <c r="P85" s="52">
        <f t="shared" si="9"/>
        <v>4589.99999999992</v>
      </c>
      <c r="Q85" s="52">
        <f t="shared" si="14"/>
        <v>2.74</v>
      </c>
      <c r="R85" s="52">
        <v>2.75</v>
      </c>
      <c r="S85" s="52">
        <f t="shared" si="10"/>
        <v>29.9999999999994</v>
      </c>
      <c r="T85" s="108">
        <f t="shared" si="11"/>
        <v>4559.99999999992</v>
      </c>
      <c r="U85" s="112"/>
      <c r="V85" s="52">
        <v>1.74</v>
      </c>
      <c r="W85" s="52">
        <v>26.54</v>
      </c>
      <c r="X85" s="52"/>
      <c r="Y85" s="52"/>
      <c r="Z85" s="52"/>
      <c r="AA85" s="52"/>
      <c r="AB85" s="108" t="s">
        <v>73</v>
      </c>
    </row>
    <row r="86" spans="1:28">
      <c r="A86" s="90">
        <f t="shared" si="8"/>
        <v>88</v>
      </c>
      <c r="B86" s="98">
        <v>45831</v>
      </c>
      <c r="C86" s="25">
        <v>45831</v>
      </c>
      <c r="D86" s="115">
        <v>0.302083333333333</v>
      </c>
      <c r="E86" s="116">
        <v>0.739583333333333</v>
      </c>
      <c r="F86" s="109">
        <v>470.19</v>
      </c>
      <c r="G86" s="52">
        <v>464.86</v>
      </c>
      <c r="H86" s="52">
        <v>463.77</v>
      </c>
      <c r="I86" s="52">
        <v>484.37</v>
      </c>
      <c r="J86" s="52">
        <v>480.87</v>
      </c>
      <c r="K86" s="52">
        <v>478.86</v>
      </c>
      <c r="L86" s="52">
        <v>481.86</v>
      </c>
      <c r="M86" s="110">
        <f t="shared" si="12"/>
        <v>3324.78</v>
      </c>
      <c r="N86" s="111">
        <f t="shared" si="13"/>
        <v>338.01</v>
      </c>
      <c r="O86" s="52">
        <v>339.11</v>
      </c>
      <c r="P86" s="52">
        <f t="shared" si="9"/>
        <v>3300.00000000007</v>
      </c>
      <c r="Q86" s="52">
        <f t="shared" si="14"/>
        <v>2.75</v>
      </c>
      <c r="R86" s="52">
        <v>2.77</v>
      </c>
      <c r="S86" s="52">
        <f t="shared" si="10"/>
        <v>60.0000000000001</v>
      </c>
      <c r="T86" s="108">
        <f t="shared" si="11"/>
        <v>3240.00000000007</v>
      </c>
      <c r="U86" s="112"/>
      <c r="V86" s="52">
        <v>1.22</v>
      </c>
      <c r="W86" s="52">
        <v>27.53</v>
      </c>
      <c r="X86" s="52"/>
      <c r="Y86" s="52"/>
      <c r="Z86" s="52"/>
      <c r="AA86" s="52"/>
      <c r="AB86" s="108" t="s">
        <v>73</v>
      </c>
    </row>
    <row r="87" spans="1:28">
      <c r="A87" s="90">
        <f t="shared" si="8"/>
        <v>89</v>
      </c>
      <c r="B87" s="98">
        <v>45832</v>
      </c>
      <c r="C87" s="25">
        <v>45832</v>
      </c>
      <c r="D87" s="115">
        <v>0.302083333333333</v>
      </c>
      <c r="E87" s="116">
        <v>0.75</v>
      </c>
      <c r="F87" s="109">
        <v>927.92</v>
      </c>
      <c r="G87" s="52">
        <v>921.49</v>
      </c>
      <c r="H87" s="52">
        <v>919.09</v>
      </c>
      <c r="I87" s="52">
        <v>962.18</v>
      </c>
      <c r="J87" s="52">
        <v>956.18</v>
      </c>
      <c r="K87" s="52">
        <v>953.04</v>
      </c>
      <c r="L87" s="52">
        <v>959.26</v>
      </c>
      <c r="M87" s="110">
        <f t="shared" si="12"/>
        <v>6599.16</v>
      </c>
      <c r="N87" s="111">
        <f t="shared" si="13"/>
        <v>339.11</v>
      </c>
      <c r="O87" s="52">
        <v>341.28</v>
      </c>
      <c r="P87" s="52">
        <f t="shared" si="9"/>
        <v>6509.99999999988</v>
      </c>
      <c r="Q87" s="52">
        <f t="shared" si="14"/>
        <v>2.77</v>
      </c>
      <c r="R87" s="52">
        <v>2.78</v>
      </c>
      <c r="S87" s="52">
        <f t="shared" si="10"/>
        <v>29.9999999999994</v>
      </c>
      <c r="T87" s="108">
        <f t="shared" si="11"/>
        <v>6479.99999999988</v>
      </c>
      <c r="U87" s="112"/>
      <c r="V87" s="52">
        <v>2.68</v>
      </c>
      <c r="W87" s="52">
        <v>29.092</v>
      </c>
      <c r="X87" s="52"/>
      <c r="Y87" s="52"/>
      <c r="Z87" s="52"/>
      <c r="AA87" s="52"/>
      <c r="AB87" s="108" t="s">
        <v>72</v>
      </c>
    </row>
    <row r="88" spans="1:28">
      <c r="A88" s="90">
        <f t="shared" si="8"/>
        <v>90</v>
      </c>
      <c r="B88" s="98">
        <v>45833</v>
      </c>
      <c r="C88" s="25">
        <v>45833</v>
      </c>
      <c r="D88" s="115">
        <v>0.291666666666667</v>
      </c>
      <c r="E88" s="116">
        <v>0.78125</v>
      </c>
      <c r="F88" s="109">
        <v>466.98</v>
      </c>
      <c r="G88" s="52">
        <v>462.68</v>
      </c>
      <c r="H88" s="52">
        <v>462.71</v>
      </c>
      <c r="I88" s="52">
        <v>484.3</v>
      </c>
      <c r="J88" s="52">
        <v>482.24</v>
      </c>
      <c r="K88" s="52">
        <v>480.63</v>
      </c>
      <c r="L88" s="52">
        <v>486.47</v>
      </c>
      <c r="M88" s="110">
        <f t="shared" si="12"/>
        <v>3326.01</v>
      </c>
      <c r="N88" s="111">
        <f t="shared" si="13"/>
        <v>341.28</v>
      </c>
      <c r="O88" s="52">
        <v>342.38</v>
      </c>
      <c r="P88" s="52">
        <f t="shared" si="9"/>
        <v>3300.00000000007</v>
      </c>
      <c r="Q88" s="52">
        <f t="shared" si="14"/>
        <v>2.78</v>
      </c>
      <c r="R88" s="52">
        <v>2.79</v>
      </c>
      <c r="S88" s="52">
        <f t="shared" si="10"/>
        <v>30.0000000000007</v>
      </c>
      <c r="T88" s="108">
        <f t="shared" si="11"/>
        <v>3270.00000000007</v>
      </c>
      <c r="U88" s="112"/>
      <c r="V88" s="52">
        <v>1.23</v>
      </c>
      <c r="W88" s="52">
        <v>28.8</v>
      </c>
      <c r="X88" s="52"/>
      <c r="Y88" s="52"/>
      <c r="Z88" s="52"/>
      <c r="AA88" s="52"/>
      <c r="AB88" s="108" t="s">
        <v>73</v>
      </c>
    </row>
    <row r="89" spans="1:28">
      <c r="A89" s="90">
        <f t="shared" si="8"/>
        <v>91</v>
      </c>
      <c r="B89" s="98">
        <v>45834</v>
      </c>
      <c r="C89" s="25">
        <v>45834</v>
      </c>
      <c r="D89" s="115">
        <v>0.3125</v>
      </c>
      <c r="E89" s="116">
        <v>0.78125</v>
      </c>
      <c r="F89" s="109">
        <v>562.18</v>
      </c>
      <c r="G89" s="52">
        <v>557.4</v>
      </c>
      <c r="H89" s="52">
        <v>556.54</v>
      </c>
      <c r="I89" s="52">
        <v>582.44</v>
      </c>
      <c r="J89" s="52">
        <v>578.65</v>
      </c>
      <c r="K89" s="52">
        <v>576.5</v>
      </c>
      <c r="L89" s="52">
        <v>580.42</v>
      </c>
      <c r="M89" s="110">
        <f t="shared" si="12"/>
        <v>3994.13</v>
      </c>
      <c r="N89" s="111">
        <f t="shared" si="13"/>
        <v>342.38</v>
      </c>
      <c r="O89" s="52">
        <v>343.71</v>
      </c>
      <c r="P89" s="52">
        <f t="shared" si="9"/>
        <v>3989.99999999995</v>
      </c>
      <c r="Q89" s="52">
        <f t="shared" si="14"/>
        <v>2.79</v>
      </c>
      <c r="R89" s="52">
        <v>2.8</v>
      </c>
      <c r="S89" s="52">
        <f t="shared" si="10"/>
        <v>29.9999999999994</v>
      </c>
      <c r="T89" s="108">
        <f t="shared" si="11"/>
        <v>3959.99999999995</v>
      </c>
      <c r="U89" s="112"/>
      <c r="V89" s="52">
        <v>1.4</v>
      </c>
      <c r="W89" s="52">
        <v>27.06</v>
      </c>
      <c r="X89" s="52"/>
      <c r="Y89" s="52"/>
      <c r="Z89" s="52"/>
      <c r="AA89" s="52"/>
      <c r="AB89" s="108" t="s">
        <v>73</v>
      </c>
    </row>
    <row r="90" spans="1:28">
      <c r="A90" s="90">
        <f t="shared" si="8"/>
        <v>92</v>
      </c>
      <c r="B90" s="98">
        <v>45835</v>
      </c>
      <c r="C90" s="25">
        <v>45835</v>
      </c>
      <c r="D90" s="115">
        <v>0.322916666666667</v>
      </c>
      <c r="E90" s="116">
        <v>0.770833333333333</v>
      </c>
      <c r="F90" s="109">
        <v>429.98</v>
      </c>
      <c r="G90" s="52">
        <v>425.35</v>
      </c>
      <c r="H90" s="52">
        <v>425.5</v>
      </c>
      <c r="I90" s="52">
        <v>445.43</v>
      </c>
      <c r="J90" s="52">
        <v>287.31</v>
      </c>
      <c r="K90" s="52">
        <v>442.64</v>
      </c>
      <c r="L90" s="52">
        <v>446.56</v>
      </c>
      <c r="M90" s="110">
        <f t="shared" si="12"/>
        <v>2902.77</v>
      </c>
      <c r="N90" s="111">
        <f t="shared" si="13"/>
        <v>343.71</v>
      </c>
      <c r="O90" s="52">
        <v>344.67</v>
      </c>
      <c r="P90" s="52">
        <f t="shared" si="9"/>
        <v>2880.00000000011</v>
      </c>
      <c r="Q90" s="52">
        <f t="shared" si="14"/>
        <v>2.8</v>
      </c>
      <c r="R90" s="52">
        <v>2.81</v>
      </c>
      <c r="S90" s="52">
        <f t="shared" si="10"/>
        <v>30.0000000000007</v>
      </c>
      <c r="T90" s="108">
        <f t="shared" si="11"/>
        <v>2850.00000000011</v>
      </c>
      <c r="U90" s="112"/>
      <c r="V90" s="52">
        <v>1.11</v>
      </c>
      <c r="W90" s="52">
        <v>26.15</v>
      </c>
      <c r="X90" s="52"/>
      <c r="Y90" s="52"/>
      <c r="Z90" s="52"/>
      <c r="AA90" s="52"/>
      <c r="AB90" s="108" t="s">
        <v>73</v>
      </c>
    </row>
    <row r="91" spans="1:28">
      <c r="A91" s="90">
        <f t="shared" si="8"/>
        <v>93</v>
      </c>
      <c r="B91" s="98">
        <v>45836</v>
      </c>
      <c r="C91" s="25">
        <v>45836</v>
      </c>
      <c r="D91" s="115">
        <v>0.302083333333333</v>
      </c>
      <c r="E91" s="116">
        <v>0.75</v>
      </c>
      <c r="F91" s="109">
        <v>867.23</v>
      </c>
      <c r="G91" s="52">
        <v>861.45</v>
      </c>
      <c r="H91" s="52">
        <v>859.6</v>
      </c>
      <c r="I91" s="52">
        <v>898.89</v>
      </c>
      <c r="J91" s="52">
        <v>892.38</v>
      </c>
      <c r="K91" s="52">
        <v>889.4</v>
      </c>
      <c r="L91" s="52">
        <v>894.57</v>
      </c>
      <c r="M91" s="110">
        <f t="shared" si="12"/>
        <v>6163.52</v>
      </c>
      <c r="N91" s="111">
        <f t="shared" si="13"/>
        <v>344.67</v>
      </c>
      <c r="O91" s="52">
        <v>346.71</v>
      </c>
      <c r="P91" s="52">
        <f t="shared" si="9"/>
        <v>6119.99999999989</v>
      </c>
      <c r="Q91" s="52">
        <f t="shared" si="14"/>
        <v>2.81</v>
      </c>
      <c r="R91" s="52">
        <v>2.82</v>
      </c>
      <c r="S91" s="52">
        <f t="shared" si="10"/>
        <v>29.9999999999994</v>
      </c>
      <c r="T91" s="108">
        <f t="shared" si="11"/>
        <v>6089.99999999989</v>
      </c>
      <c r="U91" s="112"/>
      <c r="V91" s="52">
        <v>2.23</v>
      </c>
      <c r="W91" s="52">
        <v>27.2</v>
      </c>
      <c r="X91" s="52"/>
      <c r="Y91" s="52"/>
      <c r="Z91" s="52"/>
      <c r="AA91" s="52"/>
      <c r="AB91" s="108" t="s">
        <v>72</v>
      </c>
    </row>
    <row r="92" spans="1:28">
      <c r="A92" s="90">
        <f t="shared" si="8"/>
        <v>94</v>
      </c>
      <c r="B92" s="98">
        <v>45837</v>
      </c>
      <c r="C92" s="25">
        <v>45837</v>
      </c>
      <c r="D92" s="115">
        <v>0.28125</v>
      </c>
      <c r="E92" s="116">
        <v>0.708333333333333</v>
      </c>
      <c r="F92" s="109">
        <v>1480.49</v>
      </c>
      <c r="G92" s="52">
        <v>1470.89</v>
      </c>
      <c r="H92" s="52">
        <v>1467.15</v>
      </c>
      <c r="I92" s="52">
        <v>1533.89</v>
      </c>
      <c r="J92" s="52">
        <v>0</v>
      </c>
      <c r="K92" s="52">
        <v>1518.25</v>
      </c>
      <c r="L92" s="52">
        <v>1521.46</v>
      </c>
      <c r="M92" s="110">
        <f t="shared" si="12"/>
        <v>8992.13</v>
      </c>
      <c r="N92" s="111">
        <f t="shared" si="13"/>
        <v>346.71</v>
      </c>
      <c r="O92" s="52">
        <v>349.69</v>
      </c>
      <c r="P92" s="52">
        <f t="shared" si="9"/>
        <v>8940.00000000005</v>
      </c>
      <c r="Q92" s="52">
        <f t="shared" si="14"/>
        <v>2.82</v>
      </c>
      <c r="R92" s="52">
        <v>2.83</v>
      </c>
      <c r="S92" s="52">
        <f t="shared" si="10"/>
        <v>30.0000000000007</v>
      </c>
      <c r="T92" s="108">
        <f t="shared" si="11"/>
        <v>8910.00000000005</v>
      </c>
      <c r="U92" s="112"/>
      <c r="V92" s="52">
        <v>4.33</v>
      </c>
      <c r="W92" s="52">
        <v>30.4</v>
      </c>
      <c r="X92" s="52"/>
      <c r="Y92" s="52"/>
      <c r="Z92" s="52"/>
      <c r="AA92" s="52"/>
      <c r="AB92" s="108" t="s">
        <v>72</v>
      </c>
    </row>
    <row r="93" spans="1:28">
      <c r="A93" s="90">
        <f t="shared" si="8"/>
        <v>95</v>
      </c>
      <c r="B93" s="98">
        <v>45838</v>
      </c>
      <c r="C93" s="25">
        <v>45838</v>
      </c>
      <c r="D93" s="115">
        <v>0.28125</v>
      </c>
      <c r="E93" s="116">
        <v>0.697916666666667</v>
      </c>
      <c r="F93" s="109">
        <v>890.34</v>
      </c>
      <c r="G93" s="52">
        <v>880.68</v>
      </c>
      <c r="H93" s="52">
        <v>877.51</v>
      </c>
      <c r="I93" s="52">
        <v>917.84</v>
      </c>
      <c r="J93" s="52">
        <v>126.72</v>
      </c>
      <c r="K93" s="52">
        <v>912.53</v>
      </c>
      <c r="L93" s="52">
        <v>921.52</v>
      </c>
      <c r="M93" s="110">
        <f t="shared" si="12"/>
        <v>5527.14</v>
      </c>
      <c r="N93" s="111">
        <f t="shared" si="13"/>
        <v>349.69</v>
      </c>
      <c r="O93" s="52">
        <v>351.51</v>
      </c>
      <c r="P93" s="52">
        <f t="shared" si="9"/>
        <v>5459.99999999998</v>
      </c>
      <c r="Q93" s="52">
        <f t="shared" si="14"/>
        <v>2.83</v>
      </c>
      <c r="R93" s="52">
        <v>2.84</v>
      </c>
      <c r="S93" s="52">
        <f t="shared" si="10"/>
        <v>29.9999999999994</v>
      </c>
      <c r="T93" s="108">
        <f t="shared" si="11"/>
        <v>5429.99999999998</v>
      </c>
      <c r="U93" s="112"/>
      <c r="V93" s="52">
        <v>2.55</v>
      </c>
      <c r="W93" s="52">
        <v>30.4</v>
      </c>
      <c r="X93" s="52"/>
      <c r="Y93" s="52"/>
      <c r="Z93" s="52"/>
      <c r="AA93" s="52"/>
      <c r="AB93" s="108" t="s">
        <v>73</v>
      </c>
    </row>
    <row r="94" spans="1:28">
      <c r="A94" s="90">
        <f t="shared" si="8"/>
        <v>96</v>
      </c>
      <c r="B94" s="98">
        <v>45839</v>
      </c>
      <c r="C94" s="25">
        <v>45839</v>
      </c>
      <c r="D94" s="115">
        <v>0.28125</v>
      </c>
      <c r="E94" s="116">
        <v>0.78125</v>
      </c>
      <c r="F94" s="109">
        <v>1301.66</v>
      </c>
      <c r="G94" s="52">
        <v>1294.95</v>
      </c>
      <c r="H94" s="52">
        <v>1295.76</v>
      </c>
      <c r="I94" s="52">
        <v>1358.31</v>
      </c>
      <c r="J94" s="52">
        <v>1234.45</v>
      </c>
      <c r="K94" s="52">
        <v>1346.38</v>
      </c>
      <c r="L94" s="52">
        <v>1355.04</v>
      </c>
      <c r="M94" s="110">
        <f t="shared" si="12"/>
        <v>9186.55</v>
      </c>
      <c r="N94" s="111">
        <f t="shared" si="13"/>
        <v>351.51</v>
      </c>
      <c r="O94" s="52">
        <v>354.55</v>
      </c>
      <c r="P94" s="52">
        <f t="shared" si="9"/>
        <v>9120.00000000006</v>
      </c>
      <c r="Q94" s="52">
        <f t="shared" si="14"/>
        <v>2.84</v>
      </c>
      <c r="R94" s="52">
        <v>2.85</v>
      </c>
      <c r="S94" s="52">
        <f t="shared" si="10"/>
        <v>30.0000000000007</v>
      </c>
      <c r="T94" s="108">
        <f t="shared" si="11"/>
        <v>9090.00000000006</v>
      </c>
      <c r="U94" s="112"/>
      <c r="V94" s="52">
        <v>4.07</v>
      </c>
      <c r="W94" s="52">
        <v>29.44</v>
      </c>
      <c r="X94" s="52"/>
      <c r="Y94" s="52"/>
      <c r="Z94" s="52"/>
      <c r="AA94" s="52"/>
      <c r="AB94" s="108" t="s">
        <v>72</v>
      </c>
    </row>
    <row r="95" spans="1:28">
      <c r="A95" s="90">
        <f t="shared" si="8"/>
        <v>97</v>
      </c>
      <c r="B95" s="98">
        <v>45840</v>
      </c>
      <c r="C95" s="25">
        <v>45840</v>
      </c>
      <c r="D95" s="115">
        <v>0.302083333333333</v>
      </c>
      <c r="E95" s="116">
        <v>0.78125</v>
      </c>
      <c r="F95" s="109">
        <v>659.48</v>
      </c>
      <c r="G95" s="52">
        <v>654.5</v>
      </c>
      <c r="H95" s="52">
        <v>652.72</v>
      </c>
      <c r="I95" s="52">
        <v>682.69</v>
      </c>
      <c r="J95" s="52">
        <v>647.14</v>
      </c>
      <c r="K95" s="52">
        <v>673.38</v>
      </c>
      <c r="L95" s="52">
        <v>677.79</v>
      </c>
      <c r="M95" s="110">
        <f t="shared" si="12"/>
        <v>4647.7</v>
      </c>
      <c r="N95" s="111">
        <f t="shared" si="13"/>
        <v>354.55</v>
      </c>
      <c r="O95" s="52">
        <v>356.09</v>
      </c>
      <c r="P95" s="52">
        <f t="shared" si="9"/>
        <v>4619.99999999989</v>
      </c>
      <c r="Q95" s="52">
        <f t="shared" si="14"/>
        <v>2.85</v>
      </c>
      <c r="R95" s="52">
        <v>2.86</v>
      </c>
      <c r="S95" s="52">
        <f t="shared" si="10"/>
        <v>29.9999999999994</v>
      </c>
      <c r="T95" s="108">
        <f t="shared" si="11"/>
        <v>4589.99999999989</v>
      </c>
      <c r="U95" s="112"/>
      <c r="V95" s="52">
        <v>1.77</v>
      </c>
      <c r="W95" s="52">
        <v>27</v>
      </c>
      <c r="X95" s="52"/>
      <c r="Y95" s="52"/>
      <c r="Z95" s="52"/>
      <c r="AA95" s="52"/>
      <c r="AB95" s="108" t="s">
        <v>73</v>
      </c>
    </row>
    <row r="96" spans="1:28">
      <c r="A96" s="90">
        <f t="shared" si="8"/>
        <v>98</v>
      </c>
      <c r="B96" s="98">
        <v>45841</v>
      </c>
      <c r="C96" s="25">
        <v>45841</v>
      </c>
      <c r="D96" s="115">
        <v>0.302083333333333</v>
      </c>
      <c r="E96" s="116">
        <v>0.729166666666667</v>
      </c>
      <c r="F96" s="109">
        <v>576.02</v>
      </c>
      <c r="G96" s="52">
        <v>570.44</v>
      </c>
      <c r="H96" s="52">
        <v>568.71</v>
      </c>
      <c r="I96" s="52">
        <v>595.42</v>
      </c>
      <c r="J96" s="52">
        <v>564.87</v>
      </c>
      <c r="K96" s="52">
        <v>588.15</v>
      </c>
      <c r="L96" s="52">
        <v>591.23</v>
      </c>
      <c r="M96" s="110">
        <f t="shared" si="12"/>
        <v>4054.84</v>
      </c>
      <c r="N96" s="111">
        <f t="shared" si="13"/>
        <v>356.09</v>
      </c>
      <c r="O96" s="52">
        <v>357.44</v>
      </c>
      <c r="P96" s="52">
        <f t="shared" si="9"/>
        <v>4050.00000000007</v>
      </c>
      <c r="Q96" s="52">
        <f t="shared" si="14"/>
        <v>2.86</v>
      </c>
      <c r="R96" s="52">
        <v>2.87</v>
      </c>
      <c r="S96" s="52">
        <f t="shared" si="10"/>
        <v>30.0000000000007</v>
      </c>
      <c r="T96" s="108">
        <f t="shared" si="11"/>
        <v>4020.00000000007</v>
      </c>
      <c r="U96" s="112"/>
      <c r="V96" s="52">
        <v>1.54</v>
      </c>
      <c r="W96" s="52">
        <v>26.11</v>
      </c>
      <c r="X96" s="52"/>
      <c r="Y96" s="52"/>
      <c r="Z96" s="52"/>
      <c r="AA96" s="52"/>
      <c r="AB96" s="108" t="s">
        <v>73</v>
      </c>
    </row>
    <row r="97" spans="1:28">
      <c r="A97" s="90">
        <f t="shared" si="8"/>
        <v>99</v>
      </c>
      <c r="B97" s="98">
        <v>45842</v>
      </c>
      <c r="C97" s="25">
        <v>45842</v>
      </c>
      <c r="D97" s="115">
        <v>0.302083333333333</v>
      </c>
      <c r="E97" s="116">
        <v>0.791666666666667</v>
      </c>
      <c r="F97" s="109">
        <v>798.46</v>
      </c>
      <c r="G97" s="52">
        <v>796.09</v>
      </c>
      <c r="H97" s="52">
        <v>790.31</v>
      </c>
      <c r="I97" s="52">
        <v>832.24</v>
      </c>
      <c r="J97" s="52">
        <v>786.4</v>
      </c>
      <c r="K97" s="52">
        <v>818.89</v>
      </c>
      <c r="L97" s="52">
        <v>825.98</v>
      </c>
      <c r="M97" s="110">
        <f t="shared" si="12"/>
        <v>5648.37</v>
      </c>
      <c r="N97" s="111">
        <f t="shared" si="13"/>
        <v>357.44</v>
      </c>
      <c r="O97" s="52">
        <v>359.3</v>
      </c>
      <c r="P97" s="52">
        <f t="shared" si="9"/>
        <v>5580.00000000004</v>
      </c>
      <c r="Q97" s="52">
        <f t="shared" si="14"/>
        <v>2.87</v>
      </c>
      <c r="R97" s="52">
        <v>2.88</v>
      </c>
      <c r="S97" s="52">
        <f t="shared" si="10"/>
        <v>29.9999999999994</v>
      </c>
      <c r="T97" s="108">
        <f t="shared" si="11"/>
        <v>5550.00000000004</v>
      </c>
      <c r="U97" s="112"/>
      <c r="V97" s="52">
        <v>2.25</v>
      </c>
      <c r="W97" s="52">
        <v>27.02</v>
      </c>
      <c r="X97" s="52"/>
      <c r="Y97" s="52"/>
      <c r="Z97" s="52"/>
      <c r="AA97" s="52"/>
      <c r="AB97" s="108" t="s">
        <v>73</v>
      </c>
    </row>
    <row r="98" spans="1:28">
      <c r="A98" s="90">
        <f t="shared" si="8"/>
        <v>100</v>
      </c>
      <c r="B98" s="98">
        <v>45843</v>
      </c>
      <c r="C98" s="25">
        <v>45843</v>
      </c>
      <c r="D98" s="115">
        <v>0.302083333333333</v>
      </c>
      <c r="E98" s="116">
        <v>0.770833333333333</v>
      </c>
      <c r="F98" s="109">
        <v>462.83</v>
      </c>
      <c r="G98" s="52">
        <v>457.12</v>
      </c>
      <c r="H98" s="52">
        <v>456.38</v>
      </c>
      <c r="I98" s="52">
        <v>477.66</v>
      </c>
      <c r="J98" s="52">
        <v>452.08</v>
      </c>
      <c r="K98" s="52">
        <v>470.65</v>
      </c>
      <c r="L98" s="52">
        <v>473.3</v>
      </c>
      <c r="M98" s="110">
        <f t="shared" si="12"/>
        <v>3250.02</v>
      </c>
      <c r="N98" s="111">
        <f t="shared" si="13"/>
        <v>359.3</v>
      </c>
      <c r="O98" s="52">
        <v>360.37</v>
      </c>
      <c r="P98" s="52">
        <f t="shared" si="9"/>
        <v>3209.99999999998</v>
      </c>
      <c r="Q98" s="52">
        <f t="shared" si="14"/>
        <v>2.88</v>
      </c>
      <c r="R98" s="52">
        <v>2.89</v>
      </c>
      <c r="S98" s="52">
        <f t="shared" si="10"/>
        <v>30.0000000000007</v>
      </c>
      <c r="T98" s="108">
        <f t="shared" si="11"/>
        <v>3179.99999999998</v>
      </c>
      <c r="U98" s="112"/>
      <c r="V98" s="52">
        <v>1.2</v>
      </c>
      <c r="W98" s="52">
        <v>26.08</v>
      </c>
      <c r="X98" s="52"/>
      <c r="Y98" s="52"/>
      <c r="Z98" s="52"/>
      <c r="AA98" s="52"/>
      <c r="AB98" s="108" t="s">
        <v>72</v>
      </c>
    </row>
    <row r="99" spans="1:28">
      <c r="A99" s="90">
        <f t="shared" si="8"/>
        <v>101</v>
      </c>
      <c r="B99" s="98">
        <v>45844</v>
      </c>
      <c r="C99" s="25">
        <v>45844</v>
      </c>
      <c r="D99" s="115">
        <v>0.28125</v>
      </c>
      <c r="E99" s="116">
        <v>0.78125</v>
      </c>
      <c r="F99" s="109">
        <v>712.42</v>
      </c>
      <c r="G99" s="52">
        <v>705.46</v>
      </c>
      <c r="H99" s="52">
        <v>702.52</v>
      </c>
      <c r="I99" s="52">
        <v>735.15</v>
      </c>
      <c r="J99" s="52">
        <v>698.72</v>
      </c>
      <c r="K99" s="52">
        <v>727.29</v>
      </c>
      <c r="L99" s="52">
        <v>733.23</v>
      </c>
      <c r="M99" s="110">
        <f t="shared" si="12"/>
        <v>5014.79</v>
      </c>
      <c r="N99" s="111">
        <f t="shared" si="13"/>
        <v>360.37</v>
      </c>
      <c r="O99" s="52">
        <v>362.03</v>
      </c>
      <c r="P99" s="52">
        <f t="shared" si="9"/>
        <v>4979.9999999999</v>
      </c>
      <c r="Q99" s="52">
        <f t="shared" si="14"/>
        <v>2.89</v>
      </c>
      <c r="R99" s="52">
        <v>2.9</v>
      </c>
      <c r="S99" s="52">
        <f t="shared" si="10"/>
        <v>29.9999999999994</v>
      </c>
      <c r="T99" s="108">
        <f t="shared" si="11"/>
        <v>4949.99999999991</v>
      </c>
      <c r="U99" s="112"/>
      <c r="V99" s="52">
        <v>1.93</v>
      </c>
      <c r="W99" s="52">
        <v>27.59</v>
      </c>
      <c r="X99" s="52"/>
      <c r="Y99" s="52"/>
      <c r="Z99" s="52"/>
      <c r="AA99" s="52"/>
      <c r="AB99" s="108" t="s">
        <v>73</v>
      </c>
    </row>
    <row r="100" spans="1:28">
      <c r="A100" s="90">
        <f t="shared" si="8"/>
        <v>102</v>
      </c>
      <c r="B100" s="98">
        <v>45845</v>
      </c>
      <c r="C100" s="25">
        <v>45845</v>
      </c>
      <c r="D100" s="115">
        <v>0.291666666666667</v>
      </c>
      <c r="E100" s="116">
        <v>0.760416666666667</v>
      </c>
      <c r="F100" s="109">
        <v>525.11</v>
      </c>
      <c r="G100" s="52">
        <v>519.35</v>
      </c>
      <c r="H100" s="52">
        <v>518.42</v>
      </c>
      <c r="I100" s="52">
        <v>542.28</v>
      </c>
      <c r="J100" s="52">
        <v>515.06</v>
      </c>
      <c r="K100" s="52">
        <v>536.54</v>
      </c>
      <c r="L100" s="52">
        <v>539.05</v>
      </c>
      <c r="M100" s="110">
        <f t="shared" si="12"/>
        <v>3695.81</v>
      </c>
      <c r="N100" s="111">
        <f t="shared" si="13"/>
        <v>362.03</v>
      </c>
      <c r="O100" s="52">
        <v>363.26</v>
      </c>
      <c r="P100" s="52">
        <f t="shared" si="9"/>
        <v>3690.00000000005</v>
      </c>
      <c r="Q100" s="52">
        <f t="shared" si="14"/>
        <v>2.9</v>
      </c>
      <c r="R100" s="52">
        <v>2.91</v>
      </c>
      <c r="S100" s="52">
        <f t="shared" si="10"/>
        <v>30.0000000000007</v>
      </c>
      <c r="T100" s="108">
        <f t="shared" si="11"/>
        <v>3660.00000000005</v>
      </c>
      <c r="U100" s="112"/>
      <c r="V100" s="52">
        <v>1.43</v>
      </c>
      <c r="W100" s="52">
        <v>26.05</v>
      </c>
      <c r="X100" s="52"/>
      <c r="Y100" s="52"/>
      <c r="Z100" s="52"/>
      <c r="AA100" s="52"/>
      <c r="AB100" s="108" t="s">
        <v>73</v>
      </c>
    </row>
    <row r="101" spans="1:28">
      <c r="A101" s="90">
        <f t="shared" si="8"/>
        <v>103</v>
      </c>
      <c r="B101" s="98">
        <v>45846</v>
      </c>
      <c r="C101" s="25">
        <v>45846</v>
      </c>
      <c r="D101" s="115">
        <v>0.291666666666667</v>
      </c>
      <c r="E101" s="116">
        <v>0.791666666666667</v>
      </c>
      <c r="F101" s="109">
        <v>1000.2</v>
      </c>
      <c r="G101" s="52">
        <v>994</v>
      </c>
      <c r="H101" s="52">
        <v>990.48</v>
      </c>
      <c r="I101" s="52">
        <v>1033.74</v>
      </c>
      <c r="J101" s="52">
        <v>979.39</v>
      </c>
      <c r="K101" s="52">
        <v>1018.66</v>
      </c>
      <c r="L101" s="52">
        <v>1022.66</v>
      </c>
      <c r="M101" s="110">
        <f t="shared" si="12"/>
        <v>7039.13</v>
      </c>
      <c r="N101" s="111">
        <f t="shared" si="13"/>
        <v>363.26</v>
      </c>
      <c r="O101" s="52">
        <v>365.59</v>
      </c>
      <c r="P101" s="52">
        <f t="shared" si="9"/>
        <v>6989.99999999995</v>
      </c>
      <c r="Q101" s="52">
        <f t="shared" si="14"/>
        <v>2.91</v>
      </c>
      <c r="R101" s="52">
        <v>2.92</v>
      </c>
      <c r="S101" s="52">
        <f t="shared" si="10"/>
        <v>29.9999999999994</v>
      </c>
      <c r="T101" s="108">
        <f t="shared" si="11"/>
        <v>6959.99999999995</v>
      </c>
      <c r="U101" s="112"/>
      <c r="V101" s="52">
        <v>2.81</v>
      </c>
      <c r="W101" s="52">
        <v>28.49</v>
      </c>
      <c r="X101" s="52"/>
      <c r="Y101" s="52"/>
      <c r="Z101" s="52"/>
      <c r="AA101" s="52"/>
      <c r="AB101" s="108" t="s">
        <v>72</v>
      </c>
    </row>
    <row r="102" spans="1:28">
      <c r="A102" s="90">
        <f t="shared" si="8"/>
        <v>104</v>
      </c>
      <c r="B102" s="98">
        <v>45847</v>
      </c>
      <c r="C102" s="25">
        <v>45847</v>
      </c>
      <c r="D102" s="115">
        <v>0.270833333333333</v>
      </c>
      <c r="E102" s="116">
        <v>0.770833333333333</v>
      </c>
      <c r="F102" s="109">
        <v>1691.78</v>
      </c>
      <c r="G102" s="52">
        <v>1686.91</v>
      </c>
      <c r="H102" s="52">
        <v>1684.47</v>
      </c>
      <c r="I102" s="52">
        <v>1761.27</v>
      </c>
      <c r="J102" s="52">
        <v>1672.04</v>
      </c>
      <c r="K102" s="52">
        <v>1736.27</v>
      </c>
      <c r="L102" s="52">
        <v>1743.7</v>
      </c>
      <c r="M102" s="110">
        <f t="shared" si="12"/>
        <v>11976.44</v>
      </c>
      <c r="N102" s="111">
        <f t="shared" si="13"/>
        <v>365.59</v>
      </c>
      <c r="O102" s="52">
        <v>369.55</v>
      </c>
      <c r="P102" s="52">
        <f t="shared" si="9"/>
        <v>11880.0000000001</v>
      </c>
      <c r="Q102" s="52">
        <f t="shared" si="14"/>
        <v>2.92</v>
      </c>
      <c r="R102" s="52">
        <v>2.93</v>
      </c>
      <c r="S102" s="52">
        <f t="shared" si="10"/>
        <v>30.0000000000007</v>
      </c>
      <c r="T102" s="108">
        <f t="shared" si="11"/>
        <v>11850.0000000001</v>
      </c>
      <c r="U102" s="112"/>
      <c r="V102" s="52">
        <v>5.06</v>
      </c>
      <c r="W102" s="52">
        <v>31.34</v>
      </c>
      <c r="X102" s="52"/>
      <c r="Y102" s="52"/>
      <c r="Z102" s="52"/>
      <c r="AA102" s="52"/>
      <c r="AB102" s="108" t="s">
        <v>72</v>
      </c>
    </row>
    <row r="103" spans="1:28">
      <c r="A103" s="90">
        <f t="shared" si="8"/>
        <v>105</v>
      </c>
      <c r="B103" s="98">
        <v>45848</v>
      </c>
      <c r="C103" s="25">
        <v>45848</v>
      </c>
      <c r="D103" s="115">
        <v>0.291666666666667</v>
      </c>
      <c r="E103" s="116">
        <v>0.791666666666667</v>
      </c>
      <c r="F103" s="109">
        <v>707.36</v>
      </c>
      <c r="G103" s="52">
        <v>702.02</v>
      </c>
      <c r="H103" s="52">
        <v>701.23</v>
      </c>
      <c r="I103" s="52">
        <v>732.52</v>
      </c>
      <c r="J103" s="52">
        <v>694.15</v>
      </c>
      <c r="K103" s="52">
        <v>720.63</v>
      </c>
      <c r="L103" s="52">
        <v>724.7</v>
      </c>
      <c r="M103" s="110">
        <f t="shared" si="12"/>
        <v>4982.61</v>
      </c>
      <c r="N103" s="111">
        <f t="shared" si="13"/>
        <v>369.55</v>
      </c>
      <c r="O103" s="52">
        <v>371.2</v>
      </c>
      <c r="P103" s="52">
        <f t="shared" si="9"/>
        <v>4949.99999999993</v>
      </c>
      <c r="Q103" s="52">
        <f t="shared" si="14"/>
        <v>2.93</v>
      </c>
      <c r="R103" s="52">
        <v>2.94</v>
      </c>
      <c r="S103" s="52">
        <f t="shared" si="10"/>
        <v>29.9999999999994</v>
      </c>
      <c r="T103" s="108">
        <f t="shared" si="11"/>
        <v>4919.99999999993</v>
      </c>
      <c r="U103" s="112"/>
      <c r="V103" s="52">
        <v>2.01</v>
      </c>
      <c r="W103" s="52">
        <v>28.63</v>
      </c>
      <c r="X103" s="52"/>
      <c r="Y103" s="52"/>
      <c r="Z103" s="52"/>
      <c r="AA103" s="52"/>
      <c r="AB103" s="108" t="s">
        <v>72</v>
      </c>
    </row>
    <row r="104" spans="1:28">
      <c r="A104" s="90">
        <f t="shared" si="8"/>
        <v>106</v>
      </c>
      <c r="B104" s="98">
        <v>45849</v>
      </c>
      <c r="C104" s="25">
        <v>45849</v>
      </c>
      <c r="D104" s="115">
        <v>0.3125</v>
      </c>
      <c r="E104" s="116">
        <v>0.78125</v>
      </c>
      <c r="F104" s="109">
        <v>502.23</v>
      </c>
      <c r="G104" s="52">
        <v>497.12</v>
      </c>
      <c r="H104" s="52">
        <v>496.05</v>
      </c>
      <c r="I104" s="52">
        <v>518.04</v>
      </c>
      <c r="J104" s="52">
        <v>490.93</v>
      </c>
      <c r="K104" s="52">
        <v>511.06</v>
      </c>
      <c r="L104" s="52">
        <v>512.96</v>
      </c>
      <c r="M104" s="110">
        <f t="shared" si="12"/>
        <v>3528.39</v>
      </c>
      <c r="N104" s="111">
        <f t="shared" si="13"/>
        <v>371.2</v>
      </c>
      <c r="O104" s="52">
        <v>372.38</v>
      </c>
      <c r="P104" s="52">
        <f t="shared" si="9"/>
        <v>3540.00000000002</v>
      </c>
      <c r="Q104" s="52">
        <f t="shared" si="14"/>
        <v>2.94</v>
      </c>
      <c r="R104" s="52">
        <v>2.95</v>
      </c>
      <c r="S104" s="52">
        <f t="shared" si="10"/>
        <v>30.0000000000007</v>
      </c>
      <c r="T104" s="108">
        <f t="shared" si="11"/>
        <v>3510.00000000002</v>
      </c>
      <c r="U104" s="112"/>
      <c r="V104" s="52">
        <v>1.32</v>
      </c>
      <c r="W104" s="52">
        <v>26.45</v>
      </c>
      <c r="X104" s="52"/>
      <c r="Y104" s="52"/>
      <c r="Z104" s="52"/>
      <c r="AA104" s="52"/>
      <c r="AB104" s="108" t="s">
        <v>72</v>
      </c>
    </row>
    <row r="105" spans="1:28">
      <c r="A105" s="90">
        <f t="shared" si="8"/>
        <v>107</v>
      </c>
      <c r="B105" s="98">
        <v>45850</v>
      </c>
      <c r="C105" s="25">
        <v>45850</v>
      </c>
      <c r="D105" s="115">
        <v>0.291666666666667</v>
      </c>
      <c r="E105" s="116">
        <v>0.78125</v>
      </c>
      <c r="F105" s="109">
        <v>1462.13</v>
      </c>
      <c r="G105" s="52">
        <v>1452.91</v>
      </c>
      <c r="H105" s="52">
        <v>1450.14</v>
      </c>
      <c r="I105" s="52">
        <v>1516.58</v>
      </c>
      <c r="J105" s="52">
        <v>1443.51</v>
      </c>
      <c r="K105" s="52">
        <v>1487.15</v>
      </c>
      <c r="L105" s="52">
        <v>1523.36</v>
      </c>
      <c r="M105" s="110">
        <f t="shared" si="12"/>
        <v>10335.78</v>
      </c>
      <c r="N105" s="111">
        <f t="shared" si="13"/>
        <v>372.38</v>
      </c>
      <c r="O105" s="52">
        <v>375.81</v>
      </c>
      <c r="P105" s="52">
        <f t="shared" si="9"/>
        <v>10290</v>
      </c>
      <c r="Q105" s="52">
        <f t="shared" si="14"/>
        <v>2.95</v>
      </c>
      <c r="R105" s="52">
        <v>2.96</v>
      </c>
      <c r="S105" s="52">
        <f t="shared" si="10"/>
        <v>29.9999999999994</v>
      </c>
      <c r="T105" s="108">
        <f t="shared" si="11"/>
        <v>10260</v>
      </c>
      <c r="U105" s="112"/>
      <c r="V105" s="52">
        <v>3.95</v>
      </c>
      <c r="W105" s="52">
        <v>28.6</v>
      </c>
      <c r="X105" s="52"/>
      <c r="Y105" s="52"/>
      <c r="Z105" s="52"/>
      <c r="AA105" s="52"/>
      <c r="AB105" s="108" t="s">
        <v>72</v>
      </c>
    </row>
    <row r="106" spans="1:28">
      <c r="A106" s="90">
        <f t="shared" si="8"/>
        <v>108</v>
      </c>
      <c r="B106" s="98">
        <v>45851</v>
      </c>
      <c r="C106" s="25">
        <v>45851</v>
      </c>
      <c r="D106" s="115">
        <v>0.28125</v>
      </c>
      <c r="E106" s="116">
        <v>0.802083333333333</v>
      </c>
      <c r="F106" s="109">
        <v>1907.87</v>
      </c>
      <c r="G106" s="52">
        <v>1888.36</v>
      </c>
      <c r="H106" s="52">
        <v>1900.02</v>
      </c>
      <c r="I106" s="52">
        <v>1990.99</v>
      </c>
      <c r="J106" s="52">
        <v>1899.47</v>
      </c>
      <c r="K106" s="52">
        <v>1900.52</v>
      </c>
      <c r="L106" s="52">
        <v>2001.1</v>
      </c>
      <c r="M106" s="110">
        <f t="shared" si="12"/>
        <v>13488.33</v>
      </c>
      <c r="N106" s="111">
        <f t="shared" si="13"/>
        <v>375.81</v>
      </c>
      <c r="O106" s="52">
        <v>380.26</v>
      </c>
      <c r="P106" s="52">
        <f t="shared" si="9"/>
        <v>13350</v>
      </c>
      <c r="Q106" s="52">
        <f t="shared" si="14"/>
        <v>2.96</v>
      </c>
      <c r="R106" s="52">
        <v>2.97</v>
      </c>
      <c r="S106" s="52">
        <f t="shared" si="10"/>
        <v>30.0000000000007</v>
      </c>
      <c r="T106" s="108">
        <f t="shared" si="11"/>
        <v>13320</v>
      </c>
      <c r="U106" s="112"/>
      <c r="V106" s="52">
        <v>6.02</v>
      </c>
      <c r="W106" s="52">
        <v>30.07</v>
      </c>
      <c r="X106" s="52"/>
      <c r="Y106" s="52"/>
      <c r="Z106" s="52"/>
      <c r="AA106" s="52"/>
      <c r="AB106" s="108" t="s">
        <v>72</v>
      </c>
    </row>
    <row r="107" spans="1:28">
      <c r="A107" s="90">
        <f t="shared" si="8"/>
        <v>109</v>
      </c>
      <c r="B107" s="98">
        <v>45852</v>
      </c>
      <c r="C107" s="25">
        <v>45852</v>
      </c>
      <c r="D107" s="115">
        <v>0.291666666666667</v>
      </c>
      <c r="E107" s="116">
        <v>0.791666666666667</v>
      </c>
      <c r="F107" s="109">
        <v>1489.73</v>
      </c>
      <c r="G107" s="52">
        <v>1487.11</v>
      </c>
      <c r="H107" s="52">
        <v>1484.49</v>
      </c>
      <c r="I107" s="52">
        <v>1556.26</v>
      </c>
      <c r="J107" s="52">
        <v>1480.04</v>
      </c>
      <c r="K107" s="52">
        <v>1536.6</v>
      </c>
      <c r="L107" s="52">
        <v>1542.39</v>
      </c>
      <c r="M107" s="110">
        <f t="shared" si="12"/>
        <v>10576.62</v>
      </c>
      <c r="N107" s="111">
        <f t="shared" si="13"/>
        <v>380.26</v>
      </c>
      <c r="O107" s="52">
        <v>383.78</v>
      </c>
      <c r="P107" s="52">
        <f t="shared" si="9"/>
        <v>10559.9999999999</v>
      </c>
      <c r="Q107" s="52">
        <f t="shared" si="14"/>
        <v>2.97</v>
      </c>
      <c r="R107" s="52">
        <v>2.98</v>
      </c>
      <c r="S107" s="52">
        <f t="shared" si="10"/>
        <v>29.9999999999994</v>
      </c>
      <c r="T107" s="108">
        <f t="shared" si="11"/>
        <v>10529.9999999999</v>
      </c>
      <c r="U107" s="112"/>
      <c r="V107" s="52">
        <v>4.11</v>
      </c>
      <c r="W107" s="52">
        <v>30.18</v>
      </c>
      <c r="X107" s="52"/>
      <c r="Y107" s="52"/>
      <c r="Z107" s="52"/>
      <c r="AA107" s="52"/>
      <c r="AB107" s="108" t="s">
        <v>72</v>
      </c>
    </row>
    <row r="108" spans="1:28">
      <c r="A108" s="90">
        <f t="shared" si="8"/>
        <v>110</v>
      </c>
      <c r="B108" s="98">
        <v>45853</v>
      </c>
      <c r="C108" s="25">
        <v>45853</v>
      </c>
      <c r="D108" s="115">
        <v>0.291666666666667</v>
      </c>
      <c r="E108" s="116">
        <v>0.791666666666667</v>
      </c>
      <c r="F108" s="109">
        <v>1560.49</v>
      </c>
      <c r="G108" s="52">
        <v>1558.05</v>
      </c>
      <c r="H108" s="52">
        <v>1556.36</v>
      </c>
      <c r="I108" s="52">
        <v>1632</v>
      </c>
      <c r="J108" s="52">
        <v>1550.94</v>
      </c>
      <c r="K108" s="52">
        <v>1616.41</v>
      </c>
      <c r="L108" s="52">
        <v>1629.2</v>
      </c>
      <c r="M108" s="110">
        <f t="shared" si="12"/>
        <v>11103.45</v>
      </c>
      <c r="N108" s="111">
        <f t="shared" si="13"/>
        <v>383.78</v>
      </c>
      <c r="O108" s="52">
        <v>387.46</v>
      </c>
      <c r="P108" s="52">
        <f t="shared" si="9"/>
        <v>11040</v>
      </c>
      <c r="Q108" s="52">
        <f t="shared" si="14"/>
        <v>2.98</v>
      </c>
      <c r="R108" s="52">
        <v>2.99</v>
      </c>
      <c r="S108" s="52">
        <f t="shared" si="10"/>
        <v>30.0000000000007</v>
      </c>
      <c r="T108" s="108">
        <f t="shared" si="11"/>
        <v>11010</v>
      </c>
      <c r="U108" s="112"/>
      <c r="V108" s="52">
        <v>4.66</v>
      </c>
      <c r="W108" s="52">
        <v>30.3</v>
      </c>
      <c r="X108" s="52"/>
      <c r="Y108" s="52"/>
      <c r="Z108" s="52"/>
      <c r="AA108" s="52"/>
      <c r="AB108" s="108" t="s">
        <v>72</v>
      </c>
    </row>
    <row r="109" spans="1:28">
      <c r="A109" s="90">
        <f t="shared" si="8"/>
        <v>111</v>
      </c>
      <c r="B109" s="98">
        <v>45854</v>
      </c>
      <c r="C109" s="25">
        <v>45854</v>
      </c>
      <c r="D109" s="115">
        <v>0.28125</v>
      </c>
      <c r="E109" s="116">
        <v>0.791666666666667</v>
      </c>
      <c r="F109" s="109">
        <v>1800.84</v>
      </c>
      <c r="G109" s="52">
        <v>1797.07</v>
      </c>
      <c r="H109" s="52">
        <v>1795.41</v>
      </c>
      <c r="I109" s="52">
        <v>1877.93</v>
      </c>
      <c r="J109" s="52">
        <v>1792.31</v>
      </c>
      <c r="K109" s="52">
        <v>1869.49</v>
      </c>
      <c r="L109" s="52">
        <v>1885.72</v>
      </c>
      <c r="M109" s="110">
        <f t="shared" si="12"/>
        <v>12818.77</v>
      </c>
      <c r="N109" s="111">
        <f t="shared" si="13"/>
        <v>387.46</v>
      </c>
      <c r="O109" s="52">
        <v>391.7</v>
      </c>
      <c r="P109" s="52">
        <f t="shared" si="9"/>
        <v>12720</v>
      </c>
      <c r="Q109" s="52">
        <f t="shared" si="14"/>
        <v>2.99</v>
      </c>
      <c r="R109" s="52">
        <v>3</v>
      </c>
      <c r="S109" s="52">
        <f t="shared" si="10"/>
        <v>29.9999999999994</v>
      </c>
      <c r="T109" s="108">
        <f t="shared" si="11"/>
        <v>12690</v>
      </c>
      <c r="U109" s="112"/>
      <c r="V109" s="52">
        <v>5.64</v>
      </c>
      <c r="W109" s="52">
        <v>31.32</v>
      </c>
      <c r="X109" s="52"/>
      <c r="Y109" s="52"/>
      <c r="Z109" s="52"/>
      <c r="AA109" s="52"/>
      <c r="AB109" s="108" t="s">
        <v>72</v>
      </c>
    </row>
    <row r="110" spans="1:28">
      <c r="A110" s="90">
        <f t="shared" si="8"/>
        <v>112</v>
      </c>
      <c r="B110" s="98">
        <v>45855</v>
      </c>
      <c r="C110" s="25">
        <v>45855</v>
      </c>
      <c r="D110" s="115">
        <v>0.28125</v>
      </c>
      <c r="E110" s="116">
        <v>0.791666666666667</v>
      </c>
      <c r="F110" s="109">
        <v>1592.48</v>
      </c>
      <c r="G110" s="52">
        <v>1593.37</v>
      </c>
      <c r="H110" s="52">
        <v>1589.33</v>
      </c>
      <c r="I110" s="52">
        <v>1670.31</v>
      </c>
      <c r="J110" s="52">
        <v>1664.66</v>
      </c>
      <c r="K110" s="52">
        <v>1664.21</v>
      </c>
      <c r="L110" s="52">
        <v>1679.59</v>
      </c>
      <c r="M110" s="110">
        <f t="shared" si="12"/>
        <v>11453.95</v>
      </c>
      <c r="N110" s="111">
        <f t="shared" si="13"/>
        <v>391.7</v>
      </c>
      <c r="O110" s="52">
        <v>395.5</v>
      </c>
      <c r="P110" s="52">
        <f t="shared" si="9"/>
        <v>11400</v>
      </c>
      <c r="Q110" s="52">
        <f t="shared" si="14"/>
        <v>3</v>
      </c>
      <c r="R110" s="52">
        <v>3.01</v>
      </c>
      <c r="S110" s="52">
        <f t="shared" si="10"/>
        <v>29.9999999999994</v>
      </c>
      <c r="T110" s="108">
        <f t="shared" si="11"/>
        <v>11370</v>
      </c>
      <c r="U110" s="112"/>
      <c r="V110" s="52">
        <v>4.43</v>
      </c>
      <c r="W110" s="52">
        <v>31.54</v>
      </c>
      <c r="X110" s="52"/>
      <c r="Y110" s="52"/>
      <c r="Z110" s="52"/>
      <c r="AA110" s="52"/>
      <c r="AB110" s="108" t="s">
        <v>72</v>
      </c>
    </row>
    <row r="111" spans="1:28">
      <c r="A111" s="90">
        <f t="shared" si="8"/>
        <v>113</v>
      </c>
      <c r="B111" s="98">
        <v>45856</v>
      </c>
      <c r="C111" s="25">
        <v>45856</v>
      </c>
      <c r="D111" s="115">
        <v>0.28125</v>
      </c>
      <c r="E111" s="116">
        <v>0.791666666666667</v>
      </c>
      <c r="F111" s="109">
        <v>1752.38</v>
      </c>
      <c r="G111" s="52">
        <v>1749.1</v>
      </c>
      <c r="H111" s="52">
        <v>1749.65</v>
      </c>
      <c r="I111" s="52">
        <v>1836.01</v>
      </c>
      <c r="J111" s="52">
        <v>1827.79</v>
      </c>
      <c r="K111" s="52">
        <v>1818.55</v>
      </c>
      <c r="L111" s="52">
        <v>1829.36</v>
      </c>
      <c r="M111" s="110">
        <f t="shared" si="12"/>
        <v>12562.84</v>
      </c>
      <c r="N111" s="111">
        <f t="shared" si="13"/>
        <v>395.5</v>
      </c>
      <c r="O111" s="52">
        <v>399.65</v>
      </c>
      <c r="P111" s="52">
        <f t="shared" si="9"/>
        <v>12449.9999999999</v>
      </c>
      <c r="Q111" s="52">
        <f t="shared" si="14"/>
        <v>3.01</v>
      </c>
      <c r="R111" s="52">
        <v>3.02</v>
      </c>
      <c r="S111" s="52">
        <f t="shared" si="10"/>
        <v>30.0000000000007</v>
      </c>
      <c r="T111" s="108">
        <f t="shared" si="11"/>
        <v>12419.9999999999</v>
      </c>
      <c r="U111" s="112"/>
      <c r="V111" s="52">
        <v>5.55</v>
      </c>
      <c r="W111" s="52">
        <v>31.08</v>
      </c>
      <c r="X111" s="52"/>
      <c r="Y111" s="52"/>
      <c r="Z111" s="52"/>
      <c r="AA111" s="52"/>
      <c r="AB111" s="108" t="s">
        <v>72</v>
      </c>
    </row>
    <row r="112" spans="1:28">
      <c r="A112" s="90">
        <f t="shared" si="8"/>
        <v>114</v>
      </c>
      <c r="B112" s="98">
        <v>45857</v>
      </c>
      <c r="C112" s="25">
        <v>45857</v>
      </c>
      <c r="D112" s="115">
        <v>0.28125</v>
      </c>
      <c r="E112" s="116">
        <v>0.760416666666667</v>
      </c>
      <c r="F112" s="109">
        <v>928.3</v>
      </c>
      <c r="G112" s="52">
        <v>925.1</v>
      </c>
      <c r="H112" s="52">
        <v>927.52</v>
      </c>
      <c r="I112" s="52">
        <v>972.31</v>
      </c>
      <c r="J112" s="52">
        <v>970.48</v>
      </c>
      <c r="K112" s="52">
        <v>967.68</v>
      </c>
      <c r="L112" s="52">
        <v>978.26</v>
      </c>
      <c r="M112" s="110">
        <f t="shared" si="12"/>
        <v>6669.65</v>
      </c>
      <c r="N112" s="111">
        <f t="shared" si="13"/>
        <v>399.65</v>
      </c>
      <c r="O112" s="52">
        <v>401.86</v>
      </c>
      <c r="P112" s="52">
        <f t="shared" si="9"/>
        <v>6630.00000000011</v>
      </c>
      <c r="Q112" s="52">
        <f t="shared" si="14"/>
        <v>3.02</v>
      </c>
      <c r="R112" s="52">
        <v>3.03</v>
      </c>
      <c r="S112" s="52">
        <f t="shared" si="10"/>
        <v>29.9999999999994</v>
      </c>
      <c r="T112" s="108">
        <f t="shared" si="11"/>
        <v>6600.00000000011</v>
      </c>
      <c r="U112" s="112"/>
      <c r="V112" s="52">
        <v>2.7</v>
      </c>
      <c r="W112" s="52">
        <v>27.93</v>
      </c>
      <c r="X112" s="52"/>
      <c r="Y112" s="52"/>
      <c r="Z112" s="52"/>
      <c r="AA112" s="52"/>
      <c r="AB112" s="108" t="s">
        <v>72</v>
      </c>
    </row>
    <row r="113" spans="1:28">
      <c r="A113" s="90">
        <f t="shared" si="8"/>
        <v>115</v>
      </c>
      <c r="B113" s="98">
        <v>45858</v>
      </c>
      <c r="C113" s="25">
        <v>45858</v>
      </c>
      <c r="D113" s="115">
        <v>0.302083333333333</v>
      </c>
      <c r="E113" s="116">
        <v>0.760416666666667</v>
      </c>
      <c r="F113" s="109">
        <v>1104.09</v>
      </c>
      <c r="G113" s="52">
        <v>1096.88</v>
      </c>
      <c r="H113" s="52">
        <v>1094.13</v>
      </c>
      <c r="I113" s="52">
        <v>1143.59</v>
      </c>
      <c r="J113" s="52">
        <v>1138.5</v>
      </c>
      <c r="K113" s="52">
        <v>1130.94</v>
      </c>
      <c r="L113" s="52">
        <v>1136.43</v>
      </c>
      <c r="M113" s="110">
        <f t="shared" si="12"/>
        <v>7844.56</v>
      </c>
      <c r="N113" s="111">
        <f t="shared" si="13"/>
        <v>401.86</v>
      </c>
      <c r="O113" s="52">
        <v>404.45</v>
      </c>
      <c r="P113" s="52">
        <f t="shared" si="9"/>
        <v>7769.99999999993</v>
      </c>
      <c r="Q113" s="52">
        <f t="shared" si="14"/>
        <v>3.03</v>
      </c>
      <c r="R113" s="52">
        <v>3.04</v>
      </c>
      <c r="S113" s="52">
        <f t="shared" si="10"/>
        <v>30.0000000000007</v>
      </c>
      <c r="T113" s="108">
        <f t="shared" si="11"/>
        <v>7739.99999999992</v>
      </c>
      <c r="U113" s="112"/>
      <c r="V113" s="52">
        <v>3.16</v>
      </c>
      <c r="W113" s="52">
        <v>28.62</v>
      </c>
      <c r="X113" s="52"/>
      <c r="Y113" s="52"/>
      <c r="Z113" s="52"/>
      <c r="AA113" s="52"/>
      <c r="AB113" s="108" t="s">
        <v>72</v>
      </c>
    </row>
    <row r="114" spans="1:28">
      <c r="A114" s="90">
        <f t="shared" si="8"/>
        <v>116</v>
      </c>
      <c r="B114" s="98">
        <v>45859</v>
      </c>
      <c r="C114" s="25">
        <v>45859</v>
      </c>
      <c r="D114" s="115">
        <v>0.28125</v>
      </c>
      <c r="E114" s="116">
        <v>0.770833333333333</v>
      </c>
      <c r="F114" s="109">
        <v>1294.89</v>
      </c>
      <c r="G114" s="52">
        <v>1290.06</v>
      </c>
      <c r="H114" s="52">
        <v>1289.71</v>
      </c>
      <c r="I114" s="52">
        <v>1349.57</v>
      </c>
      <c r="J114" s="52">
        <v>1344.49</v>
      </c>
      <c r="K114" s="52">
        <v>1339.27</v>
      </c>
      <c r="L114" s="52">
        <v>1347.46</v>
      </c>
      <c r="M114" s="110">
        <f t="shared" si="12"/>
        <v>9255.45</v>
      </c>
      <c r="N114" s="111">
        <f t="shared" si="13"/>
        <v>404.45</v>
      </c>
      <c r="O114" s="52">
        <v>407.51</v>
      </c>
      <c r="P114" s="52">
        <f t="shared" si="9"/>
        <v>9180.00000000001</v>
      </c>
      <c r="Q114" s="52">
        <f t="shared" si="14"/>
        <v>3.04</v>
      </c>
      <c r="R114" s="52">
        <v>3.05</v>
      </c>
      <c r="S114" s="52">
        <f t="shared" si="10"/>
        <v>29.9999999999994</v>
      </c>
      <c r="T114" s="108">
        <f t="shared" si="11"/>
        <v>9150.00000000001</v>
      </c>
      <c r="U114" s="112"/>
      <c r="V114" s="52">
        <v>3.92</v>
      </c>
      <c r="W114" s="52">
        <v>29.33</v>
      </c>
      <c r="X114" s="52"/>
      <c r="Y114" s="52"/>
      <c r="Z114" s="52"/>
      <c r="AA114" s="52"/>
      <c r="AB114" s="108" t="s">
        <v>72</v>
      </c>
    </row>
    <row r="115" spans="1:28">
      <c r="A115" s="90">
        <f t="shared" si="8"/>
        <v>117</v>
      </c>
      <c r="B115" s="98">
        <v>45860</v>
      </c>
      <c r="C115" s="25">
        <v>45860</v>
      </c>
      <c r="D115" s="115">
        <v>0.28125</v>
      </c>
      <c r="E115" s="116">
        <v>0.791666666666667</v>
      </c>
      <c r="F115" s="109">
        <v>1307.29</v>
      </c>
      <c r="G115" s="52">
        <v>1300.82</v>
      </c>
      <c r="H115" s="52">
        <v>1297.16</v>
      </c>
      <c r="I115" s="52">
        <v>1353.65</v>
      </c>
      <c r="J115" s="52">
        <v>1344.85</v>
      </c>
      <c r="K115" s="52">
        <v>1334.87</v>
      </c>
      <c r="L115" s="52">
        <v>1337.59</v>
      </c>
      <c r="M115" s="110">
        <f t="shared" si="12"/>
        <v>9276.23</v>
      </c>
      <c r="N115" s="111">
        <f t="shared" si="13"/>
        <v>407.51</v>
      </c>
      <c r="O115" s="52">
        <v>410.59</v>
      </c>
      <c r="P115" s="52">
        <f t="shared" si="9"/>
        <v>9239.99999999995</v>
      </c>
      <c r="Q115" s="52">
        <f t="shared" si="14"/>
        <v>3.05</v>
      </c>
      <c r="R115" s="52">
        <v>3.06</v>
      </c>
      <c r="S115" s="52">
        <f t="shared" si="10"/>
        <v>30.0000000000007</v>
      </c>
      <c r="T115" s="108">
        <f t="shared" si="11"/>
        <v>9209.99999999995</v>
      </c>
      <c r="U115" s="112"/>
      <c r="V115" s="52">
        <v>4.14</v>
      </c>
      <c r="W115" s="52">
        <v>29.48</v>
      </c>
      <c r="X115" s="52"/>
      <c r="Y115" s="52"/>
      <c r="Z115" s="52"/>
      <c r="AA115" s="52"/>
      <c r="AB115" s="108" t="s">
        <v>72</v>
      </c>
    </row>
    <row r="116" spans="1:28">
      <c r="A116" s="90">
        <f t="shared" si="8"/>
        <v>118</v>
      </c>
      <c r="B116" s="98">
        <v>45861</v>
      </c>
      <c r="C116" s="25">
        <v>45861</v>
      </c>
      <c r="D116" s="115">
        <v>0.28125</v>
      </c>
      <c r="E116" s="116">
        <v>0.78125</v>
      </c>
      <c r="F116" s="109">
        <v>864.06</v>
      </c>
      <c r="G116" s="52">
        <v>856.24</v>
      </c>
      <c r="H116" s="52">
        <v>850.9</v>
      </c>
      <c r="I116" s="52">
        <v>886.63</v>
      </c>
      <c r="J116" s="52">
        <v>877.15</v>
      </c>
      <c r="K116" s="52">
        <v>872.07</v>
      </c>
      <c r="L116" s="52">
        <v>871.62</v>
      </c>
      <c r="M116" s="110">
        <f t="shared" si="12"/>
        <v>6078.67</v>
      </c>
      <c r="N116" s="111">
        <f t="shared" si="13"/>
        <v>410.59</v>
      </c>
      <c r="O116" s="52">
        <v>412.62</v>
      </c>
      <c r="P116" s="52">
        <f t="shared" si="9"/>
        <v>6090.00000000009</v>
      </c>
      <c r="Q116" s="52">
        <f t="shared" si="14"/>
        <v>3.06</v>
      </c>
      <c r="R116" s="52">
        <v>3.07</v>
      </c>
      <c r="S116" s="52">
        <f t="shared" si="10"/>
        <v>29.9999999999994</v>
      </c>
      <c r="T116" s="108">
        <f t="shared" si="11"/>
        <v>6060.00000000009</v>
      </c>
      <c r="U116" s="112"/>
      <c r="V116" s="52">
        <v>2.6</v>
      </c>
      <c r="W116" s="52">
        <v>28.33</v>
      </c>
      <c r="X116" s="52"/>
      <c r="Y116" s="52"/>
      <c r="Z116" s="52"/>
      <c r="AA116" s="52"/>
      <c r="AB116" s="108" t="s">
        <v>72</v>
      </c>
    </row>
    <row r="117" spans="1:28">
      <c r="A117" s="90">
        <f t="shared" si="8"/>
        <v>119</v>
      </c>
      <c r="B117" s="98">
        <v>45862</v>
      </c>
      <c r="C117" s="25">
        <v>45862</v>
      </c>
      <c r="D117" s="115">
        <v>0.322916666666667</v>
      </c>
      <c r="E117" s="116">
        <v>0.78125</v>
      </c>
      <c r="F117" s="109">
        <v>523.43</v>
      </c>
      <c r="G117" s="52">
        <v>519.19</v>
      </c>
      <c r="H117" s="52">
        <v>518.63</v>
      </c>
      <c r="I117" s="52">
        <v>542.69</v>
      </c>
      <c r="J117" s="52">
        <v>539.19</v>
      </c>
      <c r="K117" s="52">
        <v>537.36</v>
      </c>
      <c r="L117" s="52">
        <v>540.92</v>
      </c>
      <c r="M117" s="110">
        <f t="shared" si="12"/>
        <v>3721.41</v>
      </c>
      <c r="N117" s="111">
        <f t="shared" si="13"/>
        <v>412.62</v>
      </c>
      <c r="O117" s="52">
        <v>413.86</v>
      </c>
      <c r="P117" s="52">
        <f t="shared" si="9"/>
        <v>3720.00000000003</v>
      </c>
      <c r="Q117" s="52">
        <f t="shared" si="14"/>
        <v>3.07</v>
      </c>
      <c r="R117" s="52">
        <v>3.08</v>
      </c>
      <c r="S117" s="52">
        <f t="shared" si="10"/>
        <v>30.0000000000007</v>
      </c>
      <c r="T117" s="108">
        <f t="shared" si="11"/>
        <v>3690.00000000003</v>
      </c>
      <c r="U117" s="112"/>
      <c r="V117" s="52">
        <v>1.49</v>
      </c>
      <c r="W117" s="52">
        <v>27.55</v>
      </c>
      <c r="X117" s="52"/>
      <c r="Y117" s="52"/>
      <c r="Z117" s="52"/>
      <c r="AA117" s="52"/>
      <c r="AB117" s="108" t="s">
        <v>72</v>
      </c>
    </row>
    <row r="118" spans="1:28">
      <c r="A118" s="90">
        <f t="shared" si="8"/>
        <v>120</v>
      </c>
      <c r="B118" s="98">
        <v>45863</v>
      </c>
      <c r="C118" s="25">
        <v>45863</v>
      </c>
      <c r="D118" s="115">
        <v>0.3125</v>
      </c>
      <c r="E118" s="116">
        <v>0.78125</v>
      </c>
      <c r="F118" s="109">
        <v>1100.69</v>
      </c>
      <c r="G118" s="52">
        <v>1094.97</v>
      </c>
      <c r="H118" s="52">
        <v>1094.1</v>
      </c>
      <c r="I118" s="52">
        <v>1143.73</v>
      </c>
      <c r="J118" s="52">
        <v>1138.46</v>
      </c>
      <c r="K118" s="52">
        <v>1137.1</v>
      </c>
      <c r="L118" s="52">
        <v>1143.06</v>
      </c>
      <c r="M118" s="110">
        <f t="shared" si="12"/>
        <v>7852.11</v>
      </c>
      <c r="N118" s="111">
        <f t="shared" si="13"/>
        <v>413.86</v>
      </c>
      <c r="O118" s="52">
        <v>416.46</v>
      </c>
      <c r="P118" s="52">
        <f t="shared" si="9"/>
        <v>7799.9999999999</v>
      </c>
      <c r="Q118" s="52">
        <f t="shared" si="14"/>
        <v>3.08</v>
      </c>
      <c r="R118" s="52">
        <v>3.09</v>
      </c>
      <c r="S118" s="52">
        <f t="shared" si="10"/>
        <v>29.9999999999994</v>
      </c>
      <c r="T118" s="108">
        <f t="shared" si="11"/>
        <v>7769.9999999999</v>
      </c>
      <c r="U118" s="112"/>
      <c r="V118" s="52">
        <v>3.14</v>
      </c>
      <c r="W118" s="52">
        <v>28.52</v>
      </c>
      <c r="X118" s="52"/>
      <c r="Y118" s="52"/>
      <c r="Z118" s="52"/>
      <c r="AA118" s="52"/>
      <c r="AB118" s="108" t="s">
        <v>72</v>
      </c>
    </row>
    <row r="119" spans="1:28">
      <c r="A119" s="90">
        <f t="shared" si="8"/>
        <v>121</v>
      </c>
      <c r="B119" s="98">
        <v>45864</v>
      </c>
      <c r="C119" s="25">
        <v>45864</v>
      </c>
      <c r="D119" s="115">
        <v>0.302083333333333</v>
      </c>
      <c r="E119" s="116">
        <v>0.78125</v>
      </c>
      <c r="F119" s="109">
        <v>785.48</v>
      </c>
      <c r="G119" s="52">
        <v>779.83</v>
      </c>
      <c r="H119" s="52">
        <v>777.3</v>
      </c>
      <c r="I119" s="52">
        <v>812.06</v>
      </c>
      <c r="J119" s="52">
        <v>805.73</v>
      </c>
      <c r="K119" s="52">
        <v>800.14</v>
      </c>
      <c r="L119" s="52">
        <v>802.34</v>
      </c>
      <c r="M119" s="110">
        <f t="shared" si="12"/>
        <v>5562.88</v>
      </c>
      <c r="N119" s="111">
        <f t="shared" si="13"/>
        <v>416.46</v>
      </c>
      <c r="O119" s="52">
        <v>418.31</v>
      </c>
      <c r="P119" s="52">
        <f t="shared" si="9"/>
        <v>5550.00000000007</v>
      </c>
      <c r="Q119" s="52">
        <f t="shared" si="14"/>
        <v>3.09</v>
      </c>
      <c r="R119" s="52">
        <v>3.1</v>
      </c>
      <c r="S119" s="52">
        <f t="shared" si="10"/>
        <v>30.0000000000007</v>
      </c>
      <c r="T119" s="108">
        <f t="shared" si="11"/>
        <v>5520.00000000007</v>
      </c>
      <c r="U119" s="112"/>
      <c r="V119" s="52">
        <v>2.26</v>
      </c>
      <c r="W119" s="52">
        <v>27.78</v>
      </c>
      <c r="X119" s="52"/>
      <c r="Y119" s="52"/>
      <c r="Z119" s="52"/>
      <c r="AA119" s="52"/>
      <c r="AB119" s="108" t="s">
        <v>72</v>
      </c>
    </row>
    <row r="120" spans="1:28">
      <c r="A120" s="90">
        <f t="shared" si="8"/>
        <v>122</v>
      </c>
      <c r="B120" s="98">
        <v>45865</v>
      </c>
      <c r="C120" s="25">
        <v>45865</v>
      </c>
      <c r="D120" s="115">
        <v>0.302083333333333</v>
      </c>
      <c r="E120" s="116">
        <v>0.78125</v>
      </c>
      <c r="F120" s="109">
        <v>605.19</v>
      </c>
      <c r="G120" s="52">
        <v>600.19</v>
      </c>
      <c r="H120" s="52">
        <v>600.05</v>
      </c>
      <c r="I120" s="52">
        <v>627.8</v>
      </c>
      <c r="J120" s="52">
        <v>624.44</v>
      </c>
      <c r="K120" s="52">
        <v>621.16</v>
      </c>
      <c r="L120" s="52">
        <v>626.04</v>
      </c>
      <c r="M120" s="110">
        <f t="shared" si="12"/>
        <v>4304.87</v>
      </c>
      <c r="N120" s="111">
        <f t="shared" si="13"/>
        <v>418.31</v>
      </c>
      <c r="O120" s="52">
        <v>419.73</v>
      </c>
      <c r="P120" s="52">
        <f t="shared" si="9"/>
        <v>4260.00000000005</v>
      </c>
      <c r="Q120" s="52">
        <f t="shared" si="14"/>
        <v>3.1</v>
      </c>
      <c r="R120" s="52">
        <v>3.11</v>
      </c>
      <c r="S120" s="52">
        <f t="shared" si="10"/>
        <v>29.9999999999994</v>
      </c>
      <c r="T120" s="108">
        <f t="shared" si="11"/>
        <v>4230.00000000005</v>
      </c>
      <c r="U120" s="112"/>
      <c r="V120" s="52">
        <v>1.6</v>
      </c>
      <c r="W120" s="52">
        <v>26.63</v>
      </c>
      <c r="X120" s="52"/>
      <c r="Y120" s="52"/>
      <c r="Z120" s="52"/>
      <c r="AA120" s="52"/>
      <c r="AB120" s="108" t="s">
        <v>73</v>
      </c>
    </row>
    <row r="121" spans="1:28">
      <c r="A121" s="90">
        <f t="shared" si="8"/>
        <v>123</v>
      </c>
      <c r="B121" s="98">
        <v>45866</v>
      </c>
      <c r="C121" s="25">
        <v>45866</v>
      </c>
      <c r="D121" s="115">
        <v>0.333333333333333</v>
      </c>
      <c r="E121" s="116">
        <v>0.791666666666667</v>
      </c>
      <c r="F121" s="109">
        <v>776.4</v>
      </c>
      <c r="G121" s="52">
        <v>770.15</v>
      </c>
      <c r="H121" s="52">
        <v>768.64</v>
      </c>
      <c r="I121" s="52">
        <v>802.98</v>
      </c>
      <c r="J121" s="52">
        <v>797.18</v>
      </c>
      <c r="K121" s="52">
        <v>793.65</v>
      </c>
      <c r="L121" s="52">
        <v>798.56</v>
      </c>
      <c r="M121" s="110">
        <f t="shared" si="12"/>
        <v>5507.56</v>
      </c>
      <c r="N121" s="111">
        <f t="shared" si="13"/>
        <v>419.73</v>
      </c>
      <c r="O121" s="52">
        <v>421.57</v>
      </c>
      <c r="P121" s="52">
        <f t="shared" si="9"/>
        <v>5519.99999999993</v>
      </c>
      <c r="Q121" s="52">
        <f t="shared" si="14"/>
        <v>3.11</v>
      </c>
      <c r="R121" s="52">
        <v>3.12</v>
      </c>
      <c r="S121" s="52">
        <f t="shared" si="10"/>
        <v>30.0000000000007</v>
      </c>
      <c r="T121" s="108">
        <f t="shared" si="11"/>
        <v>5489.99999999992</v>
      </c>
      <c r="U121" s="112"/>
      <c r="V121" s="52">
        <v>2.18</v>
      </c>
      <c r="W121" s="52">
        <v>28.88</v>
      </c>
      <c r="X121" s="52"/>
      <c r="Y121" s="52"/>
      <c r="Z121" s="52"/>
      <c r="AA121" s="52"/>
      <c r="AB121" s="108" t="s">
        <v>72</v>
      </c>
    </row>
    <row r="122" spans="1:28">
      <c r="A122" s="90">
        <f t="shared" si="8"/>
        <v>124</v>
      </c>
      <c r="B122" s="98">
        <v>45867</v>
      </c>
      <c r="C122" s="25">
        <v>45867</v>
      </c>
      <c r="D122" s="115">
        <v>0.3125</v>
      </c>
      <c r="E122" s="116">
        <v>0.78125</v>
      </c>
      <c r="F122" s="109">
        <v>678.78</v>
      </c>
      <c r="G122" s="52">
        <v>673.73</v>
      </c>
      <c r="H122" s="52">
        <v>671.76</v>
      </c>
      <c r="I122" s="52">
        <v>703.13</v>
      </c>
      <c r="J122" s="52">
        <v>697.33</v>
      </c>
      <c r="K122" s="52">
        <v>696.16</v>
      </c>
      <c r="L122" s="52">
        <v>701.59</v>
      </c>
      <c r="M122" s="110">
        <f t="shared" si="12"/>
        <v>4822.48</v>
      </c>
      <c r="N122" s="111">
        <f t="shared" si="13"/>
        <v>421.57</v>
      </c>
      <c r="O122" s="52">
        <v>423.18</v>
      </c>
      <c r="P122" s="52">
        <f t="shared" si="9"/>
        <v>4830.00000000004</v>
      </c>
      <c r="Q122" s="52">
        <f t="shared" si="14"/>
        <v>3.12</v>
      </c>
      <c r="R122" s="52">
        <v>3.13</v>
      </c>
      <c r="S122" s="52">
        <f t="shared" si="10"/>
        <v>29.9999999999994</v>
      </c>
      <c r="T122" s="108">
        <f t="shared" si="11"/>
        <v>4800.00000000004</v>
      </c>
      <c r="U122" s="112"/>
      <c r="V122" s="52">
        <v>1.89</v>
      </c>
      <c r="W122" s="52">
        <v>26.84</v>
      </c>
      <c r="X122" s="52"/>
      <c r="Y122" s="52"/>
      <c r="Z122" s="52"/>
      <c r="AA122" s="52"/>
      <c r="AB122" s="108" t="s">
        <v>72</v>
      </c>
    </row>
    <row r="123" spans="1:28">
      <c r="A123" s="90">
        <f t="shared" si="8"/>
        <v>125</v>
      </c>
      <c r="B123" s="98">
        <v>45868</v>
      </c>
      <c r="C123" s="25">
        <v>45868</v>
      </c>
      <c r="D123" s="115">
        <v>0.3125</v>
      </c>
      <c r="E123" s="116">
        <v>0.78125</v>
      </c>
      <c r="F123" s="109">
        <v>1137</v>
      </c>
      <c r="G123" s="52">
        <v>1131.31</v>
      </c>
      <c r="H123" s="52">
        <v>1128.73</v>
      </c>
      <c r="I123" s="52">
        <v>1178.85</v>
      </c>
      <c r="J123" s="52">
        <v>1167.72</v>
      </c>
      <c r="K123" s="52">
        <v>1164.46</v>
      </c>
      <c r="L123" s="52">
        <v>1169.86</v>
      </c>
      <c r="M123" s="110">
        <f t="shared" si="12"/>
        <v>8077.93</v>
      </c>
      <c r="N123" s="111">
        <f t="shared" si="13"/>
        <v>423.18</v>
      </c>
      <c r="O123" s="52">
        <v>425.66</v>
      </c>
      <c r="P123" s="52">
        <f t="shared" si="9"/>
        <v>7440.00000000005</v>
      </c>
      <c r="Q123" s="52">
        <f t="shared" si="14"/>
        <v>3.13</v>
      </c>
      <c r="R123" s="52">
        <v>3.14</v>
      </c>
      <c r="S123" s="52">
        <f t="shared" si="10"/>
        <v>30.0000000000007</v>
      </c>
      <c r="T123" s="108">
        <f t="shared" si="11"/>
        <v>7410.00000000005</v>
      </c>
      <c r="U123" s="112"/>
      <c r="V123" s="52">
        <v>3.4</v>
      </c>
      <c r="W123" s="52">
        <v>28.71</v>
      </c>
      <c r="X123" s="52"/>
      <c r="Y123" s="52"/>
      <c r="Z123" s="52"/>
      <c r="AA123" s="52"/>
      <c r="AB123" s="108" t="s">
        <v>72</v>
      </c>
    </row>
    <row r="124" spans="1:28">
      <c r="A124" s="90">
        <f t="shared" si="8"/>
        <v>126</v>
      </c>
      <c r="B124" s="98">
        <v>45869</v>
      </c>
      <c r="C124" s="25">
        <v>45869</v>
      </c>
      <c r="D124" s="115">
        <v>0.3125</v>
      </c>
      <c r="E124" s="116">
        <v>0.78125</v>
      </c>
      <c r="F124" s="109">
        <v>765.58</v>
      </c>
      <c r="G124" s="52">
        <v>760.76</v>
      </c>
      <c r="H124" s="52">
        <v>760.49</v>
      </c>
      <c r="I124" s="52">
        <v>795.8</v>
      </c>
      <c r="J124" s="52">
        <v>790.3</v>
      </c>
      <c r="K124" s="52">
        <v>790.8</v>
      </c>
      <c r="L124" s="52">
        <v>798.98</v>
      </c>
      <c r="M124" s="110">
        <f t="shared" si="12"/>
        <v>5462.71</v>
      </c>
      <c r="N124" s="111">
        <f t="shared" si="13"/>
        <v>425.66</v>
      </c>
      <c r="O124" s="52">
        <v>427.67</v>
      </c>
      <c r="P124" s="52">
        <f t="shared" si="9"/>
        <v>6029.99999999997</v>
      </c>
      <c r="Q124" s="52">
        <f t="shared" si="14"/>
        <v>3.14</v>
      </c>
      <c r="R124" s="52">
        <v>3.15</v>
      </c>
      <c r="S124" s="52">
        <f t="shared" si="10"/>
        <v>29.9999999999994</v>
      </c>
      <c r="T124" s="108">
        <f t="shared" si="11"/>
        <v>5999.99999999997</v>
      </c>
      <c r="U124" s="112"/>
      <c r="V124" s="52">
        <v>2.19</v>
      </c>
      <c r="W124" s="52">
        <v>28.27</v>
      </c>
      <c r="X124" s="52"/>
      <c r="Y124" s="52"/>
      <c r="Z124" s="52"/>
      <c r="AA124" s="52"/>
      <c r="AB124" s="108" t="s">
        <v>72</v>
      </c>
    </row>
    <row r="125" spans="1:28">
      <c r="A125" s="90">
        <f t="shared" si="8"/>
        <v>127</v>
      </c>
      <c r="B125" s="98">
        <v>45870</v>
      </c>
      <c r="C125" s="25">
        <v>45870</v>
      </c>
      <c r="D125" s="115">
        <v>0.302083333333333</v>
      </c>
      <c r="E125" s="116">
        <v>0.78125</v>
      </c>
      <c r="F125" s="109">
        <v>915.55</v>
      </c>
      <c r="G125" s="52">
        <v>908</v>
      </c>
      <c r="H125" s="52">
        <v>907</v>
      </c>
      <c r="I125" s="52">
        <v>944.6</v>
      </c>
      <c r="J125" s="52">
        <v>936.25</v>
      </c>
      <c r="K125" s="52">
        <v>934</v>
      </c>
      <c r="L125" s="52">
        <v>940.6</v>
      </c>
      <c r="M125" s="110">
        <f t="shared" si="12"/>
        <v>6486</v>
      </c>
      <c r="N125" s="111">
        <f t="shared" si="13"/>
        <v>427.67</v>
      </c>
      <c r="O125" s="52">
        <v>429.82</v>
      </c>
      <c r="P125" s="52">
        <f t="shared" si="9"/>
        <v>6449.99999999993</v>
      </c>
      <c r="Q125" s="52">
        <f t="shared" si="14"/>
        <v>3.15</v>
      </c>
      <c r="R125" s="52">
        <v>3.16</v>
      </c>
      <c r="S125" s="52">
        <f t="shared" si="10"/>
        <v>30.0000000000007</v>
      </c>
      <c r="T125" s="108">
        <f t="shared" si="11"/>
        <v>6419.99999999993</v>
      </c>
      <c r="U125" s="112"/>
      <c r="V125" s="52">
        <v>2.71</v>
      </c>
      <c r="W125" s="52">
        <v>28.17</v>
      </c>
      <c r="X125" s="52"/>
      <c r="Y125" s="52"/>
      <c r="Z125" s="52"/>
      <c r="AA125" s="52"/>
      <c r="AB125" s="108" t="s">
        <v>72</v>
      </c>
    </row>
    <row r="126" spans="1:28">
      <c r="A126" s="90">
        <f t="shared" si="8"/>
        <v>128</v>
      </c>
      <c r="B126" s="98">
        <v>45871</v>
      </c>
      <c r="C126" s="25">
        <v>45871</v>
      </c>
      <c r="D126" s="115">
        <v>0.291666666666667</v>
      </c>
      <c r="E126" s="116">
        <v>0.791666666666667</v>
      </c>
      <c r="F126" s="109">
        <v>1037.15</v>
      </c>
      <c r="G126" s="52">
        <v>1030.04</v>
      </c>
      <c r="H126" s="52">
        <v>1029.01</v>
      </c>
      <c r="I126" s="52">
        <v>1075.75</v>
      </c>
      <c r="J126" s="52">
        <v>1071.72</v>
      </c>
      <c r="K126" s="52">
        <v>1072.72</v>
      </c>
      <c r="L126" s="52">
        <v>1083.84</v>
      </c>
      <c r="M126" s="110">
        <f t="shared" si="12"/>
        <v>7400.23</v>
      </c>
      <c r="N126" s="111">
        <f t="shared" si="13"/>
        <v>429.82</v>
      </c>
      <c r="O126" s="52">
        <v>432.28</v>
      </c>
      <c r="P126" s="52">
        <f t="shared" si="9"/>
        <v>7379.99999999994</v>
      </c>
      <c r="Q126" s="52">
        <f t="shared" si="14"/>
        <v>3.16</v>
      </c>
      <c r="R126" s="52">
        <v>3.17</v>
      </c>
      <c r="S126" s="52">
        <f t="shared" si="10"/>
        <v>29.9999999999994</v>
      </c>
      <c r="T126" s="108">
        <f t="shared" si="11"/>
        <v>7349.99999999994</v>
      </c>
      <c r="U126" s="112"/>
      <c r="V126" s="52">
        <v>3.07</v>
      </c>
      <c r="W126" s="52">
        <v>28</v>
      </c>
      <c r="X126" s="52"/>
      <c r="Y126" s="52"/>
      <c r="Z126" s="52"/>
      <c r="AA126" s="52"/>
      <c r="AB126" s="108" t="s">
        <v>72</v>
      </c>
    </row>
    <row r="127" spans="1:28">
      <c r="A127" s="90">
        <f t="shared" si="8"/>
        <v>129</v>
      </c>
      <c r="B127" s="98">
        <v>45872</v>
      </c>
      <c r="C127" s="25">
        <v>45872</v>
      </c>
      <c r="D127" s="115">
        <v>0.291666666666667</v>
      </c>
      <c r="E127" s="116">
        <v>0.770833333333333</v>
      </c>
      <c r="F127" s="109">
        <v>747.47</v>
      </c>
      <c r="G127" s="52">
        <v>739.65</v>
      </c>
      <c r="H127" s="52">
        <v>738.07</v>
      </c>
      <c r="I127" s="52">
        <v>770.01</v>
      </c>
      <c r="J127" s="52">
        <v>764.15</v>
      </c>
      <c r="K127" s="52">
        <v>761.02</v>
      </c>
      <c r="L127" s="52">
        <v>766.66</v>
      </c>
      <c r="M127" s="110">
        <f t="shared" si="12"/>
        <v>5287.03</v>
      </c>
      <c r="N127" s="111">
        <f t="shared" si="13"/>
        <v>432.28</v>
      </c>
      <c r="O127" s="52">
        <v>434.04</v>
      </c>
      <c r="P127" s="52">
        <f t="shared" si="9"/>
        <v>5280.00000000014</v>
      </c>
      <c r="Q127" s="52">
        <f t="shared" si="14"/>
        <v>3.17</v>
      </c>
      <c r="R127" s="52">
        <v>3.18</v>
      </c>
      <c r="S127" s="52">
        <f t="shared" si="10"/>
        <v>30.0000000000007</v>
      </c>
      <c r="T127" s="108">
        <f t="shared" si="11"/>
        <v>5250.00000000014</v>
      </c>
      <c r="U127" s="112"/>
      <c r="V127" s="52">
        <v>2.18</v>
      </c>
      <c r="W127" s="52">
        <v>27.76</v>
      </c>
      <c r="X127" s="52"/>
      <c r="Y127" s="52"/>
      <c r="Z127" s="52"/>
      <c r="AA127" s="52"/>
      <c r="AB127" s="108" t="s">
        <v>72</v>
      </c>
    </row>
    <row r="128" spans="1:28">
      <c r="A128" s="90">
        <f t="shared" si="8"/>
        <v>130</v>
      </c>
      <c r="B128" s="98">
        <v>45873</v>
      </c>
      <c r="C128" s="25">
        <v>45873</v>
      </c>
      <c r="D128" s="115">
        <v>0.28125</v>
      </c>
      <c r="E128" s="116">
        <v>0.791666666666667</v>
      </c>
      <c r="F128" s="109">
        <v>731.18</v>
      </c>
      <c r="G128" s="52">
        <v>725.02</v>
      </c>
      <c r="H128" s="52">
        <v>724.44</v>
      </c>
      <c r="I128" s="52">
        <v>756.58</v>
      </c>
      <c r="J128" s="52">
        <v>750.5</v>
      </c>
      <c r="K128" s="52">
        <v>748.34</v>
      </c>
      <c r="L128" s="52">
        <v>752.54</v>
      </c>
      <c r="M128" s="110">
        <f t="shared" si="12"/>
        <v>5188.6</v>
      </c>
      <c r="N128" s="111">
        <f t="shared" si="13"/>
        <v>434.04</v>
      </c>
      <c r="O128" s="52">
        <v>435.77</v>
      </c>
      <c r="P128" s="52">
        <f t="shared" si="9"/>
        <v>5189.99999999988</v>
      </c>
      <c r="Q128" s="52">
        <f t="shared" si="14"/>
        <v>3.18</v>
      </c>
      <c r="R128" s="52">
        <v>3.19</v>
      </c>
      <c r="S128" s="52">
        <f t="shared" si="10"/>
        <v>29.9999999999994</v>
      </c>
      <c r="T128" s="108">
        <f t="shared" si="11"/>
        <v>5159.99999999988</v>
      </c>
      <c r="U128" s="112"/>
      <c r="V128" s="52">
        <v>1.96</v>
      </c>
      <c r="W128" s="52">
        <v>26.72</v>
      </c>
      <c r="X128" s="52"/>
      <c r="Y128" s="52"/>
      <c r="Z128" s="52"/>
      <c r="AA128" s="52"/>
      <c r="AB128" s="108" t="s">
        <v>72</v>
      </c>
    </row>
    <row r="129" spans="1:28">
      <c r="A129" s="90">
        <f t="shared" si="8"/>
        <v>131</v>
      </c>
      <c r="B129" s="98">
        <v>45874</v>
      </c>
      <c r="C129" s="25">
        <v>45874</v>
      </c>
      <c r="D129" s="115">
        <v>0.28125</v>
      </c>
      <c r="E129" s="116">
        <v>0.791666666666667</v>
      </c>
      <c r="F129" s="109">
        <v>1001</v>
      </c>
      <c r="G129" s="52">
        <v>994.4</v>
      </c>
      <c r="H129" s="52">
        <v>993.95</v>
      </c>
      <c r="I129" s="52">
        <v>1039.8</v>
      </c>
      <c r="J129" s="52">
        <v>1036.55</v>
      </c>
      <c r="K129" s="52">
        <v>1031.51</v>
      </c>
      <c r="L129" s="52">
        <v>1038.9</v>
      </c>
      <c r="M129" s="110">
        <f t="shared" si="12"/>
        <v>7136.11</v>
      </c>
      <c r="N129" s="111">
        <f t="shared" si="13"/>
        <v>435.77</v>
      </c>
      <c r="O129" s="52">
        <v>438.13</v>
      </c>
      <c r="P129" s="52">
        <f t="shared" si="9"/>
        <v>7080.00000000004</v>
      </c>
      <c r="Q129" s="52">
        <f t="shared" si="14"/>
        <v>3.19</v>
      </c>
      <c r="R129" s="52">
        <v>3.2</v>
      </c>
      <c r="S129" s="52">
        <f t="shared" si="10"/>
        <v>30.0000000000007</v>
      </c>
      <c r="T129" s="108">
        <f t="shared" si="11"/>
        <v>7050.00000000004</v>
      </c>
      <c r="U129" s="112"/>
      <c r="V129" s="52">
        <v>3</v>
      </c>
      <c r="W129" s="52">
        <v>27.62</v>
      </c>
      <c r="X129" s="52"/>
      <c r="Y129" s="52"/>
      <c r="Z129" s="52"/>
      <c r="AA129" s="52"/>
      <c r="AB129" s="108" t="s">
        <v>72</v>
      </c>
    </row>
    <row r="130" spans="1:28">
      <c r="A130" s="90">
        <f t="shared" si="8"/>
        <v>132</v>
      </c>
      <c r="B130" s="98">
        <v>45875</v>
      </c>
      <c r="C130" s="25">
        <v>45875</v>
      </c>
      <c r="D130" s="115">
        <v>0.291666666666667</v>
      </c>
      <c r="E130" s="116">
        <v>0.791666666666667</v>
      </c>
      <c r="F130" s="109">
        <v>1499.52</v>
      </c>
      <c r="G130" s="52">
        <v>1494.68</v>
      </c>
      <c r="H130" s="52">
        <v>1492.16</v>
      </c>
      <c r="I130" s="52">
        <v>1559.55</v>
      </c>
      <c r="J130" s="52">
        <v>1554.17</v>
      </c>
      <c r="K130" s="52">
        <v>1553.73</v>
      </c>
      <c r="L130" s="52">
        <v>1565.3</v>
      </c>
      <c r="M130" s="110">
        <f t="shared" si="12"/>
        <v>10719.11</v>
      </c>
      <c r="N130" s="111">
        <f t="shared" si="13"/>
        <v>438.13</v>
      </c>
      <c r="O130" s="52">
        <v>441.67</v>
      </c>
      <c r="P130" s="52">
        <f t="shared" si="9"/>
        <v>10620.0000000001</v>
      </c>
      <c r="Q130" s="52">
        <f t="shared" si="14"/>
        <v>3.2</v>
      </c>
      <c r="R130" s="52">
        <v>3.21</v>
      </c>
      <c r="S130" s="52">
        <f t="shared" si="10"/>
        <v>29.9999999999994</v>
      </c>
      <c r="T130" s="108">
        <f t="shared" si="11"/>
        <v>10590.0000000001</v>
      </c>
      <c r="U130" s="112"/>
      <c r="V130" s="52">
        <v>4.33</v>
      </c>
      <c r="W130" s="52">
        <v>29.27</v>
      </c>
      <c r="X130" s="52"/>
      <c r="Y130" s="52"/>
      <c r="Z130" s="52"/>
      <c r="AA130" s="52"/>
      <c r="AB130" s="108" t="s">
        <v>72</v>
      </c>
    </row>
    <row r="131" spans="1:28">
      <c r="A131" s="90">
        <f t="shared" ref="A131:A194" si="15">A130+1</f>
        <v>133</v>
      </c>
      <c r="B131" s="98">
        <v>45876</v>
      </c>
      <c r="C131" s="25">
        <v>45876</v>
      </c>
      <c r="D131" s="115">
        <v>0.28125</v>
      </c>
      <c r="E131" s="116">
        <v>0.791666666666667</v>
      </c>
      <c r="F131" s="109">
        <v>1753.2</v>
      </c>
      <c r="G131" s="52">
        <v>1744.43</v>
      </c>
      <c r="H131" s="52">
        <v>1741.57</v>
      </c>
      <c r="I131" s="52">
        <v>1815.21</v>
      </c>
      <c r="J131" s="52">
        <v>1804.12</v>
      </c>
      <c r="K131" s="52">
        <v>1798.37</v>
      </c>
      <c r="L131" s="52">
        <v>1800.8</v>
      </c>
      <c r="M131" s="110">
        <f t="shared" si="12"/>
        <v>12457.7</v>
      </c>
      <c r="N131" s="111">
        <f t="shared" si="13"/>
        <v>441.67</v>
      </c>
      <c r="O131" s="52">
        <v>445.78</v>
      </c>
      <c r="P131" s="52">
        <f t="shared" ref="P131:P194" si="16">MAX((O131-N131)*3000,0)</f>
        <v>12329.9999999999</v>
      </c>
      <c r="Q131" s="52">
        <v>3.22</v>
      </c>
      <c r="R131" s="52">
        <v>3.23</v>
      </c>
      <c r="S131" s="52">
        <f t="shared" ref="S131:S194" si="17">MAX((R131-Q131)*3000,0)</f>
        <v>29.9999999999994</v>
      </c>
      <c r="T131" s="108">
        <f t="shared" ref="T131:T194" si="18">P131-S131</f>
        <v>12299.9999999999</v>
      </c>
      <c r="U131" s="112"/>
      <c r="V131" s="52">
        <v>5.09</v>
      </c>
      <c r="W131" s="52">
        <v>30.02</v>
      </c>
      <c r="X131" s="52"/>
      <c r="Y131" s="52"/>
      <c r="Z131" s="52"/>
      <c r="AA131" s="52"/>
      <c r="AB131" s="108" t="s">
        <v>72</v>
      </c>
    </row>
    <row r="132" spans="1:28">
      <c r="A132" s="90">
        <f t="shared" si="15"/>
        <v>134</v>
      </c>
      <c r="B132" s="98">
        <v>45877</v>
      </c>
      <c r="C132" s="25">
        <v>45877</v>
      </c>
      <c r="D132" s="115">
        <v>0.291666666666667</v>
      </c>
      <c r="E132" s="116">
        <v>0.791666666666667</v>
      </c>
      <c r="F132" s="109">
        <v>1473.07</v>
      </c>
      <c r="G132" s="52">
        <v>1467.83</v>
      </c>
      <c r="H132" s="52">
        <v>1464.44</v>
      </c>
      <c r="I132" s="52">
        <v>1531.56</v>
      </c>
      <c r="J132" s="52">
        <v>1517.72</v>
      </c>
      <c r="K132" s="52">
        <v>1510.31</v>
      </c>
      <c r="L132" s="52">
        <v>1517.77</v>
      </c>
      <c r="M132" s="110">
        <f t="shared" si="12"/>
        <v>10482.7</v>
      </c>
      <c r="N132" s="111">
        <f t="shared" si="13"/>
        <v>445.78</v>
      </c>
      <c r="O132" s="52">
        <v>449.24</v>
      </c>
      <c r="P132" s="52">
        <f t="shared" si="16"/>
        <v>10380.0000000001</v>
      </c>
      <c r="Q132" s="52">
        <f t="shared" si="14"/>
        <v>3.23</v>
      </c>
      <c r="R132" s="52">
        <v>3.23</v>
      </c>
      <c r="S132" s="52">
        <f t="shared" si="17"/>
        <v>0</v>
      </c>
      <c r="T132" s="108">
        <f t="shared" si="18"/>
        <v>10380.0000000001</v>
      </c>
      <c r="U132" s="112"/>
      <c r="V132" s="52">
        <v>4.32</v>
      </c>
      <c r="W132" s="52">
        <v>30</v>
      </c>
      <c r="X132" s="52"/>
      <c r="Y132" s="52"/>
      <c r="Z132" s="52"/>
      <c r="AA132" s="52"/>
      <c r="AB132" s="108" t="s">
        <v>72</v>
      </c>
    </row>
    <row r="133" spans="1:28">
      <c r="A133" s="90">
        <f t="shared" si="15"/>
        <v>135</v>
      </c>
      <c r="B133" s="98">
        <v>45878</v>
      </c>
      <c r="C133" s="25">
        <v>45878</v>
      </c>
      <c r="D133" s="115">
        <v>0.291666666666667</v>
      </c>
      <c r="E133" s="116">
        <v>0.791666666666667</v>
      </c>
      <c r="F133" s="109">
        <v>1093.92</v>
      </c>
      <c r="G133" s="52">
        <v>1090.15</v>
      </c>
      <c r="H133" s="52">
        <v>1088.1</v>
      </c>
      <c r="I133" s="52">
        <v>1140.24</v>
      </c>
      <c r="J133" s="52">
        <v>1132.67</v>
      </c>
      <c r="K133" s="52">
        <v>1128.6</v>
      </c>
      <c r="L133" s="52">
        <v>1138.69</v>
      </c>
      <c r="M133" s="110">
        <f t="shared" si="12"/>
        <v>7812.37</v>
      </c>
      <c r="N133" s="111">
        <f t="shared" si="13"/>
        <v>449.24</v>
      </c>
      <c r="O133" s="52">
        <v>451.83</v>
      </c>
      <c r="P133" s="52">
        <f t="shared" si="16"/>
        <v>7769.99999999993</v>
      </c>
      <c r="Q133" s="52">
        <f t="shared" si="14"/>
        <v>3.23</v>
      </c>
      <c r="R133" s="52">
        <v>3.24</v>
      </c>
      <c r="S133" s="52">
        <f t="shared" si="17"/>
        <v>30.0000000000007</v>
      </c>
      <c r="T133" s="108">
        <f t="shared" si="18"/>
        <v>7739.99999999992</v>
      </c>
      <c r="U133" s="112"/>
      <c r="V133" s="52">
        <v>3.13</v>
      </c>
      <c r="W133" s="52">
        <v>28.46</v>
      </c>
      <c r="X133" s="52"/>
      <c r="Y133" s="52"/>
      <c r="Z133" s="52"/>
      <c r="AA133" s="52"/>
      <c r="AB133" s="108" t="s">
        <v>72</v>
      </c>
    </row>
    <row r="134" spans="1:28">
      <c r="A134" s="90">
        <f t="shared" si="15"/>
        <v>136</v>
      </c>
      <c r="B134" s="98">
        <v>45879</v>
      </c>
      <c r="C134" s="25">
        <v>45879</v>
      </c>
      <c r="D134" s="115">
        <v>0.302083333333333</v>
      </c>
      <c r="E134" s="116">
        <v>0.78125</v>
      </c>
      <c r="F134" s="109">
        <v>1261.14</v>
      </c>
      <c r="G134" s="52">
        <v>1257.14</v>
      </c>
      <c r="H134" s="52">
        <v>1255.85</v>
      </c>
      <c r="I134" s="52">
        <v>1313.74</v>
      </c>
      <c r="J134" s="52">
        <v>1306.88</v>
      </c>
      <c r="K134" s="52">
        <v>1303.9</v>
      </c>
      <c r="L134" s="52">
        <v>1316.6</v>
      </c>
      <c r="M134" s="110">
        <f t="shared" si="12"/>
        <v>9015.25</v>
      </c>
      <c r="N134" s="111">
        <f t="shared" si="13"/>
        <v>451.83</v>
      </c>
      <c r="O134" s="52">
        <v>454.83</v>
      </c>
      <c r="P134" s="52">
        <f t="shared" si="16"/>
        <v>9000</v>
      </c>
      <c r="Q134" s="52">
        <f t="shared" si="14"/>
        <v>3.24</v>
      </c>
      <c r="R134" s="52">
        <v>3.25</v>
      </c>
      <c r="S134" s="52">
        <f t="shared" si="17"/>
        <v>29.9999999999994</v>
      </c>
      <c r="T134" s="108">
        <f t="shared" si="18"/>
        <v>8970</v>
      </c>
      <c r="U134" s="112"/>
      <c r="V134" s="52">
        <v>3.41</v>
      </c>
      <c r="W134" s="52">
        <v>27.68</v>
      </c>
      <c r="X134" s="52"/>
      <c r="Y134" s="52"/>
      <c r="Z134" s="52"/>
      <c r="AA134" s="52"/>
      <c r="AB134" s="108" t="s">
        <v>72</v>
      </c>
    </row>
    <row r="135" spans="1:28">
      <c r="A135" s="90">
        <f t="shared" si="15"/>
        <v>137</v>
      </c>
      <c r="B135" s="98">
        <v>45880</v>
      </c>
      <c r="C135" s="25">
        <v>45880</v>
      </c>
      <c r="D135" s="115">
        <v>0.302083333333333</v>
      </c>
      <c r="E135" s="116">
        <v>0.78125</v>
      </c>
      <c r="F135" s="109">
        <v>1381.22</v>
      </c>
      <c r="G135" s="52">
        <v>1380.25</v>
      </c>
      <c r="H135" s="52">
        <v>1385.16</v>
      </c>
      <c r="I135" s="52">
        <v>1450.6</v>
      </c>
      <c r="J135" s="52">
        <v>1442.46</v>
      </c>
      <c r="K135" s="52">
        <v>1435.51</v>
      </c>
      <c r="L135" s="52">
        <v>1445.5</v>
      </c>
      <c r="M135" s="110">
        <f t="shared" si="12"/>
        <v>9920.7</v>
      </c>
      <c r="N135" s="111">
        <f t="shared" si="13"/>
        <v>454.83</v>
      </c>
      <c r="O135" s="52">
        <v>458.12</v>
      </c>
      <c r="P135" s="52">
        <f t="shared" si="16"/>
        <v>9870.00000000006</v>
      </c>
      <c r="Q135" s="52">
        <f t="shared" si="14"/>
        <v>3.25</v>
      </c>
      <c r="R135" s="52">
        <v>3.26</v>
      </c>
      <c r="S135" s="52">
        <f t="shared" si="17"/>
        <v>29.9999999999994</v>
      </c>
      <c r="T135" s="108">
        <f t="shared" si="18"/>
        <v>9840.00000000006</v>
      </c>
      <c r="U135" s="112"/>
      <c r="V135" s="52">
        <v>3.67</v>
      </c>
      <c r="W135" s="52">
        <v>28.7</v>
      </c>
      <c r="X135" s="52"/>
      <c r="Y135" s="52"/>
      <c r="Z135" s="52"/>
      <c r="AA135" s="52"/>
      <c r="AB135" s="108" t="s">
        <v>72</v>
      </c>
    </row>
    <row r="136" spans="1:28">
      <c r="A136" s="90">
        <f t="shared" si="15"/>
        <v>138</v>
      </c>
      <c r="B136" s="98">
        <v>45881</v>
      </c>
      <c r="C136" s="25">
        <v>45881</v>
      </c>
      <c r="D136" s="115">
        <v>0.291666666666667</v>
      </c>
      <c r="E136" s="116">
        <v>0.75</v>
      </c>
      <c r="F136" s="109">
        <v>1127.29</v>
      </c>
      <c r="G136" s="52">
        <v>1119.79</v>
      </c>
      <c r="H136" s="52">
        <v>1120.61</v>
      </c>
      <c r="I136" s="52">
        <v>1168.03</v>
      </c>
      <c r="J136" s="52">
        <v>1158.76</v>
      </c>
      <c r="K136" s="52">
        <v>1157.9</v>
      </c>
      <c r="L136" s="52">
        <v>1169.13</v>
      </c>
      <c r="M136" s="110">
        <f t="shared" si="12"/>
        <v>8021.51</v>
      </c>
      <c r="N136" s="111">
        <f t="shared" si="13"/>
        <v>458.12</v>
      </c>
      <c r="O136" s="52">
        <v>460.78</v>
      </c>
      <c r="P136" s="52">
        <f t="shared" si="16"/>
        <v>7979.9999999999</v>
      </c>
      <c r="Q136" s="52">
        <f t="shared" si="14"/>
        <v>3.26</v>
      </c>
      <c r="R136" s="52">
        <v>3.27</v>
      </c>
      <c r="S136" s="52">
        <f t="shared" si="17"/>
        <v>30.0000000000007</v>
      </c>
      <c r="T136" s="108">
        <f t="shared" si="18"/>
        <v>7949.9999999999</v>
      </c>
      <c r="U136" s="112"/>
      <c r="V136" s="52">
        <v>2.94</v>
      </c>
      <c r="W136" s="52">
        <v>27.14</v>
      </c>
      <c r="X136" s="52"/>
      <c r="Y136" s="52"/>
      <c r="Z136" s="52"/>
      <c r="AA136" s="52"/>
      <c r="AB136" s="108" t="s">
        <v>72</v>
      </c>
    </row>
    <row r="137" spans="1:28">
      <c r="A137" s="90">
        <f t="shared" si="15"/>
        <v>139</v>
      </c>
      <c r="B137" s="98">
        <v>45882</v>
      </c>
      <c r="C137" s="25">
        <v>45882</v>
      </c>
      <c r="D137" s="115">
        <v>0.302083333333333</v>
      </c>
      <c r="E137" s="116">
        <v>0.78125</v>
      </c>
      <c r="F137" s="109">
        <v>1292</v>
      </c>
      <c r="G137" s="52">
        <v>1283.32</v>
      </c>
      <c r="H137" s="52">
        <v>1278.84</v>
      </c>
      <c r="I137" s="52">
        <v>1332.46</v>
      </c>
      <c r="J137" s="52">
        <v>1320.36</v>
      </c>
      <c r="K137" s="52">
        <v>1315.12</v>
      </c>
      <c r="L137" s="52">
        <v>1320.56</v>
      </c>
      <c r="M137" s="110">
        <f t="shared" si="12"/>
        <v>9142.66</v>
      </c>
      <c r="N137" s="111">
        <f t="shared" si="13"/>
        <v>460.78</v>
      </c>
      <c r="O137" s="52">
        <v>463.81</v>
      </c>
      <c r="P137" s="52">
        <f t="shared" si="16"/>
        <v>9090.00000000009</v>
      </c>
      <c r="Q137" s="52">
        <f t="shared" si="14"/>
        <v>3.27</v>
      </c>
      <c r="R137" s="52">
        <v>3.28</v>
      </c>
      <c r="S137" s="52">
        <f t="shared" si="17"/>
        <v>29.9999999999994</v>
      </c>
      <c r="T137" s="108">
        <f t="shared" si="18"/>
        <v>9060.00000000009</v>
      </c>
      <c r="U137" s="112"/>
      <c r="V137" s="52">
        <v>3.69</v>
      </c>
      <c r="W137" s="52">
        <v>28.87</v>
      </c>
      <c r="X137" s="52"/>
      <c r="Y137" s="52"/>
      <c r="Z137" s="52"/>
      <c r="AA137" s="52"/>
      <c r="AB137" s="108" t="s">
        <v>72</v>
      </c>
    </row>
    <row r="138" spans="1:28">
      <c r="A138" s="90">
        <f t="shared" si="15"/>
        <v>140</v>
      </c>
      <c r="B138" s="98">
        <v>45883</v>
      </c>
      <c r="C138" s="25">
        <v>45883</v>
      </c>
      <c r="D138" s="115">
        <v>0.302083333333333</v>
      </c>
      <c r="E138" s="116">
        <v>0.78125</v>
      </c>
      <c r="F138" s="109">
        <v>979.85</v>
      </c>
      <c r="G138" s="52">
        <v>974.8</v>
      </c>
      <c r="H138" s="52">
        <v>976.81</v>
      </c>
      <c r="I138" s="52">
        <v>1023.5</v>
      </c>
      <c r="J138" s="52">
        <v>1019.58</v>
      </c>
      <c r="K138" s="52">
        <v>1019.31</v>
      </c>
      <c r="L138" s="52">
        <v>1028.68</v>
      </c>
      <c r="M138" s="110">
        <f t="shared" si="12"/>
        <v>7022.53</v>
      </c>
      <c r="N138" s="111">
        <f t="shared" si="13"/>
        <v>463.81</v>
      </c>
      <c r="O138" s="52">
        <v>466.13</v>
      </c>
      <c r="P138" s="52">
        <f t="shared" si="16"/>
        <v>6959.99999999998</v>
      </c>
      <c r="Q138" s="52">
        <f t="shared" si="14"/>
        <v>3.28</v>
      </c>
      <c r="R138" s="52">
        <v>3.29</v>
      </c>
      <c r="S138" s="52">
        <f t="shared" si="17"/>
        <v>30.0000000000007</v>
      </c>
      <c r="T138" s="108">
        <f t="shared" si="18"/>
        <v>6929.99999999998</v>
      </c>
      <c r="U138" s="112"/>
      <c r="V138" s="52">
        <v>2.7</v>
      </c>
      <c r="W138" s="52">
        <v>28.25</v>
      </c>
      <c r="X138" s="52"/>
      <c r="Y138" s="52"/>
      <c r="Z138" s="52"/>
      <c r="AA138" s="52"/>
      <c r="AB138" s="108" t="s">
        <v>72</v>
      </c>
    </row>
    <row r="139" spans="1:28">
      <c r="A139" s="90">
        <f t="shared" si="15"/>
        <v>141</v>
      </c>
      <c r="B139" s="98">
        <v>45884</v>
      </c>
      <c r="C139" s="25">
        <v>45884</v>
      </c>
      <c r="D139" s="115">
        <v>0.302083333333333</v>
      </c>
      <c r="E139" s="116">
        <v>0.760416666666667</v>
      </c>
      <c r="F139" s="109">
        <v>948.13</v>
      </c>
      <c r="G139" s="52">
        <v>942.53</v>
      </c>
      <c r="H139" s="52">
        <v>942.43</v>
      </c>
      <c r="I139" s="52">
        <v>982.52</v>
      </c>
      <c r="J139" s="52">
        <v>974.51</v>
      </c>
      <c r="K139" s="52">
        <v>973.05</v>
      </c>
      <c r="L139" s="52">
        <v>979.34</v>
      </c>
      <c r="M139" s="110">
        <f t="shared" si="12"/>
        <v>6742.51</v>
      </c>
      <c r="N139" s="111">
        <f t="shared" si="13"/>
        <v>466.13</v>
      </c>
      <c r="O139" s="52">
        <v>468.37</v>
      </c>
      <c r="P139" s="52">
        <f t="shared" si="16"/>
        <v>6720.00000000003</v>
      </c>
      <c r="Q139" s="52">
        <f t="shared" si="14"/>
        <v>3.29</v>
      </c>
      <c r="R139" s="52">
        <v>3.3</v>
      </c>
      <c r="S139" s="52">
        <f t="shared" si="17"/>
        <v>29.9999999999994</v>
      </c>
      <c r="T139" s="108">
        <f t="shared" si="18"/>
        <v>6690.00000000003</v>
      </c>
      <c r="U139" s="112"/>
      <c r="V139" s="52">
        <v>3.05</v>
      </c>
      <c r="W139" s="52">
        <v>29.48</v>
      </c>
      <c r="X139" s="52"/>
      <c r="Y139" s="52"/>
      <c r="Z139" s="52"/>
      <c r="AA139" s="52"/>
      <c r="AB139" s="108" t="s">
        <v>72</v>
      </c>
    </row>
    <row r="140" spans="1:28">
      <c r="A140" s="90">
        <f t="shared" si="15"/>
        <v>142</v>
      </c>
      <c r="B140" s="98">
        <v>45885</v>
      </c>
      <c r="C140" s="25">
        <v>45885</v>
      </c>
      <c r="D140" s="115">
        <v>0.302083333333333</v>
      </c>
      <c r="E140" s="116">
        <v>0.739583333333333</v>
      </c>
      <c r="F140" s="109">
        <v>1303.56</v>
      </c>
      <c r="G140" s="52">
        <v>1296.93</v>
      </c>
      <c r="H140" s="52">
        <v>1297.26</v>
      </c>
      <c r="I140" s="52">
        <v>1357.51</v>
      </c>
      <c r="J140" s="52">
        <v>1347.83</v>
      </c>
      <c r="K140" s="52">
        <v>1346.88</v>
      </c>
      <c r="L140" s="52">
        <v>1362.49</v>
      </c>
      <c r="M140" s="110">
        <f t="shared" si="12"/>
        <v>9312.46</v>
      </c>
      <c r="N140" s="111">
        <f t="shared" si="13"/>
        <v>468.37</v>
      </c>
      <c r="O140" s="52">
        <v>471.44</v>
      </c>
      <c r="P140" s="52">
        <f t="shared" si="16"/>
        <v>9209.99999999998</v>
      </c>
      <c r="Q140" s="52">
        <f t="shared" si="14"/>
        <v>3.3</v>
      </c>
      <c r="R140" s="52">
        <v>3.31</v>
      </c>
      <c r="S140" s="52">
        <f t="shared" si="17"/>
        <v>30.0000000000007</v>
      </c>
      <c r="T140" s="108">
        <f t="shared" si="18"/>
        <v>9179.99999999998</v>
      </c>
      <c r="U140" s="112"/>
      <c r="V140" s="52">
        <v>3.53</v>
      </c>
      <c r="W140" s="52">
        <v>29.46</v>
      </c>
      <c r="X140" s="52"/>
      <c r="Y140" s="52"/>
      <c r="Z140" s="52"/>
      <c r="AA140" s="52"/>
      <c r="AB140" s="108" t="s">
        <v>73</v>
      </c>
    </row>
    <row r="141" spans="1:28">
      <c r="A141" s="90">
        <f t="shared" si="15"/>
        <v>143</v>
      </c>
      <c r="B141" s="98">
        <v>45886</v>
      </c>
      <c r="C141" s="25">
        <v>45886</v>
      </c>
      <c r="D141" s="115">
        <v>0.302083333333333</v>
      </c>
      <c r="E141" s="116">
        <v>0.770833333333333</v>
      </c>
      <c r="F141" s="109">
        <v>1158.58</v>
      </c>
      <c r="G141" s="52">
        <v>1153</v>
      </c>
      <c r="H141" s="52">
        <v>1155.21</v>
      </c>
      <c r="I141" s="52">
        <v>1206.2</v>
      </c>
      <c r="J141" s="52">
        <v>1201.45</v>
      </c>
      <c r="K141" s="52">
        <v>1203.14</v>
      </c>
      <c r="L141" s="52">
        <v>1211.75</v>
      </c>
      <c r="M141" s="110">
        <f t="shared" ref="M141:M204" si="19">SUM(F141:L141)</f>
        <v>8289.33</v>
      </c>
      <c r="N141" s="111">
        <f t="shared" ref="N141:N204" si="20">O140</f>
        <v>471.44</v>
      </c>
      <c r="O141" s="52">
        <v>474.18</v>
      </c>
      <c r="P141" s="52">
        <f t="shared" si="16"/>
        <v>8220.00000000003</v>
      </c>
      <c r="Q141" s="52">
        <f t="shared" ref="Q141:Q204" si="21">R140</f>
        <v>3.31</v>
      </c>
      <c r="R141" s="52">
        <v>3.33</v>
      </c>
      <c r="S141" s="52">
        <f t="shared" si="17"/>
        <v>60.0000000000001</v>
      </c>
      <c r="T141" s="108">
        <f t="shared" si="18"/>
        <v>8160.00000000003</v>
      </c>
      <c r="U141" s="112"/>
      <c r="V141" s="52">
        <v>3.05</v>
      </c>
      <c r="W141" s="52">
        <v>28.69</v>
      </c>
      <c r="X141" s="52"/>
      <c r="Y141" s="52"/>
      <c r="Z141" s="52"/>
      <c r="AA141" s="52"/>
      <c r="AB141" s="108" t="s">
        <v>73</v>
      </c>
    </row>
    <row r="142" spans="1:28">
      <c r="A142" s="90">
        <f t="shared" si="15"/>
        <v>144</v>
      </c>
      <c r="B142" s="98">
        <v>45887</v>
      </c>
      <c r="C142" s="25">
        <v>45887</v>
      </c>
      <c r="D142" s="115">
        <v>0.291666666666667</v>
      </c>
      <c r="E142" s="116">
        <v>0.78125</v>
      </c>
      <c r="F142" s="109">
        <v>1175.18</v>
      </c>
      <c r="G142" s="52">
        <v>1167.11</v>
      </c>
      <c r="H142" s="52">
        <v>1164.37</v>
      </c>
      <c r="I142" s="52">
        <v>1207.02</v>
      </c>
      <c r="J142" s="52">
        <v>1194.61</v>
      </c>
      <c r="K142" s="52">
        <v>1200</v>
      </c>
      <c r="L142" s="52">
        <v>1202.86</v>
      </c>
      <c r="M142" s="110">
        <f t="shared" si="19"/>
        <v>8311.15</v>
      </c>
      <c r="N142" s="111">
        <f t="shared" si="20"/>
        <v>474.18</v>
      </c>
      <c r="O142" s="52">
        <v>476.93</v>
      </c>
      <c r="P142" s="52">
        <f t="shared" si="16"/>
        <v>8250</v>
      </c>
      <c r="Q142" s="52">
        <f t="shared" si="21"/>
        <v>3.33</v>
      </c>
      <c r="R142" s="52">
        <v>3.34</v>
      </c>
      <c r="S142" s="52">
        <f t="shared" si="17"/>
        <v>29.9999999999994</v>
      </c>
      <c r="T142" s="108">
        <f t="shared" si="18"/>
        <v>8220</v>
      </c>
      <c r="U142" s="112"/>
      <c r="V142" s="52">
        <v>3.27</v>
      </c>
      <c r="W142" s="52">
        <v>30</v>
      </c>
      <c r="X142" s="52"/>
      <c r="Y142" s="52"/>
      <c r="Z142" s="52"/>
      <c r="AA142" s="52"/>
      <c r="AB142" s="108" t="s">
        <v>73</v>
      </c>
    </row>
    <row r="143" spans="1:28">
      <c r="A143" s="90">
        <f t="shared" si="15"/>
        <v>145</v>
      </c>
      <c r="B143" s="98">
        <v>45888</v>
      </c>
      <c r="C143" s="25">
        <v>45888</v>
      </c>
      <c r="D143" s="52"/>
      <c r="E143" s="108"/>
      <c r="F143" s="109">
        <v>1307.97</v>
      </c>
      <c r="G143" s="52">
        <v>1300</v>
      </c>
      <c r="H143" s="52">
        <v>1300.63</v>
      </c>
      <c r="I143" s="52">
        <v>1357.37</v>
      </c>
      <c r="J143" s="52">
        <v>1352.77</v>
      </c>
      <c r="K143" s="52">
        <v>1353.43</v>
      </c>
      <c r="L143" s="52">
        <v>1365.51</v>
      </c>
      <c r="M143" s="110">
        <f t="shared" si="19"/>
        <v>9337.68</v>
      </c>
      <c r="N143" s="111">
        <f t="shared" si="20"/>
        <v>476.93</v>
      </c>
      <c r="O143" s="52">
        <v>480.01</v>
      </c>
      <c r="P143" s="52">
        <f t="shared" si="16"/>
        <v>9239.99999999995</v>
      </c>
      <c r="Q143" s="52">
        <f t="shared" si="21"/>
        <v>3.34</v>
      </c>
      <c r="R143" s="52">
        <v>3.35</v>
      </c>
      <c r="S143" s="52">
        <f t="shared" si="17"/>
        <v>30.0000000000007</v>
      </c>
      <c r="T143" s="108">
        <f t="shared" si="18"/>
        <v>9209.99999999995</v>
      </c>
      <c r="U143" s="112"/>
      <c r="V143" s="52"/>
      <c r="W143" s="52"/>
      <c r="X143" s="52"/>
      <c r="Y143" s="52"/>
      <c r="Z143" s="52"/>
      <c r="AA143" s="52"/>
      <c r="AB143" s="108"/>
    </row>
    <row r="144" spans="1:28">
      <c r="A144" s="90">
        <f t="shared" si="15"/>
        <v>146</v>
      </c>
      <c r="B144" s="98">
        <v>45889</v>
      </c>
      <c r="C144" s="25">
        <v>45889</v>
      </c>
      <c r="D144" s="52"/>
      <c r="E144" s="108"/>
      <c r="F144" s="109">
        <v>388.75</v>
      </c>
      <c r="G144" s="52">
        <v>384.46</v>
      </c>
      <c r="H144" s="52">
        <v>386.3</v>
      </c>
      <c r="I144" s="52">
        <v>404.7</v>
      </c>
      <c r="J144" s="52">
        <v>401.4</v>
      </c>
      <c r="K144" s="52">
        <v>400.51</v>
      </c>
      <c r="L144" s="52">
        <v>404.25</v>
      </c>
      <c r="M144" s="110">
        <f t="shared" si="19"/>
        <v>2770.37</v>
      </c>
      <c r="N144" s="111">
        <f t="shared" si="20"/>
        <v>480.01</v>
      </c>
      <c r="O144" s="52">
        <v>480.93</v>
      </c>
      <c r="P144" s="52">
        <f t="shared" si="16"/>
        <v>2760.00000000005</v>
      </c>
      <c r="Q144" s="52">
        <f t="shared" si="21"/>
        <v>3.35</v>
      </c>
      <c r="R144" s="52">
        <v>3.36</v>
      </c>
      <c r="S144" s="52">
        <f t="shared" si="17"/>
        <v>29.9999999999994</v>
      </c>
      <c r="T144" s="108">
        <f t="shared" si="18"/>
        <v>2730.00000000005</v>
      </c>
      <c r="U144" s="112"/>
      <c r="V144" s="52"/>
      <c r="W144" s="52"/>
      <c r="X144" s="52"/>
      <c r="Y144" s="52"/>
      <c r="Z144" s="52"/>
      <c r="AA144" s="52"/>
      <c r="AB144" s="108"/>
    </row>
    <row r="145" spans="1:28">
      <c r="A145" s="90">
        <f t="shared" si="15"/>
        <v>147</v>
      </c>
      <c r="B145" s="98">
        <v>45890</v>
      </c>
      <c r="C145" s="25">
        <v>45890</v>
      </c>
      <c r="D145" s="52"/>
      <c r="E145" s="108"/>
      <c r="F145" s="109">
        <v>1145.52</v>
      </c>
      <c r="G145" s="52">
        <v>1139.51</v>
      </c>
      <c r="H145" s="52">
        <v>1138.05</v>
      </c>
      <c r="I145" s="52">
        <v>1183.51</v>
      </c>
      <c r="J145" s="52">
        <v>1176.01</v>
      </c>
      <c r="K145" s="52">
        <v>1172.02</v>
      </c>
      <c r="L145" s="52">
        <v>1175.76</v>
      </c>
      <c r="M145" s="110">
        <f t="shared" si="19"/>
        <v>8130.38</v>
      </c>
      <c r="N145" s="111">
        <f t="shared" si="20"/>
        <v>480.93</v>
      </c>
      <c r="O145" s="52">
        <v>483.62</v>
      </c>
      <c r="P145" s="52">
        <f t="shared" si="16"/>
        <v>8069.99999999999</v>
      </c>
      <c r="Q145" s="52">
        <f t="shared" si="21"/>
        <v>3.36</v>
      </c>
      <c r="R145" s="52">
        <v>3.37</v>
      </c>
      <c r="S145" s="52">
        <f t="shared" si="17"/>
        <v>30.0000000000007</v>
      </c>
      <c r="T145" s="108">
        <f t="shared" si="18"/>
        <v>8039.99999999999</v>
      </c>
      <c r="U145" s="112"/>
      <c r="V145" s="52"/>
      <c r="W145" s="52"/>
      <c r="X145" s="52"/>
      <c r="Y145" s="52"/>
      <c r="Z145" s="52"/>
      <c r="AA145" s="52"/>
      <c r="AB145" s="108"/>
    </row>
    <row r="146" spans="1:28">
      <c r="A146" s="90">
        <f t="shared" si="15"/>
        <v>148</v>
      </c>
      <c r="B146" s="98">
        <v>45891</v>
      </c>
      <c r="C146" s="25">
        <v>45891</v>
      </c>
      <c r="D146" s="52"/>
      <c r="E146" s="108"/>
      <c r="F146" s="52">
        <v>1214.63</v>
      </c>
      <c r="G146" s="52">
        <v>1203.72</v>
      </c>
      <c r="H146" s="52">
        <v>1196.54</v>
      </c>
      <c r="I146" s="52">
        <v>1238.2</v>
      </c>
      <c r="J146" s="52">
        <v>1219.82</v>
      </c>
      <c r="K146" s="52">
        <v>1211.91</v>
      </c>
      <c r="L146" s="52">
        <v>1207.31</v>
      </c>
      <c r="M146" s="110">
        <f t="shared" si="19"/>
        <v>8492.13</v>
      </c>
      <c r="N146" s="111">
        <f t="shared" si="20"/>
        <v>483.62</v>
      </c>
      <c r="O146" s="52">
        <v>486.44</v>
      </c>
      <c r="P146" s="52">
        <f t="shared" si="16"/>
        <v>8459.99999999998</v>
      </c>
      <c r="Q146" s="52">
        <f t="shared" si="21"/>
        <v>3.37</v>
      </c>
      <c r="R146" s="52">
        <v>3.38</v>
      </c>
      <c r="S146" s="52">
        <f t="shared" si="17"/>
        <v>29.9999999999994</v>
      </c>
      <c r="T146" s="108">
        <f t="shared" si="18"/>
        <v>8429.99999999998</v>
      </c>
      <c r="U146" s="112"/>
      <c r="V146" s="52"/>
      <c r="W146" s="52"/>
      <c r="X146" s="52"/>
      <c r="Y146" s="52"/>
      <c r="Z146" s="52"/>
      <c r="AA146" s="52"/>
      <c r="AB146" s="108"/>
    </row>
    <row r="147" spans="1:28">
      <c r="A147" s="90">
        <f t="shared" si="15"/>
        <v>149</v>
      </c>
      <c r="B147" s="98">
        <v>45892</v>
      </c>
      <c r="C147" s="25">
        <v>45892</v>
      </c>
      <c r="D147" s="52"/>
      <c r="E147" s="108"/>
      <c r="F147" s="109">
        <v>825.47</v>
      </c>
      <c r="G147" s="52">
        <v>820.58</v>
      </c>
      <c r="H147" s="52">
        <v>819.1</v>
      </c>
      <c r="I147" s="52">
        <v>853.46</v>
      </c>
      <c r="J147" s="52">
        <v>845.59</v>
      </c>
      <c r="K147" s="52">
        <v>843.81</v>
      </c>
      <c r="L147" s="52">
        <v>847.17</v>
      </c>
      <c r="M147" s="110">
        <f t="shared" si="19"/>
        <v>5855.18</v>
      </c>
      <c r="N147" s="111">
        <f t="shared" si="20"/>
        <v>486.44</v>
      </c>
      <c r="O147" s="52">
        <v>488.37</v>
      </c>
      <c r="P147" s="52">
        <f t="shared" si="16"/>
        <v>5790.00000000002</v>
      </c>
      <c r="Q147" s="52">
        <f t="shared" si="21"/>
        <v>3.38</v>
      </c>
      <c r="R147" s="52">
        <v>3.39</v>
      </c>
      <c r="S147" s="52">
        <f t="shared" si="17"/>
        <v>30.0000000000007</v>
      </c>
      <c r="T147" s="108">
        <f t="shared" si="18"/>
        <v>5760.00000000002</v>
      </c>
      <c r="U147" s="112"/>
      <c r="V147" s="52"/>
      <c r="W147" s="52"/>
      <c r="X147" s="52"/>
      <c r="Y147" s="52"/>
      <c r="Z147" s="52"/>
      <c r="AA147" s="52"/>
      <c r="AB147" s="108"/>
    </row>
    <row r="148" spans="1:28">
      <c r="A148" s="90">
        <f t="shared" si="15"/>
        <v>150</v>
      </c>
      <c r="B148" s="98">
        <v>45893</v>
      </c>
      <c r="C148" s="25">
        <v>45893</v>
      </c>
      <c r="D148" s="52"/>
      <c r="E148" s="108"/>
      <c r="F148" s="109">
        <v>838.74</v>
      </c>
      <c r="G148" s="52">
        <v>833.23</v>
      </c>
      <c r="H148" s="52">
        <v>833.04</v>
      </c>
      <c r="I148" s="52">
        <v>870.71</v>
      </c>
      <c r="J148" s="52">
        <v>863.2</v>
      </c>
      <c r="K148" s="52">
        <v>861.2</v>
      </c>
      <c r="L148" s="52">
        <v>863.87</v>
      </c>
      <c r="M148" s="110">
        <f t="shared" si="19"/>
        <v>5963.99</v>
      </c>
      <c r="N148" s="111">
        <f t="shared" si="20"/>
        <v>488.37</v>
      </c>
      <c r="O148" s="52">
        <v>490.35</v>
      </c>
      <c r="P148" s="52">
        <f t="shared" si="16"/>
        <v>5940.00000000005</v>
      </c>
      <c r="Q148" s="52">
        <f t="shared" si="21"/>
        <v>3.39</v>
      </c>
      <c r="R148" s="52">
        <v>3.4</v>
      </c>
      <c r="S148" s="52">
        <f t="shared" si="17"/>
        <v>29.9999999999994</v>
      </c>
      <c r="T148" s="108">
        <f t="shared" si="18"/>
        <v>5910.00000000006</v>
      </c>
      <c r="U148" s="112"/>
      <c r="V148" s="52"/>
      <c r="W148" s="52"/>
      <c r="X148" s="52"/>
      <c r="Y148" s="52"/>
      <c r="Z148" s="52"/>
      <c r="AA148" s="52"/>
      <c r="AB148" s="108"/>
    </row>
    <row r="149" spans="1:28">
      <c r="A149" s="90">
        <f t="shared" si="15"/>
        <v>151</v>
      </c>
      <c r="B149" s="98">
        <v>45894</v>
      </c>
      <c r="C149" s="25">
        <v>45894</v>
      </c>
      <c r="D149" s="52"/>
      <c r="E149" s="108"/>
      <c r="F149" s="109">
        <v>871.67</v>
      </c>
      <c r="G149" s="52">
        <v>867.02</v>
      </c>
      <c r="H149" s="52">
        <v>866.28</v>
      </c>
      <c r="I149" s="52">
        <v>902.84</v>
      </c>
      <c r="J149" s="52">
        <v>896.48</v>
      </c>
      <c r="K149" s="52">
        <v>894.44</v>
      </c>
      <c r="L149" s="52">
        <v>898.22</v>
      </c>
      <c r="M149" s="110">
        <f t="shared" si="19"/>
        <v>6196.95</v>
      </c>
      <c r="N149" s="111">
        <f t="shared" si="20"/>
        <v>490.35</v>
      </c>
      <c r="O149" s="52">
        <v>492.41</v>
      </c>
      <c r="P149" s="52">
        <f t="shared" si="16"/>
        <v>6180.00000000001</v>
      </c>
      <c r="Q149" s="52">
        <f t="shared" si="21"/>
        <v>3.4</v>
      </c>
      <c r="R149" s="52">
        <v>3.41</v>
      </c>
      <c r="S149" s="52">
        <f t="shared" si="17"/>
        <v>30.0000000000007</v>
      </c>
      <c r="T149" s="108">
        <f t="shared" si="18"/>
        <v>6150.00000000001</v>
      </c>
      <c r="U149" s="112"/>
      <c r="V149" s="52"/>
      <c r="W149" s="52"/>
      <c r="X149" s="52"/>
      <c r="Y149" s="52"/>
      <c r="Z149" s="52"/>
      <c r="AA149" s="52"/>
      <c r="AB149" s="108"/>
    </row>
    <row r="150" spans="1:28">
      <c r="A150" s="90">
        <f t="shared" si="15"/>
        <v>152</v>
      </c>
      <c r="B150" s="98">
        <v>45895</v>
      </c>
      <c r="C150" s="25">
        <v>45895</v>
      </c>
      <c r="D150" s="52"/>
      <c r="E150" s="108"/>
      <c r="F150" s="109">
        <v>1081</v>
      </c>
      <c r="G150" s="52">
        <v>1076.5</v>
      </c>
      <c r="H150" s="52">
        <v>1071.15</v>
      </c>
      <c r="I150" s="52">
        <v>1117</v>
      </c>
      <c r="J150" s="52">
        <v>11105.55</v>
      </c>
      <c r="K150" s="52">
        <v>1100</v>
      </c>
      <c r="L150" s="52">
        <v>1100.6</v>
      </c>
      <c r="M150" s="110">
        <f t="shared" si="19"/>
        <v>17651.8</v>
      </c>
      <c r="N150" s="111">
        <f t="shared" si="20"/>
        <v>492.41</v>
      </c>
      <c r="O150" s="52">
        <v>494.95</v>
      </c>
      <c r="P150" s="52">
        <f t="shared" si="16"/>
        <v>7619.99999999989</v>
      </c>
      <c r="Q150" s="52">
        <f t="shared" si="21"/>
        <v>3.41</v>
      </c>
      <c r="R150" s="52">
        <v>3.42</v>
      </c>
      <c r="S150" s="52">
        <f t="shared" si="17"/>
        <v>29.9999999999994</v>
      </c>
      <c r="T150" s="108">
        <f t="shared" si="18"/>
        <v>7589.99999999989</v>
      </c>
      <c r="U150" s="112"/>
      <c r="V150" s="52"/>
      <c r="W150" s="52"/>
      <c r="X150" s="52"/>
      <c r="Y150" s="52"/>
      <c r="Z150" s="52"/>
      <c r="AA150" s="52"/>
      <c r="AB150" s="108"/>
    </row>
    <row r="151" spans="1:28">
      <c r="A151" s="90">
        <f t="shared" si="15"/>
        <v>153</v>
      </c>
      <c r="B151" s="98">
        <v>45896</v>
      </c>
      <c r="C151" s="25">
        <v>45896</v>
      </c>
      <c r="D151" s="52"/>
      <c r="E151" s="108"/>
      <c r="F151" s="109">
        <v>1331.35</v>
      </c>
      <c r="G151" s="52">
        <v>1325.83</v>
      </c>
      <c r="H151" s="52">
        <v>1326.49</v>
      </c>
      <c r="I151" s="52">
        <v>1384.51</v>
      </c>
      <c r="J151" s="52">
        <v>1379.8</v>
      </c>
      <c r="K151" s="52">
        <v>1379.01</v>
      </c>
      <c r="L151" s="52">
        <v>1389.6</v>
      </c>
      <c r="M151" s="110">
        <f t="shared" si="19"/>
        <v>9516.59</v>
      </c>
      <c r="N151" s="111">
        <f t="shared" si="20"/>
        <v>494.95</v>
      </c>
      <c r="O151" s="52">
        <v>498.09</v>
      </c>
      <c r="P151" s="52">
        <f t="shared" si="16"/>
        <v>9419.99999999996</v>
      </c>
      <c r="Q151" s="52">
        <f t="shared" si="21"/>
        <v>3.42</v>
      </c>
      <c r="R151" s="52">
        <v>3.43</v>
      </c>
      <c r="S151" s="52">
        <f t="shared" si="17"/>
        <v>30.0000000000007</v>
      </c>
      <c r="T151" s="108">
        <f t="shared" si="18"/>
        <v>9389.99999999996</v>
      </c>
      <c r="U151" s="112"/>
      <c r="V151" s="52"/>
      <c r="W151" s="52"/>
      <c r="X151" s="52"/>
      <c r="Y151" s="52"/>
      <c r="Z151" s="52"/>
      <c r="AA151" s="52"/>
      <c r="AB151" s="108"/>
    </row>
    <row r="152" spans="1:28">
      <c r="A152" s="90">
        <f t="shared" si="15"/>
        <v>154</v>
      </c>
      <c r="B152" s="98">
        <v>45897</v>
      </c>
      <c r="C152" s="25">
        <v>45897</v>
      </c>
      <c r="D152" s="52"/>
      <c r="E152" s="108"/>
      <c r="F152" s="52">
        <v>1265.24</v>
      </c>
      <c r="G152" s="52">
        <v>1261.42</v>
      </c>
      <c r="H152" s="52">
        <v>1263.8</v>
      </c>
      <c r="I152" s="52">
        <v>1321.09</v>
      </c>
      <c r="J152" s="52">
        <v>1316.63</v>
      </c>
      <c r="K152" s="52">
        <v>1316.72</v>
      </c>
      <c r="L152" s="52">
        <v>1328.81</v>
      </c>
      <c r="M152" s="110">
        <f t="shared" si="19"/>
        <v>9073.71</v>
      </c>
      <c r="N152" s="111">
        <f t="shared" si="20"/>
        <v>498.09</v>
      </c>
      <c r="O152" s="52">
        <v>501.1</v>
      </c>
      <c r="P152" s="52">
        <f t="shared" si="16"/>
        <v>9030.00000000014</v>
      </c>
      <c r="Q152" s="52">
        <f t="shared" si="21"/>
        <v>3.43</v>
      </c>
      <c r="R152" s="52">
        <v>3.44</v>
      </c>
      <c r="S152" s="52">
        <f t="shared" si="17"/>
        <v>29.9999999999994</v>
      </c>
      <c r="T152" s="108">
        <f t="shared" si="18"/>
        <v>9000.00000000014</v>
      </c>
      <c r="U152" s="112"/>
      <c r="V152" s="52"/>
      <c r="W152" s="52"/>
      <c r="X152" s="52"/>
      <c r="Y152" s="52"/>
      <c r="Z152" s="52"/>
      <c r="AA152" s="52"/>
      <c r="AB152" s="108"/>
    </row>
    <row r="153" spans="1:28">
      <c r="A153" s="90">
        <f t="shared" si="15"/>
        <v>155</v>
      </c>
      <c r="B153" s="98">
        <v>45898</v>
      </c>
      <c r="C153" s="25">
        <v>45898</v>
      </c>
      <c r="D153" s="52"/>
      <c r="E153" s="108"/>
      <c r="F153" s="109">
        <v>994.36</v>
      </c>
      <c r="G153" s="52">
        <v>991.7</v>
      </c>
      <c r="H153" s="52">
        <v>9991.71</v>
      </c>
      <c r="I153" s="52">
        <v>1037.76</v>
      </c>
      <c r="J153" s="52">
        <v>1030.58</v>
      </c>
      <c r="K153" s="52">
        <v>1031.01</v>
      </c>
      <c r="L153" s="52">
        <v>1037.83</v>
      </c>
      <c r="M153" s="110">
        <f t="shared" si="19"/>
        <v>16114.95</v>
      </c>
      <c r="N153" s="111">
        <f t="shared" si="20"/>
        <v>501.1</v>
      </c>
      <c r="O153" s="52">
        <v>503.47</v>
      </c>
      <c r="P153" s="52">
        <f t="shared" si="16"/>
        <v>7110.00000000001</v>
      </c>
      <c r="Q153" s="52">
        <f t="shared" si="21"/>
        <v>3.44</v>
      </c>
      <c r="R153" s="52">
        <v>3.45</v>
      </c>
      <c r="S153" s="52">
        <f t="shared" si="17"/>
        <v>30.0000000000007</v>
      </c>
      <c r="T153" s="108">
        <f t="shared" si="18"/>
        <v>7080.00000000001</v>
      </c>
      <c r="U153" s="112"/>
      <c r="V153" s="52"/>
      <c r="W153" s="52"/>
      <c r="X153" s="52"/>
      <c r="Y153" s="52"/>
      <c r="Z153" s="52"/>
      <c r="AA153" s="52"/>
      <c r="AB153" s="108"/>
    </row>
    <row r="154" spans="1:28">
      <c r="A154" s="90">
        <f t="shared" si="15"/>
        <v>156</v>
      </c>
      <c r="B154" s="98">
        <v>45899</v>
      </c>
      <c r="C154" s="25">
        <v>45899</v>
      </c>
      <c r="D154" s="52"/>
      <c r="E154" s="108"/>
      <c r="F154" s="52">
        <v>1159.49</v>
      </c>
      <c r="G154" s="52">
        <v>1155.06</v>
      </c>
      <c r="H154" s="52">
        <v>1154.37</v>
      </c>
      <c r="I154" s="52">
        <v>1208.51</v>
      </c>
      <c r="J154" s="52">
        <v>1203.16</v>
      </c>
      <c r="K154" s="52">
        <v>1203.9</v>
      </c>
      <c r="L154" s="52">
        <v>1211.61</v>
      </c>
      <c r="M154" s="110">
        <f t="shared" si="19"/>
        <v>8296.1</v>
      </c>
      <c r="N154" s="111">
        <f t="shared" si="20"/>
        <v>503.47</v>
      </c>
      <c r="O154" s="52">
        <v>506.22</v>
      </c>
      <c r="P154" s="52">
        <f t="shared" si="16"/>
        <v>8250</v>
      </c>
      <c r="Q154" s="52">
        <f t="shared" si="21"/>
        <v>3.45</v>
      </c>
      <c r="R154" s="52">
        <v>3.46</v>
      </c>
      <c r="S154" s="52">
        <f t="shared" si="17"/>
        <v>29.9999999999994</v>
      </c>
      <c r="T154" s="108">
        <f t="shared" si="18"/>
        <v>8220</v>
      </c>
      <c r="U154" s="112"/>
      <c r="V154" s="52"/>
      <c r="W154" s="52"/>
      <c r="X154" s="52"/>
      <c r="Y154" s="52"/>
      <c r="Z154" s="52"/>
      <c r="AA154" s="52"/>
      <c r="AB154" s="108"/>
    </row>
    <row r="155" spans="1:28">
      <c r="A155" s="90">
        <f t="shared" si="15"/>
        <v>157</v>
      </c>
      <c r="B155" s="98">
        <v>45900</v>
      </c>
      <c r="C155" s="25">
        <v>45900</v>
      </c>
      <c r="D155" s="52"/>
      <c r="E155" s="108"/>
      <c r="F155" s="109">
        <v>1045.72</v>
      </c>
      <c r="G155" s="52">
        <v>1042.54</v>
      </c>
      <c r="H155" s="52">
        <v>1042.41</v>
      </c>
      <c r="I155" s="52">
        <v>1088.78</v>
      </c>
      <c r="J155" s="52">
        <v>1083.31</v>
      </c>
      <c r="K155" s="52">
        <v>1083.73</v>
      </c>
      <c r="L155" s="52">
        <v>1091.11</v>
      </c>
      <c r="M155" s="110">
        <f t="shared" si="19"/>
        <v>7477.6</v>
      </c>
      <c r="N155" s="111">
        <f t="shared" si="20"/>
        <v>506.22</v>
      </c>
      <c r="O155" s="52">
        <v>508.69</v>
      </c>
      <c r="P155" s="52">
        <f t="shared" si="16"/>
        <v>7409.99999999991</v>
      </c>
      <c r="Q155" s="52">
        <f t="shared" si="21"/>
        <v>3.46</v>
      </c>
      <c r="R155" s="52">
        <v>3.47</v>
      </c>
      <c r="S155" s="52">
        <f t="shared" si="17"/>
        <v>30.0000000000007</v>
      </c>
      <c r="T155" s="108">
        <f t="shared" si="18"/>
        <v>7379.99999999991</v>
      </c>
      <c r="U155" s="112"/>
      <c r="V155" s="52"/>
      <c r="W155" s="52"/>
      <c r="X155" s="52"/>
      <c r="Y155" s="52"/>
      <c r="Z155" s="52"/>
      <c r="AA155" s="52"/>
      <c r="AB155" s="108"/>
    </row>
    <row r="156" spans="1:28">
      <c r="A156" s="90">
        <f t="shared" si="15"/>
        <v>158</v>
      </c>
      <c r="B156" s="98">
        <v>45901</v>
      </c>
      <c r="C156" s="25">
        <v>45901</v>
      </c>
      <c r="D156" s="52"/>
      <c r="E156" s="108"/>
      <c r="F156" s="109">
        <v>1194.16</v>
      </c>
      <c r="G156" s="52">
        <v>1194.64</v>
      </c>
      <c r="H156" s="52">
        <v>1197.54</v>
      </c>
      <c r="I156" s="52">
        <v>1251.67</v>
      </c>
      <c r="J156" s="52">
        <v>1247.81</v>
      </c>
      <c r="K156" s="52">
        <v>1247.48</v>
      </c>
      <c r="L156" s="52">
        <v>1259.82</v>
      </c>
      <c r="M156" s="110">
        <f t="shared" si="19"/>
        <v>8593.12</v>
      </c>
      <c r="N156" s="111">
        <f t="shared" si="20"/>
        <v>508.69</v>
      </c>
      <c r="O156" s="52">
        <v>511.53</v>
      </c>
      <c r="P156" s="52">
        <f t="shared" si="16"/>
        <v>8519.99999999993</v>
      </c>
      <c r="Q156" s="52">
        <f t="shared" si="21"/>
        <v>3.47</v>
      </c>
      <c r="R156" s="52">
        <v>3.48</v>
      </c>
      <c r="S156" s="52">
        <f t="shared" si="17"/>
        <v>29.9999999999994</v>
      </c>
      <c r="T156" s="108">
        <f t="shared" si="18"/>
        <v>8489.99999999993</v>
      </c>
      <c r="U156" s="112"/>
      <c r="V156" s="52"/>
      <c r="W156" s="52"/>
      <c r="X156" s="52"/>
      <c r="Y156" s="52"/>
      <c r="Z156" s="52"/>
      <c r="AA156" s="52"/>
      <c r="AB156" s="108"/>
    </row>
    <row r="157" spans="1:28">
      <c r="A157" s="90">
        <f t="shared" si="15"/>
        <v>159</v>
      </c>
      <c r="B157" s="98">
        <v>45902</v>
      </c>
      <c r="C157" s="25">
        <v>45902</v>
      </c>
      <c r="D157" s="52"/>
      <c r="E157" s="108"/>
      <c r="F157" s="109">
        <v>1670.25</v>
      </c>
      <c r="G157" s="52">
        <v>1647</v>
      </c>
      <c r="H157" s="52">
        <v>1675.75</v>
      </c>
      <c r="I157" s="52">
        <v>1757.42</v>
      </c>
      <c r="J157" s="52">
        <v>1753.66</v>
      </c>
      <c r="K157" s="52">
        <v>1753.96</v>
      </c>
      <c r="L157" s="52">
        <v>1768.67</v>
      </c>
      <c r="M157" s="110">
        <f t="shared" si="19"/>
        <v>12026.71</v>
      </c>
      <c r="N157" s="111">
        <f t="shared" si="20"/>
        <v>511.53</v>
      </c>
      <c r="O157" s="52">
        <v>515.5</v>
      </c>
      <c r="P157" s="52">
        <f t="shared" si="16"/>
        <v>11910.0000000001</v>
      </c>
      <c r="Q157" s="52">
        <f t="shared" si="21"/>
        <v>3.48</v>
      </c>
      <c r="R157" s="52">
        <v>3.49</v>
      </c>
      <c r="S157" s="52">
        <f t="shared" si="17"/>
        <v>30.0000000000007</v>
      </c>
      <c r="T157" s="108">
        <f t="shared" si="18"/>
        <v>11880.0000000001</v>
      </c>
      <c r="U157" s="112"/>
      <c r="V157" s="52"/>
      <c r="W157" s="52"/>
      <c r="X157" s="52"/>
      <c r="Y157" s="52"/>
      <c r="Z157" s="52"/>
      <c r="AA157" s="52"/>
      <c r="AB157" s="108"/>
    </row>
    <row r="158" spans="1:28">
      <c r="A158" s="90">
        <f t="shared" si="15"/>
        <v>160</v>
      </c>
      <c r="B158" s="98">
        <v>45903</v>
      </c>
      <c r="C158" s="25">
        <v>45903</v>
      </c>
      <c r="D158" s="52"/>
      <c r="E158" s="108"/>
      <c r="F158" s="109">
        <v>1750.12</v>
      </c>
      <c r="G158" s="52">
        <v>1747.63</v>
      </c>
      <c r="H158" s="52">
        <v>1754.76</v>
      </c>
      <c r="I158" s="52">
        <v>1835.51</v>
      </c>
      <c r="J158" s="52">
        <v>1829.11</v>
      </c>
      <c r="K158" s="52">
        <v>1827.15</v>
      </c>
      <c r="L158" s="52">
        <v>1837.4</v>
      </c>
      <c r="M158" s="110">
        <f t="shared" si="19"/>
        <v>12581.68</v>
      </c>
      <c r="N158" s="111">
        <f t="shared" si="20"/>
        <v>515.5</v>
      </c>
      <c r="O158" s="52">
        <v>519.65</v>
      </c>
      <c r="P158" s="52">
        <f t="shared" si="16"/>
        <v>12449.9999999999</v>
      </c>
      <c r="Q158" s="52">
        <f t="shared" si="21"/>
        <v>3.49</v>
      </c>
      <c r="R158" s="52">
        <v>3.5</v>
      </c>
      <c r="S158" s="52">
        <f t="shared" si="17"/>
        <v>29.9999999999994</v>
      </c>
      <c r="T158" s="108">
        <f t="shared" si="18"/>
        <v>12419.9999999999</v>
      </c>
      <c r="U158" s="112"/>
      <c r="V158" s="52"/>
      <c r="W158" s="52"/>
      <c r="X158" s="52"/>
      <c r="Y158" s="52"/>
      <c r="Z158" s="52"/>
      <c r="AA158" s="52"/>
      <c r="AB158" s="108"/>
    </row>
    <row r="159" spans="1:28">
      <c r="A159" s="90">
        <f t="shared" si="15"/>
        <v>161</v>
      </c>
      <c r="B159" s="98">
        <v>45904</v>
      </c>
      <c r="C159" s="25">
        <v>45904</v>
      </c>
      <c r="D159" s="52"/>
      <c r="E159" s="108"/>
      <c r="F159" s="109">
        <v>844.75</v>
      </c>
      <c r="G159" s="52">
        <v>842.27</v>
      </c>
      <c r="H159" s="52">
        <v>842.48</v>
      </c>
      <c r="I159" s="52">
        <v>881.58</v>
      </c>
      <c r="J159" s="52">
        <v>876.69</v>
      </c>
      <c r="K159" s="52">
        <v>877.59</v>
      </c>
      <c r="L159" s="52">
        <v>883.15</v>
      </c>
      <c r="M159" s="110">
        <f t="shared" si="19"/>
        <v>6048.51</v>
      </c>
      <c r="N159" s="111">
        <f t="shared" si="20"/>
        <v>519.65</v>
      </c>
      <c r="O159" s="52">
        <v>521.66</v>
      </c>
      <c r="P159" s="52">
        <f t="shared" si="16"/>
        <v>6029.99999999997</v>
      </c>
      <c r="Q159" s="52">
        <f t="shared" si="21"/>
        <v>3.5</v>
      </c>
      <c r="R159" s="52">
        <v>3.51</v>
      </c>
      <c r="S159" s="52">
        <f t="shared" si="17"/>
        <v>29.9999999999994</v>
      </c>
      <c r="T159" s="108">
        <f t="shared" si="18"/>
        <v>5999.99999999997</v>
      </c>
      <c r="U159" s="112"/>
      <c r="V159" s="52"/>
      <c r="W159" s="52"/>
      <c r="X159" s="52"/>
      <c r="Y159" s="52"/>
      <c r="Z159" s="52"/>
      <c r="AA159" s="52"/>
      <c r="AB159" s="108"/>
    </row>
    <row r="160" spans="1:28">
      <c r="A160" s="90">
        <f t="shared" si="15"/>
        <v>162</v>
      </c>
      <c r="B160" s="98">
        <v>45905</v>
      </c>
      <c r="C160" s="25">
        <v>45905</v>
      </c>
      <c r="D160" s="52"/>
      <c r="E160" s="108"/>
      <c r="F160" s="109">
        <v>764.28</v>
      </c>
      <c r="G160" s="52">
        <v>760.63</v>
      </c>
      <c r="H160" s="52">
        <v>760</v>
      </c>
      <c r="I160" s="52">
        <v>794.5</v>
      </c>
      <c r="J160" s="52">
        <v>790.06</v>
      </c>
      <c r="K160" s="52">
        <v>789.14</v>
      </c>
      <c r="L160" s="52">
        <v>794.7</v>
      </c>
      <c r="M160" s="110">
        <f t="shared" si="19"/>
        <v>5453.31</v>
      </c>
      <c r="N160" s="111">
        <f t="shared" si="20"/>
        <v>521.66</v>
      </c>
      <c r="O160" s="52">
        <v>523.47</v>
      </c>
      <c r="P160" s="52">
        <f t="shared" si="16"/>
        <v>5430.00000000018</v>
      </c>
      <c r="Q160" s="52">
        <f t="shared" si="21"/>
        <v>3.51</v>
      </c>
      <c r="R160" s="52">
        <v>3.52</v>
      </c>
      <c r="S160" s="52">
        <f t="shared" si="17"/>
        <v>30.0000000000007</v>
      </c>
      <c r="T160" s="108">
        <f t="shared" si="18"/>
        <v>5400.00000000018</v>
      </c>
      <c r="U160" s="112"/>
      <c r="V160" s="52"/>
      <c r="W160" s="52"/>
      <c r="X160" s="52"/>
      <c r="Y160" s="52"/>
      <c r="Z160" s="52"/>
      <c r="AA160" s="52"/>
      <c r="AB160" s="108"/>
    </row>
    <row r="161" spans="1:28">
      <c r="A161" s="90">
        <f t="shared" si="15"/>
        <v>163</v>
      </c>
      <c r="B161" s="98">
        <v>45906</v>
      </c>
      <c r="C161" s="25">
        <v>45906</v>
      </c>
      <c r="D161" s="52"/>
      <c r="E161" s="108"/>
      <c r="F161" s="109">
        <v>481.82</v>
      </c>
      <c r="G161" s="52">
        <v>478.01</v>
      </c>
      <c r="H161" s="52">
        <v>478.28</v>
      </c>
      <c r="I161" s="52">
        <v>501.76</v>
      </c>
      <c r="J161" s="52">
        <v>498.59</v>
      </c>
      <c r="K161" s="52">
        <v>499.11</v>
      </c>
      <c r="L161" s="52">
        <v>502.3</v>
      </c>
      <c r="M161" s="110">
        <f t="shared" si="19"/>
        <v>3439.87</v>
      </c>
      <c r="N161" s="111">
        <f t="shared" si="20"/>
        <v>523.47</v>
      </c>
      <c r="O161" s="52">
        <v>524.61</v>
      </c>
      <c r="P161" s="52">
        <f t="shared" si="16"/>
        <v>3419.99999999996</v>
      </c>
      <c r="Q161" s="52">
        <f t="shared" si="21"/>
        <v>3.52</v>
      </c>
      <c r="R161" s="52">
        <v>3.54</v>
      </c>
      <c r="S161" s="52">
        <f t="shared" si="17"/>
        <v>60.0000000000001</v>
      </c>
      <c r="T161" s="108">
        <f t="shared" si="18"/>
        <v>3359.99999999996</v>
      </c>
      <c r="U161" s="112"/>
      <c r="V161" s="52"/>
      <c r="W161" s="52"/>
      <c r="X161" s="52"/>
      <c r="Y161" s="52"/>
      <c r="Z161" s="52"/>
      <c r="AA161" s="52"/>
      <c r="AB161" s="108"/>
    </row>
    <row r="162" spans="1:28">
      <c r="A162" s="90">
        <f t="shared" si="15"/>
        <v>164</v>
      </c>
      <c r="B162" s="98">
        <v>45907</v>
      </c>
      <c r="C162" s="25">
        <v>45907</v>
      </c>
      <c r="D162" s="52"/>
      <c r="E162" s="108"/>
      <c r="F162" s="109">
        <v>448.62</v>
      </c>
      <c r="G162" s="52">
        <v>444.48</v>
      </c>
      <c r="H162" s="52">
        <v>443.08</v>
      </c>
      <c r="I162" s="52">
        <v>462.14</v>
      </c>
      <c r="J162" s="52">
        <v>457.52</v>
      </c>
      <c r="K162" s="52">
        <v>456.14</v>
      </c>
      <c r="L162" s="52">
        <v>458.71</v>
      </c>
      <c r="M162" s="110">
        <f t="shared" si="19"/>
        <v>3170.69</v>
      </c>
      <c r="N162" s="111">
        <f t="shared" si="20"/>
        <v>524.61</v>
      </c>
      <c r="O162" s="52">
        <v>525.65</v>
      </c>
      <c r="P162" s="52">
        <f t="shared" si="16"/>
        <v>3119.99999999989</v>
      </c>
      <c r="Q162" s="52">
        <f t="shared" si="21"/>
        <v>3.54</v>
      </c>
      <c r="R162" s="52">
        <v>3.55</v>
      </c>
      <c r="S162" s="52">
        <f t="shared" si="17"/>
        <v>29.9999999999994</v>
      </c>
      <c r="T162" s="108">
        <f t="shared" si="18"/>
        <v>3089.99999999989</v>
      </c>
      <c r="U162" s="112"/>
      <c r="V162" s="52"/>
      <c r="W162" s="52"/>
      <c r="X162" s="52"/>
      <c r="Y162" s="52"/>
      <c r="Z162" s="52"/>
      <c r="AA162" s="52"/>
      <c r="AB162" s="108"/>
    </row>
    <row r="163" spans="1:28">
      <c r="A163" s="90">
        <f t="shared" si="15"/>
        <v>165</v>
      </c>
      <c r="B163" s="98">
        <v>45908</v>
      </c>
      <c r="C163" s="25">
        <v>45908</v>
      </c>
      <c r="D163" s="52"/>
      <c r="E163" s="108"/>
      <c r="F163" s="109">
        <v>508.95</v>
      </c>
      <c r="G163" s="52">
        <v>504.81</v>
      </c>
      <c r="H163" s="52">
        <v>504.24</v>
      </c>
      <c r="I163" s="52">
        <v>526.56</v>
      </c>
      <c r="J163" s="52">
        <v>523.39</v>
      </c>
      <c r="K163" s="52" t="s">
        <v>74</v>
      </c>
      <c r="L163" s="52">
        <v>524.29</v>
      </c>
      <c r="M163" s="110">
        <f t="shared" si="19"/>
        <v>3092.24</v>
      </c>
      <c r="N163" s="111">
        <f t="shared" si="20"/>
        <v>525.65</v>
      </c>
      <c r="O163" s="52">
        <v>526.85</v>
      </c>
      <c r="P163" s="52">
        <f t="shared" si="16"/>
        <v>3600.00000000014</v>
      </c>
      <c r="Q163" s="52">
        <f t="shared" si="21"/>
        <v>3.55</v>
      </c>
      <c r="R163" s="52">
        <v>3.56</v>
      </c>
      <c r="S163" s="52">
        <f t="shared" si="17"/>
        <v>30.0000000000007</v>
      </c>
      <c r="T163" s="108">
        <f t="shared" si="18"/>
        <v>3570.00000000014</v>
      </c>
      <c r="U163" s="112"/>
      <c r="V163" s="52"/>
      <c r="W163" s="52"/>
      <c r="X163" s="52"/>
      <c r="Y163" s="52"/>
      <c r="Z163" s="52"/>
      <c r="AA163" s="52"/>
      <c r="AB163" s="108"/>
    </row>
    <row r="164" spans="1:28">
      <c r="A164" s="90">
        <f t="shared" si="15"/>
        <v>166</v>
      </c>
      <c r="B164" s="98">
        <v>45909</v>
      </c>
      <c r="C164" s="25">
        <v>45909</v>
      </c>
      <c r="D164" s="52"/>
      <c r="E164" s="108"/>
      <c r="F164" s="109">
        <v>1601.66</v>
      </c>
      <c r="G164" s="52">
        <v>1594</v>
      </c>
      <c r="H164" s="52">
        <v>1590.41</v>
      </c>
      <c r="I164" s="52">
        <v>1657.22</v>
      </c>
      <c r="J164" s="52">
        <v>1645.05</v>
      </c>
      <c r="K164" s="52">
        <v>1636.44</v>
      </c>
      <c r="L164" s="52">
        <v>1638.62</v>
      </c>
      <c r="M164" s="110">
        <f t="shared" si="19"/>
        <v>11363.4</v>
      </c>
      <c r="N164" s="111">
        <f t="shared" si="20"/>
        <v>526.85</v>
      </c>
      <c r="O164" s="52">
        <v>530.6</v>
      </c>
      <c r="P164" s="52">
        <f t="shared" si="16"/>
        <v>11250</v>
      </c>
      <c r="Q164" s="52">
        <f t="shared" si="21"/>
        <v>3.56</v>
      </c>
      <c r="R164" s="52">
        <v>3.57</v>
      </c>
      <c r="S164" s="52">
        <f t="shared" si="17"/>
        <v>29.9999999999994</v>
      </c>
      <c r="T164" s="108">
        <f t="shared" si="18"/>
        <v>11220</v>
      </c>
      <c r="U164" s="112"/>
      <c r="V164" s="52"/>
      <c r="W164" s="52"/>
      <c r="X164" s="52"/>
      <c r="Y164" s="52"/>
      <c r="Z164" s="52"/>
      <c r="AA164" s="52"/>
      <c r="AB164" s="108"/>
    </row>
    <row r="165" spans="1:28">
      <c r="A165" s="90">
        <f t="shared" si="15"/>
        <v>167</v>
      </c>
      <c r="B165" s="98">
        <v>45910</v>
      </c>
      <c r="C165" s="25">
        <v>45910</v>
      </c>
      <c r="D165" s="52"/>
      <c r="E165" s="108"/>
      <c r="F165" s="109">
        <v>1663.21</v>
      </c>
      <c r="G165" s="52">
        <v>1444.24</v>
      </c>
      <c r="H165" s="52">
        <v>1461.53</v>
      </c>
      <c r="I165" s="52">
        <v>1514.62</v>
      </c>
      <c r="J165" s="52">
        <v>1521.49</v>
      </c>
      <c r="K165" s="52">
        <v>1523.09</v>
      </c>
      <c r="L165" s="52">
        <v>1538.63</v>
      </c>
      <c r="M165" s="110">
        <f t="shared" si="19"/>
        <v>10666.81</v>
      </c>
      <c r="N165" s="111">
        <f t="shared" si="20"/>
        <v>530.6</v>
      </c>
      <c r="O165" s="52">
        <v>534.05</v>
      </c>
      <c r="P165" s="52">
        <f t="shared" si="16"/>
        <v>10349.9999999998</v>
      </c>
      <c r="Q165" s="52">
        <f t="shared" si="21"/>
        <v>3.57</v>
      </c>
      <c r="R165" s="52">
        <v>3.58</v>
      </c>
      <c r="S165" s="52">
        <f t="shared" si="17"/>
        <v>30.0000000000007</v>
      </c>
      <c r="T165" s="108">
        <f t="shared" si="18"/>
        <v>10319.9999999998</v>
      </c>
      <c r="U165" s="112"/>
      <c r="V165" s="52"/>
      <c r="W165" s="52"/>
      <c r="X165" s="52"/>
      <c r="Y165" s="52"/>
      <c r="Z165" s="52"/>
      <c r="AA165" s="52"/>
      <c r="AB165" s="108"/>
    </row>
    <row r="166" spans="1:28">
      <c r="A166" s="90">
        <f t="shared" si="15"/>
        <v>168</v>
      </c>
      <c r="B166" s="98">
        <v>45911</v>
      </c>
      <c r="C166" s="25">
        <v>45911</v>
      </c>
      <c r="D166" s="52"/>
      <c r="E166" s="108"/>
      <c r="F166" s="109">
        <v>1992.49</v>
      </c>
      <c r="G166" s="52">
        <v>1984.6</v>
      </c>
      <c r="H166" s="52">
        <v>1991.23</v>
      </c>
      <c r="I166" s="52">
        <v>2078.13</v>
      </c>
      <c r="J166" s="52">
        <v>2071.11</v>
      </c>
      <c r="K166" s="52">
        <v>2066.35</v>
      </c>
      <c r="L166" s="52">
        <v>2075.8</v>
      </c>
      <c r="M166" s="110">
        <f t="shared" si="19"/>
        <v>14259.71</v>
      </c>
      <c r="N166" s="111">
        <f t="shared" si="20"/>
        <v>534.05</v>
      </c>
      <c r="O166" s="52">
        <v>538.74</v>
      </c>
      <c r="P166" s="52">
        <f t="shared" si="16"/>
        <v>14070.0000000002</v>
      </c>
      <c r="Q166" s="52">
        <f t="shared" si="21"/>
        <v>3.58</v>
      </c>
      <c r="R166" s="52">
        <v>3.59</v>
      </c>
      <c r="S166" s="52">
        <f t="shared" si="17"/>
        <v>29.9999999999994</v>
      </c>
      <c r="T166" s="108">
        <f t="shared" si="18"/>
        <v>14040.0000000002</v>
      </c>
      <c r="U166" s="112"/>
      <c r="V166" s="52"/>
      <c r="W166" s="52"/>
      <c r="X166" s="52"/>
      <c r="Y166" s="52"/>
      <c r="Z166" s="52"/>
      <c r="AA166" s="52"/>
      <c r="AB166" s="108"/>
    </row>
    <row r="167" spans="1:28">
      <c r="A167" s="90">
        <f t="shared" si="15"/>
        <v>169</v>
      </c>
      <c r="B167" s="98">
        <v>45912</v>
      </c>
      <c r="C167" s="25">
        <v>45912</v>
      </c>
      <c r="D167" s="52"/>
      <c r="E167" s="108"/>
      <c r="F167" s="109">
        <v>1716.75</v>
      </c>
      <c r="G167" s="52">
        <v>1713.72</v>
      </c>
      <c r="H167" s="52">
        <v>17115.09</v>
      </c>
      <c r="I167" s="52">
        <v>1799.08</v>
      </c>
      <c r="J167" s="52">
        <v>1797.26</v>
      </c>
      <c r="K167" s="52">
        <v>1791.73</v>
      </c>
      <c r="L167" s="52">
        <v>1799.21</v>
      </c>
      <c r="M167" s="110">
        <f t="shared" si="19"/>
        <v>27732.84</v>
      </c>
      <c r="N167" s="111">
        <f t="shared" si="20"/>
        <v>538.74</v>
      </c>
      <c r="O167" s="52">
        <v>542.81</v>
      </c>
      <c r="P167" s="52">
        <f t="shared" si="16"/>
        <v>12209.9999999998</v>
      </c>
      <c r="Q167" s="52">
        <f t="shared" si="21"/>
        <v>3.59</v>
      </c>
      <c r="R167" s="52">
        <v>3.6</v>
      </c>
      <c r="S167" s="52">
        <f t="shared" si="17"/>
        <v>30.0000000000007</v>
      </c>
      <c r="T167" s="108">
        <f t="shared" si="18"/>
        <v>12179.9999999998</v>
      </c>
      <c r="U167" s="112"/>
      <c r="V167" s="52"/>
      <c r="W167" s="52"/>
      <c r="X167" s="52"/>
      <c r="Y167" s="52"/>
      <c r="Z167" s="52"/>
      <c r="AA167" s="52"/>
      <c r="AB167" s="108"/>
    </row>
    <row r="168" spans="1:28">
      <c r="A168" s="90">
        <f t="shared" si="15"/>
        <v>170</v>
      </c>
      <c r="B168" s="98">
        <v>45913</v>
      </c>
      <c r="C168" s="25">
        <v>45913</v>
      </c>
      <c r="D168" s="52"/>
      <c r="E168" s="108"/>
      <c r="F168" s="109">
        <v>1741.58</v>
      </c>
      <c r="G168" s="52">
        <v>1741.08</v>
      </c>
      <c r="H168" s="52">
        <v>1751.6</v>
      </c>
      <c r="I168" s="52">
        <v>1835.89</v>
      </c>
      <c r="J168" s="52">
        <v>1834.96</v>
      </c>
      <c r="K168" s="52">
        <v>1832.84</v>
      </c>
      <c r="L168" s="52">
        <v>1843.74</v>
      </c>
      <c r="M168" s="110">
        <f t="shared" si="19"/>
        <v>12581.69</v>
      </c>
      <c r="N168" s="111">
        <f t="shared" si="20"/>
        <v>542.81</v>
      </c>
      <c r="O168" s="52">
        <v>546.96</v>
      </c>
      <c r="P168" s="52">
        <f t="shared" si="16"/>
        <v>12450.0000000003</v>
      </c>
      <c r="Q168" s="52">
        <f t="shared" si="21"/>
        <v>3.6</v>
      </c>
      <c r="R168" s="52">
        <v>3.61</v>
      </c>
      <c r="S168" s="52">
        <f t="shared" si="17"/>
        <v>29.9999999999994</v>
      </c>
      <c r="T168" s="108">
        <f t="shared" si="18"/>
        <v>12420.0000000003</v>
      </c>
      <c r="U168" s="112"/>
      <c r="V168" s="52"/>
      <c r="W168" s="52"/>
      <c r="X168" s="52"/>
      <c r="Y168" s="52"/>
      <c r="Z168" s="52"/>
      <c r="AA168" s="52"/>
      <c r="AB168" s="108"/>
    </row>
    <row r="169" spans="1:28">
      <c r="A169" s="90">
        <f t="shared" si="15"/>
        <v>171</v>
      </c>
      <c r="B169" s="98">
        <v>45914</v>
      </c>
      <c r="C169" s="25">
        <v>45914</v>
      </c>
      <c r="D169" s="52"/>
      <c r="E169" s="108"/>
      <c r="F169" s="109">
        <v>1235.15</v>
      </c>
      <c r="G169" s="52">
        <v>1230.53</v>
      </c>
      <c r="H169" s="52">
        <v>1228.22</v>
      </c>
      <c r="I169" s="52">
        <v>1283.83</v>
      </c>
      <c r="J169" s="52">
        <v>1281.01</v>
      </c>
      <c r="K169" s="52">
        <v>1277.74</v>
      </c>
      <c r="L169" s="52">
        <v>1279.45</v>
      </c>
      <c r="M169" s="110">
        <f t="shared" si="19"/>
        <v>8815.93</v>
      </c>
      <c r="N169" s="111">
        <f t="shared" si="20"/>
        <v>546.96</v>
      </c>
      <c r="O169" s="52">
        <v>549.88</v>
      </c>
      <c r="P169" s="52">
        <f t="shared" si="16"/>
        <v>8759.99999999988</v>
      </c>
      <c r="Q169" s="52">
        <f t="shared" si="21"/>
        <v>3.61</v>
      </c>
      <c r="R169" s="52">
        <v>3.62</v>
      </c>
      <c r="S169" s="52">
        <f t="shared" si="17"/>
        <v>30.0000000000007</v>
      </c>
      <c r="T169" s="108">
        <f t="shared" si="18"/>
        <v>8729.99999999988</v>
      </c>
      <c r="U169" s="112"/>
      <c r="V169" s="52"/>
      <c r="W169" s="52"/>
      <c r="X169" s="52"/>
      <c r="Y169" s="52"/>
      <c r="Z169" s="52"/>
      <c r="AA169" s="52"/>
      <c r="AB169" s="108"/>
    </row>
    <row r="170" spans="1:28">
      <c r="A170" s="90">
        <f t="shared" si="15"/>
        <v>172</v>
      </c>
      <c r="B170" s="98">
        <v>45915</v>
      </c>
      <c r="C170" s="25">
        <v>45915</v>
      </c>
      <c r="D170" s="52"/>
      <c r="E170" s="108"/>
      <c r="F170" s="109">
        <v>1027.12</v>
      </c>
      <c r="G170" s="52">
        <v>1026.5</v>
      </c>
      <c r="H170" s="52">
        <v>1022</v>
      </c>
      <c r="I170" s="52">
        <v>1065</v>
      </c>
      <c r="J170" s="52">
        <v>1062.15</v>
      </c>
      <c r="K170" s="52">
        <v>1062</v>
      </c>
      <c r="L170" s="52">
        <v>1067.66</v>
      </c>
      <c r="M170" s="110">
        <f t="shared" si="19"/>
        <v>7332.43</v>
      </c>
      <c r="N170" s="111">
        <f t="shared" si="20"/>
        <v>549.88</v>
      </c>
      <c r="O170" s="52">
        <v>552.31</v>
      </c>
      <c r="P170" s="52">
        <f t="shared" si="16"/>
        <v>7289.99999999985</v>
      </c>
      <c r="Q170" s="52">
        <f t="shared" si="21"/>
        <v>3.62</v>
      </c>
      <c r="R170" s="52">
        <v>3.63</v>
      </c>
      <c r="S170" s="52">
        <f t="shared" si="17"/>
        <v>29.9999999999994</v>
      </c>
      <c r="T170" s="108">
        <f t="shared" si="18"/>
        <v>7259.99999999985</v>
      </c>
      <c r="U170" s="112"/>
      <c r="V170" s="52"/>
      <c r="W170" s="52"/>
      <c r="X170" s="52"/>
      <c r="Y170" s="52"/>
      <c r="Z170" s="52"/>
      <c r="AA170" s="52"/>
      <c r="AB170" s="108"/>
    </row>
    <row r="171" spans="1:28">
      <c r="A171" s="90">
        <f t="shared" si="15"/>
        <v>173</v>
      </c>
      <c r="B171" s="98">
        <v>45916</v>
      </c>
      <c r="C171" s="25">
        <v>45916</v>
      </c>
      <c r="D171" s="52"/>
      <c r="E171" s="108"/>
      <c r="F171" s="109">
        <v>1677.62</v>
      </c>
      <c r="G171" s="52">
        <v>1675.41</v>
      </c>
      <c r="H171" s="52">
        <v>1678.42</v>
      </c>
      <c r="I171" s="52">
        <v>1764.17</v>
      </c>
      <c r="J171" s="52">
        <v>1764.3</v>
      </c>
      <c r="K171" s="52">
        <v>1761.75</v>
      </c>
      <c r="L171" s="52">
        <v>1769.69</v>
      </c>
      <c r="M171" s="110">
        <f t="shared" si="19"/>
        <v>12091.36</v>
      </c>
      <c r="N171" s="111">
        <f t="shared" si="20"/>
        <v>552.31</v>
      </c>
      <c r="O171" s="52">
        <v>556.69</v>
      </c>
      <c r="P171" s="52">
        <f t="shared" si="16"/>
        <v>13140.0000000003</v>
      </c>
      <c r="Q171" s="52">
        <f t="shared" si="21"/>
        <v>3.63</v>
      </c>
      <c r="R171" s="52">
        <v>3.64</v>
      </c>
      <c r="S171" s="52">
        <f t="shared" si="17"/>
        <v>30.0000000000007</v>
      </c>
      <c r="T171" s="108">
        <f t="shared" si="18"/>
        <v>13110.0000000003</v>
      </c>
      <c r="U171" s="112"/>
      <c r="V171" s="52"/>
      <c r="W171" s="52"/>
      <c r="X171" s="52"/>
      <c r="Y171" s="52"/>
      <c r="Z171" s="52"/>
      <c r="AA171" s="52"/>
      <c r="AB171" s="108"/>
    </row>
    <row r="172" spans="1:28">
      <c r="A172" s="90">
        <f t="shared" si="15"/>
        <v>174</v>
      </c>
      <c r="B172" s="98">
        <v>45917</v>
      </c>
      <c r="C172" s="25">
        <v>45917</v>
      </c>
      <c r="D172" s="52"/>
      <c r="E172" s="108"/>
      <c r="F172" s="109">
        <v>1711.51</v>
      </c>
      <c r="G172" s="52">
        <v>1707.12</v>
      </c>
      <c r="H172" s="52">
        <v>1707.63</v>
      </c>
      <c r="I172" s="52">
        <v>1780.95</v>
      </c>
      <c r="J172" s="52">
        <v>1778.18</v>
      </c>
      <c r="K172" s="52">
        <v>1770.12</v>
      </c>
      <c r="L172" s="52">
        <v>1778.18</v>
      </c>
      <c r="M172" s="110">
        <f t="shared" si="19"/>
        <v>12233.69</v>
      </c>
      <c r="N172" s="111">
        <f t="shared" si="20"/>
        <v>556.69</v>
      </c>
      <c r="O172" s="52">
        <v>560.32</v>
      </c>
      <c r="P172" s="52">
        <f t="shared" si="16"/>
        <v>10890</v>
      </c>
      <c r="Q172" s="52">
        <f t="shared" si="21"/>
        <v>3.64</v>
      </c>
      <c r="R172" s="52">
        <v>3.65</v>
      </c>
      <c r="S172" s="52">
        <f t="shared" si="17"/>
        <v>29.9999999999994</v>
      </c>
      <c r="T172" s="108">
        <f t="shared" si="18"/>
        <v>10860</v>
      </c>
      <c r="U172" s="112"/>
      <c r="V172" s="52"/>
      <c r="W172" s="52"/>
      <c r="X172" s="52"/>
      <c r="Y172" s="52"/>
      <c r="Z172" s="52"/>
      <c r="AA172" s="52"/>
      <c r="AB172" s="108"/>
    </row>
    <row r="173" spans="1:28">
      <c r="A173" s="90">
        <f t="shared" si="15"/>
        <v>175</v>
      </c>
      <c r="B173" s="98">
        <v>45918</v>
      </c>
      <c r="C173" s="25">
        <v>45918</v>
      </c>
      <c r="D173" s="52"/>
      <c r="E173" s="108"/>
      <c r="F173" s="109">
        <v>1733.5</v>
      </c>
      <c r="G173" s="52">
        <v>1727.07</v>
      </c>
      <c r="H173" s="52">
        <v>1718</v>
      </c>
      <c r="I173" s="52">
        <v>1802.84</v>
      </c>
      <c r="J173" s="52">
        <v>1795.86</v>
      </c>
      <c r="K173" s="52">
        <v>1781.84</v>
      </c>
      <c r="L173" s="52">
        <v>1791.04</v>
      </c>
      <c r="M173" s="110">
        <f t="shared" si="19"/>
        <v>12350.15</v>
      </c>
      <c r="N173" s="111">
        <f t="shared" si="20"/>
        <v>560.32</v>
      </c>
      <c r="O173" s="52">
        <v>564.4</v>
      </c>
      <c r="P173" s="52">
        <f t="shared" si="16"/>
        <v>12239.9999999998</v>
      </c>
      <c r="Q173" s="52">
        <f t="shared" si="21"/>
        <v>3.65</v>
      </c>
      <c r="R173" s="52">
        <v>3.66</v>
      </c>
      <c r="S173" s="52">
        <f t="shared" si="17"/>
        <v>30.0000000000007</v>
      </c>
      <c r="T173" s="108">
        <f t="shared" si="18"/>
        <v>12209.9999999998</v>
      </c>
      <c r="U173" s="112"/>
      <c r="V173" s="52"/>
      <c r="W173" s="52"/>
      <c r="X173" s="52"/>
      <c r="Y173" s="52"/>
      <c r="Z173" s="52"/>
      <c r="AA173" s="52"/>
      <c r="AB173" s="108"/>
    </row>
    <row r="174" spans="1:28">
      <c r="A174" s="90">
        <f t="shared" si="15"/>
        <v>176</v>
      </c>
      <c r="B174" s="98">
        <v>45919</v>
      </c>
      <c r="C174" s="25">
        <v>45919</v>
      </c>
      <c r="D174" s="52"/>
      <c r="E174" s="108"/>
      <c r="F174" s="109">
        <v>1371.32</v>
      </c>
      <c r="G174" s="52">
        <v>1369.54</v>
      </c>
      <c r="H174" s="52">
        <v>1363.67</v>
      </c>
      <c r="I174" s="52">
        <v>1426.07</v>
      </c>
      <c r="J174" s="52">
        <v>1419.12</v>
      </c>
      <c r="K174" s="52">
        <v>1416.56</v>
      </c>
      <c r="L174" s="52">
        <v>1427.79</v>
      </c>
      <c r="M174" s="110">
        <f t="shared" si="19"/>
        <v>9794.07</v>
      </c>
      <c r="N174" s="111">
        <f t="shared" si="20"/>
        <v>564.4</v>
      </c>
      <c r="O174" s="52">
        <v>567.63</v>
      </c>
      <c r="P174" s="52">
        <f t="shared" si="16"/>
        <v>9690.00000000005</v>
      </c>
      <c r="Q174" s="52">
        <f t="shared" si="21"/>
        <v>3.66</v>
      </c>
      <c r="R174" s="52">
        <v>3.67</v>
      </c>
      <c r="S174" s="52">
        <f t="shared" si="17"/>
        <v>29.9999999999994</v>
      </c>
      <c r="T174" s="108">
        <f t="shared" si="18"/>
        <v>9660.00000000005</v>
      </c>
      <c r="U174" s="112"/>
      <c r="V174" s="52"/>
      <c r="W174" s="52"/>
      <c r="X174" s="52"/>
      <c r="Y174" s="52"/>
      <c r="Z174" s="52"/>
      <c r="AA174" s="52"/>
      <c r="AB174" s="108"/>
    </row>
    <row r="175" spans="1:28">
      <c r="A175" s="90">
        <f t="shared" si="15"/>
        <v>177</v>
      </c>
      <c r="B175" s="98">
        <v>45920</v>
      </c>
      <c r="C175" s="25">
        <v>45920</v>
      </c>
      <c r="D175" s="52"/>
      <c r="E175" s="108"/>
      <c r="F175" s="109">
        <v>1040.45</v>
      </c>
      <c r="G175" s="52">
        <v>1035.4</v>
      </c>
      <c r="H175" s="52">
        <v>1035.1</v>
      </c>
      <c r="I175" s="52">
        <v>1084.03</v>
      </c>
      <c r="J175" s="52">
        <v>1081.95</v>
      </c>
      <c r="K175" s="52">
        <v>1079.07</v>
      </c>
      <c r="L175" s="52">
        <v>1085.41</v>
      </c>
      <c r="M175" s="110">
        <f t="shared" si="19"/>
        <v>7441.41</v>
      </c>
      <c r="N175" s="111">
        <f t="shared" si="20"/>
        <v>567.63</v>
      </c>
      <c r="O175" s="52">
        <v>570.09</v>
      </c>
      <c r="P175" s="52">
        <f t="shared" si="16"/>
        <v>7380.00000000011</v>
      </c>
      <c r="Q175" s="52">
        <f t="shared" si="21"/>
        <v>3.67</v>
      </c>
      <c r="R175" s="52">
        <v>3.68</v>
      </c>
      <c r="S175" s="52">
        <f t="shared" si="17"/>
        <v>30.0000000000007</v>
      </c>
      <c r="T175" s="108">
        <f t="shared" si="18"/>
        <v>7350.00000000011</v>
      </c>
      <c r="U175" s="112"/>
      <c r="V175" s="52"/>
      <c r="W175" s="52"/>
      <c r="X175" s="52"/>
      <c r="Y175" s="52"/>
      <c r="Z175" s="52"/>
      <c r="AA175" s="52"/>
      <c r="AB175" s="108"/>
    </row>
    <row r="176" spans="1:28">
      <c r="A176" s="90">
        <f t="shared" si="15"/>
        <v>178</v>
      </c>
      <c r="B176" s="98">
        <v>45921</v>
      </c>
      <c r="C176" s="25">
        <v>45921</v>
      </c>
      <c r="D176" s="115">
        <v>0.302083333333333</v>
      </c>
      <c r="E176" s="116">
        <v>0.739583333333333</v>
      </c>
      <c r="F176" s="109">
        <v>1513.35</v>
      </c>
      <c r="G176" s="52">
        <v>1508.44</v>
      </c>
      <c r="H176" s="52">
        <v>1511.42</v>
      </c>
      <c r="I176" s="52">
        <v>1578.83</v>
      </c>
      <c r="J176" s="52">
        <v>1576.27</v>
      </c>
      <c r="K176" s="52">
        <v>1573.38</v>
      </c>
      <c r="L176" s="52">
        <v>1580.35</v>
      </c>
      <c r="M176" s="110">
        <f t="shared" si="19"/>
        <v>10842.04</v>
      </c>
      <c r="N176" s="111">
        <f t="shared" si="20"/>
        <v>570.09</v>
      </c>
      <c r="O176" s="52">
        <v>573.66</v>
      </c>
      <c r="P176" s="52">
        <f t="shared" si="16"/>
        <v>10709.9999999998</v>
      </c>
      <c r="Q176" s="52">
        <f t="shared" si="21"/>
        <v>3.68</v>
      </c>
      <c r="R176" s="52">
        <v>3.7</v>
      </c>
      <c r="S176" s="52">
        <f t="shared" si="17"/>
        <v>60.0000000000001</v>
      </c>
      <c r="T176" s="108">
        <f t="shared" si="18"/>
        <v>10649.9999999998</v>
      </c>
      <c r="U176" s="112"/>
      <c r="V176" s="52">
        <v>3.75</v>
      </c>
      <c r="W176" s="52">
        <v>29.65</v>
      </c>
      <c r="X176" s="52"/>
      <c r="Y176" s="52"/>
      <c r="Z176" s="52"/>
      <c r="AA176" s="52"/>
      <c r="AB176" s="108" t="s">
        <v>72</v>
      </c>
    </row>
    <row r="177" spans="1:28">
      <c r="A177" s="90">
        <f t="shared" si="15"/>
        <v>179</v>
      </c>
      <c r="B177" s="98">
        <v>45922</v>
      </c>
      <c r="C177" s="25">
        <v>45922</v>
      </c>
      <c r="D177" s="115">
        <v>0.302083333333333</v>
      </c>
      <c r="E177" s="116">
        <v>0.75</v>
      </c>
      <c r="F177" s="109">
        <v>1125.25</v>
      </c>
      <c r="G177" s="52">
        <v>1120.2</v>
      </c>
      <c r="H177" s="52">
        <v>1120.95</v>
      </c>
      <c r="I177" s="52">
        <v>1171</v>
      </c>
      <c r="J177" s="52">
        <v>1171.43</v>
      </c>
      <c r="K177" s="52">
        <v>1168.5</v>
      </c>
      <c r="L177" s="52">
        <v>1176.33</v>
      </c>
      <c r="M177" s="110">
        <f t="shared" si="19"/>
        <v>8053.66</v>
      </c>
      <c r="N177" s="111">
        <f t="shared" si="20"/>
        <v>573.66</v>
      </c>
      <c r="O177" s="52">
        <v>576.32</v>
      </c>
      <c r="P177" s="52">
        <f t="shared" si="16"/>
        <v>7980.00000000025</v>
      </c>
      <c r="Q177" s="52">
        <f t="shared" si="21"/>
        <v>3.7</v>
      </c>
      <c r="R177" s="52">
        <v>3.71</v>
      </c>
      <c r="S177" s="52">
        <f t="shared" si="17"/>
        <v>29.9999999999994</v>
      </c>
      <c r="T177" s="108">
        <f t="shared" si="18"/>
        <v>7950.00000000025</v>
      </c>
      <c r="U177" s="112"/>
      <c r="V177" s="52">
        <v>3.24</v>
      </c>
      <c r="W177" s="52">
        <v>28.38</v>
      </c>
      <c r="X177" s="52"/>
      <c r="Y177" s="52"/>
      <c r="Z177" s="52"/>
      <c r="AA177" s="52"/>
      <c r="AB177" s="108" t="s">
        <v>72</v>
      </c>
    </row>
    <row r="178" spans="1:28">
      <c r="A178" s="90">
        <f t="shared" si="15"/>
        <v>180</v>
      </c>
      <c r="B178" s="98">
        <v>45923</v>
      </c>
      <c r="C178" s="25">
        <v>45923</v>
      </c>
      <c r="D178" s="115">
        <v>0.291666666666667</v>
      </c>
      <c r="E178" s="116">
        <v>0.760416666666667</v>
      </c>
      <c r="F178" s="109">
        <v>1815.15</v>
      </c>
      <c r="G178" s="52">
        <v>1812.13</v>
      </c>
      <c r="H178" s="52">
        <v>1819.19</v>
      </c>
      <c r="I178" s="52">
        <v>1912.84</v>
      </c>
      <c r="J178" s="52">
        <v>1912.25</v>
      </c>
      <c r="K178" s="52">
        <v>1908.74</v>
      </c>
      <c r="L178" s="52">
        <v>1920.53</v>
      </c>
      <c r="M178" s="110">
        <f t="shared" si="19"/>
        <v>13100.83</v>
      </c>
      <c r="N178" s="111">
        <f t="shared" si="20"/>
        <v>576.32</v>
      </c>
      <c r="O178" s="52">
        <v>580.64</v>
      </c>
      <c r="P178" s="52">
        <f t="shared" si="16"/>
        <v>12959.9999999998</v>
      </c>
      <c r="Q178" s="52">
        <f t="shared" si="21"/>
        <v>3.71</v>
      </c>
      <c r="R178" s="52">
        <v>3.72</v>
      </c>
      <c r="S178" s="52">
        <f t="shared" si="17"/>
        <v>30.0000000000007</v>
      </c>
      <c r="T178" s="108">
        <f t="shared" si="18"/>
        <v>12929.9999999998</v>
      </c>
      <c r="U178" s="112"/>
      <c r="V178" s="52">
        <v>3.71</v>
      </c>
      <c r="W178" s="52">
        <v>29.73</v>
      </c>
      <c r="X178" s="52"/>
      <c r="Y178" s="52"/>
      <c r="Z178" s="52"/>
      <c r="AA178" s="52"/>
      <c r="AB178" s="108" t="s">
        <v>70</v>
      </c>
    </row>
    <row r="179" spans="1:28">
      <c r="A179" s="90">
        <f t="shared" si="15"/>
        <v>181</v>
      </c>
      <c r="B179" s="98">
        <v>45924</v>
      </c>
      <c r="C179" s="25">
        <v>45924</v>
      </c>
      <c r="D179" s="115">
        <v>0.291666666666667</v>
      </c>
      <c r="E179" s="116">
        <v>0.761111111111111</v>
      </c>
      <c r="F179" s="109">
        <v>1770.8</v>
      </c>
      <c r="G179" s="52">
        <v>1763.63</v>
      </c>
      <c r="H179" s="52">
        <v>1758.58</v>
      </c>
      <c r="I179" s="52">
        <v>1841.64</v>
      </c>
      <c r="J179" s="52">
        <v>1837.7</v>
      </c>
      <c r="K179" s="52">
        <v>1825.18</v>
      </c>
      <c r="L179" s="52">
        <v>1835</v>
      </c>
      <c r="M179" s="110">
        <f t="shared" si="19"/>
        <v>12632.53</v>
      </c>
      <c r="N179" s="111">
        <f t="shared" si="20"/>
        <v>580.64</v>
      </c>
      <c r="O179" s="52">
        <v>584.8</v>
      </c>
      <c r="P179" s="52">
        <f t="shared" si="16"/>
        <v>12479.9999999999</v>
      </c>
      <c r="Q179" s="52">
        <f t="shared" si="21"/>
        <v>3.72</v>
      </c>
      <c r="R179" s="52">
        <v>3.73</v>
      </c>
      <c r="S179" s="52">
        <f t="shared" si="17"/>
        <v>29.9999999999994</v>
      </c>
      <c r="T179" s="108">
        <f t="shared" si="18"/>
        <v>12449.9999999999</v>
      </c>
      <c r="U179" s="112"/>
      <c r="V179" s="52">
        <v>2.42</v>
      </c>
      <c r="W179" s="52">
        <v>29.62</v>
      </c>
      <c r="X179" s="52"/>
      <c r="Y179" s="52"/>
      <c r="Z179" s="52"/>
      <c r="AA179" s="52"/>
      <c r="AB179" s="108" t="s">
        <v>70</v>
      </c>
    </row>
    <row r="180" spans="1:28">
      <c r="A180" s="90">
        <f t="shared" si="15"/>
        <v>182</v>
      </c>
      <c r="B180" s="98">
        <v>45925</v>
      </c>
      <c r="C180" s="25">
        <v>45925</v>
      </c>
      <c r="D180" s="115">
        <v>0.291666666666667</v>
      </c>
      <c r="E180" s="116">
        <v>0.782638888888889</v>
      </c>
      <c r="F180" s="109">
        <v>1604.76</v>
      </c>
      <c r="G180" s="52">
        <v>1602</v>
      </c>
      <c r="H180" s="52">
        <v>1604.01</v>
      </c>
      <c r="I180" s="52">
        <v>1683.56</v>
      </c>
      <c r="J180" s="52">
        <v>1688.05</v>
      </c>
      <c r="K180" s="52">
        <v>1689.13</v>
      </c>
      <c r="L180" s="52">
        <v>1699.1</v>
      </c>
      <c r="M180" s="110">
        <f t="shared" si="19"/>
        <v>11570.61</v>
      </c>
      <c r="N180" s="111">
        <f t="shared" si="20"/>
        <v>584.8</v>
      </c>
      <c r="O180" s="52">
        <v>588.61</v>
      </c>
      <c r="P180" s="52">
        <f t="shared" si="16"/>
        <v>11430.0000000002</v>
      </c>
      <c r="Q180" s="52">
        <f t="shared" si="21"/>
        <v>3.73</v>
      </c>
      <c r="R180" s="52">
        <v>3.74</v>
      </c>
      <c r="S180" s="52">
        <f t="shared" si="17"/>
        <v>30.0000000000007</v>
      </c>
      <c r="T180" s="108">
        <f t="shared" si="18"/>
        <v>11400.0000000002</v>
      </c>
      <c r="U180" s="112"/>
      <c r="V180" s="52">
        <v>4.09</v>
      </c>
      <c r="W180" s="52">
        <v>30.91</v>
      </c>
      <c r="X180" s="52"/>
      <c r="Y180" s="52"/>
      <c r="Z180" s="52"/>
      <c r="AA180" s="52"/>
      <c r="AB180" s="108" t="s">
        <v>70</v>
      </c>
    </row>
    <row r="181" spans="1:28">
      <c r="A181" s="90">
        <f t="shared" si="15"/>
        <v>183</v>
      </c>
      <c r="B181" s="98">
        <v>45926</v>
      </c>
      <c r="C181" s="25">
        <v>45926</v>
      </c>
      <c r="D181" s="115">
        <v>0.685416666666667</v>
      </c>
      <c r="E181" s="116">
        <v>0.760416666666667</v>
      </c>
      <c r="F181" s="109">
        <v>371.17</v>
      </c>
      <c r="G181" s="52">
        <v>368.5</v>
      </c>
      <c r="H181" s="52">
        <v>369.01</v>
      </c>
      <c r="I181" s="52">
        <v>388.02</v>
      </c>
      <c r="J181" s="52">
        <v>386.62</v>
      </c>
      <c r="K181" s="52">
        <v>385.6</v>
      </c>
      <c r="L181" s="52">
        <v>388.75</v>
      </c>
      <c r="M181" s="110">
        <f t="shared" si="19"/>
        <v>2657.67</v>
      </c>
      <c r="N181" s="111">
        <f t="shared" si="20"/>
        <v>588.61</v>
      </c>
      <c r="O181" s="52">
        <v>589.5</v>
      </c>
      <c r="P181" s="52">
        <f t="shared" si="16"/>
        <v>2669.99999999996</v>
      </c>
      <c r="Q181" s="52">
        <f t="shared" si="21"/>
        <v>3.74</v>
      </c>
      <c r="R181" s="52">
        <v>3.75</v>
      </c>
      <c r="S181" s="52">
        <f t="shared" si="17"/>
        <v>29.9999999999994</v>
      </c>
      <c r="T181" s="108">
        <f t="shared" si="18"/>
        <v>2639.99999999996</v>
      </c>
      <c r="U181" s="112"/>
      <c r="V181" s="52">
        <v>0.37</v>
      </c>
      <c r="W181" s="52">
        <v>30.3</v>
      </c>
      <c r="X181" s="52"/>
      <c r="Y181" s="52"/>
      <c r="Z181" s="52"/>
      <c r="AA181" s="52"/>
      <c r="AB181" s="108" t="s">
        <v>70</v>
      </c>
    </row>
    <row r="182" spans="1:28">
      <c r="A182" s="90">
        <f t="shared" si="15"/>
        <v>184</v>
      </c>
      <c r="B182" s="98">
        <v>45927</v>
      </c>
      <c r="C182" s="25">
        <v>45927</v>
      </c>
      <c r="D182" s="115">
        <v>0.291666666666667</v>
      </c>
      <c r="E182" s="116">
        <v>0.760416666666667</v>
      </c>
      <c r="F182" s="109">
        <v>1531.9</v>
      </c>
      <c r="G182" s="52">
        <v>1528.1</v>
      </c>
      <c r="H182" s="52">
        <v>1527.26</v>
      </c>
      <c r="I182" s="52">
        <v>1603.56</v>
      </c>
      <c r="J182" s="52">
        <v>1599.56</v>
      </c>
      <c r="K182" s="52">
        <v>1595.73</v>
      </c>
      <c r="L182" s="52">
        <v>1608.1</v>
      </c>
      <c r="M182" s="110">
        <f t="shared" si="19"/>
        <v>10994.21</v>
      </c>
      <c r="N182" s="111">
        <f t="shared" si="20"/>
        <v>589.5</v>
      </c>
      <c r="O182" s="52">
        <v>593.12</v>
      </c>
      <c r="P182" s="52">
        <f t="shared" si="16"/>
        <v>10860</v>
      </c>
      <c r="Q182" s="52">
        <f t="shared" si="21"/>
        <v>3.75</v>
      </c>
      <c r="R182" s="52">
        <v>3.76</v>
      </c>
      <c r="S182" s="52">
        <f t="shared" si="17"/>
        <v>29.9999999999994</v>
      </c>
      <c r="T182" s="108">
        <f t="shared" si="18"/>
        <v>10830</v>
      </c>
      <c r="U182" s="112"/>
      <c r="V182" s="52">
        <v>4.13</v>
      </c>
      <c r="W182" s="52">
        <v>31.4</v>
      </c>
      <c r="X182" s="52"/>
      <c r="Y182" s="52"/>
      <c r="Z182" s="52"/>
      <c r="AA182" s="52"/>
      <c r="AB182" s="108" t="s">
        <v>70</v>
      </c>
    </row>
    <row r="183" spans="1:28">
      <c r="A183" s="90">
        <f t="shared" si="15"/>
        <v>185</v>
      </c>
      <c r="B183" s="98">
        <v>45928</v>
      </c>
      <c r="C183" s="25">
        <v>45928</v>
      </c>
      <c r="D183" s="115">
        <v>0.3125</v>
      </c>
      <c r="E183" s="116">
        <v>0.739583333333333</v>
      </c>
      <c r="F183" s="109">
        <v>514.36</v>
      </c>
      <c r="G183" s="52">
        <v>511.72</v>
      </c>
      <c r="H183" s="52">
        <v>510.65</v>
      </c>
      <c r="I183" s="52">
        <v>536.34</v>
      </c>
      <c r="J183" s="52">
        <v>535.04</v>
      </c>
      <c r="K183" s="52">
        <v>534.38</v>
      </c>
      <c r="L183" s="52">
        <v>539.63</v>
      </c>
      <c r="M183" s="110">
        <f t="shared" si="19"/>
        <v>3682.12</v>
      </c>
      <c r="N183" s="111">
        <f t="shared" si="20"/>
        <v>593.12</v>
      </c>
      <c r="O183" s="52">
        <v>594.34</v>
      </c>
      <c r="P183" s="52">
        <f t="shared" si="16"/>
        <v>3660.00000000008</v>
      </c>
      <c r="Q183" s="52">
        <f t="shared" si="21"/>
        <v>3.76</v>
      </c>
      <c r="R183" s="52">
        <v>3.77</v>
      </c>
      <c r="S183" s="52">
        <f t="shared" si="17"/>
        <v>30.0000000000007</v>
      </c>
      <c r="T183" s="108">
        <f t="shared" si="18"/>
        <v>3630.00000000008</v>
      </c>
      <c r="U183" s="112"/>
      <c r="V183" s="52">
        <v>1.72</v>
      </c>
      <c r="W183" s="52">
        <v>27.54</v>
      </c>
      <c r="X183" s="52"/>
      <c r="Y183" s="52"/>
      <c r="Z183" s="52"/>
      <c r="AA183" s="52"/>
      <c r="AB183" s="108" t="s">
        <v>72</v>
      </c>
    </row>
    <row r="184" spans="1:28">
      <c r="A184" s="90">
        <f t="shared" si="15"/>
        <v>186</v>
      </c>
      <c r="B184" s="98">
        <v>45929</v>
      </c>
      <c r="C184" s="25">
        <v>45929</v>
      </c>
      <c r="D184" s="115">
        <v>0.333333333333333</v>
      </c>
      <c r="E184" s="116">
        <v>0.75</v>
      </c>
      <c r="F184" s="109">
        <v>585</v>
      </c>
      <c r="G184" s="52">
        <v>582.61</v>
      </c>
      <c r="H184" s="52">
        <v>584</v>
      </c>
      <c r="I184" s="52">
        <v>615.31</v>
      </c>
      <c r="J184" s="52">
        <v>614.39</v>
      </c>
      <c r="K184" s="52">
        <v>614.96</v>
      </c>
      <c r="L184" s="52">
        <v>620.21</v>
      </c>
      <c r="M184" s="110">
        <f t="shared" si="19"/>
        <v>4216.48</v>
      </c>
      <c r="N184" s="111">
        <f t="shared" si="20"/>
        <v>594.34</v>
      </c>
      <c r="O184" s="52">
        <v>595.73</v>
      </c>
      <c r="P184" s="52">
        <f t="shared" si="16"/>
        <v>4169.99999999996</v>
      </c>
      <c r="Q184" s="52">
        <f t="shared" si="21"/>
        <v>3.77</v>
      </c>
      <c r="R184" s="52">
        <v>3.79</v>
      </c>
      <c r="S184" s="52">
        <f t="shared" si="17"/>
        <v>60.0000000000001</v>
      </c>
      <c r="T184" s="108">
        <f t="shared" si="18"/>
        <v>4109.99999999996</v>
      </c>
      <c r="U184" s="112"/>
      <c r="V184" s="52">
        <v>1.45</v>
      </c>
      <c r="W184" s="52">
        <v>26.65</v>
      </c>
      <c r="X184" s="52"/>
      <c r="Y184" s="52"/>
      <c r="Z184" s="52"/>
      <c r="AA184" s="52"/>
      <c r="AB184" s="108" t="s">
        <v>73</v>
      </c>
    </row>
    <row r="185" spans="1:28">
      <c r="A185" s="90">
        <f t="shared" si="15"/>
        <v>187</v>
      </c>
      <c r="B185" s="98">
        <v>45930</v>
      </c>
      <c r="C185" s="25">
        <v>45930</v>
      </c>
      <c r="D185" s="115">
        <v>0.291666666666667</v>
      </c>
      <c r="E185" s="116">
        <v>0.708333333333333</v>
      </c>
      <c r="F185" s="109">
        <v>520.22</v>
      </c>
      <c r="G185" s="52">
        <v>517.56</v>
      </c>
      <c r="H185" s="52">
        <v>519.08</v>
      </c>
      <c r="I185" s="52">
        <v>545.4</v>
      </c>
      <c r="J185" s="52">
        <v>545.65</v>
      </c>
      <c r="K185" s="52">
        <v>546.97</v>
      </c>
      <c r="L185" s="52">
        <v>553.31</v>
      </c>
      <c r="M185" s="110">
        <f t="shared" si="19"/>
        <v>3748.19</v>
      </c>
      <c r="N185" s="111">
        <f t="shared" si="20"/>
        <v>595.73</v>
      </c>
      <c r="O185" s="52">
        <v>596.97</v>
      </c>
      <c r="P185" s="52">
        <f t="shared" si="16"/>
        <v>3720.00000000003</v>
      </c>
      <c r="Q185" s="52">
        <f t="shared" si="21"/>
        <v>3.79</v>
      </c>
      <c r="R185" s="52">
        <v>3.8</v>
      </c>
      <c r="S185" s="52">
        <f t="shared" si="17"/>
        <v>29.9999999999994</v>
      </c>
      <c r="T185" s="108">
        <f t="shared" si="18"/>
        <v>3690.00000000003</v>
      </c>
      <c r="U185" s="112"/>
      <c r="V185" s="52">
        <v>1.22</v>
      </c>
      <c r="W185" s="52">
        <v>23.64</v>
      </c>
      <c r="X185" s="52"/>
      <c r="Y185" s="52"/>
      <c r="Z185" s="52"/>
      <c r="AA185" s="52"/>
      <c r="AB185" s="108" t="s">
        <v>73</v>
      </c>
    </row>
    <row r="186" spans="1:28">
      <c r="A186" s="90">
        <f t="shared" si="15"/>
        <v>188</v>
      </c>
      <c r="B186" s="98">
        <v>45931</v>
      </c>
      <c r="C186" s="25">
        <v>45931</v>
      </c>
      <c r="D186" s="115">
        <v>0.28125</v>
      </c>
      <c r="E186" s="116">
        <v>0.75</v>
      </c>
      <c r="F186" s="109">
        <v>784</v>
      </c>
      <c r="G186" s="52">
        <v>778.87</v>
      </c>
      <c r="H186" s="52">
        <v>781.45</v>
      </c>
      <c r="I186" s="52">
        <v>815.95</v>
      </c>
      <c r="J186" s="52">
        <v>815.85</v>
      </c>
      <c r="K186" s="52">
        <v>815.18</v>
      </c>
      <c r="L186" s="52">
        <v>821.54</v>
      </c>
      <c r="M186" s="110">
        <f t="shared" si="19"/>
        <v>5612.84</v>
      </c>
      <c r="N186" s="111">
        <f t="shared" si="20"/>
        <v>596.97</v>
      </c>
      <c r="O186" s="52">
        <v>598.82</v>
      </c>
      <c r="P186" s="52">
        <f t="shared" si="16"/>
        <v>5550.00000000007</v>
      </c>
      <c r="Q186" s="52">
        <f t="shared" si="21"/>
        <v>3.8</v>
      </c>
      <c r="R186" s="52">
        <v>3.81</v>
      </c>
      <c r="S186" s="52">
        <f t="shared" si="17"/>
        <v>30.0000000000007</v>
      </c>
      <c r="T186" s="108">
        <f t="shared" si="18"/>
        <v>5520.00000000007</v>
      </c>
      <c r="U186" s="112"/>
      <c r="V186" s="52">
        <v>1.61</v>
      </c>
      <c r="W186" s="52">
        <v>25.44</v>
      </c>
      <c r="X186" s="52"/>
      <c r="Y186" s="52"/>
      <c r="Z186" s="52"/>
      <c r="AA186" s="52"/>
      <c r="AB186" s="108" t="s">
        <v>73</v>
      </c>
    </row>
    <row r="187" spans="1:28">
      <c r="A187" s="90">
        <f t="shared" si="15"/>
        <v>189</v>
      </c>
      <c r="B187" s="98">
        <v>45932</v>
      </c>
      <c r="C187" s="25">
        <v>45932</v>
      </c>
      <c r="D187" s="115">
        <v>0.302083333333333</v>
      </c>
      <c r="E187" s="116">
        <v>0.739583333333333</v>
      </c>
      <c r="F187" s="109">
        <v>1002.16</v>
      </c>
      <c r="G187" s="52">
        <v>997.58</v>
      </c>
      <c r="H187" s="52">
        <v>999.64</v>
      </c>
      <c r="I187" s="52">
        <v>1046.59</v>
      </c>
      <c r="J187" s="52">
        <v>1044.14</v>
      </c>
      <c r="K187" s="52">
        <v>1044.28</v>
      </c>
      <c r="L187" s="52">
        <v>1050.76</v>
      </c>
      <c r="M187" s="110">
        <f t="shared" si="19"/>
        <v>7185.15</v>
      </c>
      <c r="N187" s="111">
        <f t="shared" si="20"/>
        <v>598.82</v>
      </c>
      <c r="O187" s="52">
        <v>601.19</v>
      </c>
      <c r="P187" s="52">
        <f t="shared" si="16"/>
        <v>7110.00000000001</v>
      </c>
      <c r="Q187" s="52">
        <f t="shared" si="21"/>
        <v>3.81</v>
      </c>
      <c r="R187" s="52">
        <v>3.82</v>
      </c>
      <c r="S187" s="52">
        <f t="shared" si="17"/>
        <v>29.9999999999994</v>
      </c>
      <c r="T187" s="108">
        <f t="shared" si="18"/>
        <v>7080.00000000001</v>
      </c>
      <c r="U187" s="112"/>
      <c r="V187" s="52">
        <v>2.03</v>
      </c>
      <c r="W187" s="52">
        <v>26.59</v>
      </c>
      <c r="X187" s="52"/>
      <c r="Y187" s="52"/>
      <c r="Z187" s="52"/>
      <c r="AA187" s="52"/>
      <c r="AB187" s="108" t="s">
        <v>73</v>
      </c>
    </row>
    <row r="188" spans="1:28">
      <c r="A188" s="90">
        <f t="shared" si="15"/>
        <v>190</v>
      </c>
      <c r="B188" s="98">
        <v>45933</v>
      </c>
      <c r="C188" s="25">
        <v>45933</v>
      </c>
      <c r="D188" s="115">
        <v>0.291666666666667</v>
      </c>
      <c r="E188" s="116">
        <v>0.75</v>
      </c>
      <c r="F188" s="109">
        <v>1291.43</v>
      </c>
      <c r="G188" s="52">
        <v>1288.66</v>
      </c>
      <c r="H188" s="52">
        <v>1288.14</v>
      </c>
      <c r="I188" s="52">
        <v>1351.58</v>
      </c>
      <c r="J188" s="52">
        <v>1350.65</v>
      </c>
      <c r="K188" s="52">
        <v>1351.92</v>
      </c>
      <c r="L188" s="52">
        <v>1363.43</v>
      </c>
      <c r="M188" s="110">
        <f t="shared" si="19"/>
        <v>9285.81</v>
      </c>
      <c r="N188" s="111">
        <f t="shared" si="20"/>
        <v>601.19</v>
      </c>
      <c r="O188" s="52">
        <v>604.26</v>
      </c>
      <c r="P188" s="52">
        <f t="shared" si="16"/>
        <v>9209.99999999981</v>
      </c>
      <c r="Q188" s="52">
        <f t="shared" si="21"/>
        <v>3.82</v>
      </c>
      <c r="R188" s="52">
        <v>3.83</v>
      </c>
      <c r="S188" s="52">
        <f t="shared" si="17"/>
        <v>30.0000000000007</v>
      </c>
      <c r="T188" s="108">
        <f t="shared" si="18"/>
        <v>9179.99999999981</v>
      </c>
      <c r="U188" s="112"/>
      <c r="V188" s="52">
        <v>4.45</v>
      </c>
      <c r="W188" s="52">
        <v>28.37</v>
      </c>
      <c r="X188" s="52"/>
      <c r="Y188" s="52"/>
      <c r="Z188" s="52"/>
      <c r="AA188" s="52"/>
      <c r="AB188" s="108" t="s">
        <v>70</v>
      </c>
    </row>
    <row r="189" spans="1:28">
      <c r="A189" s="90">
        <f t="shared" si="15"/>
        <v>191</v>
      </c>
      <c r="B189" s="98">
        <v>45934</v>
      </c>
      <c r="C189" s="25">
        <v>45934</v>
      </c>
      <c r="D189" s="115">
        <v>0.302083333333333</v>
      </c>
      <c r="E189" s="116">
        <v>0.75</v>
      </c>
      <c r="F189" s="109">
        <v>1891.49</v>
      </c>
      <c r="G189" s="52">
        <v>1887.62</v>
      </c>
      <c r="H189" s="52">
        <v>1889.29</v>
      </c>
      <c r="I189" s="52">
        <v>1983.02</v>
      </c>
      <c r="J189" s="52">
        <v>1978.29</v>
      </c>
      <c r="K189" s="52">
        <v>1976.28</v>
      </c>
      <c r="L189" s="52">
        <v>1988.04</v>
      </c>
      <c r="M189" s="110">
        <f t="shared" si="19"/>
        <v>13594.03</v>
      </c>
      <c r="N189" s="111">
        <f t="shared" si="20"/>
        <v>604.26</v>
      </c>
      <c r="O189" s="52">
        <v>608.74</v>
      </c>
      <c r="P189" s="52">
        <f t="shared" si="16"/>
        <v>13440.0000000001</v>
      </c>
      <c r="Q189" s="52">
        <f t="shared" si="21"/>
        <v>3.83</v>
      </c>
      <c r="R189" s="52">
        <v>3.84</v>
      </c>
      <c r="S189" s="52">
        <f t="shared" si="17"/>
        <v>29.9999999999994</v>
      </c>
      <c r="T189" s="108">
        <f t="shared" si="18"/>
        <v>13410.0000000001</v>
      </c>
      <c r="U189" s="112"/>
      <c r="V189" s="52">
        <v>4.57</v>
      </c>
      <c r="W189" s="52">
        <v>29.72</v>
      </c>
      <c r="X189" s="52"/>
      <c r="Y189" s="52"/>
      <c r="Z189" s="52"/>
      <c r="AA189" s="52"/>
      <c r="AB189" s="108" t="s">
        <v>70</v>
      </c>
    </row>
    <row r="190" spans="1:28">
      <c r="A190" s="90">
        <f t="shared" si="15"/>
        <v>192</v>
      </c>
      <c r="B190" s="98">
        <v>45935</v>
      </c>
      <c r="C190" s="25">
        <v>45935</v>
      </c>
      <c r="D190" s="115">
        <v>0.291666666666667</v>
      </c>
      <c r="E190" s="116">
        <v>0.75</v>
      </c>
      <c r="F190" s="109">
        <v>1351.53</v>
      </c>
      <c r="G190" s="52">
        <v>1347.16</v>
      </c>
      <c r="H190" s="52">
        <v>1345.14</v>
      </c>
      <c r="I190" s="52">
        <v>1407.82</v>
      </c>
      <c r="J190" s="52">
        <v>1405.56</v>
      </c>
      <c r="K190" s="52">
        <v>1404.42</v>
      </c>
      <c r="L190" s="52">
        <v>1414.74</v>
      </c>
      <c r="M190" s="110">
        <f t="shared" si="19"/>
        <v>9676.37</v>
      </c>
      <c r="N190" s="111">
        <f t="shared" si="20"/>
        <v>608.74</v>
      </c>
      <c r="O190" s="52">
        <v>611.93</v>
      </c>
      <c r="P190" s="52">
        <f t="shared" si="16"/>
        <v>9569.99999999982</v>
      </c>
      <c r="Q190" s="52">
        <f t="shared" si="21"/>
        <v>3.84</v>
      </c>
      <c r="R190" s="52">
        <v>3.85</v>
      </c>
      <c r="S190" s="52">
        <f t="shared" si="17"/>
        <v>30.0000000000007</v>
      </c>
      <c r="T190" s="108">
        <f t="shared" si="18"/>
        <v>9539.99999999982</v>
      </c>
      <c r="U190" s="112"/>
      <c r="V190" s="52">
        <v>4.59</v>
      </c>
      <c r="W190" s="52">
        <v>29.51</v>
      </c>
      <c r="X190" s="52"/>
      <c r="Y190" s="52"/>
      <c r="Z190" s="52"/>
      <c r="AA190" s="52"/>
      <c r="AB190" s="108" t="s">
        <v>70</v>
      </c>
    </row>
    <row r="191" spans="1:28">
      <c r="A191" s="90">
        <f t="shared" si="15"/>
        <v>193</v>
      </c>
      <c r="B191" s="98">
        <v>45936</v>
      </c>
      <c r="C191" s="25">
        <v>45936</v>
      </c>
      <c r="D191" s="115">
        <v>0.291666666666667</v>
      </c>
      <c r="E191" s="116">
        <v>0.75</v>
      </c>
      <c r="F191" s="109">
        <v>1654.2</v>
      </c>
      <c r="G191" s="52">
        <v>1650.51</v>
      </c>
      <c r="H191" s="52">
        <v>1650.37</v>
      </c>
      <c r="I191" s="52">
        <v>1724.04</v>
      </c>
      <c r="J191" s="52">
        <v>1719.53</v>
      </c>
      <c r="K191" s="52">
        <v>1715.35</v>
      </c>
      <c r="L191" s="52">
        <v>1727.54</v>
      </c>
      <c r="M191" s="110">
        <f t="shared" si="19"/>
        <v>11841.54</v>
      </c>
      <c r="N191" s="111">
        <f t="shared" si="20"/>
        <v>611.93</v>
      </c>
      <c r="O191" s="52">
        <v>615.83</v>
      </c>
      <c r="P191" s="52">
        <f t="shared" si="16"/>
        <v>11700.0000000003</v>
      </c>
      <c r="Q191" s="52">
        <f t="shared" si="21"/>
        <v>3.85</v>
      </c>
      <c r="R191" s="52">
        <v>3.87</v>
      </c>
      <c r="S191" s="52">
        <f t="shared" si="17"/>
        <v>60.0000000000001</v>
      </c>
      <c r="T191" s="108">
        <f t="shared" si="18"/>
        <v>11640.0000000003</v>
      </c>
      <c r="U191" s="112"/>
      <c r="V191" s="52">
        <v>4.79</v>
      </c>
      <c r="W191" s="52">
        <v>28.95</v>
      </c>
      <c r="X191" s="52"/>
      <c r="Y191" s="52"/>
      <c r="Z191" s="52"/>
      <c r="AA191" s="52"/>
      <c r="AB191" s="108" t="s">
        <v>70</v>
      </c>
    </row>
    <row r="192" spans="1:28">
      <c r="A192" s="90">
        <f t="shared" si="15"/>
        <v>194</v>
      </c>
      <c r="B192" s="98">
        <v>45937</v>
      </c>
      <c r="C192" s="25">
        <v>45937</v>
      </c>
      <c r="D192" s="115">
        <v>0.291666666666667</v>
      </c>
      <c r="E192" s="116">
        <v>0.753472222222222</v>
      </c>
      <c r="F192" s="109">
        <v>1682.58</v>
      </c>
      <c r="G192" s="52">
        <v>1694.74</v>
      </c>
      <c r="H192" s="52">
        <v>1710.67</v>
      </c>
      <c r="I192" s="52">
        <v>1804.12</v>
      </c>
      <c r="J192" s="52">
        <v>1814.94</v>
      </c>
      <c r="K192" s="52">
        <v>1823.9</v>
      </c>
      <c r="L192" s="52">
        <v>1850.38</v>
      </c>
      <c r="M192" s="110">
        <f t="shared" si="19"/>
        <v>12381.33</v>
      </c>
      <c r="N192" s="111">
        <f t="shared" si="20"/>
        <v>615.83</v>
      </c>
      <c r="O192" s="52">
        <v>619.91</v>
      </c>
      <c r="P192" s="52">
        <f t="shared" si="16"/>
        <v>12239.9999999998</v>
      </c>
      <c r="Q192" s="52">
        <f t="shared" si="21"/>
        <v>3.87</v>
      </c>
      <c r="R192" s="52">
        <v>3.88</v>
      </c>
      <c r="S192" s="52">
        <f t="shared" si="17"/>
        <v>29.9999999999994</v>
      </c>
      <c r="T192" s="108">
        <f t="shared" si="18"/>
        <v>12209.9999999998</v>
      </c>
      <c r="U192" s="112"/>
      <c r="V192" s="52">
        <v>4.85</v>
      </c>
      <c r="W192" s="52">
        <v>29.37</v>
      </c>
      <c r="X192" s="52"/>
      <c r="Y192" s="52"/>
      <c r="Z192" s="52"/>
      <c r="AA192" s="52"/>
      <c r="AB192" s="108" t="s">
        <v>70</v>
      </c>
    </row>
    <row r="193" spans="1:28">
      <c r="A193" s="90">
        <f t="shared" si="15"/>
        <v>195</v>
      </c>
      <c r="B193" s="98">
        <v>45938</v>
      </c>
      <c r="C193" s="25">
        <v>45938</v>
      </c>
      <c r="D193" s="115">
        <v>0.302083333333333</v>
      </c>
      <c r="E193" s="116">
        <v>0.75</v>
      </c>
      <c r="F193" s="109">
        <v>1763.3</v>
      </c>
      <c r="G193" s="52">
        <v>1751.7</v>
      </c>
      <c r="H193" s="52">
        <v>1751.02</v>
      </c>
      <c r="I193" s="52">
        <v>1829.6</v>
      </c>
      <c r="J193" s="52">
        <v>1825.16</v>
      </c>
      <c r="K193" s="52">
        <v>1820.15</v>
      </c>
      <c r="L193" s="52">
        <v>1834.96</v>
      </c>
      <c r="M193" s="110">
        <f t="shared" si="19"/>
        <v>12575.89</v>
      </c>
      <c r="N193" s="111">
        <f t="shared" si="20"/>
        <v>619.91</v>
      </c>
      <c r="O193" s="52">
        <v>624.05</v>
      </c>
      <c r="P193" s="52">
        <f t="shared" si="16"/>
        <v>12420</v>
      </c>
      <c r="Q193" s="52">
        <f t="shared" si="21"/>
        <v>3.88</v>
      </c>
      <c r="R193" s="52">
        <v>3.89</v>
      </c>
      <c r="S193" s="52">
        <f t="shared" si="17"/>
        <v>30.0000000000007</v>
      </c>
      <c r="T193" s="108">
        <f t="shared" si="18"/>
        <v>12390</v>
      </c>
      <c r="U193" s="112"/>
      <c r="V193" s="52">
        <v>4.32</v>
      </c>
      <c r="W193" s="52">
        <v>30.46</v>
      </c>
      <c r="X193" s="52"/>
      <c r="Y193" s="52"/>
      <c r="Z193" s="52"/>
      <c r="AA193" s="52"/>
      <c r="AB193" s="108" t="s">
        <v>70</v>
      </c>
    </row>
    <row r="194" spans="1:28">
      <c r="A194" s="90">
        <f t="shared" si="15"/>
        <v>196</v>
      </c>
      <c r="B194" s="98">
        <v>45939</v>
      </c>
      <c r="C194" s="25">
        <v>45939</v>
      </c>
      <c r="D194" s="115">
        <v>0.302083333333333</v>
      </c>
      <c r="E194" s="116">
        <v>0.75</v>
      </c>
      <c r="F194" s="109">
        <v>1303.6</v>
      </c>
      <c r="G194" s="52">
        <v>1299</v>
      </c>
      <c r="H194" s="52">
        <v>1302.7</v>
      </c>
      <c r="I194" s="52">
        <v>1363.92</v>
      </c>
      <c r="J194" s="52">
        <v>1362.73</v>
      </c>
      <c r="K194" s="52">
        <v>1362.95</v>
      </c>
      <c r="L194" s="52">
        <v>1377.07</v>
      </c>
      <c r="M194" s="110">
        <f t="shared" si="19"/>
        <v>9371.97</v>
      </c>
      <c r="N194" s="111">
        <f t="shared" si="20"/>
        <v>624.05</v>
      </c>
      <c r="O194" s="52">
        <v>627.14</v>
      </c>
      <c r="P194" s="52">
        <f t="shared" si="16"/>
        <v>9270.00000000009</v>
      </c>
      <c r="Q194" s="52">
        <f t="shared" si="21"/>
        <v>3.89</v>
      </c>
      <c r="R194" s="52">
        <v>3.9</v>
      </c>
      <c r="S194" s="52">
        <f t="shared" si="17"/>
        <v>29.9999999999994</v>
      </c>
      <c r="T194" s="108">
        <f t="shared" si="18"/>
        <v>9240.00000000009</v>
      </c>
      <c r="U194" s="112"/>
      <c r="V194" s="52">
        <v>4.69</v>
      </c>
      <c r="W194" s="52">
        <v>31.57</v>
      </c>
      <c r="X194" s="52"/>
      <c r="Y194" s="52"/>
      <c r="Z194" s="52"/>
      <c r="AA194" s="52"/>
      <c r="AB194" s="108" t="s">
        <v>70</v>
      </c>
    </row>
    <row r="195" spans="1:28">
      <c r="A195" s="90">
        <f t="shared" ref="A195:A258" si="22">A194+1</f>
        <v>197</v>
      </c>
      <c r="B195" s="98">
        <v>45940</v>
      </c>
      <c r="C195" s="25">
        <v>45940</v>
      </c>
      <c r="D195" s="115">
        <v>0.291666666666667</v>
      </c>
      <c r="E195" s="116">
        <v>0.75</v>
      </c>
      <c r="F195" s="109">
        <v>1743.27</v>
      </c>
      <c r="G195" s="52">
        <v>1741.38</v>
      </c>
      <c r="H195" s="52">
        <v>1746.18</v>
      </c>
      <c r="I195" s="52">
        <v>1830.1</v>
      </c>
      <c r="J195" s="52">
        <v>1830.75</v>
      </c>
      <c r="K195" s="52">
        <v>1828.2</v>
      </c>
      <c r="L195" s="52">
        <v>1842.41</v>
      </c>
      <c r="M195" s="110">
        <f t="shared" si="19"/>
        <v>12562.29</v>
      </c>
      <c r="N195" s="111">
        <f t="shared" si="20"/>
        <v>627.14</v>
      </c>
      <c r="O195" s="52">
        <v>631.29</v>
      </c>
      <c r="P195" s="52">
        <f t="shared" ref="P195:P258" si="23">MAX((O195-N195)*3000,0)</f>
        <v>12449.9999999999</v>
      </c>
      <c r="Q195" s="52">
        <f t="shared" si="21"/>
        <v>3.9</v>
      </c>
      <c r="R195" s="52">
        <v>3.91</v>
      </c>
      <c r="S195" s="52">
        <f t="shared" ref="S195:S258" si="24">MAX((R195-Q195)*3000,0)</f>
        <v>30.0000000000007</v>
      </c>
      <c r="T195" s="108">
        <f t="shared" ref="T195:T258" si="25">P195-S195</f>
        <v>12419.9999999999</v>
      </c>
      <c r="U195" s="112"/>
      <c r="V195" s="52">
        <v>3.91</v>
      </c>
      <c r="W195" s="52">
        <v>32</v>
      </c>
      <c r="X195" s="52"/>
      <c r="Y195" s="52"/>
      <c r="Z195" s="52"/>
      <c r="AA195" s="52"/>
      <c r="AB195" s="108" t="s">
        <v>70</v>
      </c>
    </row>
    <row r="196" spans="1:28">
      <c r="A196" s="90">
        <f t="shared" si="22"/>
        <v>198</v>
      </c>
      <c r="B196" s="98">
        <v>45941</v>
      </c>
      <c r="C196" s="25">
        <v>45941</v>
      </c>
      <c r="D196" s="115">
        <v>0.302083333333333</v>
      </c>
      <c r="E196" s="116">
        <v>0.75</v>
      </c>
      <c r="F196" s="109">
        <v>1723.5</v>
      </c>
      <c r="G196" s="52">
        <v>1719.12</v>
      </c>
      <c r="H196" s="52">
        <v>1726.89</v>
      </c>
      <c r="I196" s="52">
        <v>1805.8</v>
      </c>
      <c r="J196" s="52">
        <v>1805.59</v>
      </c>
      <c r="K196" s="52">
        <v>1803.45</v>
      </c>
      <c r="L196" s="52">
        <v>1816.88</v>
      </c>
      <c r="M196" s="110">
        <f t="shared" si="19"/>
        <v>12401.23</v>
      </c>
      <c r="N196" s="111">
        <f t="shared" si="20"/>
        <v>631.29</v>
      </c>
      <c r="O196" s="52">
        <v>635.37</v>
      </c>
      <c r="P196" s="52">
        <f t="shared" si="23"/>
        <v>12240.0000000001</v>
      </c>
      <c r="Q196" s="52">
        <f t="shared" si="21"/>
        <v>3.91</v>
      </c>
      <c r="R196" s="52">
        <v>3.92</v>
      </c>
      <c r="S196" s="52">
        <f t="shared" si="24"/>
        <v>29.9999999999994</v>
      </c>
      <c r="T196" s="108">
        <f t="shared" si="25"/>
        <v>12210.0000000001</v>
      </c>
      <c r="U196" s="112"/>
      <c r="V196" s="52">
        <v>3.48</v>
      </c>
      <c r="W196" s="52">
        <v>31.72</v>
      </c>
      <c r="X196" s="52"/>
      <c r="Y196" s="52"/>
      <c r="Z196" s="52"/>
      <c r="AA196" s="52"/>
      <c r="AB196" s="108" t="s">
        <v>70</v>
      </c>
    </row>
    <row r="197" spans="1:28">
      <c r="A197" s="90">
        <f t="shared" si="22"/>
        <v>199</v>
      </c>
      <c r="B197" s="98">
        <v>45942</v>
      </c>
      <c r="C197" s="25">
        <v>45942</v>
      </c>
      <c r="D197" s="115">
        <v>0.291666666666667</v>
      </c>
      <c r="E197" s="116">
        <v>0.75</v>
      </c>
      <c r="F197" s="109">
        <v>1848.27</v>
      </c>
      <c r="G197" s="52">
        <v>1844.54</v>
      </c>
      <c r="H197" s="52">
        <v>1850.31</v>
      </c>
      <c r="I197" s="52">
        <v>1936.18</v>
      </c>
      <c r="J197" s="52">
        <v>1936.39</v>
      </c>
      <c r="K197" s="52">
        <v>1931.23</v>
      </c>
      <c r="L197" s="52">
        <v>1943.75</v>
      </c>
      <c r="M197" s="110">
        <f t="shared" si="19"/>
        <v>13290.67</v>
      </c>
      <c r="N197" s="111">
        <f t="shared" si="20"/>
        <v>635.37</v>
      </c>
      <c r="O197" s="52">
        <v>639.75</v>
      </c>
      <c r="P197" s="52">
        <f t="shared" si="23"/>
        <v>13140</v>
      </c>
      <c r="Q197" s="52">
        <f t="shared" si="21"/>
        <v>3.92</v>
      </c>
      <c r="R197" s="52">
        <v>3.93</v>
      </c>
      <c r="S197" s="52">
        <f t="shared" si="24"/>
        <v>30.0000000000007</v>
      </c>
      <c r="T197" s="108">
        <f t="shared" si="25"/>
        <v>13110</v>
      </c>
      <c r="U197" s="112"/>
      <c r="V197" s="52">
        <v>3.55</v>
      </c>
      <c r="W197" s="52">
        <v>30.06</v>
      </c>
      <c r="X197" s="52"/>
      <c r="Y197" s="52"/>
      <c r="Z197" s="52"/>
      <c r="AA197" s="52"/>
      <c r="AB197" s="108" t="s">
        <v>70</v>
      </c>
    </row>
    <row r="198" spans="1:28">
      <c r="A198" s="90">
        <f t="shared" si="22"/>
        <v>200</v>
      </c>
      <c r="B198" s="98">
        <v>45943</v>
      </c>
      <c r="C198" s="25">
        <v>45943</v>
      </c>
      <c r="D198" s="115">
        <v>0.291666666666667</v>
      </c>
      <c r="E198" s="116">
        <v>0.75</v>
      </c>
      <c r="F198" s="109">
        <v>1780.95</v>
      </c>
      <c r="G198" s="52">
        <v>1778.23</v>
      </c>
      <c r="H198" s="52">
        <v>1783.62</v>
      </c>
      <c r="I198" s="52">
        <v>1862.43</v>
      </c>
      <c r="J198" s="52">
        <v>1860.48</v>
      </c>
      <c r="K198" s="52">
        <v>1852.35</v>
      </c>
      <c r="L198" s="52">
        <v>1862.24</v>
      </c>
      <c r="M198" s="110">
        <f t="shared" si="19"/>
        <v>12780.3</v>
      </c>
      <c r="N198" s="111">
        <f t="shared" si="20"/>
        <v>639.75</v>
      </c>
      <c r="O198" s="52">
        <v>643.96</v>
      </c>
      <c r="P198" s="52">
        <f t="shared" si="23"/>
        <v>12630.0000000001</v>
      </c>
      <c r="Q198" s="52">
        <f t="shared" si="21"/>
        <v>3.93</v>
      </c>
      <c r="R198" s="52">
        <v>3.94</v>
      </c>
      <c r="S198" s="52">
        <f t="shared" si="24"/>
        <v>29.9999999999994</v>
      </c>
      <c r="T198" s="108">
        <f t="shared" si="25"/>
        <v>12600.0000000001</v>
      </c>
      <c r="U198" s="112"/>
      <c r="V198" s="52">
        <v>3.54</v>
      </c>
      <c r="W198" s="52">
        <v>30.97</v>
      </c>
      <c r="X198" s="52"/>
      <c r="Y198" s="52"/>
      <c r="Z198" s="52"/>
      <c r="AA198" s="52"/>
      <c r="AB198" s="108" t="s">
        <v>70</v>
      </c>
    </row>
    <row r="199" spans="1:28">
      <c r="A199" s="90">
        <f t="shared" si="22"/>
        <v>201</v>
      </c>
      <c r="B199" s="98">
        <v>45944</v>
      </c>
      <c r="C199" s="25">
        <v>45944</v>
      </c>
      <c r="D199" s="115">
        <v>0.302083333333333</v>
      </c>
      <c r="E199" s="116">
        <v>0.75</v>
      </c>
      <c r="F199" s="109">
        <v>1776.76</v>
      </c>
      <c r="G199" s="52">
        <v>1771.83</v>
      </c>
      <c r="H199" s="52">
        <v>1777.8</v>
      </c>
      <c r="I199" s="52">
        <v>1856.14</v>
      </c>
      <c r="J199" s="52">
        <v>1858.94</v>
      </c>
      <c r="K199" s="52">
        <v>1853.16</v>
      </c>
      <c r="L199" s="52">
        <v>1865.7</v>
      </c>
      <c r="M199" s="110">
        <f t="shared" si="19"/>
        <v>12760.33</v>
      </c>
      <c r="N199" s="111">
        <f t="shared" si="20"/>
        <v>643.96</v>
      </c>
      <c r="O199" s="52">
        <v>648.17</v>
      </c>
      <c r="P199" s="52">
        <f t="shared" si="23"/>
        <v>12629.9999999998</v>
      </c>
      <c r="Q199" s="52">
        <f t="shared" si="21"/>
        <v>3.94</v>
      </c>
      <c r="R199" s="52">
        <v>3.95</v>
      </c>
      <c r="S199" s="52">
        <f t="shared" si="24"/>
        <v>30.0000000000007</v>
      </c>
      <c r="T199" s="108">
        <f t="shared" si="25"/>
        <v>12599.9999999998</v>
      </c>
      <c r="U199" s="112"/>
      <c r="V199" s="52">
        <v>3.44</v>
      </c>
      <c r="W199" s="52">
        <v>31.13</v>
      </c>
      <c r="X199" s="52"/>
      <c r="Y199" s="52"/>
      <c r="Z199" s="52"/>
      <c r="AA199" s="52"/>
      <c r="AB199" s="108" t="s">
        <v>70</v>
      </c>
    </row>
    <row r="200" spans="1:28">
      <c r="A200" s="90">
        <f t="shared" si="22"/>
        <v>202</v>
      </c>
      <c r="B200" s="98">
        <v>45945</v>
      </c>
      <c r="C200" s="25">
        <v>45945</v>
      </c>
      <c r="D200" s="115">
        <v>0.302083333333333</v>
      </c>
      <c r="E200" s="116">
        <v>0.75</v>
      </c>
      <c r="F200" s="109">
        <v>1829.55</v>
      </c>
      <c r="G200" s="52">
        <v>1826.7</v>
      </c>
      <c r="H200" s="52">
        <v>1833</v>
      </c>
      <c r="I200" s="52">
        <v>1916.68</v>
      </c>
      <c r="J200" s="52">
        <v>1917.54</v>
      </c>
      <c r="K200" s="52">
        <v>1911.11</v>
      </c>
      <c r="L200" s="52">
        <v>1923.74</v>
      </c>
      <c r="M200" s="110">
        <f t="shared" si="19"/>
        <v>13158.32</v>
      </c>
      <c r="N200" s="111">
        <f t="shared" si="20"/>
        <v>648.17</v>
      </c>
      <c r="O200" s="52">
        <v>652.5</v>
      </c>
      <c r="P200" s="52">
        <f t="shared" si="23"/>
        <v>12990.0000000001</v>
      </c>
      <c r="Q200" s="52">
        <f t="shared" si="21"/>
        <v>3.95</v>
      </c>
      <c r="R200" s="52">
        <v>3.97</v>
      </c>
      <c r="S200" s="52">
        <f t="shared" si="24"/>
        <v>60.0000000000001</v>
      </c>
      <c r="T200" s="108">
        <f t="shared" si="25"/>
        <v>12930.0000000001</v>
      </c>
      <c r="U200" s="112"/>
      <c r="V200" s="52">
        <v>3.55</v>
      </c>
      <c r="W200" s="52">
        <v>32.65</v>
      </c>
      <c r="X200" s="52"/>
      <c r="Y200" s="52"/>
      <c r="Z200" s="52"/>
      <c r="AA200" s="52"/>
      <c r="AB200" s="108" t="s">
        <v>70</v>
      </c>
    </row>
    <row r="201" spans="1:28">
      <c r="A201" s="90">
        <f t="shared" si="22"/>
        <v>203</v>
      </c>
      <c r="B201" s="98">
        <v>45946</v>
      </c>
      <c r="C201" s="25">
        <v>45946</v>
      </c>
      <c r="D201" s="115">
        <v>0.302083333333333</v>
      </c>
      <c r="E201" s="116">
        <v>0.739583333333333</v>
      </c>
      <c r="F201" s="109">
        <v>1513.48</v>
      </c>
      <c r="G201" s="52">
        <v>1511.34</v>
      </c>
      <c r="H201" s="52">
        <v>1518.03</v>
      </c>
      <c r="I201" s="52">
        <v>1588.93</v>
      </c>
      <c r="J201" s="52">
        <v>1589.27</v>
      </c>
      <c r="K201" s="52">
        <v>1583.97</v>
      </c>
      <c r="L201" s="52">
        <v>1594.16</v>
      </c>
      <c r="M201" s="110">
        <f t="shared" si="19"/>
        <v>10899.18</v>
      </c>
      <c r="N201" s="111">
        <f t="shared" si="20"/>
        <v>652.5</v>
      </c>
      <c r="O201" s="52">
        <v>656.1</v>
      </c>
      <c r="P201" s="52">
        <f t="shared" si="23"/>
        <v>10800.0000000001</v>
      </c>
      <c r="Q201" s="52">
        <f t="shared" si="21"/>
        <v>3.97</v>
      </c>
      <c r="R201" s="52">
        <v>3.98</v>
      </c>
      <c r="S201" s="52">
        <f t="shared" si="24"/>
        <v>29.9999999999994</v>
      </c>
      <c r="T201" s="108">
        <f t="shared" si="25"/>
        <v>10770.0000000001</v>
      </c>
      <c r="U201" s="112"/>
      <c r="V201" s="52">
        <v>3.36</v>
      </c>
      <c r="W201" s="52">
        <v>31.1</v>
      </c>
      <c r="X201" s="52"/>
      <c r="Y201" s="52"/>
      <c r="Z201" s="52"/>
      <c r="AA201" s="52"/>
      <c r="AB201" s="108" t="s">
        <v>70</v>
      </c>
    </row>
    <row r="202" spans="1:28">
      <c r="A202" s="90">
        <f t="shared" si="22"/>
        <v>204</v>
      </c>
      <c r="B202" s="98">
        <v>45947</v>
      </c>
      <c r="C202" s="25">
        <v>45947</v>
      </c>
      <c r="D202" s="115">
        <v>0.306944444444444</v>
      </c>
      <c r="E202" s="116">
        <v>0.75</v>
      </c>
      <c r="F202" s="109">
        <v>1544.54</v>
      </c>
      <c r="G202" s="52">
        <v>1541.03</v>
      </c>
      <c r="H202" s="52">
        <v>1569.15</v>
      </c>
      <c r="I202" s="52">
        <v>1638.2</v>
      </c>
      <c r="J202" s="52">
        <v>1614.64</v>
      </c>
      <c r="K202" s="52">
        <v>1610.38</v>
      </c>
      <c r="L202" s="52">
        <v>1628.24</v>
      </c>
      <c r="M202" s="110">
        <f t="shared" si="19"/>
        <v>11146.18</v>
      </c>
      <c r="N202" s="111">
        <f t="shared" si="20"/>
        <v>656.1</v>
      </c>
      <c r="O202" s="52">
        <v>659.78</v>
      </c>
      <c r="P202" s="52">
        <f t="shared" si="23"/>
        <v>11039.9999999999</v>
      </c>
      <c r="Q202" s="52">
        <f t="shared" si="21"/>
        <v>3.98</v>
      </c>
      <c r="R202" s="52">
        <v>3.99</v>
      </c>
      <c r="S202" s="52">
        <f t="shared" si="24"/>
        <v>30.0000000000007</v>
      </c>
      <c r="T202" s="108">
        <f t="shared" si="25"/>
        <v>11009.9999999999</v>
      </c>
      <c r="U202" s="112"/>
      <c r="V202" s="52">
        <v>3.23</v>
      </c>
      <c r="W202" s="52">
        <v>32.08</v>
      </c>
      <c r="X202" s="52"/>
      <c r="Y202" s="52"/>
      <c r="Z202" s="52"/>
      <c r="AA202" s="52"/>
      <c r="AB202" s="108" t="s">
        <v>70</v>
      </c>
    </row>
    <row r="203" spans="1:28">
      <c r="A203" s="90">
        <f t="shared" si="22"/>
        <v>205</v>
      </c>
      <c r="B203" s="98">
        <v>45948</v>
      </c>
      <c r="C203" s="25">
        <v>45948</v>
      </c>
      <c r="D203" s="115">
        <v>0.302083333333333</v>
      </c>
      <c r="E203" s="116">
        <v>0.75</v>
      </c>
      <c r="F203" s="109">
        <v>1806.27</v>
      </c>
      <c r="G203" s="52">
        <v>1819.05</v>
      </c>
      <c r="H203" s="52">
        <v>1830.39</v>
      </c>
      <c r="I203" s="52">
        <v>1906.42</v>
      </c>
      <c r="J203" s="52">
        <v>1875.5</v>
      </c>
      <c r="K203" s="52">
        <v>1863.68</v>
      </c>
      <c r="L203" s="52">
        <v>1881.84</v>
      </c>
      <c r="M203" s="110">
        <f t="shared" si="19"/>
        <v>12983.15</v>
      </c>
      <c r="N203" s="111">
        <f t="shared" si="20"/>
        <v>659.78</v>
      </c>
      <c r="O203" s="52">
        <v>664.06</v>
      </c>
      <c r="P203" s="52">
        <f t="shared" si="23"/>
        <v>12839.9999999999</v>
      </c>
      <c r="Q203" s="52">
        <f t="shared" si="21"/>
        <v>3.99</v>
      </c>
      <c r="R203" s="52">
        <v>4</v>
      </c>
      <c r="S203" s="52">
        <f t="shared" si="24"/>
        <v>29.9999999999994</v>
      </c>
      <c r="T203" s="108">
        <f t="shared" si="25"/>
        <v>12809.9999999999</v>
      </c>
      <c r="U203" s="112"/>
      <c r="V203" s="52">
        <v>3.93</v>
      </c>
      <c r="W203" s="52">
        <v>33.29</v>
      </c>
      <c r="X203" s="52"/>
      <c r="Y203" s="52"/>
      <c r="Z203" s="52"/>
      <c r="AA203" s="52"/>
      <c r="AB203" s="108" t="s">
        <v>70</v>
      </c>
    </row>
    <row r="204" spans="1:28">
      <c r="A204" s="90">
        <f t="shared" si="22"/>
        <v>206</v>
      </c>
      <c r="B204" s="98">
        <v>45949</v>
      </c>
      <c r="C204" s="25">
        <v>45949</v>
      </c>
      <c r="D204" s="115">
        <v>0.295833333333333</v>
      </c>
      <c r="E204" s="116">
        <v>0.739583333333333</v>
      </c>
      <c r="F204" s="109">
        <v>1668.15</v>
      </c>
      <c r="G204" s="52">
        <v>1677.43</v>
      </c>
      <c r="H204" s="52">
        <v>1687</v>
      </c>
      <c r="I204" s="52">
        <v>1773.38</v>
      </c>
      <c r="J204" s="52">
        <v>1784.07</v>
      </c>
      <c r="K204" s="52">
        <v>1756.55</v>
      </c>
      <c r="L204" s="52">
        <v>1778.12</v>
      </c>
      <c r="M204" s="110">
        <f t="shared" si="19"/>
        <v>12124.7</v>
      </c>
      <c r="N204" s="111">
        <f t="shared" si="20"/>
        <v>664.06</v>
      </c>
      <c r="O204" s="52">
        <v>668.06</v>
      </c>
      <c r="P204" s="52">
        <f t="shared" si="23"/>
        <v>12000</v>
      </c>
      <c r="Q204" s="52">
        <f t="shared" si="21"/>
        <v>4</v>
      </c>
      <c r="R204" s="52">
        <v>4.01</v>
      </c>
      <c r="S204" s="52">
        <f t="shared" si="24"/>
        <v>29.9999999999994</v>
      </c>
      <c r="T204" s="108">
        <f t="shared" si="25"/>
        <v>11970</v>
      </c>
      <c r="U204" s="112"/>
      <c r="V204" s="52">
        <v>4.46</v>
      </c>
      <c r="W204" s="52">
        <v>32.68</v>
      </c>
      <c r="X204" s="52"/>
      <c r="Y204" s="52"/>
      <c r="Z204" s="52"/>
      <c r="AA204" s="52"/>
      <c r="AB204" s="108" t="s">
        <v>70</v>
      </c>
    </row>
    <row r="205" spans="1:28">
      <c r="A205" s="90">
        <f t="shared" si="22"/>
        <v>207</v>
      </c>
      <c r="B205" s="98">
        <v>45950</v>
      </c>
      <c r="C205" s="25">
        <v>45950</v>
      </c>
      <c r="D205" s="115">
        <v>0.302083333333333</v>
      </c>
      <c r="E205" s="116">
        <v>0.739583333333333</v>
      </c>
      <c r="F205" s="109">
        <v>1632.97</v>
      </c>
      <c r="G205" s="52">
        <v>1643.03</v>
      </c>
      <c r="H205" s="52">
        <v>1652.94</v>
      </c>
      <c r="I205" s="52">
        <v>1731.13</v>
      </c>
      <c r="J205" s="52">
        <v>1741.73</v>
      </c>
      <c r="K205" s="52">
        <v>1725.92</v>
      </c>
      <c r="L205" s="52">
        <v>1768.1</v>
      </c>
      <c r="M205" s="110">
        <f t="shared" ref="M205:M268" si="26">SUM(F205:L205)</f>
        <v>11895.82</v>
      </c>
      <c r="N205" s="111">
        <f t="shared" ref="N205:N268" si="27">O204</f>
        <v>668.06</v>
      </c>
      <c r="O205" s="52">
        <v>671.98</v>
      </c>
      <c r="P205" s="52">
        <f t="shared" si="23"/>
        <v>11760.0000000002</v>
      </c>
      <c r="Q205" s="52">
        <f t="shared" ref="Q205:Q268" si="28">R204</f>
        <v>4.01</v>
      </c>
      <c r="R205" s="52">
        <v>4.02</v>
      </c>
      <c r="S205" s="52">
        <f t="shared" si="24"/>
        <v>29.9999999999994</v>
      </c>
      <c r="T205" s="108">
        <f t="shared" si="25"/>
        <v>11730.0000000002</v>
      </c>
      <c r="U205" s="112"/>
      <c r="V205" s="52">
        <v>3.96</v>
      </c>
      <c r="W205" s="52">
        <v>33.28</v>
      </c>
      <c r="X205" s="52"/>
      <c r="Y205" s="52"/>
      <c r="Z205" s="52"/>
      <c r="AA205" s="52"/>
      <c r="AB205" s="108" t="s">
        <v>70</v>
      </c>
    </row>
    <row r="206" spans="1:28">
      <c r="A206" s="90">
        <f t="shared" si="22"/>
        <v>208</v>
      </c>
      <c r="B206" s="98">
        <v>45951</v>
      </c>
      <c r="C206" s="25">
        <v>45951</v>
      </c>
      <c r="D206" s="115">
        <v>0.302083333333333</v>
      </c>
      <c r="E206" s="116">
        <v>0.739583333333333</v>
      </c>
      <c r="F206" s="109">
        <v>1396.83</v>
      </c>
      <c r="G206" s="52">
        <v>1404.73</v>
      </c>
      <c r="H206" s="52">
        <v>1413.3</v>
      </c>
      <c r="I206" s="52">
        <v>1478.81</v>
      </c>
      <c r="J206" s="52">
        <v>1488.66</v>
      </c>
      <c r="K206" s="52">
        <v>1475.28</v>
      </c>
      <c r="L206" s="52">
        <v>1505.97</v>
      </c>
      <c r="M206" s="110">
        <f t="shared" si="26"/>
        <v>10163.58</v>
      </c>
      <c r="N206" s="111">
        <f t="shared" si="27"/>
        <v>671.98</v>
      </c>
      <c r="O206" s="52">
        <v>675.33</v>
      </c>
      <c r="P206" s="52">
        <f t="shared" si="23"/>
        <v>10050.0000000001</v>
      </c>
      <c r="Q206" s="52">
        <f t="shared" si="28"/>
        <v>4.02</v>
      </c>
      <c r="R206" s="52">
        <v>4.03</v>
      </c>
      <c r="S206" s="52">
        <f t="shared" si="24"/>
        <v>30.000000000002</v>
      </c>
      <c r="T206" s="108">
        <f t="shared" si="25"/>
        <v>10020.0000000001</v>
      </c>
      <c r="U206" s="112"/>
      <c r="V206" s="52">
        <v>3.86</v>
      </c>
      <c r="W206" s="52">
        <v>32.2</v>
      </c>
      <c r="X206" s="52"/>
      <c r="Y206" s="52"/>
      <c r="Z206" s="52"/>
      <c r="AA206" s="52"/>
      <c r="AB206" s="108" t="s">
        <v>70</v>
      </c>
    </row>
    <row r="207" spans="1:28">
      <c r="A207" s="90">
        <f t="shared" si="22"/>
        <v>209</v>
      </c>
      <c r="B207" s="98">
        <v>45952</v>
      </c>
      <c r="C207" s="25">
        <v>45952</v>
      </c>
      <c r="D207" s="115">
        <v>0.302083333333333</v>
      </c>
      <c r="E207" s="116">
        <v>0.739583333333333</v>
      </c>
      <c r="F207" s="109">
        <v>1528.59</v>
      </c>
      <c r="G207" s="52">
        <v>1533.77</v>
      </c>
      <c r="H207" s="52">
        <v>1535.62</v>
      </c>
      <c r="I207" s="52">
        <v>1607.28</v>
      </c>
      <c r="J207" s="52">
        <v>1617.5</v>
      </c>
      <c r="K207" s="52">
        <v>1603.23</v>
      </c>
      <c r="L207" s="52">
        <v>1636.62</v>
      </c>
      <c r="M207" s="110">
        <f t="shared" si="26"/>
        <v>11062.61</v>
      </c>
      <c r="N207" s="111">
        <f t="shared" si="27"/>
        <v>675.33</v>
      </c>
      <c r="O207" s="52">
        <v>678.98</v>
      </c>
      <c r="P207" s="52">
        <f t="shared" si="23"/>
        <v>10949.9999999999</v>
      </c>
      <c r="Q207" s="52">
        <f t="shared" si="28"/>
        <v>4.03</v>
      </c>
      <c r="R207" s="52">
        <v>4.05</v>
      </c>
      <c r="S207" s="52">
        <f t="shared" si="24"/>
        <v>59.9999999999987</v>
      </c>
      <c r="T207" s="108">
        <f t="shared" si="25"/>
        <v>10889.9999999999</v>
      </c>
      <c r="U207" s="112"/>
      <c r="V207" s="52">
        <v>4.26</v>
      </c>
      <c r="W207" s="52">
        <v>32.09</v>
      </c>
      <c r="X207" s="52"/>
      <c r="Y207" s="52"/>
      <c r="Z207" s="52"/>
      <c r="AA207" s="52"/>
      <c r="AB207" s="108" t="s">
        <v>70</v>
      </c>
    </row>
    <row r="208" spans="1:28">
      <c r="A208" s="90">
        <f t="shared" si="22"/>
        <v>210</v>
      </c>
      <c r="B208" s="98">
        <v>45953</v>
      </c>
      <c r="C208" s="25">
        <v>45953</v>
      </c>
      <c r="D208" s="115">
        <v>0.3125</v>
      </c>
      <c r="E208" s="116">
        <v>0.739583333333333</v>
      </c>
      <c r="F208" s="109">
        <v>1505.45</v>
      </c>
      <c r="G208" s="52">
        <v>1512.28</v>
      </c>
      <c r="H208" s="52">
        <v>1486.87</v>
      </c>
      <c r="I208" s="52">
        <v>1575.36</v>
      </c>
      <c r="J208" s="52">
        <v>1599.05</v>
      </c>
      <c r="K208" s="52">
        <v>1587.22</v>
      </c>
      <c r="L208" s="52">
        <v>1621.56</v>
      </c>
      <c r="M208" s="110">
        <f t="shared" si="26"/>
        <v>10887.79</v>
      </c>
      <c r="N208" s="111">
        <f t="shared" si="27"/>
        <v>678.98</v>
      </c>
      <c r="O208" s="52">
        <v>682.58</v>
      </c>
      <c r="P208" s="52">
        <f t="shared" si="23"/>
        <v>10800.0000000001</v>
      </c>
      <c r="Q208" s="52">
        <f t="shared" si="28"/>
        <v>4.05</v>
      </c>
      <c r="R208" s="52">
        <v>4.06</v>
      </c>
      <c r="S208" s="52">
        <f t="shared" si="24"/>
        <v>29.9999999999994</v>
      </c>
      <c r="T208" s="108">
        <f t="shared" si="25"/>
        <v>10770.0000000001</v>
      </c>
      <c r="U208" s="112"/>
      <c r="V208" s="52">
        <v>3.78</v>
      </c>
      <c r="W208" s="52">
        <v>32.28</v>
      </c>
      <c r="X208" s="52"/>
      <c r="Y208" s="52"/>
      <c r="Z208" s="52"/>
      <c r="AA208" s="52"/>
      <c r="AB208" s="108" t="s">
        <v>70</v>
      </c>
    </row>
    <row r="209" spans="1:28">
      <c r="A209" s="90">
        <f t="shared" si="22"/>
        <v>211</v>
      </c>
      <c r="B209" s="98">
        <v>45954</v>
      </c>
      <c r="C209" s="25">
        <v>45954</v>
      </c>
      <c r="D209" s="115">
        <v>0.30625</v>
      </c>
      <c r="E209" s="116">
        <v>0.739583333333333</v>
      </c>
      <c r="F209" s="109">
        <v>1462.71</v>
      </c>
      <c r="G209" s="52">
        <v>1468</v>
      </c>
      <c r="H209" s="52">
        <v>1487.75</v>
      </c>
      <c r="I209" s="52">
        <v>1557.33</v>
      </c>
      <c r="J209" s="52">
        <v>1554.02</v>
      </c>
      <c r="K209" s="52">
        <v>1544.21</v>
      </c>
      <c r="L209" s="52">
        <v>1577.15</v>
      </c>
      <c r="M209" s="110">
        <f t="shared" si="26"/>
        <v>10651.17</v>
      </c>
      <c r="N209" s="111">
        <f t="shared" si="27"/>
        <v>682.58</v>
      </c>
      <c r="O209" s="52">
        <v>686.09</v>
      </c>
      <c r="P209" s="52">
        <f t="shared" si="23"/>
        <v>10530</v>
      </c>
      <c r="Q209" s="52">
        <f t="shared" si="28"/>
        <v>4.06</v>
      </c>
      <c r="R209" s="52">
        <v>4.07</v>
      </c>
      <c r="S209" s="52">
        <f t="shared" si="24"/>
        <v>30.000000000002</v>
      </c>
      <c r="T209" s="108">
        <f t="shared" si="25"/>
        <v>10500</v>
      </c>
      <c r="U209" s="112"/>
      <c r="V209" s="52">
        <v>3.95</v>
      </c>
      <c r="W209" s="52">
        <v>31.67</v>
      </c>
      <c r="X209" s="52"/>
      <c r="Y209" s="52"/>
      <c r="Z209" s="52"/>
      <c r="AA209" s="52"/>
      <c r="AB209" s="108" t="s">
        <v>70</v>
      </c>
    </row>
    <row r="210" spans="1:28">
      <c r="A210" s="90">
        <f t="shared" si="22"/>
        <v>212</v>
      </c>
      <c r="B210" s="98">
        <v>45955</v>
      </c>
      <c r="C210" s="25">
        <v>45955</v>
      </c>
      <c r="D210" s="115">
        <v>0.30625</v>
      </c>
      <c r="E210" s="116">
        <v>0.729166666666667</v>
      </c>
      <c r="F210" s="109">
        <v>1387.18</v>
      </c>
      <c r="G210" s="52">
        <v>1391.77</v>
      </c>
      <c r="H210" s="52">
        <v>1411.33</v>
      </c>
      <c r="I210" s="52">
        <v>1482.56</v>
      </c>
      <c r="J210" s="52">
        <v>1479.77</v>
      </c>
      <c r="K210" s="52">
        <v>1469.36</v>
      </c>
      <c r="L210" s="52">
        <v>1500.41</v>
      </c>
      <c r="M210" s="110">
        <f t="shared" si="26"/>
        <v>10122.38</v>
      </c>
      <c r="N210" s="111">
        <f t="shared" si="27"/>
        <v>686.09</v>
      </c>
      <c r="O210" s="52">
        <v>689.43</v>
      </c>
      <c r="P210" s="52">
        <f t="shared" si="23"/>
        <v>10019.9999999998</v>
      </c>
      <c r="Q210" s="52">
        <f t="shared" si="28"/>
        <v>4.07</v>
      </c>
      <c r="R210" s="52">
        <v>4.08</v>
      </c>
      <c r="S210" s="52">
        <f t="shared" si="24"/>
        <v>29.9999999999994</v>
      </c>
      <c r="T210" s="108">
        <f t="shared" si="25"/>
        <v>9989.99999999975</v>
      </c>
      <c r="U210" s="112"/>
      <c r="V210" s="52">
        <v>3.42</v>
      </c>
      <c r="W210" s="52">
        <v>31.21</v>
      </c>
      <c r="X210" s="52"/>
      <c r="Y210" s="52"/>
      <c r="Z210" s="52"/>
      <c r="AA210" s="52"/>
      <c r="AB210" s="108" t="s">
        <v>70</v>
      </c>
    </row>
    <row r="211" spans="1:28">
      <c r="A211" s="90">
        <f t="shared" si="22"/>
        <v>213</v>
      </c>
      <c r="B211" s="98">
        <v>45956</v>
      </c>
      <c r="C211" s="25">
        <v>45956</v>
      </c>
      <c r="D211" s="115">
        <v>0.3125</v>
      </c>
      <c r="E211" s="116">
        <v>0.708333333333333</v>
      </c>
      <c r="F211" s="109">
        <v>342.39</v>
      </c>
      <c r="G211" s="52">
        <v>340.15</v>
      </c>
      <c r="H211" s="52">
        <v>342.41</v>
      </c>
      <c r="I211" s="52">
        <v>359.15</v>
      </c>
      <c r="J211" s="52">
        <v>357.5</v>
      </c>
      <c r="K211" s="52">
        <v>355.93</v>
      </c>
      <c r="L211" s="52">
        <v>363.76</v>
      </c>
      <c r="M211" s="110">
        <f t="shared" si="26"/>
        <v>2461.29</v>
      </c>
      <c r="N211" s="111">
        <f t="shared" si="27"/>
        <v>689.43</v>
      </c>
      <c r="O211" s="52">
        <v>690.24</v>
      </c>
      <c r="P211" s="52">
        <f t="shared" si="23"/>
        <v>2430.00000000018</v>
      </c>
      <c r="Q211" s="52">
        <f t="shared" si="28"/>
        <v>4.08</v>
      </c>
      <c r="R211" s="52">
        <v>4.09</v>
      </c>
      <c r="S211" s="52">
        <f t="shared" si="24"/>
        <v>29.9999999999994</v>
      </c>
      <c r="T211" s="108">
        <f t="shared" si="25"/>
        <v>2400.00000000018</v>
      </c>
      <c r="U211" s="112"/>
      <c r="V211" s="52">
        <v>0.69</v>
      </c>
      <c r="W211" s="52">
        <v>25.53</v>
      </c>
      <c r="X211" s="52"/>
      <c r="Y211" s="52"/>
      <c r="Z211" s="52"/>
      <c r="AA211" s="52"/>
      <c r="AB211" s="108" t="s">
        <v>72</v>
      </c>
    </row>
    <row r="212" spans="1:28">
      <c r="A212" s="90">
        <f t="shared" si="22"/>
        <v>214</v>
      </c>
      <c r="B212" s="98">
        <v>45957</v>
      </c>
      <c r="C212" s="25">
        <v>45957</v>
      </c>
      <c r="D212" s="115">
        <v>0.3125</v>
      </c>
      <c r="E212" s="116">
        <v>0.729166666666667</v>
      </c>
      <c r="F212" s="109">
        <v>391.21</v>
      </c>
      <c r="G212" s="52">
        <v>386.63</v>
      </c>
      <c r="H212" s="52">
        <v>386.61</v>
      </c>
      <c r="I212" s="52">
        <v>404.55</v>
      </c>
      <c r="J212" s="52">
        <v>402.79</v>
      </c>
      <c r="K212" s="52">
        <v>401.56</v>
      </c>
      <c r="L212" s="52">
        <v>405.04</v>
      </c>
      <c r="M212" s="110">
        <f t="shared" si="26"/>
        <v>2778.39</v>
      </c>
      <c r="N212" s="111">
        <f t="shared" si="27"/>
        <v>690.24</v>
      </c>
      <c r="O212" s="52">
        <v>691.15</v>
      </c>
      <c r="P212" s="52">
        <f t="shared" si="23"/>
        <v>2729.9999999999</v>
      </c>
      <c r="Q212" s="52">
        <f t="shared" si="28"/>
        <v>4.09</v>
      </c>
      <c r="R212" s="52">
        <v>4.11</v>
      </c>
      <c r="S212" s="52">
        <f t="shared" si="24"/>
        <v>60.0000000000014</v>
      </c>
      <c r="T212" s="108">
        <f t="shared" si="25"/>
        <v>2669.9999999999</v>
      </c>
      <c r="U212" s="112"/>
      <c r="V212" s="52">
        <v>1.38</v>
      </c>
      <c r="W212" s="52">
        <v>24.59</v>
      </c>
      <c r="X212" s="52"/>
      <c r="Y212" s="52"/>
      <c r="Z212" s="52"/>
      <c r="AA212" s="52"/>
      <c r="AB212" s="108" t="s">
        <v>73</v>
      </c>
    </row>
    <row r="213" spans="1:28">
      <c r="A213" s="90">
        <f t="shared" si="22"/>
        <v>215</v>
      </c>
      <c r="B213" s="98">
        <v>45958</v>
      </c>
      <c r="C213" s="25">
        <v>45958</v>
      </c>
      <c r="D213" s="115">
        <v>0.395833333333333</v>
      </c>
      <c r="E213" s="116">
        <v>0.739583333333333</v>
      </c>
      <c r="F213" s="109">
        <v>204.5</v>
      </c>
      <c r="G213" s="52">
        <v>200.9</v>
      </c>
      <c r="H213" s="52">
        <v>201</v>
      </c>
      <c r="I213" s="52">
        <v>211.89</v>
      </c>
      <c r="J213" s="52">
        <v>210.01</v>
      </c>
      <c r="K213" s="52">
        <v>209.27</v>
      </c>
      <c r="L213" s="52">
        <v>212.05</v>
      </c>
      <c r="M213" s="110">
        <f t="shared" si="26"/>
        <v>1449.62</v>
      </c>
      <c r="N213" s="111">
        <f t="shared" si="27"/>
        <v>691.15</v>
      </c>
      <c r="O213" s="52">
        <v>691.62</v>
      </c>
      <c r="P213" s="52">
        <f t="shared" si="23"/>
        <v>1410.00000000008</v>
      </c>
      <c r="Q213" s="52">
        <f t="shared" si="28"/>
        <v>4.11</v>
      </c>
      <c r="R213" s="52">
        <v>4.12</v>
      </c>
      <c r="S213" s="52">
        <f t="shared" si="24"/>
        <v>29.9999999999994</v>
      </c>
      <c r="T213" s="108">
        <f t="shared" si="25"/>
        <v>1380.00000000008</v>
      </c>
      <c r="U213" s="112"/>
      <c r="V213" s="52">
        <v>0.56</v>
      </c>
      <c r="W213" s="52">
        <v>23.71</v>
      </c>
      <c r="X213" s="52"/>
      <c r="Y213" s="52"/>
      <c r="Z213" s="52"/>
      <c r="AA213" s="52"/>
      <c r="AB213" s="108" t="s">
        <v>73</v>
      </c>
    </row>
    <row r="214" spans="1:28">
      <c r="A214" s="90">
        <f t="shared" si="22"/>
        <v>216</v>
      </c>
      <c r="B214" s="98">
        <v>45959</v>
      </c>
      <c r="C214" s="25">
        <v>45959</v>
      </c>
      <c r="D214" s="115">
        <v>0.333333333333333</v>
      </c>
      <c r="E214" s="116">
        <v>0.739583333333333</v>
      </c>
      <c r="F214" s="109">
        <v>334.36</v>
      </c>
      <c r="G214" s="52">
        <v>330.16</v>
      </c>
      <c r="H214" s="52">
        <v>330.48</v>
      </c>
      <c r="I214" s="52">
        <v>346.24</v>
      </c>
      <c r="J214" s="52">
        <v>344.19</v>
      </c>
      <c r="K214" s="52">
        <v>343.53</v>
      </c>
      <c r="L214" s="52">
        <v>347.1</v>
      </c>
      <c r="M214" s="110">
        <f t="shared" si="26"/>
        <v>2376.06</v>
      </c>
      <c r="N214" s="111">
        <f t="shared" si="27"/>
        <v>691.62</v>
      </c>
      <c r="O214" s="52">
        <v>692.41</v>
      </c>
      <c r="P214" s="52">
        <f t="shared" si="23"/>
        <v>2369.99999999989</v>
      </c>
      <c r="Q214" s="52">
        <f t="shared" si="28"/>
        <v>4.12</v>
      </c>
      <c r="R214" s="52">
        <v>4.13</v>
      </c>
      <c r="S214" s="52">
        <f t="shared" si="24"/>
        <v>29.9999999999994</v>
      </c>
      <c r="T214" s="108">
        <f t="shared" si="25"/>
        <v>2339.99999999989</v>
      </c>
      <c r="U214" s="112"/>
      <c r="V214" s="52">
        <v>1.04</v>
      </c>
      <c r="W214" s="52">
        <v>24.09</v>
      </c>
      <c r="X214" s="52"/>
      <c r="Y214" s="52"/>
      <c r="Z214" s="52"/>
      <c r="AA214" s="52"/>
      <c r="AB214" s="108" t="s">
        <v>72</v>
      </c>
    </row>
    <row r="215" spans="1:28">
      <c r="A215" s="90">
        <f t="shared" si="22"/>
        <v>217</v>
      </c>
      <c r="B215" s="98">
        <v>45960</v>
      </c>
      <c r="C215" s="25">
        <v>45960</v>
      </c>
      <c r="D215" s="115">
        <v>0.3125</v>
      </c>
      <c r="E215" s="116">
        <v>0.729166666666667</v>
      </c>
      <c r="F215" s="109">
        <v>317.6</v>
      </c>
      <c r="G215" s="52">
        <v>313.7</v>
      </c>
      <c r="H215" s="52">
        <v>314.5</v>
      </c>
      <c r="I215" s="52">
        <v>330.33</v>
      </c>
      <c r="J215" s="52">
        <v>328.68</v>
      </c>
      <c r="K215" s="52">
        <v>327.65</v>
      </c>
      <c r="L215" s="52">
        <v>331.12</v>
      </c>
      <c r="M215" s="110">
        <f t="shared" si="26"/>
        <v>2263.58</v>
      </c>
      <c r="N215" s="111">
        <f t="shared" si="27"/>
        <v>692.41</v>
      </c>
      <c r="O215" s="52">
        <v>693.15</v>
      </c>
      <c r="P215" s="52">
        <f t="shared" si="23"/>
        <v>2220.00000000003</v>
      </c>
      <c r="Q215" s="52">
        <f t="shared" si="28"/>
        <v>4.13</v>
      </c>
      <c r="R215" s="52">
        <v>4.14</v>
      </c>
      <c r="S215" s="52">
        <f t="shared" si="24"/>
        <v>29.9999999999994</v>
      </c>
      <c r="T215" s="108">
        <f t="shared" si="25"/>
        <v>2190.00000000003</v>
      </c>
      <c r="U215" s="112"/>
      <c r="V215" s="52">
        <v>1.64</v>
      </c>
      <c r="W215" s="52">
        <v>24.09</v>
      </c>
      <c r="X215" s="52"/>
      <c r="Y215" s="52"/>
      <c r="Z215" s="52"/>
      <c r="AA215" s="52"/>
      <c r="AB215" s="108" t="s">
        <v>73</v>
      </c>
    </row>
    <row r="216" spans="1:28">
      <c r="A216" s="90">
        <f t="shared" si="22"/>
        <v>218</v>
      </c>
      <c r="B216" s="98">
        <v>45961</v>
      </c>
      <c r="C216" s="25">
        <v>45961</v>
      </c>
      <c r="D216" s="115">
        <v>0.333333333333333</v>
      </c>
      <c r="E216" s="116">
        <v>0.697916666666667</v>
      </c>
      <c r="F216" s="109">
        <v>381.48</v>
      </c>
      <c r="G216" s="52">
        <v>377.55</v>
      </c>
      <c r="H216" s="52">
        <v>377.62</v>
      </c>
      <c r="I216" s="52">
        <v>396.15</v>
      </c>
      <c r="J216" s="52">
        <v>394.17</v>
      </c>
      <c r="K216" s="52">
        <v>394.07</v>
      </c>
      <c r="L216" s="52">
        <v>397.26</v>
      </c>
      <c r="M216" s="110">
        <f t="shared" si="26"/>
        <v>2718.3</v>
      </c>
      <c r="N216" s="111">
        <f t="shared" si="27"/>
        <v>693.15</v>
      </c>
      <c r="O216" s="52">
        <v>694.05</v>
      </c>
      <c r="P216" s="52">
        <f t="shared" si="23"/>
        <v>2699.99999999993</v>
      </c>
      <c r="Q216" s="52">
        <f t="shared" si="28"/>
        <v>4.14</v>
      </c>
      <c r="R216" s="52">
        <v>4.15</v>
      </c>
      <c r="S216" s="52">
        <f t="shared" si="24"/>
        <v>30.000000000002</v>
      </c>
      <c r="T216" s="108">
        <f t="shared" si="25"/>
        <v>2669.99999999993</v>
      </c>
      <c r="U216" s="112"/>
      <c r="V216" s="52">
        <v>1.47</v>
      </c>
      <c r="W216" s="52">
        <v>23.88</v>
      </c>
      <c r="X216" s="52"/>
      <c r="Y216" s="52"/>
      <c r="Z216" s="52"/>
      <c r="AA216" s="52"/>
      <c r="AB216" s="108" t="s">
        <v>72</v>
      </c>
    </row>
    <row r="217" spans="1:28">
      <c r="A217" s="90">
        <f t="shared" si="22"/>
        <v>219</v>
      </c>
      <c r="B217" s="98">
        <v>45962</v>
      </c>
      <c r="C217" s="25">
        <v>45962</v>
      </c>
      <c r="D217" s="115">
        <v>0.3125</v>
      </c>
      <c r="E217" s="116">
        <v>0.71875</v>
      </c>
      <c r="F217" s="109">
        <v>778.04</v>
      </c>
      <c r="G217" s="52">
        <v>773.16</v>
      </c>
      <c r="H217" s="52">
        <v>775.84</v>
      </c>
      <c r="I217" s="52">
        <v>810.91</v>
      </c>
      <c r="J217" s="52">
        <v>807.92</v>
      </c>
      <c r="K217" s="52">
        <v>806.22</v>
      </c>
      <c r="L217" s="52">
        <v>810.76</v>
      </c>
      <c r="M217" s="110">
        <f t="shared" si="26"/>
        <v>5562.85</v>
      </c>
      <c r="N217" s="111">
        <f t="shared" si="27"/>
        <v>694.05</v>
      </c>
      <c r="O217" s="52">
        <v>695.88</v>
      </c>
      <c r="P217" s="52">
        <f t="shared" si="23"/>
        <v>5490.00000000012</v>
      </c>
      <c r="Q217" s="52">
        <f t="shared" si="28"/>
        <v>4.15</v>
      </c>
      <c r="R217" s="52">
        <v>4.17</v>
      </c>
      <c r="S217" s="52">
        <f t="shared" si="24"/>
        <v>59.9999999999987</v>
      </c>
      <c r="T217" s="108">
        <f t="shared" si="25"/>
        <v>5430.00000000012</v>
      </c>
      <c r="U217" s="112"/>
      <c r="V217" s="52">
        <v>2.56</v>
      </c>
      <c r="W217" s="52">
        <v>26.84</v>
      </c>
      <c r="X217" s="52"/>
      <c r="Y217" s="52"/>
      <c r="Z217" s="52"/>
      <c r="AA217" s="52"/>
      <c r="AB217" s="108" t="s">
        <v>72</v>
      </c>
    </row>
    <row r="218" spans="1:28">
      <c r="A218" s="90">
        <f t="shared" si="22"/>
        <v>220</v>
      </c>
      <c r="B218" s="98">
        <v>45963</v>
      </c>
      <c r="C218" s="25">
        <v>45963</v>
      </c>
      <c r="D218" s="115">
        <v>0.302083333333333</v>
      </c>
      <c r="E218" s="116">
        <v>0.739583333333333</v>
      </c>
      <c r="F218" s="109">
        <v>1447.94</v>
      </c>
      <c r="G218" s="52">
        <v>1443.64</v>
      </c>
      <c r="H218" s="52">
        <v>1450.4</v>
      </c>
      <c r="I218" s="52">
        <v>1515.91</v>
      </c>
      <c r="J218" s="52">
        <v>1512.12</v>
      </c>
      <c r="K218" s="52">
        <v>1508.77</v>
      </c>
      <c r="L218" s="52">
        <v>1516.09</v>
      </c>
      <c r="M218" s="110">
        <f t="shared" si="26"/>
        <v>10394.87</v>
      </c>
      <c r="N218" s="111">
        <f t="shared" si="27"/>
        <v>695.88</v>
      </c>
      <c r="O218" s="52">
        <v>699.3</v>
      </c>
      <c r="P218" s="52">
        <f t="shared" si="23"/>
        <v>10259.9999999999</v>
      </c>
      <c r="Q218" s="52">
        <f t="shared" si="28"/>
        <v>4.17</v>
      </c>
      <c r="R218" s="52">
        <v>4.18</v>
      </c>
      <c r="S218" s="52">
        <f t="shared" si="24"/>
        <v>29.9999999999994</v>
      </c>
      <c r="T218" s="108">
        <f t="shared" si="25"/>
        <v>10229.9999999999</v>
      </c>
      <c r="U218" s="112"/>
      <c r="V218" s="52">
        <v>2.92</v>
      </c>
      <c r="W218" s="52">
        <v>29.6</v>
      </c>
      <c r="X218" s="52"/>
      <c r="Y218" s="52"/>
      <c r="Z218" s="52"/>
      <c r="AA218" s="52"/>
      <c r="AB218" s="108" t="s">
        <v>70</v>
      </c>
    </row>
    <row r="219" spans="1:28">
      <c r="A219" s="90">
        <f t="shared" si="22"/>
        <v>221</v>
      </c>
      <c r="B219" s="98">
        <v>45964</v>
      </c>
      <c r="C219" s="25">
        <v>45964</v>
      </c>
      <c r="D219" s="115">
        <v>0.302083333333333</v>
      </c>
      <c r="E219" s="116">
        <v>0.739583333333333</v>
      </c>
      <c r="F219" s="109">
        <v>1668</v>
      </c>
      <c r="G219" s="52">
        <v>1662.17</v>
      </c>
      <c r="H219" s="52">
        <v>1669.59</v>
      </c>
      <c r="I219" s="52">
        <v>1749.02</v>
      </c>
      <c r="J219" s="52">
        <v>1748.15</v>
      </c>
      <c r="K219" s="52">
        <v>1742.93</v>
      </c>
      <c r="L219" s="52">
        <v>1750.96</v>
      </c>
      <c r="M219" s="110">
        <f t="shared" si="26"/>
        <v>11990.82</v>
      </c>
      <c r="N219" s="111">
        <f t="shared" si="27"/>
        <v>699.3</v>
      </c>
      <c r="O219" s="52">
        <v>703.26</v>
      </c>
      <c r="P219" s="52">
        <f t="shared" si="23"/>
        <v>11880.0000000001</v>
      </c>
      <c r="Q219" s="52">
        <f t="shared" si="28"/>
        <v>4.18</v>
      </c>
      <c r="R219" s="52">
        <v>4.19</v>
      </c>
      <c r="S219" s="52">
        <f t="shared" si="24"/>
        <v>30.000000000002</v>
      </c>
      <c r="T219" s="108">
        <f t="shared" si="25"/>
        <v>11850.0000000001</v>
      </c>
      <c r="U219" s="112"/>
      <c r="V219" s="52">
        <v>4.15</v>
      </c>
      <c r="W219" s="52">
        <v>29.81</v>
      </c>
      <c r="X219" s="52"/>
      <c r="Y219" s="52"/>
      <c r="Z219" s="52"/>
      <c r="AA219" s="52"/>
      <c r="AB219" s="108" t="s">
        <v>70</v>
      </c>
    </row>
    <row r="220" spans="1:28">
      <c r="A220" s="90">
        <f t="shared" si="22"/>
        <v>222</v>
      </c>
      <c r="B220" s="98">
        <v>45965</v>
      </c>
      <c r="C220" s="25">
        <v>45965</v>
      </c>
      <c r="D220" s="115">
        <v>0.302083333333333</v>
      </c>
      <c r="E220" s="116">
        <v>0.739583333333333</v>
      </c>
      <c r="F220" s="109">
        <v>1809.9</v>
      </c>
      <c r="G220" s="52">
        <v>1810.03</v>
      </c>
      <c r="H220" s="52">
        <v>1815.28</v>
      </c>
      <c r="I220" s="52">
        <v>1901.81</v>
      </c>
      <c r="J220" s="52">
        <v>1899.1</v>
      </c>
      <c r="K220" s="52">
        <v>1893.41</v>
      </c>
      <c r="L220" s="52">
        <v>1903.8</v>
      </c>
      <c r="M220" s="110">
        <f t="shared" si="26"/>
        <v>13033.33</v>
      </c>
      <c r="N220" s="111">
        <f t="shared" si="27"/>
        <v>703.26</v>
      </c>
      <c r="O220" s="52">
        <v>707.55</v>
      </c>
      <c r="P220" s="52">
        <f t="shared" si="23"/>
        <v>12869.9999999999</v>
      </c>
      <c r="Q220" s="52">
        <f t="shared" si="28"/>
        <v>4.19</v>
      </c>
      <c r="R220" s="52">
        <v>4.2</v>
      </c>
      <c r="S220" s="52">
        <f t="shared" si="24"/>
        <v>29.9999999999994</v>
      </c>
      <c r="T220" s="108">
        <f t="shared" si="25"/>
        <v>12839.9999999999</v>
      </c>
      <c r="U220" s="112"/>
      <c r="V220" s="52">
        <v>4</v>
      </c>
      <c r="W220" s="52">
        <v>28.51</v>
      </c>
      <c r="X220" s="52"/>
      <c r="Y220" s="52"/>
      <c r="Z220" s="52"/>
      <c r="AA220" s="52"/>
      <c r="AB220" s="108" t="s">
        <v>70</v>
      </c>
    </row>
    <row r="221" spans="1:28">
      <c r="A221" s="90">
        <f t="shared" si="22"/>
        <v>223</v>
      </c>
      <c r="B221" s="98">
        <v>45966</v>
      </c>
      <c r="C221" s="25">
        <v>45966</v>
      </c>
      <c r="D221" s="115">
        <v>0.302083333333333</v>
      </c>
      <c r="E221" s="116">
        <v>0.739583333333333</v>
      </c>
      <c r="F221" s="109">
        <v>1805</v>
      </c>
      <c r="G221" s="52">
        <v>1799.75</v>
      </c>
      <c r="H221" s="52">
        <v>1809.43</v>
      </c>
      <c r="I221" s="52">
        <v>1890.97</v>
      </c>
      <c r="J221" s="52">
        <v>1692.45</v>
      </c>
      <c r="K221" s="52">
        <v>1889.03</v>
      </c>
      <c r="L221" s="52">
        <v>1898.31</v>
      </c>
      <c r="M221" s="110">
        <f t="shared" si="26"/>
        <v>12784.94</v>
      </c>
      <c r="N221" s="111">
        <f t="shared" si="27"/>
        <v>707.55</v>
      </c>
      <c r="O221" s="52">
        <v>711.82</v>
      </c>
      <c r="P221" s="52">
        <f t="shared" si="23"/>
        <v>12810.0000000003</v>
      </c>
      <c r="Q221" s="52">
        <f t="shared" si="28"/>
        <v>4.2</v>
      </c>
      <c r="R221" s="52">
        <v>4.21</v>
      </c>
      <c r="S221" s="52">
        <f t="shared" si="24"/>
        <v>29.9999999999994</v>
      </c>
      <c r="T221" s="108">
        <f t="shared" si="25"/>
        <v>12780.0000000003</v>
      </c>
      <c r="U221" s="112"/>
      <c r="V221" s="52">
        <v>4.39</v>
      </c>
      <c r="W221" s="52">
        <v>30.07</v>
      </c>
      <c r="X221" s="52"/>
      <c r="Y221" s="52"/>
      <c r="Z221" s="52"/>
      <c r="AA221" s="52"/>
      <c r="AB221" s="108" t="s">
        <v>70</v>
      </c>
    </row>
    <row r="222" spans="1:28">
      <c r="A222" s="90">
        <f t="shared" si="22"/>
        <v>224</v>
      </c>
      <c r="B222" s="98">
        <v>45967</v>
      </c>
      <c r="C222" s="25">
        <v>45967</v>
      </c>
      <c r="D222" s="115">
        <v>0.302083333333333</v>
      </c>
      <c r="E222" s="116">
        <v>0.739583333333333</v>
      </c>
      <c r="F222" s="109">
        <v>1781.9</v>
      </c>
      <c r="G222" s="52">
        <v>1777.25</v>
      </c>
      <c r="H222" s="52">
        <v>1787.94</v>
      </c>
      <c r="I222" s="52">
        <v>1870.17</v>
      </c>
      <c r="J222" s="52">
        <v>1867.82</v>
      </c>
      <c r="K222" s="52">
        <v>1862.06</v>
      </c>
      <c r="L222" s="52">
        <v>1870.4</v>
      </c>
      <c r="M222" s="110">
        <f t="shared" si="26"/>
        <v>12817.54</v>
      </c>
      <c r="N222" s="111">
        <f t="shared" si="27"/>
        <v>711.82</v>
      </c>
      <c r="O222" s="52">
        <v>716.05</v>
      </c>
      <c r="P222" s="52">
        <f t="shared" si="23"/>
        <v>12689.9999999997</v>
      </c>
      <c r="Q222" s="52">
        <f t="shared" si="28"/>
        <v>4.21</v>
      </c>
      <c r="R222" s="52">
        <v>4.22</v>
      </c>
      <c r="S222" s="52">
        <f t="shared" si="24"/>
        <v>29.9999999999994</v>
      </c>
      <c r="T222" s="108">
        <f t="shared" si="25"/>
        <v>12659.9999999997</v>
      </c>
      <c r="U222" s="112"/>
      <c r="V222" s="52">
        <v>4.39</v>
      </c>
      <c r="W222" s="52">
        <v>29.55</v>
      </c>
      <c r="X222" s="52"/>
      <c r="Y222" s="52"/>
      <c r="Z222" s="52"/>
      <c r="AA222" s="52"/>
      <c r="AB222" s="108" t="s">
        <v>70</v>
      </c>
    </row>
    <row r="223" spans="1:28">
      <c r="A223" s="90">
        <f t="shared" si="22"/>
        <v>225</v>
      </c>
      <c r="B223" s="98">
        <v>45968</v>
      </c>
      <c r="C223" s="25">
        <v>45968</v>
      </c>
      <c r="D223" s="115">
        <v>0.302083333333333</v>
      </c>
      <c r="E223" s="116">
        <v>0.739583333333333</v>
      </c>
      <c r="F223" s="109">
        <v>1703.64</v>
      </c>
      <c r="G223" s="52">
        <v>1699.6</v>
      </c>
      <c r="H223" s="52">
        <v>1707.25</v>
      </c>
      <c r="I223" s="52">
        <v>1787</v>
      </c>
      <c r="J223" s="52">
        <v>1784.02</v>
      </c>
      <c r="K223" s="52">
        <v>1779.87</v>
      </c>
      <c r="L223" s="52">
        <v>1789.2</v>
      </c>
      <c r="M223" s="110">
        <f t="shared" si="26"/>
        <v>12250.58</v>
      </c>
      <c r="N223" s="111">
        <f t="shared" si="27"/>
        <v>716.05</v>
      </c>
      <c r="O223" s="52">
        <v>720.08</v>
      </c>
      <c r="P223" s="52">
        <f t="shared" si="23"/>
        <v>12090.0000000003</v>
      </c>
      <c r="Q223" s="52">
        <f t="shared" si="28"/>
        <v>4.22</v>
      </c>
      <c r="R223" s="52">
        <v>4.23</v>
      </c>
      <c r="S223" s="52">
        <f t="shared" si="24"/>
        <v>30.000000000002</v>
      </c>
      <c r="T223" s="108">
        <f t="shared" si="25"/>
        <v>12060.0000000003</v>
      </c>
      <c r="U223" s="112"/>
      <c r="V223" s="52">
        <v>4.17</v>
      </c>
      <c r="W223" s="52">
        <v>29.38</v>
      </c>
      <c r="X223" s="52"/>
      <c r="Y223" s="52"/>
      <c r="Z223" s="52"/>
      <c r="AA223" s="52"/>
      <c r="AB223" s="108" t="s">
        <v>70</v>
      </c>
    </row>
    <row r="224" spans="1:28">
      <c r="A224" s="90">
        <f t="shared" si="22"/>
        <v>226</v>
      </c>
      <c r="B224" s="98">
        <v>45969</v>
      </c>
      <c r="C224" s="25">
        <v>45969</v>
      </c>
      <c r="D224" s="115">
        <v>0.302083333333333</v>
      </c>
      <c r="E224" s="116">
        <v>0.739583333333333</v>
      </c>
      <c r="F224" s="109">
        <v>1735.15</v>
      </c>
      <c r="G224" s="52">
        <v>1731.69</v>
      </c>
      <c r="H224" s="52">
        <v>1742.09</v>
      </c>
      <c r="I224" s="52">
        <v>1821.08</v>
      </c>
      <c r="J224" s="52">
        <v>1820.3</v>
      </c>
      <c r="K224" s="52">
        <v>1817.89</v>
      </c>
      <c r="L224" s="52">
        <v>1825.06</v>
      </c>
      <c r="M224" s="110">
        <f t="shared" si="26"/>
        <v>12493.26</v>
      </c>
      <c r="N224" s="111">
        <f t="shared" si="27"/>
        <v>720.08</v>
      </c>
      <c r="O224" s="52">
        <v>724.2</v>
      </c>
      <c r="P224" s="52">
        <f t="shared" si="23"/>
        <v>12360</v>
      </c>
      <c r="Q224" s="52">
        <f t="shared" si="28"/>
        <v>4.23</v>
      </c>
      <c r="R224" s="52">
        <v>4.25</v>
      </c>
      <c r="S224" s="52">
        <f t="shared" si="24"/>
        <v>59.9999999999987</v>
      </c>
      <c r="T224" s="108">
        <f t="shared" si="25"/>
        <v>12300</v>
      </c>
      <c r="U224" s="112"/>
      <c r="V224" s="52">
        <v>4.47</v>
      </c>
      <c r="W224" s="52">
        <v>29.27</v>
      </c>
      <c r="X224" s="52"/>
      <c r="Y224" s="52"/>
      <c r="Z224" s="52"/>
      <c r="AA224" s="52"/>
      <c r="AB224" s="108" t="s">
        <v>70</v>
      </c>
    </row>
    <row r="225" spans="1:28">
      <c r="A225" s="90">
        <f t="shared" si="22"/>
        <v>227</v>
      </c>
      <c r="B225" s="98">
        <v>45970</v>
      </c>
      <c r="C225" s="25">
        <v>45970</v>
      </c>
      <c r="D225" s="115">
        <v>0.302083333333333</v>
      </c>
      <c r="E225" s="116">
        <v>0.739583333333333</v>
      </c>
      <c r="F225" s="109">
        <v>1770.58</v>
      </c>
      <c r="G225" s="52">
        <v>1770.78</v>
      </c>
      <c r="H225" s="52">
        <v>1796.7</v>
      </c>
      <c r="I225" s="52">
        <v>1862.86</v>
      </c>
      <c r="J225" s="52">
        <v>1859.03</v>
      </c>
      <c r="K225" s="52">
        <v>1857.2</v>
      </c>
      <c r="L225" s="52">
        <v>1864.92</v>
      </c>
      <c r="M225" s="110">
        <f t="shared" si="26"/>
        <v>12782.07</v>
      </c>
      <c r="N225" s="111">
        <f t="shared" si="27"/>
        <v>724.2</v>
      </c>
      <c r="O225" s="52">
        <v>728.4</v>
      </c>
      <c r="P225" s="52">
        <f t="shared" si="23"/>
        <v>12599.9999999998</v>
      </c>
      <c r="Q225" s="52">
        <f t="shared" si="28"/>
        <v>4.25</v>
      </c>
      <c r="R225" s="52">
        <v>4.26</v>
      </c>
      <c r="S225" s="52">
        <f t="shared" si="24"/>
        <v>29.9999999999994</v>
      </c>
      <c r="T225" s="108">
        <f t="shared" si="25"/>
        <v>12569.9999999998</v>
      </c>
      <c r="U225" s="112"/>
      <c r="V225" s="52">
        <v>4.46</v>
      </c>
      <c r="W225" s="52">
        <v>28.74</v>
      </c>
      <c r="X225" s="52"/>
      <c r="Y225" s="52"/>
      <c r="Z225" s="52"/>
      <c r="AA225" s="52"/>
      <c r="AB225" s="108" t="s">
        <v>70</v>
      </c>
    </row>
    <row r="226" spans="1:28">
      <c r="A226" s="90">
        <f t="shared" si="22"/>
        <v>228</v>
      </c>
      <c r="B226" s="98">
        <v>45971</v>
      </c>
      <c r="C226" s="25">
        <v>45971</v>
      </c>
      <c r="D226" s="115">
        <v>0.302083333333333</v>
      </c>
      <c r="E226" s="116">
        <v>0.739583333333333</v>
      </c>
      <c r="F226" s="109">
        <v>1705</v>
      </c>
      <c r="G226" s="52">
        <v>1714.9</v>
      </c>
      <c r="H226" s="52">
        <v>1729.25</v>
      </c>
      <c r="I226" s="52">
        <v>1804.71</v>
      </c>
      <c r="J226" s="52">
        <v>1783.27</v>
      </c>
      <c r="K226" s="52">
        <v>1777.17</v>
      </c>
      <c r="L226" s="52">
        <v>1784.69</v>
      </c>
      <c r="M226" s="110">
        <f t="shared" si="26"/>
        <v>12298.99</v>
      </c>
      <c r="N226" s="111">
        <f t="shared" si="27"/>
        <v>728.4</v>
      </c>
      <c r="O226" s="52">
        <v>732.46</v>
      </c>
      <c r="P226" s="52">
        <f t="shared" si="23"/>
        <v>12180.0000000002</v>
      </c>
      <c r="Q226" s="52">
        <f t="shared" si="28"/>
        <v>4.26</v>
      </c>
      <c r="R226" s="52">
        <v>4.27</v>
      </c>
      <c r="S226" s="52">
        <f t="shared" si="24"/>
        <v>29.9999999999994</v>
      </c>
      <c r="T226" s="108">
        <f t="shared" si="25"/>
        <v>12150.0000000002</v>
      </c>
      <c r="U226" s="112"/>
      <c r="V226" s="52">
        <v>4.42</v>
      </c>
      <c r="W226" s="52">
        <v>28.67</v>
      </c>
      <c r="X226" s="52"/>
      <c r="Y226" s="52"/>
      <c r="Z226" s="52"/>
      <c r="AA226" s="52"/>
      <c r="AB226" s="108" t="s">
        <v>70</v>
      </c>
    </row>
    <row r="227" spans="1:28">
      <c r="A227" s="90">
        <f t="shared" si="22"/>
        <v>229</v>
      </c>
      <c r="B227" s="98">
        <v>45972</v>
      </c>
      <c r="C227" s="25">
        <v>45972</v>
      </c>
      <c r="D227" s="115">
        <v>0.302083333333333</v>
      </c>
      <c r="E227" s="116">
        <v>0.739583333333333</v>
      </c>
      <c r="F227" s="109">
        <v>1705.92</v>
      </c>
      <c r="G227" s="52">
        <v>1717.41</v>
      </c>
      <c r="H227" s="52">
        <v>1730.63</v>
      </c>
      <c r="I227" s="52">
        <v>1815.41</v>
      </c>
      <c r="J227" s="52">
        <v>1801.77</v>
      </c>
      <c r="K227" s="52">
        <v>1802.33</v>
      </c>
      <c r="L227" s="52">
        <v>1795.79</v>
      </c>
      <c r="M227" s="110">
        <f t="shared" si="26"/>
        <v>12369.26</v>
      </c>
      <c r="N227" s="111">
        <f t="shared" si="27"/>
        <v>732.46</v>
      </c>
      <c r="O227" s="52">
        <v>736.53</v>
      </c>
      <c r="P227" s="52">
        <f t="shared" si="23"/>
        <v>12209.9999999998</v>
      </c>
      <c r="Q227" s="52">
        <f t="shared" si="28"/>
        <v>4.27</v>
      </c>
      <c r="R227" s="52">
        <v>4.28</v>
      </c>
      <c r="S227" s="52">
        <f t="shared" si="24"/>
        <v>30.000000000002</v>
      </c>
      <c r="T227" s="108">
        <f t="shared" si="25"/>
        <v>12179.9999999998</v>
      </c>
      <c r="U227" s="112"/>
      <c r="V227" s="52">
        <v>4.34</v>
      </c>
      <c r="W227" s="52">
        <v>27.93</v>
      </c>
      <c r="X227" s="52"/>
      <c r="Y227" s="52"/>
      <c r="Z227" s="52"/>
      <c r="AA227" s="52"/>
      <c r="AB227" s="108" t="s">
        <v>70</v>
      </c>
    </row>
    <row r="228" spans="1:28">
      <c r="A228" s="90">
        <f t="shared" si="22"/>
        <v>230</v>
      </c>
      <c r="B228" s="98">
        <v>45973</v>
      </c>
      <c r="C228" s="25">
        <v>45973</v>
      </c>
      <c r="D228" s="115">
        <v>0.302083333333333</v>
      </c>
      <c r="E228" s="116">
        <v>0.739583333333333</v>
      </c>
      <c r="F228" s="109">
        <v>1674.63</v>
      </c>
      <c r="G228" s="52">
        <v>1683.45</v>
      </c>
      <c r="H228" s="52">
        <v>1698.31</v>
      </c>
      <c r="I228" s="52">
        <v>1778.25</v>
      </c>
      <c r="J228" s="52">
        <v>1767.97</v>
      </c>
      <c r="K228" s="52">
        <v>1776.01</v>
      </c>
      <c r="L228" s="52">
        <v>1785.84</v>
      </c>
      <c r="M228" s="110">
        <f t="shared" si="26"/>
        <v>12164.46</v>
      </c>
      <c r="N228" s="111">
        <f t="shared" si="27"/>
        <v>736.53</v>
      </c>
      <c r="O228" s="52">
        <v>740.54</v>
      </c>
      <c r="P228" s="52">
        <f t="shared" si="23"/>
        <v>12030</v>
      </c>
      <c r="Q228" s="52">
        <f t="shared" si="28"/>
        <v>4.28</v>
      </c>
      <c r="R228" s="52">
        <v>4.29</v>
      </c>
      <c r="S228" s="52">
        <f t="shared" si="24"/>
        <v>29.9999999999994</v>
      </c>
      <c r="T228" s="108">
        <f t="shared" si="25"/>
        <v>12000</v>
      </c>
      <c r="U228" s="112"/>
      <c r="V228" s="52">
        <v>4.29</v>
      </c>
      <c r="W228" s="52">
        <v>28.73</v>
      </c>
      <c r="X228" s="52"/>
      <c r="Y228" s="52"/>
      <c r="Z228" s="52"/>
      <c r="AA228" s="52"/>
      <c r="AB228" s="108" t="s">
        <v>70</v>
      </c>
    </row>
    <row r="229" spans="1:28">
      <c r="A229" s="90">
        <f t="shared" si="22"/>
        <v>231</v>
      </c>
      <c r="B229" s="98">
        <v>45974</v>
      </c>
      <c r="C229" s="25">
        <v>45974</v>
      </c>
      <c r="D229" s="115">
        <v>0.3125</v>
      </c>
      <c r="E229" s="116">
        <v>0.739583333333333</v>
      </c>
      <c r="F229" s="109">
        <v>1662.53</v>
      </c>
      <c r="G229" s="52">
        <v>1673.03</v>
      </c>
      <c r="H229" s="52">
        <v>1688.19</v>
      </c>
      <c r="I229" s="52">
        <v>1766.53</v>
      </c>
      <c r="J229" s="52">
        <v>1755.07</v>
      </c>
      <c r="K229" s="52">
        <v>1763.81</v>
      </c>
      <c r="L229" s="52">
        <v>1772.53</v>
      </c>
      <c r="M229" s="110">
        <f t="shared" si="26"/>
        <v>12081.69</v>
      </c>
      <c r="N229" s="111">
        <f t="shared" si="27"/>
        <v>740.54</v>
      </c>
      <c r="O229" s="52">
        <v>744.52</v>
      </c>
      <c r="P229" s="52">
        <f t="shared" si="23"/>
        <v>11940.0000000001</v>
      </c>
      <c r="Q229" s="52">
        <f t="shared" si="28"/>
        <v>4.29</v>
      </c>
      <c r="R229" s="52">
        <v>4.3</v>
      </c>
      <c r="S229" s="52">
        <f t="shared" si="24"/>
        <v>29.9999999999994</v>
      </c>
      <c r="T229" s="108">
        <f t="shared" si="25"/>
        <v>11910.0000000001</v>
      </c>
      <c r="U229" s="112"/>
      <c r="V229" s="52">
        <v>4.25</v>
      </c>
      <c r="W229" s="52">
        <v>28.19</v>
      </c>
      <c r="X229" s="52"/>
      <c r="Y229" s="52"/>
      <c r="Z229" s="52"/>
      <c r="AA229" s="52"/>
      <c r="AB229" s="108" t="s">
        <v>70</v>
      </c>
    </row>
    <row r="230" spans="1:28">
      <c r="A230" s="90">
        <f t="shared" si="22"/>
        <v>232</v>
      </c>
      <c r="B230" s="98">
        <v>45975</v>
      </c>
      <c r="C230" s="25">
        <v>45975</v>
      </c>
      <c r="D230" s="115">
        <v>0.3125</v>
      </c>
      <c r="E230" s="116">
        <v>0.739583333333333</v>
      </c>
      <c r="F230" s="109">
        <v>1645.09</v>
      </c>
      <c r="G230" s="52">
        <v>1636.56</v>
      </c>
      <c r="H230" s="52">
        <v>1650.72</v>
      </c>
      <c r="I230" s="52">
        <v>1731.56</v>
      </c>
      <c r="J230" s="52">
        <v>1718.77</v>
      </c>
      <c r="K230" s="52">
        <v>1728.03</v>
      </c>
      <c r="L230" s="52">
        <v>1738</v>
      </c>
      <c r="M230" s="110">
        <f t="shared" si="26"/>
        <v>11848.73</v>
      </c>
      <c r="N230" s="111">
        <f t="shared" si="27"/>
        <v>744.52</v>
      </c>
      <c r="O230" s="52">
        <v>748.43</v>
      </c>
      <c r="P230" s="52">
        <f t="shared" si="23"/>
        <v>11729.9999999999</v>
      </c>
      <c r="Q230" s="52">
        <f t="shared" si="28"/>
        <v>4.3</v>
      </c>
      <c r="R230" s="52">
        <v>4.31</v>
      </c>
      <c r="S230" s="52">
        <f t="shared" si="24"/>
        <v>29.9999999999994</v>
      </c>
      <c r="T230" s="108">
        <f t="shared" si="25"/>
        <v>11699.9999999999</v>
      </c>
      <c r="U230" s="112"/>
      <c r="V230" s="52">
        <v>4.27</v>
      </c>
      <c r="W230" s="52">
        <v>27.97</v>
      </c>
      <c r="X230" s="52"/>
      <c r="Y230" s="52"/>
      <c r="Z230" s="52"/>
      <c r="AA230" s="52"/>
      <c r="AB230" s="108" t="s">
        <v>70</v>
      </c>
    </row>
    <row r="231" spans="1:28">
      <c r="A231" s="90">
        <f t="shared" si="22"/>
        <v>233</v>
      </c>
      <c r="B231" s="98">
        <v>45976</v>
      </c>
      <c r="C231" s="25">
        <v>45976</v>
      </c>
      <c r="D231" s="115">
        <v>0.3125</v>
      </c>
      <c r="E231" s="116">
        <v>0.739583333333333</v>
      </c>
      <c r="F231" s="109">
        <v>1611.98</v>
      </c>
      <c r="G231" s="52">
        <v>1613.88</v>
      </c>
      <c r="H231" s="52">
        <v>1631.09</v>
      </c>
      <c r="I231" s="52">
        <v>1704.47</v>
      </c>
      <c r="J231" s="52">
        <v>1692.7</v>
      </c>
      <c r="K231" s="52">
        <v>1701.69</v>
      </c>
      <c r="L231" s="52">
        <v>1693.47</v>
      </c>
      <c r="M231" s="110">
        <f t="shared" si="26"/>
        <v>11649.28</v>
      </c>
      <c r="N231" s="111">
        <f t="shared" si="27"/>
        <v>748.43</v>
      </c>
      <c r="O231" s="52">
        <v>752.26</v>
      </c>
      <c r="P231" s="52">
        <f t="shared" si="23"/>
        <v>11490.0000000001</v>
      </c>
      <c r="Q231" s="52">
        <f t="shared" si="28"/>
        <v>4.31</v>
      </c>
      <c r="R231" s="52">
        <v>4.33</v>
      </c>
      <c r="S231" s="52">
        <f t="shared" si="24"/>
        <v>60.0000000000014</v>
      </c>
      <c r="T231" s="108">
        <f t="shared" si="25"/>
        <v>11430.0000000001</v>
      </c>
      <c r="U231" s="112"/>
      <c r="V231" s="52">
        <v>4.17</v>
      </c>
      <c r="W231" s="52">
        <v>27.3</v>
      </c>
      <c r="X231" s="52"/>
      <c r="Y231" s="52"/>
      <c r="Z231" s="52"/>
      <c r="AA231" s="52"/>
      <c r="AB231" s="108" t="s">
        <v>70</v>
      </c>
    </row>
    <row r="232" spans="1:28">
      <c r="A232" s="90">
        <f t="shared" si="22"/>
        <v>234</v>
      </c>
      <c r="B232" s="98">
        <v>45977</v>
      </c>
      <c r="C232" s="25">
        <v>45977</v>
      </c>
      <c r="D232" s="115">
        <v>0.3125</v>
      </c>
      <c r="E232" s="116">
        <v>0.739583333333333</v>
      </c>
      <c r="F232" s="109">
        <v>1560.55</v>
      </c>
      <c r="G232" s="52">
        <v>1552.46</v>
      </c>
      <c r="H232" s="52">
        <v>1570.93</v>
      </c>
      <c r="I232" s="52">
        <v>1644.4</v>
      </c>
      <c r="J232" s="52">
        <v>1635.08</v>
      </c>
      <c r="K232" s="52">
        <v>1647.52</v>
      </c>
      <c r="L232" s="52">
        <v>1669.71</v>
      </c>
      <c r="M232" s="110">
        <f t="shared" si="26"/>
        <v>11280.65</v>
      </c>
      <c r="N232" s="111">
        <f t="shared" si="27"/>
        <v>752.26</v>
      </c>
      <c r="O232" s="52">
        <v>755.98</v>
      </c>
      <c r="P232" s="52">
        <f t="shared" si="23"/>
        <v>11160.0000000001</v>
      </c>
      <c r="Q232" s="52">
        <f t="shared" si="28"/>
        <v>4.33</v>
      </c>
      <c r="R232" s="52">
        <v>4.34</v>
      </c>
      <c r="S232" s="52">
        <f t="shared" si="24"/>
        <v>29.9999999999994</v>
      </c>
      <c r="T232" s="108">
        <f t="shared" si="25"/>
        <v>11130.0000000001</v>
      </c>
      <c r="U232" s="112"/>
      <c r="V232" s="52">
        <v>4.01</v>
      </c>
      <c r="W232" s="52">
        <v>26.26</v>
      </c>
      <c r="X232" s="52"/>
      <c r="Y232" s="52"/>
      <c r="Z232" s="52"/>
      <c r="AA232" s="52"/>
      <c r="AB232" s="108" t="s">
        <v>70</v>
      </c>
    </row>
    <row r="233" spans="1:28">
      <c r="A233" s="90">
        <f t="shared" si="22"/>
        <v>235</v>
      </c>
      <c r="B233" s="98">
        <v>45978</v>
      </c>
      <c r="C233" s="25">
        <v>45978</v>
      </c>
      <c r="D233" s="115">
        <v>0.3125</v>
      </c>
      <c r="E233" s="116">
        <v>0.739583333333333</v>
      </c>
      <c r="F233" s="109">
        <v>1668.39</v>
      </c>
      <c r="G233" s="52">
        <v>1665.48</v>
      </c>
      <c r="H233" s="52">
        <v>1680.71</v>
      </c>
      <c r="I233" s="52">
        <v>1755.24</v>
      </c>
      <c r="J233" s="52">
        <v>1742.14</v>
      </c>
      <c r="K233" s="52">
        <v>1745.67</v>
      </c>
      <c r="L233" s="52">
        <v>1763.52</v>
      </c>
      <c r="M233" s="110">
        <f t="shared" si="26"/>
        <v>12021.15</v>
      </c>
      <c r="N233" s="111">
        <f t="shared" si="27"/>
        <v>755.98</v>
      </c>
      <c r="O233" s="52">
        <v>759.94</v>
      </c>
      <c r="P233" s="52">
        <f t="shared" si="23"/>
        <v>11880.0000000001</v>
      </c>
      <c r="Q233" s="52">
        <f t="shared" si="28"/>
        <v>4.34</v>
      </c>
      <c r="R233" s="52">
        <v>4.35</v>
      </c>
      <c r="S233" s="52">
        <f t="shared" si="24"/>
        <v>29.9999999999994</v>
      </c>
      <c r="T233" s="108">
        <f t="shared" si="25"/>
        <v>11850.0000000001</v>
      </c>
      <c r="U233" s="112"/>
      <c r="V233" s="52">
        <v>4.21</v>
      </c>
      <c r="W233" s="52">
        <v>25.35</v>
      </c>
      <c r="X233" s="52"/>
      <c r="Y233" s="52"/>
      <c r="Z233" s="52"/>
      <c r="AA233" s="52"/>
      <c r="AB233" s="108" t="s">
        <v>70</v>
      </c>
    </row>
    <row r="234" spans="1:28">
      <c r="A234" s="90">
        <f t="shared" si="22"/>
        <v>236</v>
      </c>
      <c r="B234" s="98">
        <v>45979</v>
      </c>
      <c r="C234" s="25">
        <v>45979</v>
      </c>
      <c r="D234" s="115">
        <v>0.313194444444444</v>
      </c>
      <c r="E234" s="116">
        <v>0.739583333333333</v>
      </c>
      <c r="F234" s="109">
        <v>1673.76</v>
      </c>
      <c r="G234" s="52">
        <v>1669.44</v>
      </c>
      <c r="H234" s="52">
        <v>1683.72</v>
      </c>
      <c r="I234" s="52">
        <v>1759.33</v>
      </c>
      <c r="J234" s="52">
        <v>1749.95</v>
      </c>
      <c r="K234" s="52">
        <v>1751.3</v>
      </c>
      <c r="L234" s="52">
        <v>1760.55</v>
      </c>
      <c r="M234" s="110">
        <f t="shared" si="26"/>
        <v>12048.05</v>
      </c>
      <c r="N234" s="111">
        <f t="shared" si="27"/>
        <v>759.94</v>
      </c>
      <c r="O234" s="52">
        <v>763.92</v>
      </c>
      <c r="P234" s="52">
        <f t="shared" si="23"/>
        <v>11939.9999999997</v>
      </c>
      <c r="Q234" s="52">
        <f t="shared" si="28"/>
        <v>4.35</v>
      </c>
      <c r="R234" s="52">
        <v>4.36</v>
      </c>
      <c r="S234" s="52">
        <f t="shared" si="24"/>
        <v>30.000000000002</v>
      </c>
      <c r="T234" s="108">
        <f t="shared" si="25"/>
        <v>11909.9999999997</v>
      </c>
      <c r="U234" s="112"/>
      <c r="V234" s="52">
        <v>4.22</v>
      </c>
      <c r="W234" s="52">
        <v>25.45</v>
      </c>
      <c r="X234" s="52"/>
      <c r="Y234" s="52"/>
      <c r="Z234" s="52"/>
      <c r="AA234" s="52"/>
      <c r="AB234" s="108" t="s">
        <v>70</v>
      </c>
    </row>
    <row r="235" spans="1:28">
      <c r="A235" s="90">
        <f t="shared" si="22"/>
        <v>237</v>
      </c>
      <c r="B235" s="98">
        <v>45980</v>
      </c>
      <c r="C235" s="25">
        <v>45980</v>
      </c>
      <c r="D235" s="115">
        <v>0.313194444444444</v>
      </c>
      <c r="E235" s="116">
        <v>0.729166666666667</v>
      </c>
      <c r="F235" s="109">
        <v>1571.87</v>
      </c>
      <c r="G235" s="52">
        <v>1557.51</v>
      </c>
      <c r="H235" s="52">
        <v>1561.95</v>
      </c>
      <c r="I235" s="52">
        <v>1646.73</v>
      </c>
      <c r="J235" s="52">
        <v>1644.87</v>
      </c>
      <c r="K235" s="52">
        <v>1642.4</v>
      </c>
      <c r="L235" s="52">
        <v>1655.41</v>
      </c>
      <c r="M235" s="110">
        <f t="shared" si="26"/>
        <v>11280.74</v>
      </c>
      <c r="N235" s="111">
        <f t="shared" si="27"/>
        <v>763.92</v>
      </c>
      <c r="O235" s="52">
        <v>767.64</v>
      </c>
      <c r="P235" s="52">
        <f t="shared" si="23"/>
        <v>11160.0000000001</v>
      </c>
      <c r="Q235" s="52">
        <f t="shared" si="28"/>
        <v>4.36</v>
      </c>
      <c r="R235" s="52">
        <v>4.37</v>
      </c>
      <c r="S235" s="52">
        <f t="shared" si="24"/>
        <v>29.9999999999994</v>
      </c>
      <c r="T235" s="108">
        <f t="shared" si="25"/>
        <v>11130.0000000001</v>
      </c>
      <c r="U235" s="112"/>
      <c r="V235" s="52">
        <v>3.96</v>
      </c>
      <c r="W235" s="52">
        <v>26.34</v>
      </c>
      <c r="X235" s="52"/>
      <c r="Y235" s="52"/>
      <c r="Z235" s="52"/>
      <c r="AA235" s="52"/>
      <c r="AB235" s="108" t="s">
        <v>70</v>
      </c>
    </row>
    <row r="236" spans="1:28">
      <c r="A236" s="90">
        <f t="shared" si="22"/>
        <v>238</v>
      </c>
      <c r="B236" s="98">
        <v>45981</v>
      </c>
      <c r="C236" s="25">
        <v>45981</v>
      </c>
      <c r="D236" s="115">
        <v>0.3125</v>
      </c>
      <c r="E236" s="116">
        <v>0.729166666666667</v>
      </c>
      <c r="F236" s="109">
        <v>1562.03</v>
      </c>
      <c r="G236" s="52">
        <v>11559.29</v>
      </c>
      <c r="H236" s="52">
        <v>1572.9</v>
      </c>
      <c r="I236" s="52">
        <v>1646.18</v>
      </c>
      <c r="J236" s="52">
        <v>1645.81</v>
      </c>
      <c r="K236" s="52">
        <v>1645.53</v>
      </c>
      <c r="L236" s="52">
        <v>1656.82</v>
      </c>
      <c r="M236" s="110">
        <f t="shared" si="26"/>
        <v>21288.56</v>
      </c>
      <c r="N236" s="111">
        <f t="shared" si="27"/>
        <v>767.64</v>
      </c>
      <c r="O236" s="52">
        <v>771.36</v>
      </c>
      <c r="P236" s="52">
        <f t="shared" si="23"/>
        <v>11160.0000000001</v>
      </c>
      <c r="Q236" s="52">
        <f t="shared" si="28"/>
        <v>4.37</v>
      </c>
      <c r="R236" s="52">
        <v>4.39</v>
      </c>
      <c r="S236" s="52">
        <f t="shared" si="24"/>
        <v>59.9999999999987</v>
      </c>
      <c r="T236" s="108">
        <f t="shared" si="25"/>
        <v>11100.0000000001</v>
      </c>
      <c r="U236" s="112"/>
      <c r="V236" s="52">
        <v>3.97</v>
      </c>
      <c r="W236" s="52">
        <v>26.27</v>
      </c>
      <c r="X236" s="52"/>
      <c r="Y236" s="52"/>
      <c r="Z236" s="52"/>
      <c r="AA236" s="52"/>
      <c r="AB236" s="108" t="s">
        <v>70</v>
      </c>
    </row>
    <row r="237" spans="1:28">
      <c r="A237" s="90">
        <f t="shared" si="22"/>
        <v>239</v>
      </c>
      <c r="B237" s="98">
        <v>45982</v>
      </c>
      <c r="C237" s="25">
        <v>45982</v>
      </c>
      <c r="D237" s="115">
        <v>0.3125</v>
      </c>
      <c r="E237" s="116">
        <v>0.729166666666667</v>
      </c>
      <c r="F237" s="109">
        <v>1424.75</v>
      </c>
      <c r="G237" s="52">
        <v>1411.12</v>
      </c>
      <c r="H237" s="52">
        <v>1425.01</v>
      </c>
      <c r="I237" s="52">
        <v>1493.7</v>
      </c>
      <c r="J237" s="52">
        <v>1492.23</v>
      </c>
      <c r="K237" s="52">
        <v>1488.62</v>
      </c>
      <c r="L237" s="52">
        <v>1499.06</v>
      </c>
      <c r="M237" s="110">
        <f t="shared" si="26"/>
        <v>10234.49</v>
      </c>
      <c r="N237" s="111">
        <f t="shared" si="27"/>
        <v>771.36</v>
      </c>
      <c r="O237" s="52">
        <v>774.73</v>
      </c>
      <c r="P237" s="52">
        <f t="shared" si="23"/>
        <v>10110</v>
      </c>
      <c r="Q237" s="52">
        <f t="shared" si="28"/>
        <v>4.39</v>
      </c>
      <c r="R237" s="52">
        <v>4.4</v>
      </c>
      <c r="S237" s="52">
        <f t="shared" si="24"/>
        <v>30.000000000002</v>
      </c>
      <c r="T237" s="108">
        <f t="shared" si="25"/>
        <v>10080</v>
      </c>
      <c r="U237" s="112"/>
      <c r="V237" s="52">
        <v>3.66</v>
      </c>
      <c r="W237" s="52">
        <v>26.55</v>
      </c>
      <c r="X237" s="52"/>
      <c r="Y237" s="52"/>
      <c r="Z237" s="52"/>
      <c r="AA237" s="52"/>
      <c r="AB237" s="108" t="s">
        <v>70</v>
      </c>
    </row>
    <row r="238" spans="1:28">
      <c r="A238" s="90">
        <f t="shared" si="22"/>
        <v>240</v>
      </c>
      <c r="B238" s="98">
        <v>45983</v>
      </c>
      <c r="C238" s="25">
        <v>45983</v>
      </c>
      <c r="D238" s="115">
        <v>0.3125</v>
      </c>
      <c r="E238" s="116">
        <v>0.729166666666667</v>
      </c>
      <c r="F238" s="109">
        <v>1558.23</v>
      </c>
      <c r="G238" s="52">
        <v>1553.27</v>
      </c>
      <c r="H238" s="52">
        <v>1562.75</v>
      </c>
      <c r="I238" s="52">
        <v>1630.3</v>
      </c>
      <c r="J238" s="52">
        <v>1628</v>
      </c>
      <c r="K238" s="52">
        <v>1624.81</v>
      </c>
      <c r="L238" s="52">
        <v>1635.51</v>
      </c>
      <c r="M238" s="110">
        <f t="shared" si="26"/>
        <v>11192.87</v>
      </c>
      <c r="N238" s="111">
        <f t="shared" si="27"/>
        <v>774.73</v>
      </c>
      <c r="O238" s="52">
        <v>778.43</v>
      </c>
      <c r="P238" s="52">
        <f t="shared" si="23"/>
        <v>11099.9999999998</v>
      </c>
      <c r="Q238" s="52">
        <f t="shared" si="28"/>
        <v>4.4</v>
      </c>
      <c r="R238" s="52">
        <v>4.41</v>
      </c>
      <c r="S238" s="52">
        <f t="shared" si="24"/>
        <v>29.9999999999994</v>
      </c>
      <c r="T238" s="108">
        <f t="shared" si="25"/>
        <v>11069.9999999998</v>
      </c>
      <c r="U238" s="112"/>
      <c r="V238" s="52">
        <v>3.92</v>
      </c>
      <c r="W238" s="52">
        <v>27.17</v>
      </c>
      <c r="X238" s="52"/>
      <c r="Y238" s="52"/>
      <c r="Z238" s="52"/>
      <c r="AA238" s="52"/>
      <c r="AB238" s="108" t="s">
        <v>70</v>
      </c>
    </row>
    <row r="239" spans="1:28">
      <c r="A239" s="90">
        <f t="shared" si="22"/>
        <v>241</v>
      </c>
      <c r="B239" s="98">
        <v>45984</v>
      </c>
      <c r="C239" s="25">
        <v>45984</v>
      </c>
      <c r="D239" s="115">
        <v>0.3125</v>
      </c>
      <c r="E239" s="116">
        <v>0.739583333333333</v>
      </c>
      <c r="F239" s="109">
        <v>1599.64</v>
      </c>
      <c r="G239" s="52">
        <v>1599.26</v>
      </c>
      <c r="H239" s="52">
        <v>1612</v>
      </c>
      <c r="I239" s="52">
        <v>1680.97</v>
      </c>
      <c r="J239" s="52">
        <v>1670.19</v>
      </c>
      <c r="K239" s="52">
        <v>1670.21</v>
      </c>
      <c r="L239" s="52">
        <v>1680.6</v>
      </c>
      <c r="M239" s="110">
        <f t="shared" si="26"/>
        <v>11512.87</v>
      </c>
      <c r="N239" s="111">
        <f t="shared" si="27"/>
        <v>778.43</v>
      </c>
      <c r="O239" s="52">
        <v>782.22</v>
      </c>
      <c r="P239" s="52">
        <f t="shared" si="23"/>
        <v>11370.0000000002</v>
      </c>
      <c r="Q239" s="52">
        <f t="shared" si="28"/>
        <v>4.41</v>
      </c>
      <c r="R239" s="52">
        <v>4.42</v>
      </c>
      <c r="S239" s="52">
        <f t="shared" si="24"/>
        <v>29.9999999999994</v>
      </c>
      <c r="T239" s="108">
        <f t="shared" si="25"/>
        <v>11340.0000000002</v>
      </c>
      <c r="U239" s="112"/>
      <c r="V239" s="52">
        <v>4.02</v>
      </c>
      <c r="W239" s="52">
        <v>27.35</v>
      </c>
      <c r="X239" s="52"/>
      <c r="Y239" s="52"/>
      <c r="Z239" s="52"/>
      <c r="AA239" s="52"/>
      <c r="AB239" s="108" t="s">
        <v>70</v>
      </c>
    </row>
    <row r="240" spans="1:28">
      <c r="A240" s="90">
        <f t="shared" si="22"/>
        <v>242</v>
      </c>
      <c r="B240" s="98">
        <v>45985</v>
      </c>
      <c r="C240" s="25">
        <v>45985</v>
      </c>
      <c r="D240" s="115">
        <v>0.3125</v>
      </c>
      <c r="E240" s="116">
        <v>0.739583333333333</v>
      </c>
      <c r="F240" s="109">
        <v>1685.43</v>
      </c>
      <c r="G240" s="52">
        <v>1687.26</v>
      </c>
      <c r="H240" s="52">
        <v>1699.59</v>
      </c>
      <c r="I240" s="52">
        <v>1773.87</v>
      </c>
      <c r="J240" s="52">
        <v>1761.5</v>
      </c>
      <c r="K240" s="52">
        <v>1758.58</v>
      </c>
      <c r="L240" s="52">
        <v>1771.89</v>
      </c>
      <c r="M240" s="110">
        <f t="shared" si="26"/>
        <v>12138.12</v>
      </c>
      <c r="N240" s="111">
        <f t="shared" si="27"/>
        <v>782.22</v>
      </c>
      <c r="O240" s="52">
        <v>786.22</v>
      </c>
      <c r="P240" s="52">
        <f t="shared" si="23"/>
        <v>12000</v>
      </c>
      <c r="Q240" s="52">
        <f t="shared" si="28"/>
        <v>4.42</v>
      </c>
      <c r="R240" s="52">
        <v>4.43</v>
      </c>
      <c r="S240" s="52">
        <f t="shared" si="24"/>
        <v>29.9999999999994</v>
      </c>
      <c r="T240" s="108">
        <f t="shared" si="25"/>
        <v>11970</v>
      </c>
      <c r="U240" s="112"/>
      <c r="V240" s="52">
        <v>4.11</v>
      </c>
      <c r="W240" s="52">
        <v>27.45</v>
      </c>
      <c r="X240" s="52"/>
      <c r="Y240" s="52"/>
      <c r="Z240" s="52"/>
      <c r="AA240" s="52"/>
      <c r="AB240" s="108" t="s">
        <v>70</v>
      </c>
    </row>
    <row r="241" spans="1:28">
      <c r="A241" s="90">
        <f t="shared" si="22"/>
        <v>243</v>
      </c>
      <c r="B241" s="98">
        <v>45986</v>
      </c>
      <c r="C241" s="25">
        <v>45986</v>
      </c>
      <c r="D241" s="115">
        <v>0.3125</v>
      </c>
      <c r="E241" s="116">
        <v>0.739583333333333</v>
      </c>
      <c r="F241" s="109">
        <v>1506.43</v>
      </c>
      <c r="G241" s="52">
        <v>1507.68</v>
      </c>
      <c r="H241" s="52">
        <v>1519.77</v>
      </c>
      <c r="I241" s="52">
        <v>1585.7</v>
      </c>
      <c r="J241" s="52">
        <v>1574.8</v>
      </c>
      <c r="K241" s="52">
        <v>1574.96</v>
      </c>
      <c r="L241" s="52">
        <v>1586.26</v>
      </c>
      <c r="M241" s="110">
        <f t="shared" si="26"/>
        <v>10855.6</v>
      </c>
      <c r="N241" s="111">
        <f t="shared" si="27"/>
        <v>786.22</v>
      </c>
      <c r="O241" s="52">
        <v>789.8</v>
      </c>
      <c r="P241" s="52">
        <f t="shared" si="23"/>
        <v>10739.9999999998</v>
      </c>
      <c r="Q241" s="52">
        <f t="shared" si="28"/>
        <v>4.43</v>
      </c>
      <c r="R241" s="52">
        <v>4.45</v>
      </c>
      <c r="S241" s="52">
        <f t="shared" si="24"/>
        <v>60.0000000000014</v>
      </c>
      <c r="T241" s="108">
        <f t="shared" si="25"/>
        <v>10679.9999999998</v>
      </c>
      <c r="U241" s="112">
        <v>3.9</v>
      </c>
      <c r="V241" s="52">
        <v>3.9</v>
      </c>
      <c r="W241" s="52">
        <v>27.07</v>
      </c>
      <c r="X241" s="52"/>
      <c r="Y241" s="52"/>
      <c r="Z241" s="52"/>
      <c r="AA241" s="52"/>
      <c r="AB241" s="108" t="s">
        <v>70</v>
      </c>
    </row>
    <row r="242" spans="1:28">
      <c r="A242" s="90">
        <f t="shared" si="22"/>
        <v>244</v>
      </c>
      <c r="B242" s="98">
        <v>45987</v>
      </c>
      <c r="C242" s="25">
        <v>45987</v>
      </c>
      <c r="D242" s="115">
        <v>0.3125</v>
      </c>
      <c r="E242" s="116">
        <v>0.729166666666667</v>
      </c>
      <c r="F242" s="109">
        <v>1406.6</v>
      </c>
      <c r="G242" s="52">
        <v>1405.7</v>
      </c>
      <c r="H242" s="52">
        <v>1420.6</v>
      </c>
      <c r="I242" s="52">
        <v>1481.18</v>
      </c>
      <c r="J242" s="52">
        <v>1473.22</v>
      </c>
      <c r="K242" s="52">
        <v>1473.21</v>
      </c>
      <c r="L242" s="52">
        <v>1486.81</v>
      </c>
      <c r="M242" s="110">
        <f t="shared" si="26"/>
        <v>10147.32</v>
      </c>
      <c r="N242" s="111">
        <f t="shared" si="27"/>
        <v>789.8</v>
      </c>
      <c r="O242" s="52">
        <v>793.15</v>
      </c>
      <c r="P242" s="52">
        <f t="shared" si="23"/>
        <v>10050.0000000001</v>
      </c>
      <c r="Q242" s="52">
        <f t="shared" si="28"/>
        <v>4.45</v>
      </c>
      <c r="R242" s="52">
        <v>4.46</v>
      </c>
      <c r="S242" s="52">
        <f t="shared" si="24"/>
        <v>29.9999999999994</v>
      </c>
      <c r="T242" s="108">
        <f t="shared" si="25"/>
        <v>10020.0000000001</v>
      </c>
      <c r="U242" s="112"/>
      <c r="V242" s="52">
        <v>3.7</v>
      </c>
      <c r="W242" s="52">
        <v>27.04</v>
      </c>
      <c r="X242" s="52"/>
      <c r="Y242" s="52"/>
      <c r="Z242" s="52"/>
      <c r="AA242" s="52"/>
      <c r="AB242" s="108" t="s">
        <v>70</v>
      </c>
    </row>
    <row r="243" spans="1:28">
      <c r="A243" s="90">
        <f t="shared" si="22"/>
        <v>245</v>
      </c>
      <c r="B243" s="98">
        <v>45988</v>
      </c>
      <c r="C243" s="25">
        <v>45988</v>
      </c>
      <c r="D243" s="115">
        <v>0.322916666666667</v>
      </c>
      <c r="E243" s="116">
        <v>0.729166666666667</v>
      </c>
      <c r="F243" s="109">
        <v>1320.6</v>
      </c>
      <c r="G243" s="52">
        <v>1321</v>
      </c>
      <c r="H243" s="52">
        <v>1332.82</v>
      </c>
      <c r="I243" s="52">
        <v>1389.62</v>
      </c>
      <c r="J243" s="52">
        <v>1382.04</v>
      </c>
      <c r="K243" s="52">
        <v>1381.69</v>
      </c>
      <c r="L243" s="52">
        <v>1393.84</v>
      </c>
      <c r="M243" s="110">
        <f t="shared" si="26"/>
        <v>9521.61</v>
      </c>
      <c r="N243" s="111">
        <f t="shared" si="27"/>
        <v>793.15</v>
      </c>
      <c r="O243" s="52">
        <v>796.3</v>
      </c>
      <c r="P243" s="52">
        <f t="shared" si="23"/>
        <v>9449.99999999993</v>
      </c>
      <c r="Q243" s="52">
        <f t="shared" si="28"/>
        <v>4.46</v>
      </c>
      <c r="R243" s="52">
        <v>4.47</v>
      </c>
      <c r="S243" s="52">
        <f t="shared" si="24"/>
        <v>29.9999999999994</v>
      </c>
      <c r="T243" s="108">
        <f t="shared" si="25"/>
        <v>9419.99999999993</v>
      </c>
      <c r="U243" s="112"/>
      <c r="V243" s="52">
        <v>3.42</v>
      </c>
      <c r="W243" s="52">
        <v>28.62</v>
      </c>
      <c r="X243" s="52"/>
      <c r="Y243" s="52"/>
      <c r="Z243" s="52"/>
      <c r="AA243" s="52"/>
      <c r="AB243" s="108" t="s">
        <v>70</v>
      </c>
    </row>
    <row r="244" spans="1:28">
      <c r="A244" s="90">
        <f t="shared" si="22"/>
        <v>246</v>
      </c>
      <c r="B244" s="98">
        <v>45989</v>
      </c>
      <c r="C244" s="25">
        <v>45989</v>
      </c>
      <c r="D244" s="115">
        <v>0.3125</v>
      </c>
      <c r="E244" s="116">
        <v>0.729166666666667</v>
      </c>
      <c r="F244" s="109">
        <v>1183</v>
      </c>
      <c r="G244" s="52">
        <v>1181.42</v>
      </c>
      <c r="H244" s="52">
        <v>1193.1</v>
      </c>
      <c r="I244" s="52">
        <v>1244.25</v>
      </c>
      <c r="J244" s="52">
        <v>1238.82</v>
      </c>
      <c r="K244" s="52">
        <v>1238.86</v>
      </c>
      <c r="L244" s="52">
        <v>1251.09</v>
      </c>
      <c r="M244" s="110">
        <f t="shared" si="26"/>
        <v>8530.54</v>
      </c>
      <c r="N244" s="111">
        <f t="shared" si="27"/>
        <v>796.3</v>
      </c>
      <c r="O244" s="52">
        <v>799.12</v>
      </c>
      <c r="P244" s="52">
        <f t="shared" si="23"/>
        <v>8460.00000000015</v>
      </c>
      <c r="Q244" s="52">
        <f t="shared" si="28"/>
        <v>4.47</v>
      </c>
      <c r="R244" s="52">
        <v>4.48</v>
      </c>
      <c r="S244" s="52">
        <f t="shared" si="24"/>
        <v>30.000000000002</v>
      </c>
      <c r="T244" s="108">
        <f t="shared" si="25"/>
        <v>8430.00000000015</v>
      </c>
      <c r="U244" s="112"/>
      <c r="V244" s="52">
        <v>3.13</v>
      </c>
      <c r="W244" s="52">
        <v>28.4</v>
      </c>
      <c r="X244" s="52"/>
      <c r="Y244" s="52"/>
      <c r="Z244" s="52"/>
      <c r="AA244" s="52"/>
      <c r="AB244" s="108" t="s">
        <v>70</v>
      </c>
    </row>
    <row r="245" spans="1:28">
      <c r="A245" s="90">
        <f t="shared" si="22"/>
        <v>247</v>
      </c>
      <c r="B245" s="98">
        <v>45990</v>
      </c>
      <c r="C245" s="25">
        <v>45990</v>
      </c>
      <c r="D245" s="115">
        <v>0.322916666666667</v>
      </c>
      <c r="E245" s="116">
        <v>0.729166666666667</v>
      </c>
      <c r="F245" s="109">
        <v>1264.91</v>
      </c>
      <c r="G245" s="52">
        <v>1263.3</v>
      </c>
      <c r="H245" s="52">
        <v>1276</v>
      </c>
      <c r="I245" s="52">
        <v>1333.3</v>
      </c>
      <c r="J245" s="52">
        <v>1326.65</v>
      </c>
      <c r="K245" s="52">
        <v>1328.88</v>
      </c>
      <c r="L245" s="52">
        <v>1343.32</v>
      </c>
      <c r="M245" s="110">
        <f t="shared" si="26"/>
        <v>9136.36</v>
      </c>
      <c r="N245" s="111">
        <f t="shared" si="27"/>
        <v>799.12</v>
      </c>
      <c r="O245" s="52">
        <v>802.14</v>
      </c>
      <c r="P245" s="52">
        <f t="shared" si="23"/>
        <v>9059.99999999995</v>
      </c>
      <c r="Q245" s="52">
        <f t="shared" si="28"/>
        <v>4.48</v>
      </c>
      <c r="R245" s="52">
        <v>4.49</v>
      </c>
      <c r="S245" s="52">
        <f t="shared" si="24"/>
        <v>29.9999999999994</v>
      </c>
      <c r="T245" s="108">
        <f t="shared" si="25"/>
        <v>9029.99999999995</v>
      </c>
      <c r="U245" s="112"/>
      <c r="V245" s="52">
        <v>3.34</v>
      </c>
      <c r="W245" s="52">
        <v>27.37</v>
      </c>
      <c r="X245" s="52"/>
      <c r="Y245" s="52"/>
      <c r="Z245" s="52"/>
      <c r="AA245" s="52"/>
      <c r="AB245" s="108" t="s">
        <v>70</v>
      </c>
    </row>
    <row r="246" spans="1:28">
      <c r="A246" s="90">
        <f t="shared" si="22"/>
        <v>248</v>
      </c>
      <c r="B246" s="98">
        <v>45991</v>
      </c>
      <c r="C246" s="25">
        <v>45991</v>
      </c>
      <c r="D246" s="115">
        <v>0.3125</v>
      </c>
      <c r="E246" s="116">
        <v>0.729166666666667</v>
      </c>
      <c r="F246" s="109">
        <v>1431.79</v>
      </c>
      <c r="G246" s="52">
        <v>1432.27</v>
      </c>
      <c r="H246" s="52">
        <v>1445.38</v>
      </c>
      <c r="I246" s="52">
        <v>1506.73</v>
      </c>
      <c r="J246" s="52">
        <v>1498.62</v>
      </c>
      <c r="K246" s="52">
        <v>1497.48</v>
      </c>
      <c r="L246" s="52">
        <v>1508.03</v>
      </c>
      <c r="M246" s="110">
        <f t="shared" si="26"/>
        <v>10320.3</v>
      </c>
      <c r="N246" s="111">
        <f t="shared" si="27"/>
        <v>802.14</v>
      </c>
      <c r="O246" s="52">
        <v>805.03</v>
      </c>
      <c r="P246" s="52">
        <f t="shared" si="23"/>
        <v>8669.99999999996</v>
      </c>
      <c r="Q246" s="52">
        <f t="shared" si="28"/>
        <v>4.49</v>
      </c>
      <c r="R246" s="52">
        <v>4.5</v>
      </c>
      <c r="S246" s="52">
        <f t="shared" si="24"/>
        <v>29.9999999999994</v>
      </c>
      <c r="T246" s="108">
        <f t="shared" si="25"/>
        <v>8639.99999999996</v>
      </c>
      <c r="U246" s="112"/>
      <c r="V246" s="52">
        <v>3.55</v>
      </c>
      <c r="W246" s="52">
        <v>27.29</v>
      </c>
      <c r="X246" s="52"/>
      <c r="Y246" s="52"/>
      <c r="Z246" s="52"/>
      <c r="AA246" s="52"/>
      <c r="AB246" s="108" t="s">
        <v>70</v>
      </c>
    </row>
    <row r="247" spans="1:28">
      <c r="A247" s="90">
        <f t="shared" si="22"/>
        <v>249</v>
      </c>
      <c r="B247" s="98">
        <v>45992</v>
      </c>
      <c r="C247" s="25">
        <v>45992</v>
      </c>
      <c r="D247" s="115">
        <v>0.313194444444444</v>
      </c>
      <c r="E247" s="116">
        <v>0.729166666666667</v>
      </c>
      <c r="F247" s="109">
        <v>1457.4</v>
      </c>
      <c r="G247" s="52">
        <v>1458.72</v>
      </c>
      <c r="H247" s="52">
        <v>1471.01</v>
      </c>
      <c r="I247" s="52">
        <v>1537.5</v>
      </c>
      <c r="J247" s="52">
        <v>1525.52</v>
      </c>
      <c r="K247" s="52">
        <v>1524.71</v>
      </c>
      <c r="L247" s="52">
        <v>1537.8</v>
      </c>
      <c r="M247" s="110">
        <f t="shared" si="26"/>
        <v>10512.66</v>
      </c>
      <c r="N247" s="111">
        <f t="shared" si="27"/>
        <v>805.03</v>
      </c>
      <c r="O247" s="52">
        <v>809.01</v>
      </c>
      <c r="P247" s="52">
        <f t="shared" si="23"/>
        <v>11940.0000000001</v>
      </c>
      <c r="Q247" s="52">
        <f t="shared" si="28"/>
        <v>4.5</v>
      </c>
      <c r="R247" s="52">
        <v>4.52</v>
      </c>
      <c r="S247" s="52">
        <f t="shared" si="24"/>
        <v>59.9999999999987</v>
      </c>
      <c r="T247" s="108">
        <f t="shared" si="25"/>
        <v>11880.0000000001</v>
      </c>
      <c r="U247" s="112"/>
      <c r="V247" s="52">
        <v>3.81</v>
      </c>
      <c r="W247" s="52">
        <v>26.7</v>
      </c>
      <c r="X247" s="52"/>
      <c r="Y247" s="52"/>
      <c r="Z247" s="52"/>
      <c r="AA247" s="52"/>
      <c r="AB247" s="108" t="s">
        <v>70</v>
      </c>
    </row>
    <row r="248" spans="1:28">
      <c r="A248" s="90">
        <f t="shared" si="22"/>
        <v>250</v>
      </c>
      <c r="B248" s="98">
        <v>45993</v>
      </c>
      <c r="C248" s="25">
        <v>45993</v>
      </c>
      <c r="D248" s="115">
        <v>0.3125</v>
      </c>
      <c r="E248" s="116">
        <v>0.729166666666667</v>
      </c>
      <c r="F248" s="109">
        <v>1312.9</v>
      </c>
      <c r="G248" s="52">
        <v>1313.22</v>
      </c>
      <c r="H248" s="52">
        <v>1324.69</v>
      </c>
      <c r="I248" s="52">
        <v>1385.9</v>
      </c>
      <c r="J248" s="52">
        <v>1373.8</v>
      </c>
      <c r="K248" s="52">
        <v>1374.33</v>
      </c>
      <c r="L248" s="52">
        <v>1385.63</v>
      </c>
      <c r="M248" s="110">
        <f t="shared" si="26"/>
        <v>9470.47</v>
      </c>
      <c r="N248" s="111">
        <f t="shared" si="27"/>
        <v>809.01</v>
      </c>
      <c r="O248" s="52">
        <v>812.14</v>
      </c>
      <c r="P248" s="52">
        <f t="shared" si="23"/>
        <v>9389.99999999999</v>
      </c>
      <c r="Q248" s="52">
        <f t="shared" si="28"/>
        <v>4.52</v>
      </c>
      <c r="R248" s="52">
        <v>4.53</v>
      </c>
      <c r="S248" s="52">
        <f t="shared" si="24"/>
        <v>30.000000000002</v>
      </c>
      <c r="T248" s="108">
        <f t="shared" si="25"/>
        <v>9359.99999999998</v>
      </c>
      <c r="U248" s="112"/>
      <c r="V248" s="52">
        <v>3.5</v>
      </c>
      <c r="W248" s="52">
        <v>26.6</v>
      </c>
      <c r="X248" s="52"/>
      <c r="Y248" s="52"/>
      <c r="Z248" s="52"/>
      <c r="AA248" s="52"/>
      <c r="AB248" s="108" t="s">
        <v>70</v>
      </c>
    </row>
    <row r="249" spans="1:28">
      <c r="A249" s="90">
        <f t="shared" si="22"/>
        <v>251</v>
      </c>
      <c r="B249" s="98">
        <v>45994</v>
      </c>
      <c r="C249" s="25">
        <v>45994</v>
      </c>
      <c r="D249" s="115">
        <v>0.3125</v>
      </c>
      <c r="E249" s="116">
        <v>0.729166666666667</v>
      </c>
      <c r="F249" s="109">
        <v>1470.01</v>
      </c>
      <c r="G249" s="52">
        <v>1471.52</v>
      </c>
      <c r="H249" s="52">
        <v>1484.15</v>
      </c>
      <c r="I249" s="52">
        <v>1551.5</v>
      </c>
      <c r="J249" s="52">
        <v>1541.96</v>
      </c>
      <c r="K249" s="52">
        <v>1541.27</v>
      </c>
      <c r="L249" s="52">
        <v>1553.28</v>
      </c>
      <c r="M249" s="110">
        <f t="shared" si="26"/>
        <v>10613.69</v>
      </c>
      <c r="N249" s="111">
        <f t="shared" si="27"/>
        <v>812.14</v>
      </c>
      <c r="O249" s="52">
        <v>815.66</v>
      </c>
      <c r="P249" s="52">
        <f t="shared" si="23"/>
        <v>10559.9999999999</v>
      </c>
      <c r="Q249" s="52">
        <f t="shared" si="28"/>
        <v>4.53</v>
      </c>
      <c r="R249" s="52">
        <v>4.54</v>
      </c>
      <c r="S249" s="52">
        <f t="shared" si="24"/>
        <v>29.9999999999994</v>
      </c>
      <c r="T249" s="108">
        <f t="shared" si="25"/>
        <v>10529.9999999999</v>
      </c>
      <c r="U249" s="112"/>
      <c r="V249" s="52">
        <v>3.79</v>
      </c>
      <c r="W249" s="52">
        <v>25.4</v>
      </c>
      <c r="X249" s="52"/>
      <c r="Y249" s="52"/>
      <c r="Z249" s="52"/>
      <c r="AA249" s="52"/>
      <c r="AB249" s="108" t="s">
        <v>70</v>
      </c>
    </row>
    <row r="250" spans="1:28">
      <c r="A250" s="90">
        <f t="shared" si="22"/>
        <v>252</v>
      </c>
      <c r="B250" s="98">
        <v>45995</v>
      </c>
      <c r="C250" s="25">
        <v>45995</v>
      </c>
      <c r="D250" s="115">
        <v>0.322916666666667</v>
      </c>
      <c r="E250" s="116">
        <v>0.729166666666667</v>
      </c>
      <c r="F250" s="109">
        <v>1422.48</v>
      </c>
      <c r="G250" s="52">
        <v>1423.58</v>
      </c>
      <c r="H250" s="52">
        <v>1435.28</v>
      </c>
      <c r="I250" s="52">
        <v>1501.51</v>
      </c>
      <c r="J250" s="52">
        <v>1491.13</v>
      </c>
      <c r="K250" s="52">
        <v>1491.48</v>
      </c>
      <c r="L250" s="52">
        <v>1502.77</v>
      </c>
      <c r="M250" s="110">
        <f t="shared" si="26"/>
        <v>10268.23</v>
      </c>
      <c r="N250" s="111">
        <f t="shared" si="27"/>
        <v>815.66</v>
      </c>
      <c r="O250" s="52">
        <v>819.04</v>
      </c>
      <c r="P250" s="52">
        <f t="shared" si="23"/>
        <v>10140</v>
      </c>
      <c r="Q250" s="52">
        <f t="shared" si="28"/>
        <v>4.54</v>
      </c>
      <c r="R250" s="52">
        <v>4.55</v>
      </c>
      <c r="S250" s="52">
        <f t="shared" si="24"/>
        <v>29.9999999999994</v>
      </c>
      <c r="T250" s="108">
        <f t="shared" si="25"/>
        <v>10110</v>
      </c>
      <c r="U250" s="112"/>
      <c r="V250" s="52">
        <v>3.65</v>
      </c>
      <c r="W250" s="52">
        <v>25.04</v>
      </c>
      <c r="X250" s="52"/>
      <c r="Y250" s="52"/>
      <c r="Z250" s="52"/>
      <c r="AA250" s="52"/>
      <c r="AB250" s="108" t="s">
        <v>70</v>
      </c>
    </row>
    <row r="251" spans="1:28">
      <c r="A251" s="90">
        <f t="shared" si="22"/>
        <v>253</v>
      </c>
      <c r="B251" s="98">
        <v>45996</v>
      </c>
      <c r="C251" s="25">
        <v>45996</v>
      </c>
      <c r="D251" s="115">
        <v>0.322916666666667</v>
      </c>
      <c r="E251" s="116">
        <v>0.729166666666667</v>
      </c>
      <c r="F251" s="109">
        <v>1435.08</v>
      </c>
      <c r="G251" s="52">
        <v>1435.45</v>
      </c>
      <c r="H251" s="52">
        <v>1448.19</v>
      </c>
      <c r="I251" s="52">
        <v>1513.46</v>
      </c>
      <c r="J251" s="52">
        <v>1504.04</v>
      </c>
      <c r="K251" s="52">
        <v>1516.54</v>
      </c>
      <c r="L251" s="52">
        <v>1569.38</v>
      </c>
      <c r="M251" s="110">
        <f t="shared" si="26"/>
        <v>10422.14</v>
      </c>
      <c r="N251" s="111">
        <f t="shared" si="27"/>
        <v>819.04</v>
      </c>
      <c r="O251" s="52">
        <v>822.48</v>
      </c>
      <c r="P251" s="52">
        <f t="shared" si="23"/>
        <v>10320.0000000002</v>
      </c>
      <c r="Q251" s="52">
        <f t="shared" si="28"/>
        <v>4.55</v>
      </c>
      <c r="R251" s="52">
        <v>4.56</v>
      </c>
      <c r="S251" s="52">
        <f t="shared" si="24"/>
        <v>29.9999999999994</v>
      </c>
      <c r="T251" s="108">
        <f t="shared" si="25"/>
        <v>10290.0000000002</v>
      </c>
      <c r="U251" s="112"/>
      <c r="V251" s="52">
        <v>3.71</v>
      </c>
      <c r="W251" s="52">
        <v>26.35</v>
      </c>
      <c r="X251" s="52"/>
      <c r="Y251" s="52"/>
      <c r="Z251" s="52"/>
      <c r="AA251" s="52"/>
      <c r="AB251" s="108" t="s">
        <v>70</v>
      </c>
    </row>
    <row r="252" spans="1:28">
      <c r="A252" s="90">
        <f t="shared" si="22"/>
        <v>254</v>
      </c>
      <c r="B252" s="98">
        <v>45997</v>
      </c>
      <c r="C252" s="25">
        <v>45997</v>
      </c>
      <c r="D252" s="115">
        <v>0.322916666666667</v>
      </c>
      <c r="E252" s="116">
        <v>0.739583333333333</v>
      </c>
      <c r="F252" s="109">
        <v>1414.67</v>
      </c>
      <c r="G252" s="52">
        <v>1417.75</v>
      </c>
      <c r="H252" s="52">
        <v>1452.89</v>
      </c>
      <c r="I252" s="52">
        <v>1531.08</v>
      </c>
      <c r="J252" s="52">
        <v>1526.92</v>
      </c>
      <c r="K252" s="52">
        <v>1538.54</v>
      </c>
      <c r="L252" s="52">
        <v>1568.54</v>
      </c>
      <c r="M252" s="110">
        <f t="shared" si="26"/>
        <v>10450.39</v>
      </c>
      <c r="N252" s="111">
        <f t="shared" si="27"/>
        <v>822.48</v>
      </c>
      <c r="O252" s="52">
        <v>825.93</v>
      </c>
      <c r="P252" s="52">
        <f t="shared" si="23"/>
        <v>10349.9999999998</v>
      </c>
      <c r="Q252" s="52">
        <f t="shared" si="28"/>
        <v>4.56</v>
      </c>
      <c r="R252" s="52">
        <v>4.58</v>
      </c>
      <c r="S252" s="52">
        <f t="shared" si="24"/>
        <v>60.0000000000014</v>
      </c>
      <c r="T252" s="108">
        <f t="shared" si="25"/>
        <v>10289.9999999998</v>
      </c>
      <c r="U252" s="112"/>
      <c r="V252" s="52">
        <v>3.46</v>
      </c>
      <c r="W252" s="52">
        <v>25.53</v>
      </c>
      <c r="X252" s="52"/>
      <c r="Y252" s="52"/>
      <c r="Z252" s="52"/>
      <c r="AA252" s="52"/>
      <c r="AB252" s="108" t="s">
        <v>70</v>
      </c>
    </row>
    <row r="253" spans="1:28">
      <c r="A253" s="90">
        <f t="shared" si="22"/>
        <v>255</v>
      </c>
      <c r="B253" s="98">
        <v>45998</v>
      </c>
      <c r="C253" s="25">
        <v>45998</v>
      </c>
      <c r="D253" s="115">
        <v>0.322916666666667</v>
      </c>
      <c r="E253" s="116">
        <v>0.729166666666667</v>
      </c>
      <c r="F253" s="109">
        <v>1608.38</v>
      </c>
      <c r="G253" s="52">
        <v>1595</v>
      </c>
      <c r="H253" s="52">
        <v>1611.31</v>
      </c>
      <c r="I253" s="52">
        <v>1666.92</v>
      </c>
      <c r="J253" s="52">
        <v>1645.97</v>
      </c>
      <c r="K253" s="52">
        <v>1658.25</v>
      </c>
      <c r="L253" s="52">
        <v>1687.73</v>
      </c>
      <c r="M253" s="110">
        <f t="shared" si="26"/>
        <v>11473.56</v>
      </c>
      <c r="N253" s="111">
        <f t="shared" si="27"/>
        <v>825.93</v>
      </c>
      <c r="O253" s="52">
        <v>829.71</v>
      </c>
      <c r="P253" s="52">
        <f t="shared" si="23"/>
        <v>11340.0000000003</v>
      </c>
      <c r="Q253" s="52">
        <f t="shared" si="28"/>
        <v>4.58</v>
      </c>
      <c r="R253" s="52">
        <v>4.59</v>
      </c>
      <c r="S253" s="52">
        <f t="shared" si="24"/>
        <v>29.9999999999994</v>
      </c>
      <c r="T253" s="108">
        <f t="shared" si="25"/>
        <v>11310.0000000003</v>
      </c>
      <c r="U253" s="112"/>
      <c r="V253" s="52">
        <v>3.81</v>
      </c>
      <c r="W253" s="52">
        <v>25.42</v>
      </c>
      <c r="X253" s="52"/>
      <c r="Y253" s="52"/>
      <c r="Z253" s="52"/>
      <c r="AA253" s="52"/>
      <c r="AB253" s="108" t="s">
        <v>70</v>
      </c>
    </row>
    <row r="254" spans="1:28">
      <c r="A254" s="90">
        <f t="shared" si="22"/>
        <v>256</v>
      </c>
      <c r="B254" s="98">
        <v>45999</v>
      </c>
      <c r="C254" s="25">
        <v>45999</v>
      </c>
      <c r="D254" s="115">
        <v>0.322916666666667</v>
      </c>
      <c r="E254" s="116">
        <v>0.739583333333333</v>
      </c>
      <c r="F254" s="109">
        <v>1583.38</v>
      </c>
      <c r="G254" s="52">
        <v>1576.71</v>
      </c>
      <c r="H254" s="52">
        <v>1588.61</v>
      </c>
      <c r="I254" s="52">
        <v>1661.83</v>
      </c>
      <c r="J254" s="52">
        <v>1656.6</v>
      </c>
      <c r="K254" s="52">
        <v>1652</v>
      </c>
      <c r="L254" s="52">
        <v>1656.71</v>
      </c>
      <c r="M254" s="110">
        <f t="shared" si="26"/>
        <v>11375.84</v>
      </c>
      <c r="N254" s="111">
        <f t="shared" si="27"/>
        <v>829.71</v>
      </c>
      <c r="O254" s="52">
        <v>833.46</v>
      </c>
      <c r="P254" s="52">
        <f t="shared" si="23"/>
        <v>11250</v>
      </c>
      <c r="Q254" s="52">
        <f t="shared" si="28"/>
        <v>4.59</v>
      </c>
      <c r="R254" s="52">
        <v>4.6</v>
      </c>
      <c r="S254" s="52">
        <f t="shared" si="24"/>
        <v>29.9999999999994</v>
      </c>
      <c r="T254" s="108">
        <f t="shared" si="25"/>
        <v>11220</v>
      </c>
      <c r="U254" s="112"/>
      <c r="V254" s="52">
        <v>3.81</v>
      </c>
      <c r="W254" s="52">
        <v>26.43</v>
      </c>
      <c r="X254" s="52"/>
      <c r="Y254" s="52"/>
      <c r="Z254" s="52"/>
      <c r="AA254" s="52"/>
      <c r="AB254" s="108" t="s">
        <v>70</v>
      </c>
    </row>
    <row r="255" spans="1:28">
      <c r="A255" s="90">
        <f t="shared" si="22"/>
        <v>257</v>
      </c>
      <c r="B255" s="98">
        <v>46000</v>
      </c>
      <c r="C255" s="25">
        <v>46000</v>
      </c>
      <c r="D255" s="115">
        <v>0.322916666666667</v>
      </c>
      <c r="E255" s="116">
        <v>0.729166666666667</v>
      </c>
      <c r="F255" s="109">
        <v>1731.81</v>
      </c>
      <c r="G255" s="52">
        <v>1721.47</v>
      </c>
      <c r="H255" s="52">
        <v>1736.7</v>
      </c>
      <c r="I255" s="52">
        <v>1812.97</v>
      </c>
      <c r="J255" s="52">
        <v>1810.32</v>
      </c>
      <c r="K255" s="52">
        <v>1808.18</v>
      </c>
      <c r="L255" s="52">
        <v>1811.67</v>
      </c>
      <c r="M255" s="110">
        <f t="shared" si="26"/>
        <v>12433.12</v>
      </c>
      <c r="N255" s="111">
        <f t="shared" si="27"/>
        <v>833.46</v>
      </c>
      <c r="O255" s="52">
        <v>837.55</v>
      </c>
      <c r="P255" s="52">
        <f t="shared" si="23"/>
        <v>12269.9999999998</v>
      </c>
      <c r="Q255" s="52">
        <f t="shared" si="28"/>
        <v>4.6</v>
      </c>
      <c r="R255" s="52">
        <v>4.61</v>
      </c>
      <c r="S255" s="52">
        <f t="shared" si="24"/>
        <v>30.000000000002</v>
      </c>
      <c r="T255" s="108">
        <f t="shared" si="25"/>
        <v>12239.9999999998</v>
      </c>
      <c r="U255" s="112"/>
      <c r="V255" s="52">
        <v>4.15</v>
      </c>
      <c r="W255" s="52">
        <v>26.55</v>
      </c>
      <c r="X255" s="52"/>
      <c r="Y255" s="52"/>
      <c r="Z255" s="52"/>
      <c r="AA255" s="52"/>
      <c r="AB255" s="108" t="s">
        <v>70</v>
      </c>
    </row>
    <row r="256" spans="1:28">
      <c r="A256" s="90">
        <f t="shared" si="22"/>
        <v>258</v>
      </c>
      <c r="B256" s="98">
        <v>46001</v>
      </c>
      <c r="C256" s="25">
        <v>46001</v>
      </c>
      <c r="D256" s="115">
        <v>0.322916666666667</v>
      </c>
      <c r="E256" s="116">
        <v>0.739583333333333</v>
      </c>
      <c r="F256" s="109">
        <v>1705.58</v>
      </c>
      <c r="G256" s="52">
        <v>1700.16</v>
      </c>
      <c r="H256" s="52">
        <v>1711.85</v>
      </c>
      <c r="I256" s="52">
        <v>1778.27</v>
      </c>
      <c r="J256" s="52">
        <v>1785.47</v>
      </c>
      <c r="K256" s="52">
        <v>1782.62</v>
      </c>
      <c r="L256" s="52">
        <v>1785.68</v>
      </c>
      <c r="M256" s="110">
        <f t="shared" si="26"/>
        <v>12249.63</v>
      </c>
      <c r="N256" s="111">
        <f t="shared" si="27"/>
        <v>837.55</v>
      </c>
      <c r="O256" s="52">
        <v>841.59</v>
      </c>
      <c r="P256" s="52">
        <f t="shared" si="23"/>
        <v>12120.0000000002</v>
      </c>
      <c r="Q256" s="52">
        <f t="shared" si="28"/>
        <v>4.61</v>
      </c>
      <c r="R256" s="52">
        <v>4.62</v>
      </c>
      <c r="S256" s="52">
        <f t="shared" si="24"/>
        <v>29.9999999999994</v>
      </c>
      <c r="T256" s="108">
        <f t="shared" si="25"/>
        <v>12090.0000000002</v>
      </c>
      <c r="U256" s="112"/>
      <c r="V256" s="52">
        <v>3.32</v>
      </c>
      <c r="W256" s="52">
        <v>26.94</v>
      </c>
      <c r="X256" s="52"/>
      <c r="Y256" s="52"/>
      <c r="Z256" s="52"/>
      <c r="AA256" s="52"/>
      <c r="AB256" s="108" t="s">
        <v>70</v>
      </c>
    </row>
    <row r="257" spans="1:28">
      <c r="A257" s="90">
        <f t="shared" si="22"/>
        <v>259</v>
      </c>
      <c r="B257" s="98">
        <v>46002</v>
      </c>
      <c r="C257" s="25">
        <v>46002</v>
      </c>
      <c r="D257" s="115">
        <v>0.322916666666667</v>
      </c>
      <c r="E257" s="116">
        <v>0.739583333333333</v>
      </c>
      <c r="F257" s="109">
        <v>1724.21</v>
      </c>
      <c r="G257" s="52">
        <v>1716.55</v>
      </c>
      <c r="H257" s="52">
        <v>1732.92</v>
      </c>
      <c r="I257" s="52">
        <v>1805.92</v>
      </c>
      <c r="J257" s="52">
        <v>1809.14</v>
      </c>
      <c r="K257" s="52">
        <v>1804.62</v>
      </c>
      <c r="L257" s="52">
        <v>1805.26</v>
      </c>
      <c r="M257" s="110">
        <f t="shared" si="26"/>
        <v>12398.62</v>
      </c>
      <c r="N257" s="111">
        <f t="shared" si="27"/>
        <v>841.59</v>
      </c>
      <c r="O257" s="52">
        <v>845.67</v>
      </c>
      <c r="P257" s="52">
        <f t="shared" si="23"/>
        <v>12239.9999999998</v>
      </c>
      <c r="Q257" s="52">
        <f t="shared" si="28"/>
        <v>4.62</v>
      </c>
      <c r="R257" s="52">
        <v>4.63</v>
      </c>
      <c r="S257" s="52">
        <f t="shared" si="24"/>
        <v>29.9999999999994</v>
      </c>
      <c r="T257" s="108">
        <f t="shared" si="25"/>
        <v>12209.9999999998</v>
      </c>
      <c r="U257" s="112"/>
      <c r="V257" s="52">
        <v>4.11</v>
      </c>
      <c r="W257" s="52">
        <v>26.97</v>
      </c>
      <c r="X257" s="52"/>
      <c r="Y257" s="52"/>
      <c r="Z257" s="52"/>
      <c r="AA257" s="52"/>
      <c r="AB257" s="108" t="s">
        <v>70</v>
      </c>
    </row>
    <row r="258" spans="1:28">
      <c r="A258" s="90">
        <f t="shared" si="22"/>
        <v>260</v>
      </c>
      <c r="B258" s="98">
        <v>46003</v>
      </c>
      <c r="C258" s="25">
        <v>46003</v>
      </c>
      <c r="D258" s="115">
        <v>0.322916666666667</v>
      </c>
      <c r="E258" s="116">
        <v>0.739583333333333</v>
      </c>
      <c r="F258" s="109">
        <v>1703.82</v>
      </c>
      <c r="G258" s="52">
        <v>1689.86</v>
      </c>
      <c r="H258" s="52">
        <v>1709.8</v>
      </c>
      <c r="I258" s="52">
        <v>1785.7</v>
      </c>
      <c r="J258" s="52">
        <v>1779.27</v>
      </c>
      <c r="K258" s="52">
        <v>1781.14</v>
      </c>
      <c r="L258" s="52">
        <v>1784.95</v>
      </c>
      <c r="M258" s="110">
        <f t="shared" si="26"/>
        <v>12234.54</v>
      </c>
      <c r="N258" s="111">
        <f t="shared" si="27"/>
        <v>845.67</v>
      </c>
      <c r="O258" s="52">
        <v>849.7</v>
      </c>
      <c r="P258" s="52">
        <f t="shared" si="23"/>
        <v>12090.0000000003</v>
      </c>
      <c r="Q258" s="52">
        <f t="shared" si="28"/>
        <v>4.63</v>
      </c>
      <c r="R258" s="52">
        <v>4.65</v>
      </c>
      <c r="S258" s="52">
        <f t="shared" si="24"/>
        <v>60.0000000000014</v>
      </c>
      <c r="T258" s="108">
        <f t="shared" si="25"/>
        <v>12030.0000000003</v>
      </c>
      <c r="U258" s="112"/>
      <c r="V258" s="52">
        <v>4.14</v>
      </c>
      <c r="W258" s="52">
        <v>26.12</v>
      </c>
      <c r="X258" s="52"/>
      <c r="Y258" s="52"/>
      <c r="Z258" s="52"/>
      <c r="AA258" s="52"/>
      <c r="AB258" s="108" t="s">
        <v>70</v>
      </c>
    </row>
    <row r="259" spans="1:28">
      <c r="A259" s="90">
        <f t="shared" ref="A259:A322" si="29">A258+1</f>
        <v>261</v>
      </c>
      <c r="B259" s="98">
        <v>46004</v>
      </c>
      <c r="C259" s="25">
        <v>46004</v>
      </c>
      <c r="D259" s="115">
        <v>0.322916666666667</v>
      </c>
      <c r="E259" s="116">
        <v>0.739583333333333</v>
      </c>
      <c r="F259" s="109">
        <v>1665.8</v>
      </c>
      <c r="G259" s="52">
        <v>1661.53</v>
      </c>
      <c r="H259" s="52">
        <v>1676.95</v>
      </c>
      <c r="I259" s="52">
        <v>1748.6</v>
      </c>
      <c r="J259" s="52">
        <v>1748.18</v>
      </c>
      <c r="K259" s="52">
        <v>1745.66</v>
      </c>
      <c r="L259" s="52">
        <v>1748.56</v>
      </c>
      <c r="M259" s="110">
        <f t="shared" si="26"/>
        <v>11995.28</v>
      </c>
      <c r="N259" s="111">
        <f t="shared" si="27"/>
        <v>849.7</v>
      </c>
      <c r="O259" s="52">
        <v>853.65</v>
      </c>
      <c r="P259" s="52">
        <f t="shared" ref="P259:P322" si="30">MAX((O259-N259)*3000,0)</f>
        <v>11849.9999999998</v>
      </c>
      <c r="Q259" s="52">
        <f t="shared" si="28"/>
        <v>4.65</v>
      </c>
      <c r="R259" s="52">
        <v>4.66</v>
      </c>
      <c r="S259" s="52">
        <f t="shared" ref="S259:S322" si="31">MAX((R259-Q259)*3000,0)</f>
        <v>29.9999999999994</v>
      </c>
      <c r="T259" s="108">
        <f t="shared" ref="T259:T322" si="32">P259-S259</f>
        <v>11819.9999999998</v>
      </c>
      <c r="U259" s="112"/>
      <c r="V259" s="52">
        <v>3.94</v>
      </c>
      <c r="W259" s="52">
        <v>21.31</v>
      </c>
      <c r="X259" s="52"/>
      <c r="Y259" s="52"/>
      <c r="Z259" s="52"/>
      <c r="AA259" s="52"/>
      <c r="AB259" s="108" t="s">
        <v>70</v>
      </c>
    </row>
    <row r="260" spans="1:28">
      <c r="A260" s="90">
        <f t="shared" si="29"/>
        <v>262</v>
      </c>
      <c r="B260" s="98">
        <v>46005</v>
      </c>
      <c r="C260" s="25">
        <v>46005</v>
      </c>
      <c r="D260" s="115">
        <v>0.322916666666667</v>
      </c>
      <c r="E260" s="116">
        <v>0.739583333333333</v>
      </c>
      <c r="F260" s="109">
        <v>1603.82</v>
      </c>
      <c r="G260" s="52">
        <v>1598</v>
      </c>
      <c r="H260" s="52">
        <v>1613.62</v>
      </c>
      <c r="I260" s="52">
        <v>1680.7</v>
      </c>
      <c r="J260" s="52">
        <v>1681.63</v>
      </c>
      <c r="K260" s="52">
        <v>1679.82</v>
      </c>
      <c r="L260" s="52">
        <v>1683.31</v>
      </c>
      <c r="M260" s="110">
        <f t="shared" si="26"/>
        <v>11540.9</v>
      </c>
      <c r="N260" s="111">
        <f t="shared" si="27"/>
        <v>853.65</v>
      </c>
      <c r="O260" s="52">
        <v>857.46</v>
      </c>
      <c r="P260" s="52">
        <f t="shared" si="30"/>
        <v>11430.0000000002</v>
      </c>
      <c r="Q260" s="52">
        <f t="shared" si="28"/>
        <v>4.66</v>
      </c>
      <c r="R260" s="52">
        <v>4.67</v>
      </c>
      <c r="S260" s="52">
        <f t="shared" si="31"/>
        <v>29.9999999999994</v>
      </c>
      <c r="T260" s="108">
        <f t="shared" si="32"/>
        <v>11400.0000000002</v>
      </c>
      <c r="U260" s="112"/>
      <c r="V260" s="52">
        <v>0.81</v>
      </c>
      <c r="W260" s="52">
        <v>24.95</v>
      </c>
      <c r="X260" s="52"/>
      <c r="Y260" s="52"/>
      <c r="Z260" s="52"/>
      <c r="AA260" s="52"/>
      <c r="AB260" s="108" t="s">
        <v>70</v>
      </c>
    </row>
    <row r="261" spans="1:28">
      <c r="A261" s="90">
        <f t="shared" si="29"/>
        <v>263</v>
      </c>
      <c r="B261" s="98">
        <v>46006</v>
      </c>
      <c r="C261" s="25">
        <v>46006</v>
      </c>
      <c r="D261" s="115">
        <v>0.322916666666667</v>
      </c>
      <c r="E261" s="116">
        <v>0.739583333333333</v>
      </c>
      <c r="F261" s="109">
        <v>1633.57</v>
      </c>
      <c r="G261" s="52">
        <v>1627.02</v>
      </c>
      <c r="H261" s="52">
        <v>1642.26</v>
      </c>
      <c r="I261" s="52">
        <v>1711.92</v>
      </c>
      <c r="J261" s="52">
        <v>1714.28</v>
      </c>
      <c r="K261" s="52">
        <v>1711.85</v>
      </c>
      <c r="L261" s="52">
        <v>1715.58</v>
      </c>
      <c r="M261" s="110">
        <f t="shared" si="26"/>
        <v>11756.48</v>
      </c>
      <c r="N261" s="111">
        <f t="shared" si="27"/>
        <v>857.46</v>
      </c>
      <c r="O261" s="52">
        <v>861.33</v>
      </c>
      <c r="P261" s="52">
        <f t="shared" si="30"/>
        <v>11610</v>
      </c>
      <c r="Q261" s="52">
        <f t="shared" si="28"/>
        <v>4.67</v>
      </c>
      <c r="R261" s="52">
        <v>4.68</v>
      </c>
      <c r="S261" s="52">
        <f t="shared" si="31"/>
        <v>29.9999999999994</v>
      </c>
      <c r="T261" s="108">
        <f t="shared" si="32"/>
        <v>11580</v>
      </c>
      <c r="U261" s="112"/>
      <c r="V261" s="52">
        <v>3.91</v>
      </c>
      <c r="W261" s="52">
        <v>26.95</v>
      </c>
      <c r="X261" s="52"/>
      <c r="Y261" s="52"/>
      <c r="Z261" s="52"/>
      <c r="AA261" s="52"/>
      <c r="AB261" s="108" t="s">
        <v>70</v>
      </c>
    </row>
    <row r="262" spans="1:28">
      <c r="A262" s="90">
        <f t="shared" si="29"/>
        <v>264</v>
      </c>
      <c r="B262" s="98">
        <v>46007</v>
      </c>
      <c r="C262" s="25">
        <v>46007</v>
      </c>
      <c r="D262" s="115">
        <v>0.322916666666667</v>
      </c>
      <c r="E262" s="116">
        <v>0.739583333333333</v>
      </c>
      <c r="F262" s="109">
        <v>1579.07</v>
      </c>
      <c r="G262" s="52">
        <v>1573.82</v>
      </c>
      <c r="H262" s="52">
        <v>1587.3</v>
      </c>
      <c r="I262" s="52">
        <v>1655.15</v>
      </c>
      <c r="J262" s="52">
        <v>1657.87</v>
      </c>
      <c r="K262" s="52">
        <v>1656.26</v>
      </c>
      <c r="L262" s="52">
        <v>1660.58</v>
      </c>
      <c r="M262" s="110">
        <f t="shared" si="26"/>
        <v>11370.05</v>
      </c>
      <c r="N262" s="111">
        <f t="shared" si="27"/>
        <v>861.33</v>
      </c>
      <c r="O262" s="52">
        <v>865.08</v>
      </c>
      <c r="P262" s="52">
        <f t="shared" si="30"/>
        <v>11250</v>
      </c>
      <c r="Q262" s="52">
        <f t="shared" si="28"/>
        <v>4.68</v>
      </c>
      <c r="R262" s="52">
        <v>4.7</v>
      </c>
      <c r="S262" s="52">
        <f t="shared" si="31"/>
        <v>60.0000000000014</v>
      </c>
      <c r="T262" s="108">
        <f t="shared" si="32"/>
        <v>11190</v>
      </c>
      <c r="U262" s="112"/>
      <c r="V262" s="52">
        <v>3.86</v>
      </c>
      <c r="W262" s="52">
        <v>24.16</v>
      </c>
      <c r="X262" s="52"/>
      <c r="Y262" s="52"/>
      <c r="Z262" s="52"/>
      <c r="AA262" s="52"/>
      <c r="AB262" s="108" t="s">
        <v>70</v>
      </c>
    </row>
    <row r="263" spans="1:28">
      <c r="A263" s="90">
        <f t="shared" si="29"/>
        <v>265</v>
      </c>
      <c r="B263" s="98">
        <v>46008</v>
      </c>
      <c r="C263" s="25">
        <v>46008</v>
      </c>
      <c r="D263" s="115">
        <v>0.322916666666667</v>
      </c>
      <c r="E263" s="116">
        <v>0.739583333333333</v>
      </c>
      <c r="F263" s="109">
        <v>1482.65</v>
      </c>
      <c r="G263" s="52">
        <v>1479.18</v>
      </c>
      <c r="H263" s="52">
        <v>1496.83</v>
      </c>
      <c r="I263" s="52">
        <v>1559.48</v>
      </c>
      <c r="J263" s="52">
        <v>1558.56</v>
      </c>
      <c r="K263" s="52">
        <v>1556.29</v>
      </c>
      <c r="L263" s="52">
        <v>1562.54</v>
      </c>
      <c r="M263" s="110">
        <f t="shared" si="26"/>
        <v>10695.53</v>
      </c>
      <c r="N263" s="111">
        <f t="shared" si="27"/>
        <v>865.08</v>
      </c>
      <c r="O263" s="52">
        <v>868.6</v>
      </c>
      <c r="P263" s="52">
        <f t="shared" si="30"/>
        <v>10559.9999999999</v>
      </c>
      <c r="Q263" s="52">
        <f t="shared" si="28"/>
        <v>4.7</v>
      </c>
      <c r="R263" s="52">
        <v>4.71</v>
      </c>
      <c r="S263" s="52">
        <f t="shared" si="31"/>
        <v>29.9999999999994</v>
      </c>
      <c r="T263" s="108">
        <f t="shared" si="32"/>
        <v>10529.9999999999</v>
      </c>
      <c r="U263" s="112"/>
      <c r="V263" s="52">
        <v>3.62</v>
      </c>
      <c r="W263" s="52"/>
      <c r="X263" s="52"/>
      <c r="Y263" s="52"/>
      <c r="Z263" s="52"/>
      <c r="AA263" s="52"/>
      <c r="AB263" s="108" t="s">
        <v>70</v>
      </c>
    </row>
    <row r="264" spans="1:28">
      <c r="A264" s="90">
        <f t="shared" si="29"/>
        <v>266</v>
      </c>
      <c r="B264" s="98">
        <v>46009</v>
      </c>
      <c r="C264" s="25">
        <v>46009</v>
      </c>
      <c r="D264" s="115">
        <v>0.322916666666667</v>
      </c>
      <c r="E264" s="116">
        <v>0.739583333333333</v>
      </c>
      <c r="F264" s="109">
        <v>1566.93</v>
      </c>
      <c r="G264" s="52">
        <v>1562.59</v>
      </c>
      <c r="H264" s="52">
        <v>1580.11</v>
      </c>
      <c r="I264" s="52">
        <v>1645.87</v>
      </c>
      <c r="J264" s="52">
        <v>1648.04</v>
      </c>
      <c r="K264" s="52">
        <v>1645.25</v>
      </c>
      <c r="L264" s="52">
        <v>1649.86</v>
      </c>
      <c r="M264" s="110">
        <f t="shared" si="26"/>
        <v>11298.65</v>
      </c>
      <c r="N264" s="111">
        <f t="shared" si="27"/>
        <v>868.6</v>
      </c>
      <c r="O264" s="52">
        <v>872</v>
      </c>
      <c r="P264" s="52">
        <f t="shared" si="30"/>
        <v>10199.9999999999</v>
      </c>
      <c r="Q264" s="52">
        <f t="shared" si="28"/>
        <v>4.71</v>
      </c>
      <c r="R264" s="52">
        <v>4.72</v>
      </c>
      <c r="S264" s="52">
        <f t="shared" si="31"/>
        <v>29.9999999999994</v>
      </c>
      <c r="T264" s="108">
        <f t="shared" si="32"/>
        <v>10169.9999999999</v>
      </c>
      <c r="U264" s="112"/>
      <c r="V264" s="52">
        <v>3.99</v>
      </c>
      <c r="W264" s="52"/>
      <c r="X264" s="52"/>
      <c r="Y264" s="52"/>
      <c r="Z264" s="52"/>
      <c r="AA264" s="52"/>
      <c r="AB264" s="108" t="s">
        <v>70</v>
      </c>
    </row>
    <row r="265" spans="1:28">
      <c r="A265" s="90">
        <f t="shared" si="29"/>
        <v>267</v>
      </c>
      <c r="B265" s="98">
        <v>46010</v>
      </c>
      <c r="C265" s="25">
        <v>46010</v>
      </c>
      <c r="D265" s="115">
        <v>0.322916666666667</v>
      </c>
      <c r="E265" s="116">
        <v>0.739583333333333</v>
      </c>
      <c r="F265" s="109">
        <v>1492.57</v>
      </c>
      <c r="G265" s="52">
        <v>1489.37</v>
      </c>
      <c r="H265" s="52">
        <v>1504.99</v>
      </c>
      <c r="I265" s="52">
        <v>1569.18</v>
      </c>
      <c r="J265" s="52">
        <v>1571.43</v>
      </c>
      <c r="K265" s="52">
        <v>1566.48</v>
      </c>
      <c r="L265" s="52">
        <v>1567.62</v>
      </c>
      <c r="M265" s="110">
        <f t="shared" si="26"/>
        <v>10761.64</v>
      </c>
      <c r="N265" s="111">
        <f t="shared" si="27"/>
        <v>872</v>
      </c>
      <c r="O265" s="52">
        <v>875.88</v>
      </c>
      <c r="P265" s="52">
        <f t="shared" si="30"/>
        <v>11640</v>
      </c>
      <c r="Q265" s="52">
        <f t="shared" si="28"/>
        <v>4.72</v>
      </c>
      <c r="R265" s="52">
        <v>4.73</v>
      </c>
      <c r="S265" s="52">
        <f t="shared" si="31"/>
        <v>30.000000000002</v>
      </c>
      <c r="T265" s="108">
        <f t="shared" si="32"/>
        <v>11610</v>
      </c>
      <c r="U265" s="112"/>
      <c r="V265" s="52">
        <v>3.65</v>
      </c>
      <c r="W265" s="52"/>
      <c r="X265" s="52"/>
      <c r="Y265" s="52"/>
      <c r="Z265" s="52"/>
      <c r="AA265" s="52"/>
      <c r="AB265" s="108" t="s">
        <v>70</v>
      </c>
    </row>
    <row r="266" spans="1:28">
      <c r="A266" s="90">
        <f t="shared" si="29"/>
        <v>268</v>
      </c>
      <c r="B266" s="98">
        <v>46011</v>
      </c>
      <c r="C266" s="25">
        <v>46011</v>
      </c>
      <c r="D266" s="115">
        <v>0.322916666666667</v>
      </c>
      <c r="E266" s="116">
        <v>0.739583333333333</v>
      </c>
      <c r="F266" s="109">
        <v>1661.96</v>
      </c>
      <c r="G266" s="52">
        <v>1659.47</v>
      </c>
      <c r="H266" s="52">
        <v>1674.96</v>
      </c>
      <c r="I266" s="52">
        <v>1746.12</v>
      </c>
      <c r="J266" s="52">
        <v>1769.41</v>
      </c>
      <c r="K266" s="52">
        <v>1779.5</v>
      </c>
      <c r="L266" s="52">
        <v>1802.08</v>
      </c>
      <c r="M266" s="110">
        <f t="shared" si="26"/>
        <v>12093.5</v>
      </c>
      <c r="N266" s="111">
        <f t="shared" si="27"/>
        <v>875.88</v>
      </c>
      <c r="O266" s="52">
        <v>879.86</v>
      </c>
      <c r="P266" s="52">
        <f t="shared" si="30"/>
        <v>11940.0000000001</v>
      </c>
      <c r="Q266" s="52">
        <f t="shared" si="28"/>
        <v>4.73</v>
      </c>
      <c r="R266" s="52">
        <v>4.74</v>
      </c>
      <c r="S266" s="52">
        <f t="shared" si="31"/>
        <v>29.9999999999994</v>
      </c>
      <c r="T266" s="108">
        <f t="shared" si="32"/>
        <v>11910.0000000001</v>
      </c>
      <c r="U266" s="112"/>
      <c r="V266" s="52">
        <v>4.1</v>
      </c>
      <c r="W266" s="52"/>
      <c r="X266" s="52"/>
      <c r="Y266" s="52"/>
      <c r="Z266" s="52"/>
      <c r="AA266" s="52"/>
      <c r="AB266" s="108" t="s">
        <v>70</v>
      </c>
    </row>
    <row r="267" spans="1:28">
      <c r="A267" s="90">
        <f t="shared" si="29"/>
        <v>269</v>
      </c>
      <c r="B267" s="98">
        <v>46012</v>
      </c>
      <c r="C267" s="25">
        <v>46012</v>
      </c>
      <c r="D267" s="115">
        <v>0.322916666666667</v>
      </c>
      <c r="E267" s="116">
        <v>0.739583333333333</v>
      </c>
      <c r="F267" s="109">
        <v>1497.76</v>
      </c>
      <c r="G267" s="52">
        <v>1494.7</v>
      </c>
      <c r="H267" s="52">
        <v>1517.26</v>
      </c>
      <c r="I267" s="52">
        <v>1581.4</v>
      </c>
      <c r="J267" s="52">
        <v>1578.93</v>
      </c>
      <c r="K267" s="52">
        <v>1585.86</v>
      </c>
      <c r="L267" s="52">
        <v>1602.24</v>
      </c>
      <c r="M267" s="110">
        <f t="shared" si="26"/>
        <v>10858.15</v>
      </c>
      <c r="N267" s="111">
        <f t="shared" si="27"/>
        <v>879.86</v>
      </c>
      <c r="O267" s="52">
        <v>883.44</v>
      </c>
      <c r="P267" s="52">
        <f t="shared" si="30"/>
        <v>10740.0000000001</v>
      </c>
      <c r="Q267" s="52">
        <f t="shared" si="28"/>
        <v>4.74</v>
      </c>
      <c r="R267" s="52">
        <v>4.76</v>
      </c>
      <c r="S267" s="52">
        <f t="shared" si="31"/>
        <v>59.9999999999987</v>
      </c>
      <c r="T267" s="108">
        <f t="shared" si="32"/>
        <v>10680.0000000001</v>
      </c>
      <c r="U267" s="112"/>
      <c r="V267" s="52">
        <v>3.36</v>
      </c>
      <c r="W267" s="52"/>
      <c r="X267" s="52"/>
      <c r="Y267" s="52"/>
      <c r="Z267" s="52"/>
      <c r="AA267" s="52"/>
      <c r="AB267" s="108" t="s">
        <v>70</v>
      </c>
    </row>
    <row r="268" spans="1:28">
      <c r="A268" s="90">
        <f t="shared" si="29"/>
        <v>270</v>
      </c>
      <c r="B268" s="98">
        <v>46013</v>
      </c>
      <c r="C268" s="25">
        <v>46013</v>
      </c>
      <c r="D268" s="115">
        <v>0.333333333333333</v>
      </c>
      <c r="E268" s="116">
        <v>0.739583333333333</v>
      </c>
      <c r="F268" s="109">
        <v>1634.75</v>
      </c>
      <c r="G268" s="52">
        <v>1621.84</v>
      </c>
      <c r="H268" s="52">
        <v>1628.21</v>
      </c>
      <c r="I268" s="52">
        <v>1693.44</v>
      </c>
      <c r="J268" s="52">
        <v>1694.25</v>
      </c>
      <c r="K268" s="52">
        <v>1699.84</v>
      </c>
      <c r="L268" s="52">
        <v>1717.82</v>
      </c>
      <c r="M268" s="110">
        <f t="shared" si="26"/>
        <v>11690.15</v>
      </c>
      <c r="N268" s="111">
        <f t="shared" si="27"/>
        <v>883.44</v>
      </c>
      <c r="O268" s="52">
        <v>887.29</v>
      </c>
      <c r="P268" s="52">
        <f t="shared" si="30"/>
        <v>11549.9999999997</v>
      </c>
      <c r="Q268" s="52">
        <f t="shared" si="28"/>
        <v>4.76</v>
      </c>
      <c r="R268" s="52">
        <v>4.77</v>
      </c>
      <c r="S268" s="52">
        <f t="shared" si="31"/>
        <v>29.9999999999994</v>
      </c>
      <c r="T268" s="108">
        <f t="shared" si="32"/>
        <v>11519.9999999997</v>
      </c>
      <c r="U268" s="112"/>
      <c r="V268" s="52">
        <v>3.89</v>
      </c>
      <c r="W268" s="52"/>
      <c r="X268" s="52"/>
      <c r="Y268" s="52"/>
      <c r="Z268" s="52"/>
      <c r="AA268" s="52"/>
      <c r="AB268" s="108" t="s">
        <v>70</v>
      </c>
    </row>
    <row r="269" spans="1:28">
      <c r="A269" s="90">
        <f t="shared" si="29"/>
        <v>271</v>
      </c>
      <c r="B269" s="98">
        <v>46014</v>
      </c>
      <c r="C269" s="25">
        <v>46014</v>
      </c>
      <c r="D269" s="115">
        <v>0.322916666666667</v>
      </c>
      <c r="E269" s="116">
        <v>0.739583333333333</v>
      </c>
      <c r="F269" s="109">
        <v>1665.92</v>
      </c>
      <c r="G269" s="52">
        <v>1658.39</v>
      </c>
      <c r="H269" s="52">
        <v>1668.92</v>
      </c>
      <c r="I269" s="52">
        <v>1735.87</v>
      </c>
      <c r="J269" s="52">
        <v>1738.48</v>
      </c>
      <c r="K269" s="52">
        <v>1740.67</v>
      </c>
      <c r="L269" s="52">
        <v>1743.33</v>
      </c>
      <c r="M269" s="110">
        <f t="shared" ref="M269:M332" si="33">SUM(F269:L269)</f>
        <v>11951.58</v>
      </c>
      <c r="N269" s="111">
        <f t="shared" ref="N269:N332" si="34">O268</f>
        <v>887.29</v>
      </c>
      <c r="O269" s="52">
        <v>891.23</v>
      </c>
      <c r="P269" s="52">
        <f t="shared" si="30"/>
        <v>11820.0000000002</v>
      </c>
      <c r="Q269" s="52">
        <f t="shared" ref="Q269:Q332" si="35">R268</f>
        <v>4.77</v>
      </c>
      <c r="R269" s="52">
        <v>4.78</v>
      </c>
      <c r="S269" s="52">
        <f t="shared" si="31"/>
        <v>30.000000000002</v>
      </c>
      <c r="T269" s="108">
        <f t="shared" si="32"/>
        <v>11790.0000000002</v>
      </c>
      <c r="U269" s="112"/>
      <c r="V269" s="52">
        <v>3.85</v>
      </c>
      <c r="W269" s="52"/>
      <c r="X269" s="52"/>
      <c r="Y269" s="52"/>
      <c r="Z269" s="52"/>
      <c r="AA269" s="52"/>
      <c r="AB269" s="108" t="s">
        <v>70</v>
      </c>
    </row>
    <row r="270" spans="1:28">
      <c r="A270" s="90">
        <f t="shared" si="29"/>
        <v>272</v>
      </c>
      <c r="B270" s="98">
        <v>46015</v>
      </c>
      <c r="C270" s="25">
        <v>46015</v>
      </c>
      <c r="D270" s="115">
        <v>0.322916666666667</v>
      </c>
      <c r="E270" s="116">
        <v>0.739583333333333</v>
      </c>
      <c r="F270" s="109">
        <v>1679.83</v>
      </c>
      <c r="G270" s="52">
        <v>1673.34</v>
      </c>
      <c r="H270" s="52">
        <v>1685.07</v>
      </c>
      <c r="I270" s="52">
        <v>1755.8</v>
      </c>
      <c r="J270" s="52">
        <v>1760.6</v>
      </c>
      <c r="K270" s="52">
        <v>1755.94</v>
      </c>
      <c r="L270" s="52">
        <v>1759.96</v>
      </c>
      <c r="M270" s="110">
        <f t="shared" si="33"/>
        <v>12070.54</v>
      </c>
      <c r="N270" s="111">
        <f t="shared" si="34"/>
        <v>891.23</v>
      </c>
      <c r="O270" s="52">
        <v>895.2</v>
      </c>
      <c r="P270" s="52">
        <f t="shared" si="30"/>
        <v>11910.0000000001</v>
      </c>
      <c r="Q270" s="52">
        <f t="shared" si="35"/>
        <v>4.78</v>
      </c>
      <c r="R270" s="52">
        <v>4.79</v>
      </c>
      <c r="S270" s="52">
        <f t="shared" si="31"/>
        <v>29.9999999999994</v>
      </c>
      <c r="T270" s="108">
        <f t="shared" si="32"/>
        <v>11880.0000000001</v>
      </c>
      <c r="U270" s="112"/>
      <c r="V270" s="52">
        <v>3.93</v>
      </c>
      <c r="W270" s="52">
        <v>26.17</v>
      </c>
      <c r="X270" s="52"/>
      <c r="Y270" s="52"/>
      <c r="Z270" s="52"/>
      <c r="AA270" s="52"/>
      <c r="AB270" s="108" t="s">
        <v>70</v>
      </c>
    </row>
    <row r="271" spans="1:28">
      <c r="A271" s="90">
        <f t="shared" si="29"/>
        <v>273</v>
      </c>
      <c r="B271" s="98">
        <v>46016</v>
      </c>
      <c r="C271" s="25">
        <v>46016</v>
      </c>
      <c r="D271" s="115">
        <v>0.322916666666667</v>
      </c>
      <c r="E271" s="116">
        <v>0.739583333333333</v>
      </c>
      <c r="F271" s="109">
        <v>1640.1</v>
      </c>
      <c r="G271" s="52">
        <v>1635.13</v>
      </c>
      <c r="H271" s="52">
        <v>1646.09</v>
      </c>
      <c r="I271" s="52">
        <v>1713.96</v>
      </c>
      <c r="J271" s="52">
        <v>1719.8</v>
      </c>
      <c r="K271" s="52">
        <v>1715.4</v>
      </c>
      <c r="L271" s="52">
        <v>1721.78</v>
      </c>
      <c r="M271" s="110">
        <f t="shared" si="33"/>
        <v>11792.26</v>
      </c>
      <c r="N271" s="111">
        <f t="shared" si="34"/>
        <v>895.2</v>
      </c>
      <c r="O271" s="52">
        <v>899.09</v>
      </c>
      <c r="P271" s="52">
        <f t="shared" si="30"/>
        <v>11670</v>
      </c>
      <c r="Q271" s="52">
        <f t="shared" si="35"/>
        <v>4.79</v>
      </c>
      <c r="R271" s="52">
        <v>4.8</v>
      </c>
      <c r="S271" s="52">
        <f t="shared" si="31"/>
        <v>29.9999999999994</v>
      </c>
      <c r="T271" s="108">
        <f t="shared" si="32"/>
        <v>11640</v>
      </c>
      <c r="U271" s="112"/>
      <c r="V271" s="52">
        <v>3.87</v>
      </c>
      <c r="W271" s="52">
        <v>26.07</v>
      </c>
      <c r="X271" s="52"/>
      <c r="Y271" s="52"/>
      <c r="Z271" s="52"/>
      <c r="AA271" s="52"/>
      <c r="AB271" s="108" t="s">
        <v>70</v>
      </c>
    </row>
    <row r="272" spans="1:28">
      <c r="A272" s="90">
        <f t="shared" si="29"/>
        <v>274</v>
      </c>
      <c r="B272" s="98">
        <v>46017</v>
      </c>
      <c r="C272" s="25">
        <v>46017</v>
      </c>
      <c r="D272" s="115">
        <v>0.322916666666667</v>
      </c>
      <c r="E272" s="116">
        <v>0.739583333333333</v>
      </c>
      <c r="F272" s="109">
        <v>1570.95</v>
      </c>
      <c r="G272" s="52">
        <v>1569.28</v>
      </c>
      <c r="H272" s="52">
        <v>1578.41</v>
      </c>
      <c r="I272" s="52">
        <v>1646.14</v>
      </c>
      <c r="J272" s="52">
        <v>1650.43</v>
      </c>
      <c r="K272" s="52">
        <v>1645.84</v>
      </c>
      <c r="L272" s="52">
        <v>1649.74</v>
      </c>
      <c r="M272" s="110">
        <f t="shared" si="33"/>
        <v>11310.79</v>
      </c>
      <c r="N272" s="111">
        <f t="shared" si="34"/>
        <v>899.09</v>
      </c>
      <c r="O272" s="52">
        <v>902.82</v>
      </c>
      <c r="P272" s="52">
        <f t="shared" si="30"/>
        <v>11190.0000000001</v>
      </c>
      <c r="Q272" s="52">
        <f t="shared" si="35"/>
        <v>4.8</v>
      </c>
      <c r="R272" s="52">
        <v>4.82</v>
      </c>
      <c r="S272" s="52">
        <f t="shared" si="31"/>
        <v>60.0000000000014</v>
      </c>
      <c r="T272" s="108">
        <f t="shared" si="32"/>
        <v>11130.0000000001</v>
      </c>
      <c r="U272" s="112"/>
      <c r="V272" s="52">
        <v>3.74</v>
      </c>
      <c r="W272" s="52">
        <v>25.41</v>
      </c>
      <c r="X272" s="52"/>
      <c r="Y272" s="52"/>
      <c r="Z272" s="52"/>
      <c r="AA272" s="52"/>
      <c r="AB272" s="108" t="s">
        <v>70</v>
      </c>
    </row>
    <row r="273" spans="1:28">
      <c r="A273" s="90">
        <f t="shared" si="29"/>
        <v>275</v>
      </c>
      <c r="B273" s="98">
        <v>46018</v>
      </c>
      <c r="C273" s="25">
        <v>46018</v>
      </c>
      <c r="D273" s="115">
        <v>0.322916666666667</v>
      </c>
      <c r="E273" s="116">
        <v>0.739583333333333</v>
      </c>
      <c r="F273" s="109">
        <v>1491.09</v>
      </c>
      <c r="G273" s="52">
        <v>1488.41</v>
      </c>
      <c r="H273" s="52">
        <v>1496.91</v>
      </c>
      <c r="I273" s="52">
        <v>1563.83</v>
      </c>
      <c r="J273" s="52">
        <v>1566.81</v>
      </c>
      <c r="K273" s="52">
        <v>1563.34</v>
      </c>
      <c r="L273" s="52">
        <v>1568.88</v>
      </c>
      <c r="M273" s="110">
        <f t="shared" si="33"/>
        <v>10739.27</v>
      </c>
      <c r="N273" s="111">
        <f t="shared" si="34"/>
        <v>902.82</v>
      </c>
      <c r="O273" s="52">
        <v>906.36</v>
      </c>
      <c r="P273" s="52">
        <f t="shared" si="30"/>
        <v>10619.9999999999</v>
      </c>
      <c r="Q273" s="52">
        <f t="shared" si="35"/>
        <v>4.82</v>
      </c>
      <c r="R273" s="52">
        <v>4.83</v>
      </c>
      <c r="S273" s="52">
        <f t="shared" si="31"/>
        <v>29.9999999999994</v>
      </c>
      <c r="T273" s="108">
        <f t="shared" si="32"/>
        <v>10589.9999999999</v>
      </c>
      <c r="U273" s="112"/>
      <c r="V273" s="52">
        <v>3.62</v>
      </c>
      <c r="W273" s="52">
        <v>25.19</v>
      </c>
      <c r="X273" s="52"/>
      <c r="Y273" s="52"/>
      <c r="Z273" s="52"/>
      <c r="AA273" s="52"/>
      <c r="AB273" s="108" t="s">
        <v>70</v>
      </c>
    </row>
    <row r="274" spans="1:28">
      <c r="A274" s="90">
        <f t="shared" si="29"/>
        <v>276</v>
      </c>
      <c r="B274" s="98">
        <v>46019</v>
      </c>
      <c r="C274" s="25">
        <v>46019</v>
      </c>
      <c r="D274" s="115">
        <v>0.322916666666667</v>
      </c>
      <c r="E274" s="116">
        <v>0.739583333333333</v>
      </c>
      <c r="F274" s="109">
        <v>1486.19</v>
      </c>
      <c r="G274" s="52">
        <v>1459.62</v>
      </c>
      <c r="H274" s="52">
        <v>1492.58</v>
      </c>
      <c r="I274" s="52">
        <v>1561.47</v>
      </c>
      <c r="J274" s="52">
        <v>1564.07</v>
      </c>
      <c r="K274" s="52">
        <v>1558.17</v>
      </c>
      <c r="L274" s="52">
        <v>1564</v>
      </c>
      <c r="M274" s="110">
        <f t="shared" si="33"/>
        <v>10686.1</v>
      </c>
      <c r="N274" s="111">
        <f t="shared" si="34"/>
        <v>906.36</v>
      </c>
      <c r="O274" s="52">
        <v>909.88</v>
      </c>
      <c r="P274" s="52">
        <f t="shared" si="30"/>
        <v>10559.9999999999</v>
      </c>
      <c r="Q274" s="52">
        <f t="shared" si="35"/>
        <v>4.83</v>
      </c>
      <c r="R274" s="52">
        <v>4.84</v>
      </c>
      <c r="S274" s="52">
        <f t="shared" si="31"/>
        <v>29.9999999999994</v>
      </c>
      <c r="T274" s="108">
        <f t="shared" si="32"/>
        <v>10529.9999999999</v>
      </c>
      <c r="U274" s="112"/>
      <c r="V274" s="52">
        <v>3.62</v>
      </c>
      <c r="W274" s="52">
        <v>27.07</v>
      </c>
      <c r="X274" s="52"/>
      <c r="Y274" s="52"/>
      <c r="Z274" s="52"/>
      <c r="AA274" s="52"/>
      <c r="AB274" s="108" t="s">
        <v>70</v>
      </c>
    </row>
    <row r="275" spans="1:28">
      <c r="A275" s="90">
        <f t="shared" si="29"/>
        <v>277</v>
      </c>
      <c r="B275" s="98">
        <v>46020</v>
      </c>
      <c r="C275" s="25">
        <v>46020</v>
      </c>
      <c r="D275" s="115">
        <v>0.322916666666667</v>
      </c>
      <c r="E275" s="116">
        <v>0.739583333333333</v>
      </c>
      <c r="F275" s="109">
        <v>1454.02</v>
      </c>
      <c r="G275" s="52">
        <v>1383.86</v>
      </c>
      <c r="H275" s="52">
        <v>1460.44</v>
      </c>
      <c r="I275" s="52">
        <v>1525.19</v>
      </c>
      <c r="J275" s="52">
        <v>1528.24</v>
      </c>
      <c r="K275" s="52">
        <v>1524.33</v>
      </c>
      <c r="L275" s="52">
        <v>1532.1</v>
      </c>
      <c r="M275" s="110">
        <f t="shared" si="33"/>
        <v>10408.18</v>
      </c>
      <c r="N275" s="111">
        <f t="shared" si="34"/>
        <v>909.88</v>
      </c>
      <c r="O275" s="52">
        <v>913.31</v>
      </c>
      <c r="P275" s="52">
        <f t="shared" si="30"/>
        <v>10289.9999999999</v>
      </c>
      <c r="Q275" s="52">
        <f t="shared" si="35"/>
        <v>4.84</v>
      </c>
      <c r="R275" s="52">
        <v>4.85</v>
      </c>
      <c r="S275" s="52">
        <f t="shared" si="31"/>
        <v>29.9999999999994</v>
      </c>
      <c r="T275" s="108">
        <f t="shared" si="32"/>
        <v>10259.9999999999</v>
      </c>
      <c r="U275" s="112"/>
      <c r="V275" s="52">
        <v>3.6</v>
      </c>
      <c r="W275" s="52">
        <v>25.64</v>
      </c>
      <c r="X275" s="52"/>
      <c r="Y275" s="52"/>
      <c r="Z275" s="52"/>
      <c r="AA275" s="52"/>
      <c r="AB275" s="108" t="s">
        <v>70</v>
      </c>
    </row>
    <row r="276" spans="1:28">
      <c r="A276" s="90">
        <f t="shared" si="29"/>
        <v>278</v>
      </c>
      <c r="B276" s="98">
        <v>46021</v>
      </c>
      <c r="C276" s="25">
        <v>46021</v>
      </c>
      <c r="D276" s="115">
        <v>0.322916666666667</v>
      </c>
      <c r="E276" s="116">
        <v>0.739583333333333</v>
      </c>
      <c r="F276" s="109">
        <v>1468.58</v>
      </c>
      <c r="G276" s="52">
        <v>1468.67</v>
      </c>
      <c r="H276" s="52">
        <v>1477.87</v>
      </c>
      <c r="I276" s="52">
        <v>1544.63</v>
      </c>
      <c r="J276" s="52">
        <v>1477.73</v>
      </c>
      <c r="K276" s="52">
        <v>1544.48</v>
      </c>
      <c r="L276" s="52">
        <v>1549.31</v>
      </c>
      <c r="M276" s="110">
        <f t="shared" si="33"/>
        <v>10531.27</v>
      </c>
      <c r="N276" s="111">
        <f t="shared" si="34"/>
        <v>913.31</v>
      </c>
      <c r="O276" s="52">
        <v>916.79</v>
      </c>
      <c r="P276" s="52">
        <f t="shared" si="30"/>
        <v>10440.0000000001</v>
      </c>
      <c r="Q276" s="52">
        <f t="shared" si="35"/>
        <v>4.85</v>
      </c>
      <c r="R276" s="52">
        <v>4.87</v>
      </c>
      <c r="S276" s="52">
        <f t="shared" si="31"/>
        <v>60.0000000000014</v>
      </c>
      <c r="T276" s="108">
        <f t="shared" si="32"/>
        <v>10380.0000000001</v>
      </c>
      <c r="U276" s="112"/>
      <c r="V276" s="52">
        <v>3.5</v>
      </c>
      <c r="W276" s="52">
        <v>24.6</v>
      </c>
      <c r="X276" s="52"/>
      <c r="Y276" s="52"/>
      <c r="Z276" s="52"/>
      <c r="AA276" s="52"/>
      <c r="AB276" s="108" t="s">
        <v>70</v>
      </c>
    </row>
    <row r="277" spans="1:28">
      <c r="A277" s="90">
        <f t="shared" si="29"/>
        <v>279</v>
      </c>
      <c r="B277" s="98">
        <v>46022</v>
      </c>
      <c r="C277" s="25">
        <v>46022</v>
      </c>
      <c r="D277" s="115">
        <v>0.322916666666667</v>
      </c>
      <c r="E277" s="116">
        <v>0.739583333333333</v>
      </c>
      <c r="F277" s="109">
        <v>1043.65</v>
      </c>
      <c r="G277" s="52">
        <v>1038.49</v>
      </c>
      <c r="H277" s="52">
        <v>1043.7</v>
      </c>
      <c r="I277" s="52">
        <v>1090.64</v>
      </c>
      <c r="J277" s="52">
        <v>1092.37</v>
      </c>
      <c r="K277" s="52">
        <v>1090.84</v>
      </c>
      <c r="L277" s="52">
        <v>1096.93</v>
      </c>
      <c r="M277" s="110">
        <f t="shared" si="33"/>
        <v>7496.62</v>
      </c>
      <c r="N277" s="111">
        <f t="shared" si="34"/>
        <v>916.79</v>
      </c>
      <c r="O277" s="52">
        <v>919.26</v>
      </c>
      <c r="P277" s="52">
        <f t="shared" si="30"/>
        <v>7410.00000000008</v>
      </c>
      <c r="Q277" s="52">
        <f t="shared" si="35"/>
        <v>4.87</v>
      </c>
      <c r="R277" s="52">
        <v>4.88</v>
      </c>
      <c r="S277" s="52">
        <f t="shared" si="31"/>
        <v>29.9999999999994</v>
      </c>
      <c r="T277" s="108">
        <f t="shared" si="32"/>
        <v>7380.00000000008</v>
      </c>
      <c r="U277" s="112"/>
      <c r="V277" s="52">
        <v>3.1</v>
      </c>
      <c r="W277" s="52">
        <v>24.92</v>
      </c>
      <c r="X277" s="52"/>
      <c r="Y277" s="52"/>
      <c r="Z277" s="52"/>
      <c r="AA277" s="52"/>
      <c r="AB277" s="108" t="s">
        <v>70</v>
      </c>
    </row>
    <row r="278" spans="1:28">
      <c r="A278" s="90">
        <f t="shared" si="29"/>
        <v>280</v>
      </c>
      <c r="B278" s="98">
        <v>46023</v>
      </c>
      <c r="C278" s="25">
        <v>46023</v>
      </c>
      <c r="D278" s="115">
        <v>0.322916666666667</v>
      </c>
      <c r="E278" s="116">
        <v>0.739583333333333</v>
      </c>
      <c r="F278" s="109">
        <v>1607.85</v>
      </c>
      <c r="G278" s="52">
        <v>1604.5</v>
      </c>
      <c r="H278" s="52">
        <v>1597.17</v>
      </c>
      <c r="I278" s="52">
        <v>1660.51</v>
      </c>
      <c r="J278" s="52">
        <v>1657.29</v>
      </c>
      <c r="K278" s="52">
        <v>1651.73</v>
      </c>
      <c r="L278" s="52">
        <v>1656.75</v>
      </c>
      <c r="M278" s="110">
        <f t="shared" si="33"/>
        <v>11435.8</v>
      </c>
      <c r="N278" s="111">
        <f t="shared" si="34"/>
        <v>919.26</v>
      </c>
      <c r="O278" s="52">
        <v>923.03</v>
      </c>
      <c r="P278" s="52">
        <f t="shared" si="30"/>
        <v>11309.9999999999</v>
      </c>
      <c r="Q278" s="52">
        <f t="shared" si="35"/>
        <v>4.88</v>
      </c>
      <c r="R278" s="52">
        <v>4.89</v>
      </c>
      <c r="S278" s="52">
        <f t="shared" si="31"/>
        <v>29.9999999999994</v>
      </c>
      <c r="T278" s="108">
        <f t="shared" si="32"/>
        <v>11279.9999999999</v>
      </c>
      <c r="U278" s="112"/>
      <c r="V278" s="52">
        <v>3.58</v>
      </c>
      <c r="W278" s="52">
        <v>24.46</v>
      </c>
      <c r="X278" s="52"/>
      <c r="Y278" s="52"/>
      <c r="Z278" s="52"/>
      <c r="AA278" s="52"/>
      <c r="AB278" s="108" t="s">
        <v>70</v>
      </c>
    </row>
    <row r="279" spans="1:28">
      <c r="A279" s="90">
        <f t="shared" si="29"/>
        <v>281</v>
      </c>
      <c r="B279" s="98">
        <v>46024</v>
      </c>
      <c r="C279" s="25">
        <v>46024</v>
      </c>
      <c r="D279" s="115">
        <v>0.322916666666667</v>
      </c>
      <c r="E279" s="116">
        <v>0.739583333333333</v>
      </c>
      <c r="F279" s="109">
        <v>1646.82</v>
      </c>
      <c r="G279" s="52">
        <v>1649</v>
      </c>
      <c r="H279" s="52">
        <v>1657.66</v>
      </c>
      <c r="I279" s="52">
        <v>1734.71</v>
      </c>
      <c r="J279" s="52">
        <v>1734.15</v>
      </c>
      <c r="K279" s="52">
        <v>1723.45</v>
      </c>
      <c r="L279" s="52">
        <v>1726.74</v>
      </c>
      <c r="M279" s="110">
        <f t="shared" si="33"/>
        <v>11872.53</v>
      </c>
      <c r="N279" s="111">
        <f t="shared" si="34"/>
        <v>923.03</v>
      </c>
      <c r="O279" s="52">
        <v>926.94</v>
      </c>
      <c r="P279" s="52">
        <f t="shared" si="30"/>
        <v>11730.0000000002</v>
      </c>
      <c r="Q279" s="52">
        <f t="shared" si="35"/>
        <v>4.89</v>
      </c>
      <c r="R279" s="52">
        <v>4.9</v>
      </c>
      <c r="S279" s="52">
        <f t="shared" si="31"/>
        <v>30.000000000002</v>
      </c>
      <c r="T279" s="108">
        <f t="shared" si="32"/>
        <v>11700.0000000002</v>
      </c>
      <c r="U279" s="112"/>
      <c r="V279" s="52">
        <v>3.9</v>
      </c>
      <c r="W279" s="52">
        <v>23.51</v>
      </c>
      <c r="X279" s="52"/>
      <c r="Y279" s="52"/>
      <c r="Z279" s="52"/>
      <c r="AA279" s="52"/>
      <c r="AB279" s="108" t="s">
        <v>70</v>
      </c>
    </row>
    <row r="280" spans="1:28">
      <c r="A280" s="90">
        <f t="shared" si="29"/>
        <v>282</v>
      </c>
      <c r="B280" s="98">
        <v>46025</v>
      </c>
      <c r="C280" s="25">
        <v>46025</v>
      </c>
      <c r="D280" s="115">
        <v>0.322916666666667</v>
      </c>
      <c r="E280" s="116">
        <v>0.739583333333333</v>
      </c>
      <c r="F280" s="109">
        <v>1108.35</v>
      </c>
      <c r="G280" s="52">
        <v>1104.25</v>
      </c>
      <c r="H280" s="52">
        <v>1112.06</v>
      </c>
      <c r="I280" s="52">
        <v>1162.32</v>
      </c>
      <c r="J280" s="52">
        <v>1164.07</v>
      </c>
      <c r="K280" s="52">
        <v>1164.12</v>
      </c>
      <c r="L280" s="52">
        <v>1167.72</v>
      </c>
      <c r="M280" s="110">
        <f t="shared" si="33"/>
        <v>7982.89</v>
      </c>
      <c r="N280" s="111">
        <f t="shared" si="34"/>
        <v>926.94</v>
      </c>
      <c r="O280" s="52">
        <v>929.57</v>
      </c>
      <c r="P280" s="52">
        <f t="shared" si="30"/>
        <v>7889.99999999999</v>
      </c>
      <c r="Q280" s="52">
        <f t="shared" si="35"/>
        <v>4.9</v>
      </c>
      <c r="R280" s="52">
        <v>4.91</v>
      </c>
      <c r="S280" s="52">
        <f t="shared" si="31"/>
        <v>29.9999999999994</v>
      </c>
      <c r="T280" s="108">
        <f t="shared" si="32"/>
        <v>7859.99999999999</v>
      </c>
      <c r="U280" s="112"/>
      <c r="V280" s="52">
        <v>2.91</v>
      </c>
      <c r="W280" s="52">
        <v>22.35</v>
      </c>
      <c r="X280" s="52"/>
      <c r="Y280" s="52"/>
      <c r="Z280" s="52"/>
      <c r="AA280" s="52"/>
      <c r="AB280" s="108" t="s">
        <v>70</v>
      </c>
    </row>
    <row r="281" spans="1:28">
      <c r="A281" s="90">
        <f t="shared" si="29"/>
        <v>283</v>
      </c>
      <c r="B281" s="98">
        <v>46026</v>
      </c>
      <c r="C281" s="25">
        <v>46026</v>
      </c>
      <c r="D281" s="115">
        <v>0.322916666666667</v>
      </c>
      <c r="E281" s="116">
        <v>0.739583333333333</v>
      </c>
      <c r="F281" s="109">
        <v>1755.7</v>
      </c>
      <c r="G281" s="52">
        <v>1758.87</v>
      </c>
      <c r="H281" s="52">
        <v>1772.31</v>
      </c>
      <c r="I281" s="52">
        <v>1853.24</v>
      </c>
      <c r="J281" s="52">
        <v>1852.16</v>
      </c>
      <c r="K281" s="52">
        <v>1851.88</v>
      </c>
      <c r="L281" s="52">
        <v>1862.13</v>
      </c>
      <c r="M281" s="110">
        <f t="shared" si="33"/>
        <v>12706.29</v>
      </c>
      <c r="N281" s="111">
        <f t="shared" si="34"/>
        <v>929.57</v>
      </c>
      <c r="O281" s="52">
        <v>933.76</v>
      </c>
      <c r="P281" s="52">
        <f t="shared" si="30"/>
        <v>12569.9999999998</v>
      </c>
      <c r="Q281" s="52">
        <f t="shared" si="35"/>
        <v>4.91</v>
      </c>
      <c r="R281" s="52">
        <v>4.93</v>
      </c>
      <c r="S281" s="52">
        <f t="shared" si="31"/>
        <v>59.9999999999987</v>
      </c>
      <c r="T281" s="108">
        <f t="shared" si="32"/>
        <v>12509.9999999998</v>
      </c>
      <c r="U281" s="112"/>
      <c r="V281" s="52">
        <v>4.15</v>
      </c>
      <c r="W281" s="52">
        <v>23.9</v>
      </c>
      <c r="X281" s="52"/>
      <c r="Y281" s="52"/>
      <c r="Z281" s="52"/>
      <c r="AA281" s="52"/>
      <c r="AB281" s="108" t="s">
        <v>70</v>
      </c>
    </row>
    <row r="282" spans="1:28">
      <c r="A282" s="90">
        <f t="shared" si="29"/>
        <v>284</v>
      </c>
      <c r="B282" s="98">
        <v>46027</v>
      </c>
      <c r="C282" s="25">
        <v>46027</v>
      </c>
      <c r="D282" s="115">
        <v>0.322916666666667</v>
      </c>
      <c r="E282" s="116">
        <v>0.739583333333333</v>
      </c>
      <c r="F282" s="109">
        <v>1670.31</v>
      </c>
      <c r="G282" s="52">
        <v>1670.59</v>
      </c>
      <c r="H282" s="52">
        <v>1683.94</v>
      </c>
      <c r="I282" s="52">
        <v>1761.25</v>
      </c>
      <c r="J282" s="52">
        <v>1762.45</v>
      </c>
      <c r="K282" s="52">
        <v>1762.08</v>
      </c>
      <c r="L282" s="52">
        <v>1771.51</v>
      </c>
      <c r="M282" s="110">
        <f t="shared" si="33"/>
        <v>12082.13</v>
      </c>
      <c r="N282" s="111">
        <f t="shared" si="34"/>
        <v>933.76</v>
      </c>
      <c r="O282" s="52">
        <v>937.76</v>
      </c>
      <c r="P282" s="52">
        <f t="shared" si="30"/>
        <v>12000</v>
      </c>
      <c r="Q282" s="52">
        <f t="shared" si="35"/>
        <v>4.93</v>
      </c>
      <c r="R282" s="52">
        <v>4.94</v>
      </c>
      <c r="S282" s="52">
        <f t="shared" si="31"/>
        <v>30.000000000002</v>
      </c>
      <c r="T282" s="108">
        <f t="shared" si="32"/>
        <v>11970</v>
      </c>
      <c r="U282" s="112"/>
      <c r="V282" s="52">
        <v>4</v>
      </c>
      <c r="W282" s="52">
        <v>23.65</v>
      </c>
      <c r="X282" s="52"/>
      <c r="Y282" s="52"/>
      <c r="Z282" s="52"/>
      <c r="AA282" s="52"/>
      <c r="AB282" s="108" t="s">
        <v>70</v>
      </c>
    </row>
    <row r="283" spans="1:28">
      <c r="A283" s="90">
        <f t="shared" si="29"/>
        <v>285</v>
      </c>
      <c r="B283" s="98">
        <v>46028</v>
      </c>
      <c r="C283" s="25">
        <v>46028</v>
      </c>
      <c r="D283" s="115">
        <v>0.322916666666667</v>
      </c>
      <c r="E283" s="116">
        <v>0.741666666666667</v>
      </c>
      <c r="F283" s="109">
        <v>1666.36</v>
      </c>
      <c r="G283" s="52">
        <v>1665.2</v>
      </c>
      <c r="H283" s="52">
        <v>1680.37</v>
      </c>
      <c r="I283" s="52">
        <v>1756.35</v>
      </c>
      <c r="J283" s="52">
        <v>1757.89</v>
      </c>
      <c r="K283" s="52">
        <v>1757.27</v>
      </c>
      <c r="L283" s="52">
        <v>1765.05</v>
      </c>
      <c r="M283" s="110">
        <f t="shared" si="33"/>
        <v>12048.49</v>
      </c>
      <c r="N283" s="111">
        <f t="shared" si="34"/>
        <v>937.76</v>
      </c>
      <c r="O283" s="52">
        <v>941.7</v>
      </c>
      <c r="P283" s="52">
        <f t="shared" si="30"/>
        <v>11820.0000000002</v>
      </c>
      <c r="Q283" s="52">
        <f t="shared" si="35"/>
        <v>4.94</v>
      </c>
      <c r="R283" s="52">
        <v>4.95</v>
      </c>
      <c r="S283" s="52">
        <f t="shared" si="31"/>
        <v>29.9999999999994</v>
      </c>
      <c r="T283" s="108">
        <f t="shared" si="32"/>
        <v>11790.0000000002</v>
      </c>
      <c r="U283" s="112"/>
      <c r="V283" s="52">
        <v>4.02</v>
      </c>
      <c r="W283" s="52">
        <v>23.75</v>
      </c>
      <c r="X283" s="52"/>
      <c r="Y283" s="52"/>
      <c r="Z283" s="52"/>
      <c r="AA283" s="52"/>
      <c r="AB283" s="108" t="s">
        <v>70</v>
      </c>
    </row>
    <row r="284" spans="1:28">
      <c r="A284" s="90">
        <f t="shared" si="29"/>
        <v>286</v>
      </c>
      <c r="B284" s="98">
        <v>46029</v>
      </c>
      <c r="C284" s="25">
        <v>46029</v>
      </c>
      <c r="D284" s="115">
        <v>0.325694444444444</v>
      </c>
      <c r="E284" s="116">
        <v>0.739583333333333</v>
      </c>
      <c r="F284" s="109">
        <v>1658.26</v>
      </c>
      <c r="G284" s="52">
        <v>1654.24</v>
      </c>
      <c r="H284" s="52">
        <v>1651.87</v>
      </c>
      <c r="I284" s="52">
        <v>1719.24</v>
      </c>
      <c r="J284" s="52">
        <v>1726.08</v>
      </c>
      <c r="K284" s="52">
        <v>1724.13</v>
      </c>
      <c r="L284" s="52">
        <v>1730.57</v>
      </c>
      <c r="M284" s="110">
        <f t="shared" si="33"/>
        <v>11864.39</v>
      </c>
      <c r="N284" s="111">
        <f t="shared" si="34"/>
        <v>941.7</v>
      </c>
      <c r="O284" s="52">
        <v>945.61</v>
      </c>
      <c r="P284" s="52">
        <f t="shared" si="30"/>
        <v>11729.9999999999</v>
      </c>
      <c r="Q284" s="52">
        <f t="shared" si="35"/>
        <v>4.95</v>
      </c>
      <c r="R284" s="52">
        <v>4.96</v>
      </c>
      <c r="S284" s="52">
        <f t="shared" si="31"/>
        <v>29.9999999999994</v>
      </c>
      <c r="T284" s="108">
        <f t="shared" si="32"/>
        <v>11699.9999999999</v>
      </c>
      <c r="U284" s="112"/>
      <c r="V284" s="52">
        <v>4</v>
      </c>
      <c r="W284" s="52">
        <v>22.92</v>
      </c>
      <c r="X284" s="52"/>
      <c r="Y284" s="52"/>
      <c r="Z284" s="52"/>
      <c r="AA284" s="52"/>
      <c r="AB284" s="108" t="s">
        <v>70</v>
      </c>
    </row>
    <row r="285" spans="1:28">
      <c r="A285" s="90">
        <f t="shared" si="29"/>
        <v>287</v>
      </c>
      <c r="B285" s="98">
        <v>46030</v>
      </c>
      <c r="C285" s="25">
        <v>46030</v>
      </c>
      <c r="D285" s="115">
        <v>0.333333333333333</v>
      </c>
      <c r="E285" s="116">
        <v>0.75</v>
      </c>
      <c r="F285" s="109">
        <v>1469.56</v>
      </c>
      <c r="G285" s="52">
        <v>1469.2</v>
      </c>
      <c r="H285" s="52">
        <v>1479.15</v>
      </c>
      <c r="I285" s="52">
        <v>1544.7</v>
      </c>
      <c r="J285" s="52">
        <v>1540.32</v>
      </c>
      <c r="K285" s="52">
        <v>1538.19</v>
      </c>
      <c r="L285" s="52">
        <v>1533.15</v>
      </c>
      <c r="M285" s="110">
        <f t="shared" si="33"/>
        <v>10574.27</v>
      </c>
      <c r="N285" s="111">
        <f t="shared" si="34"/>
        <v>945.61</v>
      </c>
      <c r="O285" s="52">
        <v>949.1</v>
      </c>
      <c r="P285" s="52">
        <f t="shared" si="30"/>
        <v>10470</v>
      </c>
      <c r="Q285" s="52">
        <f t="shared" si="35"/>
        <v>4.96</v>
      </c>
      <c r="R285" s="52">
        <v>4.97</v>
      </c>
      <c r="S285" s="52">
        <f t="shared" si="31"/>
        <v>29.9999999999994</v>
      </c>
      <c r="T285" s="108">
        <f t="shared" si="32"/>
        <v>10440</v>
      </c>
      <c r="U285" s="112"/>
      <c r="V285" s="52">
        <v>3.77</v>
      </c>
      <c r="W285" s="52">
        <v>22.58</v>
      </c>
      <c r="X285" s="52"/>
      <c r="Y285" s="52"/>
      <c r="Z285" s="52"/>
      <c r="AA285" s="52"/>
      <c r="AB285" s="108" t="s">
        <v>70</v>
      </c>
    </row>
    <row r="286" spans="1:28">
      <c r="A286" s="90">
        <f t="shared" si="29"/>
        <v>288</v>
      </c>
      <c r="B286" s="98">
        <v>46031</v>
      </c>
      <c r="C286" s="25">
        <v>46031</v>
      </c>
      <c r="D286" s="115">
        <v>0.322916666666667</v>
      </c>
      <c r="E286" s="116">
        <v>0.75</v>
      </c>
      <c r="F286" s="109">
        <v>1416.93</v>
      </c>
      <c r="G286" s="52">
        <v>1416.65</v>
      </c>
      <c r="H286" s="52">
        <v>1426.57</v>
      </c>
      <c r="I286" s="52">
        <v>1491.7</v>
      </c>
      <c r="J286" s="52">
        <v>1494.06</v>
      </c>
      <c r="K286" s="52">
        <v>1492.34</v>
      </c>
      <c r="L286" s="52">
        <v>1504.52</v>
      </c>
      <c r="M286" s="110">
        <f t="shared" si="33"/>
        <v>10242.77</v>
      </c>
      <c r="N286" s="111">
        <f t="shared" si="34"/>
        <v>949.1</v>
      </c>
      <c r="O286" s="52">
        <v>952.47</v>
      </c>
      <c r="P286" s="52">
        <f t="shared" si="30"/>
        <v>10110</v>
      </c>
      <c r="Q286" s="52">
        <f t="shared" si="35"/>
        <v>4.97</v>
      </c>
      <c r="R286" s="52">
        <v>4.99</v>
      </c>
      <c r="S286" s="52">
        <f t="shared" si="31"/>
        <v>60.0000000000014</v>
      </c>
      <c r="T286" s="108">
        <f t="shared" si="32"/>
        <v>10050</v>
      </c>
      <c r="U286" s="112"/>
      <c r="V286" s="52">
        <v>3.81</v>
      </c>
      <c r="W286" s="52">
        <v>21.87</v>
      </c>
      <c r="X286" s="52"/>
      <c r="Y286" s="52"/>
      <c r="Z286" s="52"/>
      <c r="AA286" s="52"/>
      <c r="AB286" s="108" t="s">
        <v>70</v>
      </c>
    </row>
    <row r="287" spans="1:28">
      <c r="A287" s="90">
        <f t="shared" si="29"/>
        <v>289</v>
      </c>
      <c r="B287" s="98">
        <v>46032</v>
      </c>
      <c r="C287" s="25">
        <v>46032</v>
      </c>
      <c r="D287" s="115">
        <v>0.334027777777778</v>
      </c>
      <c r="E287" s="116">
        <v>0.75</v>
      </c>
      <c r="F287" s="109">
        <v>1668.47</v>
      </c>
      <c r="G287" s="52">
        <v>1664.44</v>
      </c>
      <c r="H287" s="52">
        <v>1680.11</v>
      </c>
      <c r="I287" s="52">
        <v>1756.81</v>
      </c>
      <c r="J287" s="52">
        <v>1762.97</v>
      </c>
      <c r="K287" s="52">
        <v>1762.54</v>
      </c>
      <c r="L287" s="52">
        <v>1775.07</v>
      </c>
      <c r="M287" s="110">
        <f t="shared" si="33"/>
        <v>12070.41</v>
      </c>
      <c r="N287" s="111">
        <f t="shared" si="34"/>
        <v>952.47</v>
      </c>
      <c r="O287" s="52">
        <v>956.45</v>
      </c>
      <c r="P287" s="52">
        <f t="shared" si="30"/>
        <v>11940.0000000001</v>
      </c>
      <c r="Q287" s="52">
        <f t="shared" si="35"/>
        <v>4.99</v>
      </c>
      <c r="R287" s="52">
        <v>5</v>
      </c>
      <c r="S287" s="52">
        <f t="shared" si="31"/>
        <v>29.9999999999994</v>
      </c>
      <c r="T287" s="108">
        <f t="shared" si="32"/>
        <v>11910.0000000001</v>
      </c>
      <c r="U287" s="112"/>
      <c r="V287" s="52">
        <v>4.11</v>
      </c>
      <c r="W287" s="52">
        <v>22.19</v>
      </c>
      <c r="X287" s="52"/>
      <c r="Y287" s="52"/>
      <c r="Z287" s="52"/>
      <c r="AA287" s="52"/>
      <c r="AB287" s="108" t="s">
        <v>70</v>
      </c>
    </row>
    <row r="288" spans="1:28">
      <c r="A288" s="90">
        <f t="shared" si="29"/>
        <v>290</v>
      </c>
      <c r="B288" s="98">
        <v>46033</v>
      </c>
      <c r="C288" s="25">
        <v>46033</v>
      </c>
      <c r="D288" s="115">
        <v>0.322916666666667</v>
      </c>
      <c r="E288" s="116">
        <v>0.75</v>
      </c>
      <c r="F288" s="109">
        <v>1692.27</v>
      </c>
      <c r="G288" s="52">
        <v>1690.76</v>
      </c>
      <c r="H288" s="52">
        <v>1702.24</v>
      </c>
      <c r="I288" s="52">
        <v>1780.49</v>
      </c>
      <c r="J288" s="52">
        <v>1785.81</v>
      </c>
      <c r="K288" s="52">
        <v>1784.48</v>
      </c>
      <c r="L288" s="52">
        <v>1794.94</v>
      </c>
      <c r="M288" s="110">
        <f t="shared" si="33"/>
        <v>12230.99</v>
      </c>
      <c r="N288" s="111">
        <f t="shared" si="34"/>
        <v>956.45</v>
      </c>
      <c r="O288" s="52">
        <v>960.48</v>
      </c>
      <c r="P288" s="52">
        <f t="shared" si="30"/>
        <v>12089.9999999999</v>
      </c>
      <c r="Q288" s="52">
        <f t="shared" si="35"/>
        <v>5</v>
      </c>
      <c r="R288" s="52">
        <v>5.01</v>
      </c>
      <c r="S288" s="52">
        <f t="shared" si="31"/>
        <v>29.9999999999994</v>
      </c>
      <c r="T288" s="108">
        <f t="shared" si="32"/>
        <v>12059.9999999999</v>
      </c>
      <c r="U288" s="112"/>
      <c r="V288" s="52">
        <v>4.08</v>
      </c>
      <c r="W288" s="52">
        <v>21.85</v>
      </c>
      <c r="X288" s="52"/>
      <c r="Y288" s="52"/>
      <c r="Z288" s="52"/>
      <c r="AA288" s="52"/>
      <c r="AB288" s="108" t="s">
        <v>70</v>
      </c>
    </row>
    <row r="289" spans="1:28">
      <c r="A289" s="90">
        <f t="shared" si="29"/>
        <v>291</v>
      </c>
      <c r="B289" s="98">
        <v>46034</v>
      </c>
      <c r="C289" s="25">
        <v>46034</v>
      </c>
      <c r="D289" s="115">
        <v>0.322916666666667</v>
      </c>
      <c r="E289" s="116">
        <v>0.75</v>
      </c>
      <c r="F289" s="109">
        <v>1605.3</v>
      </c>
      <c r="G289" s="52">
        <v>1601.08</v>
      </c>
      <c r="H289" s="52">
        <v>1615.15</v>
      </c>
      <c r="I289" s="52">
        <v>1691.26</v>
      </c>
      <c r="J289" s="52">
        <v>1696.66</v>
      </c>
      <c r="K289" s="52">
        <v>1695.26</v>
      </c>
      <c r="L289" s="52">
        <v>1704.47</v>
      </c>
      <c r="M289" s="110">
        <f t="shared" si="33"/>
        <v>11609.18</v>
      </c>
      <c r="N289" s="111">
        <f t="shared" si="34"/>
        <v>960.48</v>
      </c>
      <c r="O289" s="52">
        <v>964.31</v>
      </c>
      <c r="P289" s="52">
        <f t="shared" si="30"/>
        <v>11489.9999999998</v>
      </c>
      <c r="Q289" s="52">
        <f t="shared" si="35"/>
        <v>5.01</v>
      </c>
      <c r="R289" s="52">
        <v>5.02</v>
      </c>
      <c r="S289" s="52">
        <f t="shared" si="31"/>
        <v>29.9999999999994</v>
      </c>
      <c r="T289" s="108">
        <f t="shared" si="32"/>
        <v>11459.9999999998</v>
      </c>
      <c r="U289" s="112"/>
      <c r="V289" s="52">
        <v>3.96</v>
      </c>
      <c r="W289" s="52">
        <v>23.96</v>
      </c>
      <c r="X289" s="52"/>
      <c r="Y289" s="52"/>
      <c r="Z289" s="52"/>
      <c r="AA289" s="52"/>
      <c r="AB289" s="108" t="s">
        <v>70</v>
      </c>
    </row>
    <row r="290" spans="1:28">
      <c r="A290" s="90">
        <f t="shared" si="29"/>
        <v>292</v>
      </c>
      <c r="B290" s="98">
        <v>46035</v>
      </c>
      <c r="C290" s="25">
        <v>46035</v>
      </c>
      <c r="D290" s="115">
        <v>0.322916666666667</v>
      </c>
      <c r="E290" s="116">
        <v>0.75</v>
      </c>
      <c r="F290" s="109">
        <v>1556.41</v>
      </c>
      <c r="G290" s="52">
        <v>1555.27</v>
      </c>
      <c r="H290" s="52">
        <v>1576.89</v>
      </c>
      <c r="I290" s="52">
        <v>1640.41</v>
      </c>
      <c r="J290" s="52">
        <v>1646.91</v>
      </c>
      <c r="K290" s="52">
        <v>1647.04</v>
      </c>
      <c r="L290" s="52">
        <v>1657.53</v>
      </c>
      <c r="M290" s="110">
        <f t="shared" si="33"/>
        <v>11280.46</v>
      </c>
      <c r="N290" s="111">
        <f t="shared" si="34"/>
        <v>964.31</v>
      </c>
      <c r="O290" s="52">
        <v>968.03</v>
      </c>
      <c r="P290" s="52">
        <f t="shared" si="30"/>
        <v>11160.0000000001</v>
      </c>
      <c r="Q290" s="52">
        <f t="shared" si="35"/>
        <v>5.02</v>
      </c>
      <c r="R290" s="52">
        <v>5.04</v>
      </c>
      <c r="S290" s="52">
        <f t="shared" si="31"/>
        <v>60.0000000000014</v>
      </c>
      <c r="T290" s="108">
        <f t="shared" si="32"/>
        <v>11100.0000000001</v>
      </c>
      <c r="U290" s="112"/>
      <c r="V290" s="52">
        <v>3.88</v>
      </c>
      <c r="W290" s="52">
        <v>25.02</v>
      </c>
      <c r="X290" s="52"/>
      <c r="Y290" s="52"/>
      <c r="Z290" s="52"/>
      <c r="AA290" s="52"/>
      <c r="AB290" s="108" t="s">
        <v>70</v>
      </c>
    </row>
    <row r="291" spans="1:28">
      <c r="A291" s="90">
        <f t="shared" si="29"/>
        <v>293</v>
      </c>
      <c r="B291" s="98">
        <v>46036</v>
      </c>
      <c r="C291" s="25">
        <v>46036</v>
      </c>
      <c r="D291" s="115">
        <v>0.333333333333333</v>
      </c>
      <c r="E291" s="116">
        <v>0.645833333333333</v>
      </c>
      <c r="F291" s="109">
        <v>1528.74</v>
      </c>
      <c r="G291" s="52">
        <v>1528.51</v>
      </c>
      <c r="H291" s="52">
        <v>1539.01</v>
      </c>
      <c r="I291" s="52">
        <v>1612.5</v>
      </c>
      <c r="J291" s="52">
        <v>1616.8</v>
      </c>
      <c r="K291" s="52">
        <v>1616.97</v>
      </c>
      <c r="L291" s="52">
        <v>1626.85</v>
      </c>
      <c r="M291" s="110">
        <f t="shared" si="33"/>
        <v>11069.38</v>
      </c>
      <c r="N291" s="111">
        <f t="shared" si="34"/>
        <v>968.03</v>
      </c>
      <c r="O291" s="52">
        <v>971.67</v>
      </c>
      <c r="P291" s="52">
        <f t="shared" si="30"/>
        <v>10920</v>
      </c>
      <c r="Q291" s="52">
        <f t="shared" si="35"/>
        <v>5.04</v>
      </c>
      <c r="R291" s="52">
        <v>5.05</v>
      </c>
      <c r="S291" s="52">
        <f t="shared" si="31"/>
        <v>29.9999999999994</v>
      </c>
      <c r="T291" s="108">
        <f t="shared" si="32"/>
        <v>10890</v>
      </c>
      <c r="U291" s="112"/>
      <c r="V291" s="52">
        <v>3.65</v>
      </c>
      <c r="W291" s="52">
        <v>23.31</v>
      </c>
      <c r="X291" s="52"/>
      <c r="Y291" s="52"/>
      <c r="Z291" s="52"/>
      <c r="AA291" s="52"/>
      <c r="AB291" s="108" t="s">
        <v>70</v>
      </c>
    </row>
    <row r="292" spans="1:28">
      <c r="A292" s="90">
        <f t="shared" si="29"/>
        <v>294</v>
      </c>
      <c r="B292" s="98">
        <v>46037</v>
      </c>
      <c r="C292" s="25">
        <v>46037</v>
      </c>
      <c r="D292" s="115">
        <v>0.333333333333333</v>
      </c>
      <c r="E292" s="116">
        <v>0.75</v>
      </c>
      <c r="F292" s="109">
        <v>1871.45</v>
      </c>
      <c r="G292" s="52">
        <v>1848.11</v>
      </c>
      <c r="H292" s="52">
        <v>1859.09</v>
      </c>
      <c r="I292" s="52">
        <v>1906.25</v>
      </c>
      <c r="J292" s="52">
        <v>1912.02</v>
      </c>
      <c r="K292" s="52">
        <v>1911.61</v>
      </c>
      <c r="L292" s="52">
        <v>1923.88</v>
      </c>
      <c r="M292" s="110">
        <f t="shared" si="33"/>
        <v>13232.41</v>
      </c>
      <c r="N292" s="111">
        <f t="shared" si="34"/>
        <v>971.67</v>
      </c>
      <c r="O292" s="52">
        <v>976.03</v>
      </c>
      <c r="P292" s="52">
        <f t="shared" si="30"/>
        <v>13080</v>
      </c>
      <c r="Q292" s="52">
        <f t="shared" si="35"/>
        <v>5.05</v>
      </c>
      <c r="R292" s="52">
        <v>5.06</v>
      </c>
      <c r="S292" s="52">
        <f t="shared" si="31"/>
        <v>29.9999999999994</v>
      </c>
      <c r="T292" s="108">
        <f t="shared" si="32"/>
        <v>13050</v>
      </c>
      <c r="U292" s="112"/>
      <c r="V292" s="52">
        <v>4.38</v>
      </c>
      <c r="W292" s="52">
        <v>24.6</v>
      </c>
      <c r="X292" s="52"/>
      <c r="Y292" s="52"/>
      <c r="Z292" s="52"/>
      <c r="AA292" s="52"/>
      <c r="AB292" s="108" t="s">
        <v>70</v>
      </c>
    </row>
    <row r="293" spans="1:28">
      <c r="A293" s="90">
        <f t="shared" si="29"/>
        <v>295</v>
      </c>
      <c r="B293" s="98">
        <v>46038</v>
      </c>
      <c r="C293" s="25">
        <v>46038</v>
      </c>
      <c r="D293" s="115">
        <v>0.333333333333333</v>
      </c>
      <c r="E293" s="116">
        <v>0.75</v>
      </c>
      <c r="F293" s="109">
        <v>1730.51</v>
      </c>
      <c r="G293" s="52">
        <v>1722.68</v>
      </c>
      <c r="H293" s="52">
        <v>1735.35</v>
      </c>
      <c r="I293" s="52">
        <v>1789.33</v>
      </c>
      <c r="J293" s="52">
        <v>1802.73</v>
      </c>
      <c r="K293" s="52">
        <v>1802.11</v>
      </c>
      <c r="L293" s="52">
        <v>1819.58</v>
      </c>
      <c r="M293" s="110">
        <f t="shared" si="33"/>
        <v>12402.29</v>
      </c>
      <c r="N293" s="111">
        <f t="shared" si="34"/>
        <v>976.03</v>
      </c>
      <c r="O293" s="52">
        <v>980.12</v>
      </c>
      <c r="P293" s="52">
        <f t="shared" si="30"/>
        <v>12270.0000000001</v>
      </c>
      <c r="Q293" s="52">
        <f t="shared" si="35"/>
        <v>5.06</v>
      </c>
      <c r="R293" s="52">
        <v>5.07</v>
      </c>
      <c r="S293" s="52">
        <f t="shared" si="31"/>
        <v>30.000000000002</v>
      </c>
      <c r="T293" s="108">
        <f t="shared" si="32"/>
        <v>12240.0000000001</v>
      </c>
      <c r="U293" s="112"/>
      <c r="V293" s="52">
        <v>4.28</v>
      </c>
      <c r="W293" s="52">
        <v>25.46</v>
      </c>
      <c r="X293" s="52"/>
      <c r="Y293" s="52"/>
      <c r="Z293" s="52"/>
      <c r="AA293" s="52"/>
      <c r="AB293" s="108" t="s">
        <v>70</v>
      </c>
    </row>
    <row r="294" spans="1:28">
      <c r="A294" s="90">
        <f t="shared" si="29"/>
        <v>296</v>
      </c>
      <c r="B294" s="98">
        <v>46039</v>
      </c>
      <c r="C294" s="25">
        <v>46039</v>
      </c>
      <c r="D294" s="115">
        <v>0.333333333333333</v>
      </c>
      <c r="E294" s="116">
        <v>0.75</v>
      </c>
      <c r="F294" s="109">
        <v>1729</v>
      </c>
      <c r="G294" s="52">
        <v>1722.91</v>
      </c>
      <c r="H294" s="52">
        <v>1733.34</v>
      </c>
      <c r="I294" s="52">
        <v>1809.08</v>
      </c>
      <c r="J294" s="52">
        <v>1810.33</v>
      </c>
      <c r="K294" s="52">
        <v>1810.68</v>
      </c>
      <c r="L294" s="52">
        <v>1827.77</v>
      </c>
      <c r="M294" s="110">
        <f t="shared" si="33"/>
        <v>12443.11</v>
      </c>
      <c r="N294" s="111">
        <f t="shared" si="34"/>
        <v>980.12</v>
      </c>
      <c r="O294" s="52">
        <v>984.22</v>
      </c>
      <c r="P294" s="52">
        <f t="shared" si="30"/>
        <v>12300.0000000001</v>
      </c>
      <c r="Q294" s="52">
        <f t="shared" si="35"/>
        <v>5.07</v>
      </c>
      <c r="R294" s="52">
        <v>5.08</v>
      </c>
      <c r="S294" s="52">
        <f t="shared" si="31"/>
        <v>29.9999999999994</v>
      </c>
      <c r="T294" s="108">
        <f t="shared" si="32"/>
        <v>12270.0000000001</v>
      </c>
      <c r="U294" s="112"/>
      <c r="V294" s="52">
        <v>4.08</v>
      </c>
      <c r="W294" s="52">
        <v>23.24</v>
      </c>
      <c r="X294" s="52"/>
      <c r="Y294" s="52"/>
      <c r="Z294" s="52"/>
      <c r="AA294" s="52"/>
      <c r="AB294" s="108" t="s">
        <v>70</v>
      </c>
    </row>
    <row r="295" spans="1:28">
      <c r="A295" s="90">
        <f t="shared" si="29"/>
        <v>297</v>
      </c>
      <c r="B295" s="98">
        <v>46040</v>
      </c>
      <c r="C295" s="25">
        <v>46040</v>
      </c>
      <c r="D295" s="115">
        <v>0.333333333333333</v>
      </c>
      <c r="E295" s="116">
        <v>0.75</v>
      </c>
      <c r="F295" s="109">
        <v>1768.88</v>
      </c>
      <c r="G295" s="52">
        <v>1763.47</v>
      </c>
      <c r="H295" s="52">
        <v>1775.18</v>
      </c>
      <c r="I295" s="52">
        <v>1864.82</v>
      </c>
      <c r="J295" s="52">
        <v>1860.71</v>
      </c>
      <c r="K295" s="52">
        <v>1844.23</v>
      </c>
      <c r="L295" s="52">
        <v>1856.42</v>
      </c>
      <c r="M295" s="110">
        <f t="shared" si="33"/>
        <v>12733.71</v>
      </c>
      <c r="N295" s="111">
        <f t="shared" si="34"/>
        <v>984.22</v>
      </c>
      <c r="O295" s="52">
        <v>988.42</v>
      </c>
      <c r="P295" s="52">
        <f t="shared" si="30"/>
        <v>12599.9999999998</v>
      </c>
      <c r="Q295" s="52">
        <f t="shared" si="35"/>
        <v>5.08</v>
      </c>
      <c r="R295" s="52">
        <v>5.1</v>
      </c>
      <c r="S295" s="52">
        <f t="shared" si="31"/>
        <v>59.9999999999987</v>
      </c>
      <c r="T295" s="108">
        <f t="shared" si="32"/>
        <v>12539.9999999998</v>
      </c>
      <c r="U295" s="112"/>
      <c r="V295" s="52">
        <v>3.94</v>
      </c>
      <c r="W295" s="52">
        <v>23.6</v>
      </c>
      <c r="X295" s="52"/>
      <c r="Y295" s="52"/>
      <c r="Z295" s="52"/>
      <c r="AA295" s="52"/>
      <c r="AB295" s="108" t="s">
        <v>70</v>
      </c>
    </row>
    <row r="296" spans="1:28">
      <c r="A296" s="90">
        <f t="shared" si="29"/>
        <v>298</v>
      </c>
      <c r="B296" s="98">
        <v>46041</v>
      </c>
      <c r="C296" s="25">
        <v>46041</v>
      </c>
      <c r="D296" s="115">
        <v>0.322916666666667</v>
      </c>
      <c r="E296" s="116">
        <v>0.75</v>
      </c>
      <c r="F296" s="109">
        <v>1800.12</v>
      </c>
      <c r="G296" s="52">
        <v>1791.01</v>
      </c>
      <c r="H296" s="52">
        <v>1803.26</v>
      </c>
      <c r="I296" s="52">
        <v>1893.54</v>
      </c>
      <c r="J296" s="52">
        <v>1895.82</v>
      </c>
      <c r="K296" s="52">
        <v>1889.27</v>
      </c>
      <c r="L296" s="52">
        <v>1897.46</v>
      </c>
      <c r="M296" s="110">
        <f t="shared" si="33"/>
        <v>12970.48</v>
      </c>
      <c r="N296" s="111">
        <f t="shared" si="34"/>
        <v>988.42</v>
      </c>
      <c r="O296" s="52">
        <v>992.69</v>
      </c>
      <c r="P296" s="52">
        <f t="shared" si="30"/>
        <v>12810.0000000003</v>
      </c>
      <c r="Q296" s="52">
        <f t="shared" si="35"/>
        <v>5.1</v>
      </c>
      <c r="R296" s="52">
        <v>5.11</v>
      </c>
      <c r="S296" s="52">
        <f t="shared" si="31"/>
        <v>30.000000000002</v>
      </c>
      <c r="T296" s="108">
        <f t="shared" si="32"/>
        <v>12780.0000000003</v>
      </c>
      <c r="U296" s="112"/>
      <c r="V296" s="52">
        <v>4.16</v>
      </c>
      <c r="W296" s="52">
        <v>23.97</v>
      </c>
      <c r="X296" s="52"/>
      <c r="Y296" s="52"/>
      <c r="Z296" s="52"/>
      <c r="AA296" s="52"/>
      <c r="AB296" s="108" t="s">
        <v>70</v>
      </c>
    </row>
    <row r="297" spans="1:28">
      <c r="A297" s="90">
        <f t="shared" si="29"/>
        <v>299</v>
      </c>
      <c r="B297" s="98">
        <v>46042</v>
      </c>
      <c r="C297" s="25">
        <v>46042</v>
      </c>
      <c r="D297" s="115">
        <v>0.322916666666667</v>
      </c>
      <c r="E297" s="116">
        <v>0.75</v>
      </c>
      <c r="F297" s="109">
        <v>1463.99</v>
      </c>
      <c r="G297" s="52">
        <v>1456.61</v>
      </c>
      <c r="H297" s="52">
        <v>1469.57</v>
      </c>
      <c r="I297" s="52">
        <v>1541.32</v>
      </c>
      <c r="J297" s="52">
        <v>1540.6</v>
      </c>
      <c r="K297" s="52">
        <v>1538</v>
      </c>
      <c r="L297" s="52">
        <v>1546.66</v>
      </c>
      <c r="M297" s="110">
        <f t="shared" si="33"/>
        <v>10556.75</v>
      </c>
      <c r="N297" s="111">
        <f t="shared" si="34"/>
        <v>992.69</v>
      </c>
      <c r="O297" s="52">
        <v>996.16</v>
      </c>
      <c r="P297" s="52">
        <f t="shared" si="30"/>
        <v>10409.9999999997</v>
      </c>
      <c r="Q297" s="52">
        <f t="shared" si="35"/>
        <v>5.11</v>
      </c>
      <c r="R297" s="52">
        <v>5.12</v>
      </c>
      <c r="S297" s="52">
        <f t="shared" si="31"/>
        <v>29.9999999999994</v>
      </c>
      <c r="T297" s="108">
        <f t="shared" si="32"/>
        <v>10379.9999999997</v>
      </c>
      <c r="U297" s="112"/>
      <c r="V297" s="52">
        <v>3.75</v>
      </c>
      <c r="W297" s="52">
        <v>23.78</v>
      </c>
      <c r="X297" s="52"/>
      <c r="Y297" s="52"/>
      <c r="Z297" s="52"/>
      <c r="AA297" s="52"/>
      <c r="AB297" s="108" t="s">
        <v>70</v>
      </c>
    </row>
    <row r="298" spans="1:28">
      <c r="A298" s="90">
        <f t="shared" si="29"/>
        <v>300</v>
      </c>
      <c r="B298" s="98">
        <v>46043</v>
      </c>
      <c r="C298" s="25">
        <v>46043</v>
      </c>
      <c r="D298" s="115">
        <v>0.333333333333333</v>
      </c>
      <c r="E298" s="116">
        <v>0.75</v>
      </c>
      <c r="F298" s="109">
        <v>1594.18</v>
      </c>
      <c r="G298" s="52">
        <v>1589.43</v>
      </c>
      <c r="H298" s="52">
        <v>1599.51</v>
      </c>
      <c r="I298" s="52">
        <v>1676.18</v>
      </c>
      <c r="J298" s="52">
        <v>1678.2</v>
      </c>
      <c r="K298" s="52">
        <v>1676.26</v>
      </c>
      <c r="L298" s="52">
        <v>1683.86</v>
      </c>
      <c r="M298" s="110">
        <f t="shared" si="33"/>
        <v>11497.62</v>
      </c>
      <c r="N298" s="111">
        <f t="shared" si="34"/>
        <v>996.16</v>
      </c>
      <c r="O298" s="52">
        <v>999.95</v>
      </c>
      <c r="P298" s="52">
        <f t="shared" si="30"/>
        <v>11370.0000000002</v>
      </c>
      <c r="Q298" s="52">
        <f t="shared" si="35"/>
        <v>5.12</v>
      </c>
      <c r="R298" s="52">
        <v>5.13</v>
      </c>
      <c r="S298" s="52">
        <f t="shared" si="31"/>
        <v>29.9999999999994</v>
      </c>
      <c r="T298" s="108">
        <f t="shared" si="32"/>
        <v>11340.0000000002</v>
      </c>
      <c r="U298" s="112"/>
      <c r="V298" s="52">
        <v>3.85</v>
      </c>
      <c r="W298" s="52">
        <v>25.97</v>
      </c>
      <c r="X298" s="52"/>
      <c r="Y298" s="52"/>
      <c r="Z298" s="52"/>
      <c r="AA298" s="52"/>
      <c r="AB298" s="108" t="s">
        <v>70</v>
      </c>
    </row>
    <row r="299" spans="1:28">
      <c r="A299" s="90">
        <f t="shared" si="29"/>
        <v>301</v>
      </c>
      <c r="B299" s="98">
        <v>46044</v>
      </c>
      <c r="C299" s="25">
        <v>46044</v>
      </c>
      <c r="D299" s="115">
        <v>0.333333333333333</v>
      </c>
      <c r="E299" s="116">
        <v>0.75</v>
      </c>
      <c r="F299" s="109">
        <v>1527.52</v>
      </c>
      <c r="G299" s="52">
        <v>1520.53</v>
      </c>
      <c r="H299" s="52">
        <v>1532.37</v>
      </c>
      <c r="I299" s="52">
        <v>1611.87</v>
      </c>
      <c r="J299" s="52">
        <v>1610.73</v>
      </c>
      <c r="K299" s="52">
        <v>1608.32</v>
      </c>
      <c r="L299" s="52">
        <v>1617.73</v>
      </c>
      <c r="M299" s="110">
        <f t="shared" si="33"/>
        <v>11029.07</v>
      </c>
      <c r="N299" s="111">
        <f t="shared" si="34"/>
        <v>999.95</v>
      </c>
      <c r="O299" s="52">
        <v>1003.39</v>
      </c>
      <c r="P299" s="52">
        <f t="shared" si="30"/>
        <v>10319.9999999998</v>
      </c>
      <c r="Q299" s="52">
        <f t="shared" si="35"/>
        <v>5.13</v>
      </c>
      <c r="R299" s="52">
        <v>5.14</v>
      </c>
      <c r="S299" s="52">
        <f t="shared" si="31"/>
        <v>29.9999999999994</v>
      </c>
      <c r="T299" s="108">
        <f t="shared" si="32"/>
        <v>10289.9999999998</v>
      </c>
      <c r="U299" s="112"/>
      <c r="V299" s="52">
        <v>3.81</v>
      </c>
      <c r="W299" s="52">
        <v>26.21</v>
      </c>
      <c r="X299" s="52"/>
      <c r="Y299" s="52"/>
      <c r="Z299" s="52"/>
      <c r="AA299" s="52"/>
      <c r="AB299" s="108" t="s">
        <v>70</v>
      </c>
    </row>
    <row r="300" spans="1:28">
      <c r="A300" s="90">
        <f t="shared" si="29"/>
        <v>302</v>
      </c>
      <c r="B300" s="98">
        <v>46045</v>
      </c>
      <c r="C300" s="25">
        <v>46045</v>
      </c>
      <c r="D300" s="115">
        <v>0.322916666666667</v>
      </c>
      <c r="E300" s="116">
        <v>0.75</v>
      </c>
      <c r="F300" s="109">
        <v>1305.33</v>
      </c>
      <c r="G300" s="52">
        <v>1298.65</v>
      </c>
      <c r="H300" s="52">
        <v>1308.98</v>
      </c>
      <c r="I300" s="52">
        <v>1375.57</v>
      </c>
      <c r="J300" s="52">
        <v>1380.43</v>
      </c>
      <c r="K300" s="52">
        <v>1383.09</v>
      </c>
      <c r="L300" s="52">
        <v>1396.08</v>
      </c>
      <c r="M300" s="110">
        <f t="shared" si="33"/>
        <v>9448.13</v>
      </c>
      <c r="N300" s="111">
        <f t="shared" si="34"/>
        <v>1003.39</v>
      </c>
      <c r="O300" s="52">
        <v>1006.71</v>
      </c>
      <c r="P300" s="52">
        <f t="shared" si="30"/>
        <v>9960.00000000015</v>
      </c>
      <c r="Q300" s="52">
        <f t="shared" si="35"/>
        <v>5.14</v>
      </c>
      <c r="R300" s="52">
        <v>5.16</v>
      </c>
      <c r="S300" s="52">
        <f t="shared" si="31"/>
        <v>60.0000000000014</v>
      </c>
      <c r="T300" s="108">
        <f t="shared" si="32"/>
        <v>9900.00000000015</v>
      </c>
      <c r="U300" s="112"/>
      <c r="V300" s="52">
        <v>3.62</v>
      </c>
      <c r="W300" s="52">
        <v>22</v>
      </c>
      <c r="X300" s="52"/>
      <c r="Y300" s="52"/>
      <c r="Z300" s="52"/>
      <c r="AA300" s="52"/>
      <c r="AB300" s="108" t="s">
        <v>70</v>
      </c>
    </row>
    <row r="301" spans="1:28">
      <c r="A301" s="90">
        <f t="shared" si="29"/>
        <v>303</v>
      </c>
      <c r="B301" s="98">
        <v>46046</v>
      </c>
      <c r="C301" s="25">
        <v>46046</v>
      </c>
      <c r="D301" s="115">
        <v>0.322916666666667</v>
      </c>
      <c r="E301" s="116">
        <v>0.760416666666667</v>
      </c>
      <c r="F301" s="109">
        <v>1730.93</v>
      </c>
      <c r="G301" s="52">
        <v>1728.25</v>
      </c>
      <c r="H301" s="52">
        <v>1734.26</v>
      </c>
      <c r="I301" s="52">
        <v>1797.33</v>
      </c>
      <c r="J301" s="52">
        <v>1790.98</v>
      </c>
      <c r="K301" s="52">
        <v>1789.61</v>
      </c>
      <c r="L301" s="52">
        <v>1796.54</v>
      </c>
      <c r="M301" s="110">
        <f t="shared" si="33"/>
        <v>12367.9</v>
      </c>
      <c r="N301" s="111">
        <f t="shared" si="34"/>
        <v>1006.71</v>
      </c>
      <c r="O301" s="52">
        <v>1010.78</v>
      </c>
      <c r="P301" s="52">
        <f t="shared" si="30"/>
        <v>12209.9999999998</v>
      </c>
      <c r="Q301" s="52">
        <f t="shared" si="35"/>
        <v>5.16</v>
      </c>
      <c r="R301" s="52">
        <v>5.17</v>
      </c>
      <c r="S301" s="52">
        <f t="shared" si="31"/>
        <v>29.9999999999994</v>
      </c>
      <c r="T301" s="108">
        <f t="shared" si="32"/>
        <v>12179.9999999998</v>
      </c>
      <c r="U301" s="112"/>
      <c r="V301" s="52">
        <v>4.03</v>
      </c>
      <c r="W301" s="52">
        <v>21.03</v>
      </c>
      <c r="X301" s="52"/>
      <c r="Y301" s="52"/>
      <c r="Z301" s="52"/>
      <c r="AA301" s="52"/>
      <c r="AB301" s="108" t="s">
        <v>70</v>
      </c>
    </row>
    <row r="302" spans="1:28">
      <c r="A302" s="90">
        <f t="shared" si="29"/>
        <v>304</v>
      </c>
      <c r="B302" s="98">
        <v>46047</v>
      </c>
      <c r="C302" s="25">
        <v>46047</v>
      </c>
      <c r="D302" s="115">
        <v>0.322916666666667</v>
      </c>
      <c r="E302" s="116">
        <v>0.760416666666667</v>
      </c>
      <c r="F302" s="109">
        <v>1653.59</v>
      </c>
      <c r="G302" s="52">
        <v>1647.18</v>
      </c>
      <c r="H302" s="52">
        <v>1661.55</v>
      </c>
      <c r="I302" s="52">
        <v>1735.41</v>
      </c>
      <c r="J302" s="52">
        <v>1739.35</v>
      </c>
      <c r="K302" s="52">
        <v>1743.06</v>
      </c>
      <c r="L302" s="52">
        <v>1735.47</v>
      </c>
      <c r="M302" s="110">
        <f t="shared" si="33"/>
        <v>11915.61</v>
      </c>
      <c r="N302" s="111">
        <f t="shared" si="34"/>
        <v>1010.78</v>
      </c>
      <c r="O302" s="52">
        <v>1014.71</v>
      </c>
      <c r="P302" s="52">
        <f t="shared" si="30"/>
        <v>11790.0000000002</v>
      </c>
      <c r="Q302" s="52">
        <f t="shared" si="35"/>
        <v>5.17</v>
      </c>
      <c r="R302" s="52">
        <v>5.18</v>
      </c>
      <c r="S302" s="52">
        <f t="shared" si="31"/>
        <v>29.9999999999994</v>
      </c>
      <c r="T302" s="108">
        <f t="shared" si="32"/>
        <v>11760.0000000002</v>
      </c>
      <c r="U302" s="112"/>
      <c r="V302" s="52">
        <v>3.63</v>
      </c>
      <c r="W302" s="52">
        <v>21.11</v>
      </c>
      <c r="X302" s="52"/>
      <c r="Y302" s="52"/>
      <c r="Z302" s="52"/>
      <c r="AA302" s="52"/>
      <c r="AB302" s="108" t="s">
        <v>70</v>
      </c>
    </row>
    <row r="303" spans="1:28">
      <c r="A303" s="90">
        <f t="shared" si="29"/>
        <v>305</v>
      </c>
      <c r="B303" s="98">
        <v>46048</v>
      </c>
      <c r="C303" s="25">
        <v>46048</v>
      </c>
      <c r="D303" s="115">
        <v>0.322916666666667</v>
      </c>
      <c r="E303" s="116">
        <v>0.75</v>
      </c>
      <c r="F303" s="109">
        <v>1626.45</v>
      </c>
      <c r="G303" s="52">
        <v>1621.99</v>
      </c>
      <c r="H303" s="52">
        <v>1639.1</v>
      </c>
      <c r="I303" s="52">
        <v>1711.62</v>
      </c>
      <c r="J303" s="52">
        <v>1714.96</v>
      </c>
      <c r="K303" s="52">
        <v>1718.66</v>
      </c>
      <c r="L303" s="52">
        <v>1731.41</v>
      </c>
      <c r="M303" s="110">
        <f t="shared" si="33"/>
        <v>11764.19</v>
      </c>
      <c r="N303" s="111">
        <f t="shared" si="34"/>
        <v>1014.71</v>
      </c>
      <c r="O303" s="52">
        <v>1018.59</v>
      </c>
      <c r="P303" s="52">
        <f t="shared" si="30"/>
        <v>11640</v>
      </c>
      <c r="Q303" s="52">
        <f t="shared" si="35"/>
        <v>5.18</v>
      </c>
      <c r="R303" s="52">
        <v>5.19</v>
      </c>
      <c r="S303" s="52">
        <f t="shared" si="31"/>
        <v>30.000000000002</v>
      </c>
      <c r="T303" s="108">
        <f t="shared" si="32"/>
        <v>11610</v>
      </c>
      <c r="U303" s="112"/>
      <c r="V303" s="52">
        <v>3.89</v>
      </c>
      <c r="W303" s="52">
        <v>24</v>
      </c>
      <c r="X303" s="52"/>
      <c r="Y303" s="52"/>
      <c r="Z303" s="52"/>
      <c r="AA303" s="52"/>
      <c r="AB303" s="108" t="s">
        <v>70</v>
      </c>
    </row>
    <row r="304" spans="1:28">
      <c r="A304" s="90">
        <f t="shared" si="29"/>
        <v>306</v>
      </c>
      <c r="B304" s="98">
        <v>46049</v>
      </c>
      <c r="C304" s="25">
        <v>46049</v>
      </c>
      <c r="D304" s="115">
        <v>0.333333333333333</v>
      </c>
      <c r="E304" s="116">
        <v>0.760416666666667</v>
      </c>
      <c r="F304" s="109">
        <v>1772.79</v>
      </c>
      <c r="G304" s="52">
        <v>1768.95</v>
      </c>
      <c r="H304" s="52">
        <v>1784.18</v>
      </c>
      <c r="I304" s="52">
        <v>1867.75</v>
      </c>
      <c r="J304" s="52">
        <v>1871.49</v>
      </c>
      <c r="K304" s="52">
        <v>1873.36</v>
      </c>
      <c r="L304" s="52">
        <v>1889.07</v>
      </c>
      <c r="M304" s="110">
        <f t="shared" si="33"/>
        <v>12827.59</v>
      </c>
      <c r="N304" s="111">
        <f t="shared" si="34"/>
        <v>1018.59</v>
      </c>
      <c r="O304" s="52">
        <v>1022.81</v>
      </c>
      <c r="P304" s="52">
        <f t="shared" si="30"/>
        <v>12659.9999999997</v>
      </c>
      <c r="Q304" s="52">
        <f t="shared" si="35"/>
        <v>5.19</v>
      </c>
      <c r="R304" s="52">
        <v>5.21</v>
      </c>
      <c r="S304" s="52">
        <f t="shared" si="31"/>
        <v>59.9999999999987</v>
      </c>
      <c r="T304" s="108">
        <f t="shared" si="32"/>
        <v>12599.9999999997</v>
      </c>
      <c r="U304" s="112"/>
      <c r="V304" s="52">
        <v>5.95</v>
      </c>
      <c r="W304" s="52">
        <v>22.85</v>
      </c>
      <c r="X304" s="52"/>
      <c r="Y304" s="52"/>
      <c r="Z304" s="52"/>
      <c r="AA304" s="52"/>
      <c r="AB304" s="108" t="s">
        <v>70</v>
      </c>
    </row>
    <row r="305" spans="1:28">
      <c r="A305" s="90">
        <f t="shared" si="29"/>
        <v>307</v>
      </c>
      <c r="B305" s="98">
        <v>46050</v>
      </c>
      <c r="C305" s="25">
        <v>46050</v>
      </c>
      <c r="D305" s="115">
        <v>0.322916666666667</v>
      </c>
      <c r="E305" s="116">
        <v>0.760416666666667</v>
      </c>
      <c r="F305" s="109">
        <v>1915.42</v>
      </c>
      <c r="G305" s="52">
        <v>1767.02</v>
      </c>
      <c r="H305" s="52">
        <v>1930.29</v>
      </c>
      <c r="I305" s="52">
        <v>2017.88</v>
      </c>
      <c r="J305" s="52">
        <v>2022.68</v>
      </c>
      <c r="K305" s="52">
        <v>2026.17</v>
      </c>
      <c r="L305" s="52">
        <v>2039.4</v>
      </c>
      <c r="M305" s="110">
        <f t="shared" si="33"/>
        <v>13718.86</v>
      </c>
      <c r="N305" s="111">
        <f t="shared" si="34"/>
        <v>1022.81</v>
      </c>
      <c r="O305" s="52">
        <v>1027.33</v>
      </c>
      <c r="P305" s="52">
        <f t="shared" si="30"/>
        <v>13559.9999999999</v>
      </c>
      <c r="Q305" s="52">
        <f t="shared" si="35"/>
        <v>5.21</v>
      </c>
      <c r="R305" s="52">
        <v>5.22</v>
      </c>
      <c r="S305" s="52">
        <f t="shared" si="31"/>
        <v>29.9999999999994</v>
      </c>
      <c r="T305" s="108">
        <f t="shared" si="32"/>
        <v>13529.9999999999</v>
      </c>
      <c r="U305" s="112"/>
      <c r="V305" s="52">
        <v>4.46</v>
      </c>
      <c r="W305" s="52">
        <v>22.46</v>
      </c>
      <c r="X305" s="52"/>
      <c r="Y305" s="52"/>
      <c r="Z305" s="52"/>
      <c r="AA305" s="52"/>
      <c r="AB305" s="108" t="s">
        <v>70</v>
      </c>
    </row>
    <row r="306" spans="1:28">
      <c r="A306" s="90">
        <f t="shared" si="29"/>
        <v>308</v>
      </c>
      <c r="B306" s="98">
        <v>46051</v>
      </c>
      <c r="C306" s="25">
        <v>46051</v>
      </c>
      <c r="D306" s="115">
        <v>0.322916666666667</v>
      </c>
      <c r="E306" s="116">
        <v>0.760416666666667</v>
      </c>
      <c r="F306" s="109">
        <v>1741.72</v>
      </c>
      <c r="G306" s="52">
        <v>1735.08</v>
      </c>
      <c r="H306" s="52">
        <v>1752</v>
      </c>
      <c r="I306" s="52">
        <v>1833.61</v>
      </c>
      <c r="J306" s="52">
        <v>1841.84</v>
      </c>
      <c r="K306" s="52">
        <v>1845.68</v>
      </c>
      <c r="L306" s="52">
        <v>1850.21</v>
      </c>
      <c r="M306" s="110">
        <f t="shared" si="33"/>
        <v>12600.14</v>
      </c>
      <c r="N306" s="111">
        <f t="shared" si="34"/>
        <v>1027.33</v>
      </c>
      <c r="O306" s="52">
        <v>1031.48</v>
      </c>
      <c r="P306" s="52">
        <f t="shared" si="30"/>
        <v>12450.0000000003</v>
      </c>
      <c r="Q306" s="52">
        <f t="shared" si="35"/>
        <v>5.22</v>
      </c>
      <c r="R306" s="52">
        <v>5.23</v>
      </c>
      <c r="S306" s="52">
        <f t="shared" si="31"/>
        <v>30.000000000002</v>
      </c>
      <c r="T306" s="108">
        <f t="shared" si="32"/>
        <v>12420.0000000003</v>
      </c>
      <c r="U306" s="112"/>
      <c r="V306" s="52">
        <v>4.28</v>
      </c>
      <c r="W306" s="52">
        <v>33</v>
      </c>
      <c r="X306" s="52"/>
      <c r="Y306" s="52"/>
      <c r="Z306" s="52"/>
      <c r="AA306" s="52"/>
      <c r="AB306" s="108" t="s">
        <v>70</v>
      </c>
    </row>
    <row r="307" spans="1:28">
      <c r="A307" s="90">
        <f t="shared" si="29"/>
        <v>309</v>
      </c>
      <c r="B307" s="98">
        <v>46052</v>
      </c>
      <c r="C307" s="25">
        <v>46052</v>
      </c>
      <c r="D307" s="115">
        <v>0.322916666666667</v>
      </c>
      <c r="E307" s="116">
        <v>0.75</v>
      </c>
      <c r="F307" s="109">
        <v>1459.92</v>
      </c>
      <c r="G307" s="52">
        <v>1441.46</v>
      </c>
      <c r="H307" s="52">
        <v>1457.49</v>
      </c>
      <c r="I307" s="52">
        <v>1521.68</v>
      </c>
      <c r="J307" s="52">
        <v>1519.19</v>
      </c>
      <c r="K307" s="52">
        <v>1527.34</v>
      </c>
      <c r="L307" s="52">
        <v>1551.86</v>
      </c>
      <c r="M307" s="110">
        <f t="shared" si="33"/>
        <v>10478.94</v>
      </c>
      <c r="N307" s="111">
        <f t="shared" si="34"/>
        <v>1031.48</v>
      </c>
      <c r="O307" s="52">
        <v>1034.93</v>
      </c>
      <c r="P307" s="52">
        <f t="shared" si="30"/>
        <v>10350.0000000001</v>
      </c>
      <c r="Q307" s="52">
        <f t="shared" si="35"/>
        <v>5.23</v>
      </c>
      <c r="R307" s="52">
        <v>5.24</v>
      </c>
      <c r="S307" s="52">
        <f t="shared" si="31"/>
        <v>29.9999999999994</v>
      </c>
      <c r="T307" s="108">
        <f t="shared" si="32"/>
        <v>10320.0000000001</v>
      </c>
      <c r="U307" s="112"/>
      <c r="V307" s="52">
        <v>3.58</v>
      </c>
      <c r="W307" s="52">
        <v>25.07</v>
      </c>
      <c r="X307" s="52"/>
      <c r="Y307" s="52"/>
      <c r="Z307" s="52"/>
      <c r="AA307" s="52"/>
      <c r="AB307" s="108" t="s">
        <v>70</v>
      </c>
    </row>
    <row r="308" spans="1:28">
      <c r="A308" s="90">
        <f t="shared" si="29"/>
        <v>310</v>
      </c>
      <c r="B308" s="98">
        <v>46053</v>
      </c>
      <c r="C308" s="25">
        <v>46053</v>
      </c>
      <c r="D308" s="115">
        <v>0.333333333333333</v>
      </c>
      <c r="E308" s="116">
        <v>0.75</v>
      </c>
      <c r="F308" s="109">
        <v>1131.2</v>
      </c>
      <c r="G308" s="52">
        <v>1127</v>
      </c>
      <c r="H308" s="52">
        <v>1136.68</v>
      </c>
      <c r="I308" s="52">
        <v>1186.95</v>
      </c>
      <c r="J308" s="52">
        <v>1191.64</v>
      </c>
      <c r="K308" s="52">
        <v>1189.33</v>
      </c>
      <c r="L308" s="52">
        <v>1196.15</v>
      </c>
      <c r="M308" s="110">
        <f t="shared" si="33"/>
        <v>8158.95</v>
      </c>
      <c r="N308" s="111">
        <f t="shared" si="34"/>
        <v>1034.93</v>
      </c>
      <c r="O308" s="52">
        <v>1037.63</v>
      </c>
      <c r="P308" s="52">
        <f t="shared" si="30"/>
        <v>8100.00000000014</v>
      </c>
      <c r="Q308" s="52">
        <f t="shared" si="35"/>
        <v>5.24</v>
      </c>
      <c r="R308" s="52">
        <v>5.25</v>
      </c>
      <c r="S308" s="52">
        <f t="shared" si="31"/>
        <v>29.9999999999994</v>
      </c>
      <c r="T308" s="108">
        <f t="shared" si="32"/>
        <v>8070.00000000014</v>
      </c>
      <c r="U308" s="112"/>
      <c r="V308" s="52">
        <v>2.95</v>
      </c>
      <c r="W308" s="52">
        <v>26.19</v>
      </c>
      <c r="X308" s="52"/>
      <c r="Y308" s="52"/>
      <c r="Z308" s="52"/>
      <c r="AA308" s="52"/>
      <c r="AB308" s="108" t="s">
        <v>70</v>
      </c>
    </row>
    <row r="309" spans="1:28">
      <c r="A309" s="90">
        <f t="shared" si="29"/>
        <v>311</v>
      </c>
      <c r="B309" s="98">
        <v>46054</v>
      </c>
      <c r="C309" s="25">
        <v>46054</v>
      </c>
      <c r="D309" s="115">
        <v>0.333333333333333</v>
      </c>
      <c r="E309" s="116">
        <v>0.75</v>
      </c>
      <c r="F309" s="109">
        <v>1363.16</v>
      </c>
      <c r="G309" s="52">
        <v>1357.84</v>
      </c>
      <c r="H309" s="52">
        <v>1371.11</v>
      </c>
      <c r="I309" s="52">
        <v>1430.99</v>
      </c>
      <c r="J309" s="52">
        <v>1433.21</v>
      </c>
      <c r="K309" s="52">
        <v>1432.64</v>
      </c>
      <c r="L309" s="52">
        <v>1439.07</v>
      </c>
      <c r="M309" s="110">
        <f t="shared" si="33"/>
        <v>9828.02</v>
      </c>
      <c r="N309" s="111">
        <f t="shared" si="34"/>
        <v>1037.63</v>
      </c>
      <c r="O309" s="52">
        <v>1040.87</v>
      </c>
      <c r="P309" s="52">
        <f t="shared" si="30"/>
        <v>9719.99999999935</v>
      </c>
      <c r="Q309" s="52">
        <f t="shared" si="35"/>
        <v>5.25</v>
      </c>
      <c r="R309" s="52">
        <v>5.27</v>
      </c>
      <c r="S309" s="52">
        <f t="shared" si="31"/>
        <v>59.9999999999987</v>
      </c>
      <c r="T309" s="108">
        <f t="shared" si="32"/>
        <v>9659.99999999935</v>
      </c>
      <c r="U309" s="112"/>
      <c r="V309" s="52">
        <v>3.54</v>
      </c>
      <c r="W309" s="52">
        <v>27.34</v>
      </c>
      <c r="X309" s="52"/>
      <c r="Y309" s="52"/>
      <c r="Z309" s="52"/>
      <c r="AA309" s="52"/>
      <c r="AB309" s="108" t="s">
        <v>70</v>
      </c>
    </row>
    <row r="310" spans="1:28">
      <c r="A310" s="90">
        <f t="shared" si="29"/>
        <v>312</v>
      </c>
      <c r="B310" s="98">
        <v>46055</v>
      </c>
      <c r="C310" s="25">
        <v>46055</v>
      </c>
      <c r="D310" s="115">
        <v>0.333333333333333</v>
      </c>
      <c r="E310" s="116">
        <v>0.760416666666667</v>
      </c>
      <c r="F310" s="109">
        <v>1373.07</v>
      </c>
      <c r="G310" s="52">
        <v>1366.2</v>
      </c>
      <c r="H310" s="52">
        <v>1371.99</v>
      </c>
      <c r="I310" s="52">
        <v>1432.23</v>
      </c>
      <c r="J310" s="52">
        <v>1422.09</v>
      </c>
      <c r="K310" s="52">
        <v>1421.17</v>
      </c>
      <c r="L310" s="52">
        <v>1427.06</v>
      </c>
      <c r="M310" s="110">
        <f t="shared" si="33"/>
        <v>9813.81</v>
      </c>
      <c r="N310" s="111">
        <f t="shared" si="34"/>
        <v>1040.87</v>
      </c>
      <c r="O310" s="52">
        <v>1044.11</v>
      </c>
      <c r="P310" s="52">
        <f t="shared" si="30"/>
        <v>9720.00000000003</v>
      </c>
      <c r="Q310" s="52">
        <f t="shared" si="35"/>
        <v>5.27</v>
      </c>
      <c r="R310" s="52">
        <v>5.28</v>
      </c>
      <c r="S310" s="52">
        <f t="shared" si="31"/>
        <v>30.000000000002</v>
      </c>
      <c r="T310" s="108">
        <f t="shared" si="32"/>
        <v>9690.00000000003</v>
      </c>
      <c r="U310" s="112"/>
      <c r="V310" s="52">
        <v>3.51</v>
      </c>
      <c r="W310" s="52">
        <v>27.66</v>
      </c>
      <c r="X310" s="52"/>
      <c r="Y310" s="52"/>
      <c r="Z310" s="52"/>
      <c r="AA310" s="52"/>
      <c r="AB310" s="108" t="s">
        <v>70</v>
      </c>
    </row>
    <row r="311" spans="1:28">
      <c r="A311" s="90">
        <f t="shared" si="29"/>
        <v>313</v>
      </c>
      <c r="B311" s="98">
        <v>46056</v>
      </c>
      <c r="C311" s="25">
        <v>46056</v>
      </c>
      <c r="D311" s="115">
        <v>0.322916666666667</v>
      </c>
      <c r="E311" s="116">
        <v>0.760416666666667</v>
      </c>
      <c r="F311" s="109">
        <v>1483.35</v>
      </c>
      <c r="G311" s="52">
        <v>1479.71</v>
      </c>
      <c r="H311" s="52">
        <v>1486.44</v>
      </c>
      <c r="I311" s="52">
        <v>1556.93</v>
      </c>
      <c r="J311" s="52">
        <v>1558.89</v>
      </c>
      <c r="K311" s="52">
        <v>1559.15</v>
      </c>
      <c r="L311" s="52">
        <v>1563.45</v>
      </c>
      <c r="M311" s="110">
        <f t="shared" si="33"/>
        <v>10687.92</v>
      </c>
      <c r="N311" s="111">
        <f t="shared" si="34"/>
        <v>1044.11</v>
      </c>
      <c r="O311" s="52">
        <v>1047.64</v>
      </c>
      <c r="P311" s="52">
        <f t="shared" si="30"/>
        <v>10590.0000000006</v>
      </c>
      <c r="Q311" s="52">
        <f t="shared" si="35"/>
        <v>5.28</v>
      </c>
      <c r="R311" s="52">
        <v>5.29</v>
      </c>
      <c r="S311" s="52">
        <f t="shared" si="31"/>
        <v>29.9999999999994</v>
      </c>
      <c r="T311" s="108">
        <f t="shared" si="32"/>
        <v>10560.0000000006</v>
      </c>
      <c r="U311" s="112"/>
      <c r="V311" s="52">
        <v>3.67</v>
      </c>
      <c r="W311" s="52">
        <v>26.86</v>
      </c>
      <c r="X311" s="52"/>
      <c r="Y311" s="52"/>
      <c r="Z311" s="52"/>
      <c r="AA311" s="52"/>
      <c r="AB311" s="108" t="s">
        <v>70</v>
      </c>
    </row>
    <row r="312" spans="1:28">
      <c r="A312" s="90">
        <f t="shared" si="29"/>
        <v>314</v>
      </c>
      <c r="B312" s="98">
        <v>46057</v>
      </c>
      <c r="C312" s="25">
        <v>46057</v>
      </c>
      <c r="D312" s="115">
        <v>0.322916666666667</v>
      </c>
      <c r="E312" s="116">
        <v>0.75</v>
      </c>
      <c r="F312" s="109">
        <v>1495.79</v>
      </c>
      <c r="G312" s="52">
        <v>1483.77</v>
      </c>
      <c r="H312" s="52">
        <v>1499.57</v>
      </c>
      <c r="I312" s="52">
        <v>1570.47</v>
      </c>
      <c r="J312" s="52">
        <v>1572.08</v>
      </c>
      <c r="K312" s="52">
        <v>1572.99</v>
      </c>
      <c r="L312" s="117">
        <v>1574.8</v>
      </c>
      <c r="M312" s="110">
        <f t="shared" si="33"/>
        <v>10769.47</v>
      </c>
      <c r="N312" s="111">
        <f t="shared" si="34"/>
        <v>1047.64</v>
      </c>
      <c r="O312" s="117">
        <v>1051.2</v>
      </c>
      <c r="P312" s="52">
        <f t="shared" si="30"/>
        <v>10679.9999999998</v>
      </c>
      <c r="Q312" s="52">
        <f t="shared" si="35"/>
        <v>5.29</v>
      </c>
      <c r="R312" s="117">
        <v>5.3</v>
      </c>
      <c r="S312" s="52">
        <f t="shared" si="31"/>
        <v>29.9999999999994</v>
      </c>
      <c r="T312" s="108">
        <f t="shared" si="32"/>
        <v>10649.9999999998</v>
      </c>
      <c r="U312" s="112"/>
      <c r="V312" s="52">
        <v>3.73</v>
      </c>
      <c r="W312" s="52">
        <v>26.5</v>
      </c>
      <c r="X312" s="52"/>
      <c r="Y312" s="52"/>
      <c r="Z312" s="52"/>
      <c r="AA312" s="52"/>
      <c r="AB312" s="108" t="s">
        <v>70</v>
      </c>
    </row>
    <row r="313" spans="1:28">
      <c r="A313" s="90">
        <f t="shared" si="29"/>
        <v>315</v>
      </c>
      <c r="B313" s="98">
        <v>46058</v>
      </c>
      <c r="C313" s="25">
        <v>46058</v>
      </c>
      <c r="D313" s="115">
        <v>0.322916666666667</v>
      </c>
      <c r="E313" s="116">
        <v>0.760416666666667</v>
      </c>
      <c r="F313" s="109">
        <v>1512</v>
      </c>
      <c r="G313" s="52">
        <v>1508.22</v>
      </c>
      <c r="H313" s="52">
        <v>1517.88</v>
      </c>
      <c r="I313" s="52">
        <v>1590.28</v>
      </c>
      <c r="J313" s="52">
        <v>1590.84</v>
      </c>
      <c r="K313" s="52">
        <v>1588.17</v>
      </c>
      <c r="L313" s="52">
        <v>1592.79</v>
      </c>
      <c r="M313" s="110">
        <f t="shared" si="33"/>
        <v>10900.18</v>
      </c>
      <c r="N313" s="111">
        <f t="shared" si="34"/>
        <v>1051.2</v>
      </c>
      <c r="O313" s="52">
        <v>1054.79</v>
      </c>
      <c r="P313" s="52">
        <f t="shared" si="30"/>
        <v>10769.9999999998</v>
      </c>
      <c r="Q313" s="117">
        <v>5.3</v>
      </c>
      <c r="R313" s="52">
        <v>5.31</v>
      </c>
      <c r="S313" s="52">
        <f t="shared" si="31"/>
        <v>29.9999999999994</v>
      </c>
      <c r="T313" s="108">
        <f t="shared" si="32"/>
        <v>10739.9999999998</v>
      </c>
      <c r="U313" s="112"/>
      <c r="V313" s="52">
        <v>4.02</v>
      </c>
      <c r="W313" s="52">
        <v>27.11</v>
      </c>
      <c r="X313" s="52"/>
      <c r="Y313" s="52"/>
      <c r="Z313" s="52"/>
      <c r="AA313" s="52"/>
      <c r="AB313" s="108" t="s">
        <v>70</v>
      </c>
    </row>
    <row r="314" spans="1:28">
      <c r="A314" s="90">
        <f t="shared" si="29"/>
        <v>316</v>
      </c>
      <c r="B314" s="98">
        <v>46059</v>
      </c>
      <c r="C314" s="25">
        <v>46059</v>
      </c>
      <c r="D314" s="115">
        <v>0.322916666666667</v>
      </c>
      <c r="E314" s="116">
        <v>0.760416666666667</v>
      </c>
      <c r="F314" s="109">
        <v>1638.92</v>
      </c>
      <c r="G314" s="52">
        <v>1636.75</v>
      </c>
      <c r="H314" s="52">
        <v>1644.81</v>
      </c>
      <c r="I314" s="52">
        <v>1724.54</v>
      </c>
      <c r="J314" s="52">
        <v>1725.78</v>
      </c>
      <c r="K314" s="52">
        <v>1722.79</v>
      </c>
      <c r="L314" s="52">
        <v>1730.78</v>
      </c>
      <c r="M314" s="110">
        <f t="shared" si="33"/>
        <v>11824.37</v>
      </c>
      <c r="N314" s="111">
        <f t="shared" si="34"/>
        <v>1054.79</v>
      </c>
      <c r="O314" s="117">
        <v>1058.7</v>
      </c>
      <c r="P314" s="52">
        <f t="shared" si="30"/>
        <v>11730.0000000002</v>
      </c>
      <c r="Q314" s="52">
        <f t="shared" si="35"/>
        <v>5.31</v>
      </c>
      <c r="R314" s="52">
        <v>5.33</v>
      </c>
      <c r="S314" s="52">
        <f t="shared" si="31"/>
        <v>60.0000000000014</v>
      </c>
      <c r="T314" s="108">
        <f t="shared" si="32"/>
        <v>11670.0000000002</v>
      </c>
      <c r="U314" s="112"/>
      <c r="V314" s="117">
        <v>4.2</v>
      </c>
      <c r="W314" s="52">
        <v>29.58</v>
      </c>
      <c r="X314" s="52"/>
      <c r="Y314" s="52"/>
      <c r="Z314" s="52"/>
      <c r="AA314" s="52"/>
      <c r="AB314" s="108" t="s">
        <v>70</v>
      </c>
    </row>
    <row r="315" spans="1:28">
      <c r="A315" s="90">
        <f t="shared" si="29"/>
        <v>317</v>
      </c>
      <c r="B315" s="98">
        <v>46060</v>
      </c>
      <c r="C315" s="25">
        <v>46060</v>
      </c>
      <c r="D315" s="115">
        <v>0.322916666666667</v>
      </c>
      <c r="E315" s="116">
        <v>0.760416666666667</v>
      </c>
      <c r="F315" s="109">
        <v>1575.56</v>
      </c>
      <c r="G315" s="117">
        <v>1572.6</v>
      </c>
      <c r="H315" s="52">
        <v>1580.33</v>
      </c>
      <c r="I315" s="52">
        <v>1654.77</v>
      </c>
      <c r="J315" s="52">
        <v>1657.19</v>
      </c>
      <c r="K315" s="52">
        <v>1655.33</v>
      </c>
      <c r="L315" s="52">
        <v>1660.28</v>
      </c>
      <c r="M315" s="110">
        <f t="shared" si="33"/>
        <v>11356.06</v>
      </c>
      <c r="N315" s="111">
        <f t="shared" si="34"/>
        <v>1058.7</v>
      </c>
      <c r="O315" s="52">
        <v>1062.45</v>
      </c>
      <c r="P315" s="52">
        <f t="shared" si="30"/>
        <v>11250</v>
      </c>
      <c r="Q315" s="52">
        <f t="shared" si="35"/>
        <v>5.33</v>
      </c>
      <c r="R315" s="52">
        <v>5.34</v>
      </c>
      <c r="S315" s="52">
        <f t="shared" si="31"/>
        <v>29.9999999999994</v>
      </c>
      <c r="T315" s="108">
        <f t="shared" si="32"/>
        <v>11220</v>
      </c>
      <c r="U315" s="112"/>
      <c r="V315" s="52">
        <v>4.07</v>
      </c>
      <c r="W315" s="52">
        <v>28.44</v>
      </c>
      <c r="X315" s="52"/>
      <c r="Y315" s="52"/>
      <c r="Z315" s="52"/>
      <c r="AA315" s="52"/>
      <c r="AB315" s="108" t="s">
        <v>70</v>
      </c>
    </row>
    <row r="316" spans="1:28">
      <c r="A316" s="90">
        <f t="shared" si="29"/>
        <v>318</v>
      </c>
      <c r="B316" s="98">
        <v>46061</v>
      </c>
      <c r="C316" s="25">
        <v>46061</v>
      </c>
      <c r="D316" s="115">
        <v>0.322916666666667</v>
      </c>
      <c r="E316" s="116">
        <v>0.760416666666667</v>
      </c>
      <c r="F316" s="109">
        <v>1650.48</v>
      </c>
      <c r="G316" s="52">
        <v>1638.76</v>
      </c>
      <c r="H316" s="52">
        <v>1631.68</v>
      </c>
      <c r="I316" s="52">
        <v>1700.76</v>
      </c>
      <c r="J316" s="52">
        <v>1699.47</v>
      </c>
      <c r="K316" s="52">
        <v>1695.27</v>
      </c>
      <c r="L316" s="117">
        <v>1701.8</v>
      </c>
      <c r="M316" s="110">
        <f t="shared" si="33"/>
        <v>11718.22</v>
      </c>
      <c r="N316" s="111">
        <f t="shared" si="34"/>
        <v>1062.45</v>
      </c>
      <c r="O316" s="52">
        <v>1066.31</v>
      </c>
      <c r="P316" s="52">
        <f t="shared" si="30"/>
        <v>11579.9999999997</v>
      </c>
      <c r="Q316" s="52">
        <f t="shared" si="35"/>
        <v>5.34</v>
      </c>
      <c r="R316" s="52">
        <v>5.35</v>
      </c>
      <c r="S316" s="52">
        <f t="shared" si="31"/>
        <v>29.9999999999994</v>
      </c>
      <c r="T316" s="108">
        <f t="shared" si="32"/>
        <v>11549.9999999997</v>
      </c>
      <c r="U316" s="112"/>
      <c r="V316" s="52">
        <v>4.05</v>
      </c>
      <c r="W316" s="52">
        <v>29</v>
      </c>
      <c r="X316" s="52"/>
      <c r="Y316" s="52"/>
      <c r="Z316" s="52"/>
      <c r="AA316" s="52"/>
      <c r="AB316" s="108" t="s">
        <v>70</v>
      </c>
    </row>
    <row r="317" spans="1:28">
      <c r="A317" s="90">
        <f t="shared" si="29"/>
        <v>319</v>
      </c>
      <c r="B317" s="98">
        <v>46062</v>
      </c>
      <c r="C317" s="25">
        <v>46062</v>
      </c>
      <c r="D317" s="115">
        <v>0.322916666666667</v>
      </c>
      <c r="E317" s="116">
        <v>0.760416666666667</v>
      </c>
      <c r="F317" s="109">
        <v>1783.93</v>
      </c>
      <c r="G317" s="52">
        <v>1780.49</v>
      </c>
      <c r="H317" s="52">
        <v>1791.02</v>
      </c>
      <c r="I317" s="52">
        <v>1876.39</v>
      </c>
      <c r="J317" s="52">
        <v>1846.74</v>
      </c>
      <c r="K317" s="117">
        <v>1830.7</v>
      </c>
      <c r="L317" s="52">
        <v>1841.67</v>
      </c>
      <c r="M317" s="110">
        <f t="shared" si="33"/>
        <v>12750.94</v>
      </c>
      <c r="N317" s="111">
        <f t="shared" si="34"/>
        <v>1066.31</v>
      </c>
      <c r="O317" s="52">
        <v>1070.51</v>
      </c>
      <c r="P317" s="52">
        <f t="shared" si="30"/>
        <v>12600.0000000001</v>
      </c>
      <c r="Q317" s="52">
        <f t="shared" si="35"/>
        <v>5.35</v>
      </c>
      <c r="R317" s="52">
        <v>5.36</v>
      </c>
      <c r="S317" s="52">
        <f t="shared" si="31"/>
        <v>30.000000000002</v>
      </c>
      <c r="T317" s="108">
        <f t="shared" si="32"/>
        <v>12570.0000000001</v>
      </c>
      <c r="U317" s="112"/>
      <c r="V317" s="52">
        <v>4.26</v>
      </c>
      <c r="W317" s="52">
        <v>27.16</v>
      </c>
      <c r="X317" s="52"/>
      <c r="Y317" s="52"/>
      <c r="Z317" s="52"/>
      <c r="AA317" s="52"/>
      <c r="AB317" s="108" t="s">
        <v>70</v>
      </c>
    </row>
    <row r="318" spans="1:28">
      <c r="A318" s="90">
        <f t="shared" si="29"/>
        <v>320</v>
      </c>
      <c r="B318" s="98">
        <v>46063</v>
      </c>
      <c r="C318" s="25">
        <v>46063</v>
      </c>
      <c r="D318" s="115">
        <v>0.322916666666667</v>
      </c>
      <c r="E318" s="116">
        <v>0.760416666666667</v>
      </c>
      <c r="F318" s="109">
        <v>1894.31</v>
      </c>
      <c r="G318" s="52">
        <v>1865.65</v>
      </c>
      <c r="H318" s="52">
        <v>1903.29</v>
      </c>
      <c r="I318" s="52">
        <v>1991.14</v>
      </c>
      <c r="J318" s="52">
        <v>1989.94</v>
      </c>
      <c r="K318" s="52">
        <v>1982.93</v>
      </c>
      <c r="L318" s="52">
        <v>1961.81</v>
      </c>
      <c r="M318" s="110">
        <f t="shared" si="33"/>
        <v>13589.07</v>
      </c>
      <c r="N318" s="111">
        <f t="shared" si="34"/>
        <v>1070.51</v>
      </c>
      <c r="O318" s="52">
        <v>1074.99</v>
      </c>
      <c r="P318" s="52">
        <f t="shared" si="30"/>
        <v>13440.0000000001</v>
      </c>
      <c r="Q318" s="52">
        <f t="shared" si="35"/>
        <v>5.36</v>
      </c>
      <c r="R318" s="52">
        <v>5.37</v>
      </c>
      <c r="S318" s="52">
        <f t="shared" si="31"/>
        <v>29.9999999999994</v>
      </c>
      <c r="T318" s="108">
        <f t="shared" si="32"/>
        <v>13410.0000000001</v>
      </c>
      <c r="U318" s="112"/>
      <c r="V318" s="52">
        <v>4.43</v>
      </c>
      <c r="W318" s="52">
        <v>26.95</v>
      </c>
      <c r="X318" s="52"/>
      <c r="Y318" s="52"/>
      <c r="Z318" s="52"/>
      <c r="AA318" s="52"/>
      <c r="AB318" s="108" t="s">
        <v>70</v>
      </c>
    </row>
    <row r="319" spans="1:28">
      <c r="A319" s="90">
        <f t="shared" si="29"/>
        <v>321</v>
      </c>
      <c r="B319" s="98">
        <v>46064</v>
      </c>
      <c r="C319" s="25">
        <v>46064</v>
      </c>
      <c r="D319" s="115">
        <v>0.322916666666667</v>
      </c>
      <c r="E319" s="116">
        <v>0.760416666666667</v>
      </c>
      <c r="F319" s="109">
        <v>1884.04</v>
      </c>
      <c r="G319" s="52">
        <v>1859.27</v>
      </c>
      <c r="H319" s="52">
        <v>1902.73</v>
      </c>
      <c r="I319" s="52">
        <v>1986.85</v>
      </c>
      <c r="J319" s="52">
        <v>1992.67</v>
      </c>
      <c r="K319" s="52">
        <v>1994.47</v>
      </c>
      <c r="L319" s="52">
        <v>2003.44</v>
      </c>
      <c r="M319" s="110">
        <f t="shared" si="33"/>
        <v>13623.47</v>
      </c>
      <c r="N319" s="111">
        <f t="shared" si="34"/>
        <v>1074.99</v>
      </c>
      <c r="O319" s="52">
        <v>1079.47</v>
      </c>
      <c r="P319" s="52">
        <f t="shared" si="30"/>
        <v>13440.0000000001</v>
      </c>
      <c r="Q319" s="52">
        <f t="shared" si="35"/>
        <v>5.37</v>
      </c>
      <c r="R319" s="52">
        <v>5.38</v>
      </c>
      <c r="S319" s="52">
        <f t="shared" si="31"/>
        <v>29.9999999999994</v>
      </c>
      <c r="T319" s="108">
        <f t="shared" si="32"/>
        <v>13410.0000000001</v>
      </c>
      <c r="U319" s="112"/>
      <c r="V319" s="52">
        <v>4.39</v>
      </c>
      <c r="W319" s="52">
        <v>27.6</v>
      </c>
      <c r="X319" s="52"/>
      <c r="Y319" s="52"/>
      <c r="Z319" s="52"/>
      <c r="AA319" s="52"/>
      <c r="AB319" s="108" t="s">
        <v>70</v>
      </c>
    </row>
    <row r="320" spans="1:28">
      <c r="A320" s="90">
        <f t="shared" si="29"/>
        <v>322</v>
      </c>
      <c r="B320" s="98">
        <v>46065</v>
      </c>
      <c r="C320" s="25">
        <v>46065</v>
      </c>
      <c r="D320" s="115">
        <v>0.322916666666667</v>
      </c>
      <c r="E320" s="116">
        <v>0.760416666666667</v>
      </c>
      <c r="F320" s="109">
        <v>1861.26</v>
      </c>
      <c r="G320" s="52">
        <v>1861.28</v>
      </c>
      <c r="H320" s="52">
        <v>1876.74</v>
      </c>
      <c r="I320" s="52">
        <v>1962.89</v>
      </c>
      <c r="J320" s="117">
        <v>1970</v>
      </c>
      <c r="K320" s="117">
        <v>1968.8</v>
      </c>
      <c r="L320" s="52">
        <v>1979.81</v>
      </c>
      <c r="M320" s="110">
        <f t="shared" si="33"/>
        <v>13480.78</v>
      </c>
      <c r="N320" s="111">
        <f t="shared" si="34"/>
        <v>1079.47</v>
      </c>
      <c r="O320" s="52">
        <v>1083.92</v>
      </c>
      <c r="P320" s="52">
        <f t="shared" si="30"/>
        <v>13350.0000000001</v>
      </c>
      <c r="Q320" s="52">
        <f t="shared" si="35"/>
        <v>5.38</v>
      </c>
      <c r="R320" s="117">
        <v>5.4</v>
      </c>
      <c r="S320" s="52">
        <f t="shared" si="31"/>
        <v>60.0000000000014</v>
      </c>
      <c r="T320" s="108">
        <f t="shared" si="32"/>
        <v>13290.0000000001</v>
      </c>
      <c r="U320" s="112"/>
      <c r="V320" s="52">
        <v>4.45</v>
      </c>
      <c r="W320" s="52">
        <v>29.18</v>
      </c>
      <c r="X320" s="52"/>
      <c r="Y320" s="52"/>
      <c r="Z320" s="52"/>
      <c r="AA320" s="52"/>
      <c r="AB320" s="108" t="s">
        <v>70</v>
      </c>
    </row>
    <row r="321" spans="1:28">
      <c r="A321" s="90">
        <f t="shared" si="29"/>
        <v>323</v>
      </c>
      <c r="B321" s="98">
        <v>46066</v>
      </c>
      <c r="C321" s="25">
        <v>46066</v>
      </c>
      <c r="D321" s="115">
        <v>0.322916666666667</v>
      </c>
      <c r="E321" s="116">
        <v>0.760416666666667</v>
      </c>
      <c r="F321" s="109">
        <v>1632.6</v>
      </c>
      <c r="G321" s="52">
        <v>1631.67</v>
      </c>
      <c r="H321" s="52">
        <v>1646.38</v>
      </c>
      <c r="I321" s="52">
        <v>1718.89</v>
      </c>
      <c r="J321" s="52">
        <v>1727.28</v>
      </c>
      <c r="K321" s="52">
        <v>1728.88</v>
      </c>
      <c r="L321" s="52">
        <v>1736.47</v>
      </c>
      <c r="M321" s="110">
        <f t="shared" si="33"/>
        <v>11822.17</v>
      </c>
      <c r="N321" s="111">
        <f t="shared" si="34"/>
        <v>1083.92</v>
      </c>
      <c r="O321" s="52">
        <v>1087.82</v>
      </c>
      <c r="P321" s="52">
        <f t="shared" si="30"/>
        <v>11699.9999999996</v>
      </c>
      <c r="Q321" s="52">
        <f t="shared" si="35"/>
        <v>5.4</v>
      </c>
      <c r="R321" s="52">
        <v>5.41</v>
      </c>
      <c r="S321" s="52">
        <f t="shared" si="31"/>
        <v>29.9999999999994</v>
      </c>
      <c r="T321" s="108">
        <f t="shared" si="32"/>
        <v>11669.9999999996</v>
      </c>
      <c r="U321" s="112"/>
      <c r="V321" s="52">
        <v>4.09</v>
      </c>
      <c r="W321" s="52">
        <v>29.86</v>
      </c>
      <c r="X321" s="52"/>
      <c r="Y321" s="52"/>
      <c r="Z321" s="52"/>
      <c r="AA321" s="52"/>
      <c r="AB321" s="108" t="s">
        <v>70</v>
      </c>
    </row>
    <row r="322" spans="1:28">
      <c r="A322" s="90">
        <f t="shared" si="29"/>
        <v>324</v>
      </c>
      <c r="B322" s="98">
        <v>46067</v>
      </c>
      <c r="C322" s="25">
        <v>46067</v>
      </c>
      <c r="D322" s="115">
        <v>0.322916666666667</v>
      </c>
      <c r="E322" s="116">
        <v>0.760416666666667</v>
      </c>
      <c r="F322" s="109">
        <v>1667.35</v>
      </c>
      <c r="G322" s="52">
        <v>1667.84</v>
      </c>
      <c r="H322" s="52">
        <v>1681.26</v>
      </c>
      <c r="I322" s="52">
        <v>1756.61</v>
      </c>
      <c r="J322" s="52">
        <v>1766.31</v>
      </c>
      <c r="K322" s="52">
        <v>1765.78</v>
      </c>
      <c r="L322" s="52">
        <v>1775.31</v>
      </c>
      <c r="M322" s="110">
        <f t="shared" si="33"/>
        <v>12080.46</v>
      </c>
      <c r="N322" s="111">
        <f t="shared" si="34"/>
        <v>1087.82</v>
      </c>
      <c r="O322" s="117">
        <v>1091.8</v>
      </c>
      <c r="P322" s="52">
        <f t="shared" si="30"/>
        <v>11940.0000000001</v>
      </c>
      <c r="Q322" s="52">
        <f t="shared" si="35"/>
        <v>5.41</v>
      </c>
      <c r="R322" s="52">
        <v>5.42</v>
      </c>
      <c r="S322" s="52">
        <f t="shared" si="31"/>
        <v>29.9999999999994</v>
      </c>
      <c r="T322" s="108">
        <f t="shared" si="32"/>
        <v>11910.0000000001</v>
      </c>
      <c r="U322" s="112"/>
      <c r="V322" s="52">
        <v>4.16</v>
      </c>
      <c r="W322" s="52">
        <v>30.25</v>
      </c>
      <c r="X322" s="52"/>
      <c r="Y322" s="52"/>
      <c r="Z322" s="52"/>
      <c r="AA322" s="52"/>
      <c r="AB322" s="108" t="s">
        <v>70</v>
      </c>
    </row>
    <row r="323" spans="1:28">
      <c r="A323" s="90">
        <f t="shared" ref="A323:A367" si="36">A322+1</f>
        <v>325</v>
      </c>
      <c r="B323" s="98">
        <v>46068</v>
      </c>
      <c r="C323" s="25">
        <v>46068</v>
      </c>
      <c r="D323" s="115">
        <v>0.322916666666667</v>
      </c>
      <c r="E323" s="116">
        <v>0.760416666666667</v>
      </c>
      <c r="F323" s="109">
        <v>1885.76</v>
      </c>
      <c r="G323" s="52">
        <v>1845.76</v>
      </c>
      <c r="H323" s="52">
        <v>1864.57</v>
      </c>
      <c r="I323" s="52">
        <v>1946.38</v>
      </c>
      <c r="J323" s="52">
        <v>1952.77</v>
      </c>
      <c r="K323" s="52">
        <v>1961.21</v>
      </c>
      <c r="L323" s="52">
        <v>2007.37</v>
      </c>
      <c r="M323" s="110">
        <f t="shared" si="33"/>
        <v>13463.82</v>
      </c>
      <c r="N323" s="111">
        <f t="shared" si="34"/>
        <v>1091.8</v>
      </c>
      <c r="O323" s="52">
        <v>1096.24</v>
      </c>
      <c r="P323" s="52">
        <f t="shared" ref="P323:P367" si="37">MAX((O323-N323)*3000,0)</f>
        <v>13320.0000000002</v>
      </c>
      <c r="Q323" s="52">
        <f t="shared" si="35"/>
        <v>5.42</v>
      </c>
      <c r="R323" s="52">
        <v>5.43</v>
      </c>
      <c r="S323" s="52">
        <f t="shared" ref="S323:S367" si="38">MAX((R323-Q323)*3000,0)</f>
        <v>29.9999999999994</v>
      </c>
      <c r="T323" s="108">
        <f t="shared" ref="T323:T367" si="39">P323-S323</f>
        <v>13290.0000000002</v>
      </c>
      <c r="U323" s="112"/>
      <c r="V323" s="52">
        <v>4.36</v>
      </c>
      <c r="W323" s="52">
        <v>30.41</v>
      </c>
      <c r="X323" s="52"/>
      <c r="Y323" s="52"/>
      <c r="Z323" s="52"/>
      <c r="AA323" s="52"/>
      <c r="AB323" s="108" t="s">
        <v>70</v>
      </c>
    </row>
    <row r="324" spans="1:28">
      <c r="A324" s="90">
        <f t="shared" si="36"/>
        <v>326</v>
      </c>
      <c r="B324" s="98">
        <v>46069</v>
      </c>
      <c r="C324" s="25">
        <v>46069</v>
      </c>
      <c r="D324" s="115">
        <v>0.322916666666667</v>
      </c>
      <c r="E324" s="116">
        <v>0.770833333333333</v>
      </c>
      <c r="F324" s="109">
        <v>1882.65</v>
      </c>
      <c r="G324" s="52">
        <v>1863.98</v>
      </c>
      <c r="H324" s="117">
        <v>1881.2</v>
      </c>
      <c r="I324" s="52">
        <v>1972.26</v>
      </c>
      <c r="J324" s="52">
        <v>1972.66</v>
      </c>
      <c r="K324" s="52">
        <v>1971.49</v>
      </c>
      <c r="L324" s="52">
        <v>1991.58</v>
      </c>
      <c r="M324" s="110">
        <f t="shared" si="33"/>
        <v>13535.82</v>
      </c>
      <c r="N324" s="111">
        <f t="shared" si="34"/>
        <v>1096.24</v>
      </c>
      <c r="O324" s="52">
        <v>1100.69</v>
      </c>
      <c r="P324" s="52">
        <f t="shared" si="37"/>
        <v>13350.0000000001</v>
      </c>
      <c r="Q324" s="52">
        <f t="shared" si="35"/>
        <v>5.43</v>
      </c>
      <c r="R324" s="52">
        <v>5.44</v>
      </c>
      <c r="S324" s="52">
        <f t="shared" si="38"/>
        <v>30.000000000002</v>
      </c>
      <c r="T324" s="108">
        <f t="shared" si="39"/>
        <v>13320.0000000001</v>
      </c>
      <c r="U324" s="112"/>
      <c r="V324" s="52">
        <v>4.55</v>
      </c>
      <c r="W324" s="52">
        <v>28.11</v>
      </c>
      <c r="X324" s="52"/>
      <c r="Y324" s="52"/>
      <c r="Z324" s="52"/>
      <c r="AA324" s="52"/>
      <c r="AB324" s="108" t="s">
        <v>70</v>
      </c>
    </row>
    <row r="325" spans="1:28">
      <c r="A325" s="90">
        <f t="shared" si="36"/>
        <v>327</v>
      </c>
      <c r="B325" s="98">
        <v>46070</v>
      </c>
      <c r="C325" s="25">
        <v>46070</v>
      </c>
      <c r="D325" s="115">
        <v>0.322916666666667</v>
      </c>
      <c r="E325" s="116">
        <v>0.770833333333333</v>
      </c>
      <c r="F325" s="109">
        <v>1893.49</v>
      </c>
      <c r="G325" s="52">
        <v>1881.95</v>
      </c>
      <c r="H325" s="52">
        <v>1895.15</v>
      </c>
      <c r="I325" s="52">
        <v>1986.78</v>
      </c>
      <c r="J325" s="117">
        <v>1990</v>
      </c>
      <c r="K325" s="117">
        <v>1984.1</v>
      </c>
      <c r="L325" s="52">
        <v>2003.62</v>
      </c>
      <c r="M325" s="110">
        <f t="shared" si="33"/>
        <v>13635.09</v>
      </c>
      <c r="N325" s="111">
        <f t="shared" si="34"/>
        <v>1100.69</v>
      </c>
      <c r="O325" s="52">
        <v>1105.18</v>
      </c>
      <c r="P325" s="52">
        <f t="shared" si="37"/>
        <v>13470</v>
      </c>
      <c r="Q325" s="52">
        <f t="shared" si="35"/>
        <v>5.44</v>
      </c>
      <c r="R325" s="52">
        <v>5.45</v>
      </c>
      <c r="S325" s="52">
        <f t="shared" si="38"/>
        <v>29.9999999999994</v>
      </c>
      <c r="T325" s="108">
        <f t="shared" si="39"/>
        <v>13440</v>
      </c>
      <c r="U325" s="112"/>
      <c r="V325" s="52">
        <v>4.73</v>
      </c>
      <c r="W325" s="52">
        <v>25.97</v>
      </c>
      <c r="X325" s="52"/>
      <c r="Y325" s="52"/>
      <c r="Z325" s="52"/>
      <c r="AA325" s="52"/>
      <c r="AB325" s="108" t="s">
        <v>70</v>
      </c>
    </row>
    <row r="326" spans="1:28">
      <c r="A326" s="90">
        <f t="shared" si="36"/>
        <v>328</v>
      </c>
      <c r="B326" s="98">
        <v>46071</v>
      </c>
      <c r="C326" s="25">
        <v>46071</v>
      </c>
      <c r="D326" s="115">
        <v>0.322916666666667</v>
      </c>
      <c r="E326" s="116">
        <v>0.760416666666667</v>
      </c>
      <c r="F326" s="109">
        <v>1963.97</v>
      </c>
      <c r="G326" s="52">
        <v>1927.32</v>
      </c>
      <c r="H326" s="52">
        <v>1947.85</v>
      </c>
      <c r="I326" s="52">
        <v>2034.31</v>
      </c>
      <c r="J326" s="52">
        <v>2038.21</v>
      </c>
      <c r="K326" s="52">
        <v>2033.73</v>
      </c>
      <c r="L326" s="52">
        <v>2047.41</v>
      </c>
      <c r="M326" s="110">
        <f t="shared" si="33"/>
        <v>13992.8</v>
      </c>
      <c r="N326" s="111">
        <f t="shared" si="34"/>
        <v>1105.18</v>
      </c>
      <c r="O326" s="52">
        <v>1109.79</v>
      </c>
      <c r="P326" s="52">
        <f t="shared" si="37"/>
        <v>13829.9999999997</v>
      </c>
      <c r="Q326" s="52">
        <f t="shared" si="35"/>
        <v>5.45</v>
      </c>
      <c r="R326" s="52">
        <v>5.47</v>
      </c>
      <c r="S326" s="52">
        <f t="shared" si="38"/>
        <v>59.9999999999987</v>
      </c>
      <c r="T326" s="108">
        <f t="shared" si="39"/>
        <v>13769.9999999997</v>
      </c>
      <c r="U326" s="112"/>
      <c r="V326" s="52">
        <v>4.61</v>
      </c>
      <c r="W326" s="52">
        <v>28.18</v>
      </c>
      <c r="X326" s="52"/>
      <c r="Y326" s="52"/>
      <c r="Z326" s="52"/>
      <c r="AA326" s="52"/>
      <c r="AB326" s="108" t="s">
        <v>70</v>
      </c>
    </row>
    <row r="327" spans="1:28">
      <c r="A327" s="90">
        <f t="shared" si="36"/>
        <v>329</v>
      </c>
      <c r="B327" s="98">
        <v>46072</v>
      </c>
      <c r="C327" s="25">
        <v>46072</v>
      </c>
      <c r="D327" s="115">
        <v>0.322916666666667</v>
      </c>
      <c r="E327" s="116">
        <v>0.770833333333333</v>
      </c>
      <c r="F327" s="109">
        <v>1847.21</v>
      </c>
      <c r="G327" s="52">
        <v>1838.26</v>
      </c>
      <c r="H327" s="52">
        <v>1815.45</v>
      </c>
      <c r="I327" s="52">
        <v>1935.54</v>
      </c>
      <c r="J327" s="52">
        <v>1932.99</v>
      </c>
      <c r="K327" s="52">
        <v>1925.46</v>
      </c>
      <c r="L327" s="52">
        <v>1920.28</v>
      </c>
      <c r="M327" s="110">
        <f t="shared" si="33"/>
        <v>13215.19</v>
      </c>
      <c r="N327" s="111">
        <f t="shared" si="34"/>
        <v>1109.79</v>
      </c>
      <c r="O327" s="52">
        <v>1114.15</v>
      </c>
      <c r="P327" s="52">
        <f t="shared" si="37"/>
        <v>13080.0000000004</v>
      </c>
      <c r="Q327" s="52">
        <f t="shared" si="35"/>
        <v>5.47</v>
      </c>
      <c r="R327" s="52">
        <v>5.48</v>
      </c>
      <c r="S327" s="52">
        <f t="shared" si="38"/>
        <v>30.000000000002</v>
      </c>
      <c r="T327" s="108">
        <f t="shared" si="39"/>
        <v>13050.0000000004</v>
      </c>
      <c r="U327" s="112"/>
      <c r="V327" s="117">
        <v>4.4</v>
      </c>
      <c r="W327" s="52">
        <v>29.04</v>
      </c>
      <c r="X327" s="52"/>
      <c r="Y327" s="52"/>
      <c r="Z327" s="52"/>
      <c r="AA327" s="52"/>
      <c r="AB327" s="108" t="s">
        <v>70</v>
      </c>
    </row>
    <row r="328" spans="1:28">
      <c r="A328" s="90">
        <f t="shared" si="36"/>
        <v>330</v>
      </c>
      <c r="B328" s="98">
        <v>46073</v>
      </c>
      <c r="C328" s="25">
        <v>46073</v>
      </c>
      <c r="D328" s="115">
        <v>0.322916666666667</v>
      </c>
      <c r="E328" s="116">
        <v>0.760416666666667</v>
      </c>
      <c r="F328" s="109">
        <v>1718.04</v>
      </c>
      <c r="G328" s="52">
        <v>1709.36</v>
      </c>
      <c r="H328" s="52">
        <v>1721.37</v>
      </c>
      <c r="I328" s="52">
        <v>1799.75</v>
      </c>
      <c r="J328" s="52">
        <v>1803.09</v>
      </c>
      <c r="K328" s="52">
        <v>1802.69</v>
      </c>
      <c r="L328" s="52">
        <v>1815.49</v>
      </c>
      <c r="M328" s="110">
        <f t="shared" si="33"/>
        <v>12369.79</v>
      </c>
      <c r="N328" s="111">
        <f t="shared" si="34"/>
        <v>1114.15</v>
      </c>
      <c r="O328" s="52">
        <v>1118.23</v>
      </c>
      <c r="P328" s="52">
        <f t="shared" si="37"/>
        <v>12239.9999999998</v>
      </c>
      <c r="Q328" s="52">
        <f t="shared" si="35"/>
        <v>5.48</v>
      </c>
      <c r="R328" s="52">
        <v>5.49</v>
      </c>
      <c r="S328" s="52">
        <f t="shared" si="38"/>
        <v>29.9999999999994</v>
      </c>
      <c r="T328" s="108">
        <f t="shared" si="39"/>
        <v>12209.9999999998</v>
      </c>
      <c r="U328" s="112"/>
      <c r="V328" s="52">
        <v>4.35</v>
      </c>
      <c r="W328" s="52">
        <v>29.93</v>
      </c>
      <c r="X328" s="52"/>
      <c r="Y328" s="52"/>
      <c r="Z328" s="52"/>
      <c r="AA328" s="52"/>
      <c r="AB328" s="108" t="s">
        <v>70</v>
      </c>
    </row>
    <row r="329" spans="1:28">
      <c r="A329" s="90">
        <f t="shared" si="36"/>
        <v>331</v>
      </c>
      <c r="B329" s="98">
        <v>46074</v>
      </c>
      <c r="C329" s="25">
        <v>46074</v>
      </c>
      <c r="D329" s="115">
        <v>0.322916666666667</v>
      </c>
      <c r="E329" s="116">
        <v>0.760416666666667</v>
      </c>
      <c r="F329" s="109">
        <v>1798.56</v>
      </c>
      <c r="G329" s="52">
        <v>1788.12</v>
      </c>
      <c r="H329" s="52">
        <v>1801.81</v>
      </c>
      <c r="I329" s="52">
        <v>1882.37</v>
      </c>
      <c r="J329" s="52">
        <v>1887.76</v>
      </c>
      <c r="K329" s="52">
        <v>1885.81</v>
      </c>
      <c r="L329" s="52">
        <v>1894.26</v>
      </c>
      <c r="M329" s="110">
        <f t="shared" si="33"/>
        <v>12938.69</v>
      </c>
      <c r="N329" s="111">
        <f t="shared" si="34"/>
        <v>1118.23</v>
      </c>
      <c r="O329" s="117">
        <v>1122.5</v>
      </c>
      <c r="P329" s="52">
        <f t="shared" si="37"/>
        <v>12809.9999999999</v>
      </c>
      <c r="Q329" s="52">
        <f t="shared" si="35"/>
        <v>5.49</v>
      </c>
      <c r="R329" s="117">
        <v>5.5</v>
      </c>
      <c r="S329" s="52">
        <f t="shared" si="38"/>
        <v>29.9999999999994</v>
      </c>
      <c r="T329" s="108">
        <f t="shared" si="39"/>
        <v>12779.9999999999</v>
      </c>
      <c r="U329" s="112"/>
      <c r="V329" s="117">
        <v>4.5</v>
      </c>
      <c r="W329" s="52">
        <v>30.88</v>
      </c>
      <c r="X329" s="52"/>
      <c r="Y329" s="52"/>
      <c r="Z329" s="52"/>
      <c r="AA329" s="52"/>
      <c r="AB329" s="108" t="s">
        <v>70</v>
      </c>
    </row>
    <row r="330" spans="1:28">
      <c r="A330" s="90">
        <f t="shared" si="36"/>
        <v>332</v>
      </c>
      <c r="B330" s="98">
        <v>46075</v>
      </c>
      <c r="C330" s="25">
        <v>46075</v>
      </c>
      <c r="D330" s="115">
        <v>0.322916666666667</v>
      </c>
      <c r="E330" s="116">
        <v>0.770833333333333</v>
      </c>
      <c r="F330" s="109">
        <v>1579.58</v>
      </c>
      <c r="G330" s="52">
        <v>1574.34</v>
      </c>
      <c r="H330" s="52">
        <v>1586.28</v>
      </c>
      <c r="I330" s="52">
        <v>1661.84</v>
      </c>
      <c r="J330" s="52">
        <v>1668.02</v>
      </c>
      <c r="K330" s="52">
        <v>1663.44</v>
      </c>
      <c r="L330" s="52">
        <v>1672.57</v>
      </c>
      <c r="M330" s="110">
        <f t="shared" si="33"/>
        <v>11406.07</v>
      </c>
      <c r="N330" s="111">
        <f t="shared" si="34"/>
        <v>1122.5</v>
      </c>
      <c r="O330" s="52">
        <v>1126.26</v>
      </c>
      <c r="P330" s="52">
        <f t="shared" si="37"/>
        <v>11280</v>
      </c>
      <c r="Q330" s="52">
        <f t="shared" si="35"/>
        <v>5.5</v>
      </c>
      <c r="R330" s="52">
        <v>5.51</v>
      </c>
      <c r="S330" s="52">
        <f t="shared" si="38"/>
        <v>29.9999999999994</v>
      </c>
      <c r="T330" s="108">
        <f t="shared" si="39"/>
        <v>11250</v>
      </c>
      <c r="U330" s="112"/>
      <c r="V330" s="52">
        <v>4.12</v>
      </c>
      <c r="W330" s="52">
        <v>30.79</v>
      </c>
      <c r="X330" s="52"/>
      <c r="Y330" s="52"/>
      <c r="Z330" s="52"/>
      <c r="AA330" s="52"/>
      <c r="AB330" s="108" t="s">
        <v>72</v>
      </c>
    </row>
    <row r="331" spans="1:28">
      <c r="A331" s="90">
        <f t="shared" si="36"/>
        <v>333</v>
      </c>
      <c r="B331" s="98">
        <v>46076</v>
      </c>
      <c r="C331" s="25">
        <v>46076</v>
      </c>
      <c r="D331" s="115">
        <v>0.322916666666667</v>
      </c>
      <c r="E331" s="116">
        <v>0.760416666666667</v>
      </c>
      <c r="F331" s="109">
        <v>1479.54</v>
      </c>
      <c r="G331" s="52">
        <v>1458.87</v>
      </c>
      <c r="H331" s="52">
        <v>1470.73</v>
      </c>
      <c r="I331" s="52">
        <v>1539.23</v>
      </c>
      <c r="J331" s="52">
        <v>1545.37</v>
      </c>
      <c r="K331" s="52">
        <v>1547.16</v>
      </c>
      <c r="L331" s="52">
        <v>1571.72</v>
      </c>
      <c r="M331" s="110">
        <f t="shared" si="33"/>
        <v>10612.62</v>
      </c>
      <c r="N331" s="111">
        <f t="shared" si="34"/>
        <v>1126.26</v>
      </c>
      <c r="O331" s="52">
        <v>1129.76</v>
      </c>
      <c r="P331" s="52">
        <f t="shared" si="37"/>
        <v>10500</v>
      </c>
      <c r="Q331" s="52">
        <f t="shared" si="35"/>
        <v>5.51</v>
      </c>
      <c r="R331" s="52">
        <v>5.52</v>
      </c>
      <c r="S331" s="52">
        <f t="shared" si="38"/>
        <v>29.9999999999994</v>
      </c>
      <c r="T331" s="108">
        <f t="shared" si="39"/>
        <v>10470</v>
      </c>
      <c r="U331" s="112"/>
      <c r="V331" s="117">
        <v>4.2</v>
      </c>
      <c r="W331" s="52">
        <v>31.32</v>
      </c>
      <c r="X331" s="52"/>
      <c r="Y331" s="52"/>
      <c r="Z331" s="52"/>
      <c r="AA331" s="52"/>
      <c r="AB331" s="108" t="s">
        <v>72</v>
      </c>
    </row>
    <row r="332" spans="1:28">
      <c r="A332" s="90">
        <f t="shared" si="36"/>
        <v>334</v>
      </c>
      <c r="B332" s="98">
        <v>46077</v>
      </c>
      <c r="C332" s="25">
        <v>46077</v>
      </c>
      <c r="D332" s="115">
        <v>0.322916666666667</v>
      </c>
      <c r="E332" s="116">
        <v>0.770833333333333</v>
      </c>
      <c r="F332" s="109">
        <v>1518.75</v>
      </c>
      <c r="G332" s="117">
        <v>1504.6</v>
      </c>
      <c r="H332" s="117">
        <v>1524.4</v>
      </c>
      <c r="I332" s="52">
        <v>1591.72</v>
      </c>
      <c r="J332" s="52">
        <v>1598.95</v>
      </c>
      <c r="K332" s="52">
        <v>1597.96</v>
      </c>
      <c r="L332" s="52">
        <v>1610.98</v>
      </c>
      <c r="M332" s="110">
        <f t="shared" si="33"/>
        <v>10947.36</v>
      </c>
      <c r="N332" s="111">
        <f t="shared" si="34"/>
        <v>1129.76</v>
      </c>
      <c r="O332" s="52">
        <v>1133.38</v>
      </c>
      <c r="P332" s="52">
        <f t="shared" si="37"/>
        <v>10860.0000000004</v>
      </c>
      <c r="Q332" s="52">
        <f t="shared" si="35"/>
        <v>5.52</v>
      </c>
      <c r="R332" s="52">
        <v>5.53</v>
      </c>
      <c r="S332" s="52">
        <f t="shared" si="38"/>
        <v>30.000000000002</v>
      </c>
      <c r="T332" s="108">
        <f t="shared" si="39"/>
        <v>10830.0000000004</v>
      </c>
      <c r="U332" s="112"/>
      <c r="V332" s="117">
        <v>4.6</v>
      </c>
      <c r="W332" s="52">
        <v>31.61</v>
      </c>
      <c r="X332" s="52"/>
      <c r="Y332" s="52"/>
      <c r="Z332" s="52"/>
      <c r="AA332" s="52"/>
      <c r="AB332" s="108" t="s">
        <v>72</v>
      </c>
    </row>
    <row r="333" spans="1:28">
      <c r="A333" s="90">
        <f t="shared" si="36"/>
        <v>335</v>
      </c>
      <c r="B333" s="98">
        <v>46078</v>
      </c>
      <c r="C333" s="25">
        <v>46078</v>
      </c>
      <c r="D333" s="115">
        <v>0.3125</v>
      </c>
      <c r="E333" s="116">
        <v>0.770833333333333</v>
      </c>
      <c r="F333" s="109">
        <v>1908.81</v>
      </c>
      <c r="G333" s="52">
        <v>1901.29</v>
      </c>
      <c r="H333" s="52">
        <v>1915.09</v>
      </c>
      <c r="I333" s="52">
        <v>2001.42</v>
      </c>
      <c r="J333" s="52">
        <v>2015.33</v>
      </c>
      <c r="K333" s="117">
        <v>2011.8</v>
      </c>
      <c r="L333" s="52">
        <v>2023.45</v>
      </c>
      <c r="M333" s="110">
        <f t="shared" ref="M333:M368" si="40">SUM(F333:L333)</f>
        <v>13777.19</v>
      </c>
      <c r="N333" s="111">
        <f t="shared" ref="N333:N368" si="41">O332</f>
        <v>1133.38</v>
      </c>
      <c r="O333" s="52">
        <v>1137.92</v>
      </c>
      <c r="P333" s="52">
        <f t="shared" si="37"/>
        <v>13619.9999999999</v>
      </c>
      <c r="Q333" s="52">
        <f t="shared" ref="Q333:Q368" si="42">R332</f>
        <v>5.53</v>
      </c>
      <c r="R333" s="52">
        <v>5.55</v>
      </c>
      <c r="S333" s="52">
        <f t="shared" si="38"/>
        <v>59.9999999999987</v>
      </c>
      <c r="T333" s="108">
        <f t="shared" si="39"/>
        <v>13559.9999999999</v>
      </c>
      <c r="U333" s="112"/>
      <c r="V333" s="52">
        <v>4.7</v>
      </c>
      <c r="W333" s="52">
        <v>30.77</v>
      </c>
      <c r="X333" s="52"/>
      <c r="Y333" s="52"/>
      <c r="Z333" s="52"/>
      <c r="AA333" s="52"/>
      <c r="AB333" s="108" t="s">
        <v>72</v>
      </c>
    </row>
    <row r="334" spans="1:28">
      <c r="A334" s="90">
        <f t="shared" si="36"/>
        <v>336</v>
      </c>
      <c r="B334" s="98">
        <v>46079</v>
      </c>
      <c r="C334" s="25">
        <v>46079</v>
      </c>
      <c r="D334" s="115">
        <v>0.3125</v>
      </c>
      <c r="E334" s="116">
        <v>0.770833333333333</v>
      </c>
      <c r="F334" s="109">
        <v>1940.33</v>
      </c>
      <c r="G334" s="117">
        <v>1923.4</v>
      </c>
      <c r="H334" s="52">
        <v>1931.41</v>
      </c>
      <c r="I334" s="52">
        <v>2037.01</v>
      </c>
      <c r="J334" s="52">
        <v>2046.11</v>
      </c>
      <c r="K334" s="52">
        <v>2040.48</v>
      </c>
      <c r="L334" s="52">
        <v>2053.39</v>
      </c>
      <c r="M334" s="110">
        <f t="shared" si="40"/>
        <v>13972.13</v>
      </c>
      <c r="N334" s="111">
        <f t="shared" si="41"/>
        <v>1137.92</v>
      </c>
      <c r="O334" s="52">
        <v>1142.52</v>
      </c>
      <c r="P334" s="52">
        <f t="shared" si="37"/>
        <v>13799.9999999997</v>
      </c>
      <c r="Q334" s="52">
        <f t="shared" si="42"/>
        <v>5.55</v>
      </c>
      <c r="R334" s="52">
        <v>5.56</v>
      </c>
      <c r="S334" s="52">
        <f t="shared" si="38"/>
        <v>29.9999999999994</v>
      </c>
      <c r="T334" s="108">
        <f t="shared" si="39"/>
        <v>13769.9999999997</v>
      </c>
      <c r="U334" s="112"/>
      <c r="V334" s="52">
        <v>4.13</v>
      </c>
      <c r="W334" s="52">
        <v>27.31</v>
      </c>
      <c r="X334" s="52"/>
      <c r="Y334" s="52"/>
      <c r="Z334" s="52"/>
      <c r="AA334" s="52"/>
      <c r="AB334" s="108" t="s">
        <v>72</v>
      </c>
    </row>
    <row r="335" spans="1:28">
      <c r="A335" s="90">
        <f t="shared" si="36"/>
        <v>337</v>
      </c>
      <c r="B335" s="98">
        <v>46080</v>
      </c>
      <c r="C335" s="25">
        <v>46080</v>
      </c>
      <c r="D335" s="115">
        <v>0.3125</v>
      </c>
      <c r="E335" s="116">
        <v>0.770833333333333</v>
      </c>
      <c r="F335" s="109">
        <v>799.97</v>
      </c>
      <c r="G335" s="52">
        <v>792.64</v>
      </c>
      <c r="H335" s="117">
        <v>796.9</v>
      </c>
      <c r="I335" s="52">
        <v>836.79</v>
      </c>
      <c r="J335" s="52">
        <v>846.13</v>
      </c>
      <c r="K335" s="117">
        <v>842.2</v>
      </c>
      <c r="L335" s="52">
        <v>849.39</v>
      </c>
      <c r="M335" s="110">
        <f t="shared" si="40"/>
        <v>5764.02</v>
      </c>
      <c r="N335" s="111">
        <f t="shared" si="41"/>
        <v>1142.52</v>
      </c>
      <c r="O335" s="52">
        <v>1144.42</v>
      </c>
      <c r="P335" s="52">
        <f t="shared" si="37"/>
        <v>5700.00000000027</v>
      </c>
      <c r="Q335" s="52">
        <f t="shared" si="42"/>
        <v>5.56</v>
      </c>
      <c r="R335" s="52">
        <v>5.57</v>
      </c>
      <c r="S335" s="52">
        <f t="shared" si="38"/>
        <v>30.000000000002</v>
      </c>
      <c r="T335" s="108">
        <f t="shared" si="39"/>
        <v>5670.00000000027</v>
      </c>
      <c r="U335" s="112"/>
      <c r="V335" s="52">
        <v>2.44</v>
      </c>
      <c r="W335" s="117">
        <v>26.4</v>
      </c>
      <c r="X335" s="52"/>
      <c r="Y335" s="52"/>
      <c r="Z335" s="52"/>
      <c r="AA335" s="52"/>
      <c r="AB335" s="108" t="s">
        <v>72</v>
      </c>
    </row>
    <row r="336" spans="1:28">
      <c r="A336" s="90">
        <f t="shared" si="36"/>
        <v>338</v>
      </c>
      <c r="B336" s="98">
        <v>46081</v>
      </c>
      <c r="C336" s="25">
        <v>46081</v>
      </c>
      <c r="D336" s="115">
        <v>0.3125</v>
      </c>
      <c r="E336" s="116">
        <v>0.770833333333333</v>
      </c>
      <c r="F336" s="109">
        <v>2022.02</v>
      </c>
      <c r="G336" s="52">
        <v>2006.04</v>
      </c>
      <c r="H336" s="52">
        <v>1993.95</v>
      </c>
      <c r="I336" s="52">
        <v>2084.03</v>
      </c>
      <c r="J336" s="117">
        <v>2091.8</v>
      </c>
      <c r="K336" s="52">
        <v>2086.05</v>
      </c>
      <c r="L336" s="52">
        <v>2099.94</v>
      </c>
      <c r="M336" s="110">
        <f t="shared" si="40"/>
        <v>14383.83</v>
      </c>
      <c r="N336" s="111">
        <f t="shared" si="41"/>
        <v>1144.42</v>
      </c>
      <c r="O336" s="52">
        <v>1149.16</v>
      </c>
      <c r="P336" s="52">
        <f t="shared" si="37"/>
        <v>14220</v>
      </c>
      <c r="Q336" s="52">
        <f t="shared" si="42"/>
        <v>5.57</v>
      </c>
      <c r="R336" s="52">
        <v>5.58</v>
      </c>
      <c r="S336" s="52">
        <f t="shared" si="38"/>
        <v>29.9999999999994</v>
      </c>
      <c r="T336" s="108">
        <f t="shared" si="39"/>
        <v>14190</v>
      </c>
      <c r="U336" s="112"/>
      <c r="V336" s="52">
        <v>4.42</v>
      </c>
      <c r="W336" s="52">
        <v>28.37</v>
      </c>
      <c r="X336" s="52"/>
      <c r="Y336" s="52"/>
      <c r="Z336" s="52"/>
      <c r="AA336" s="52"/>
      <c r="AB336" s="108" t="s">
        <v>70</v>
      </c>
    </row>
    <row r="337" spans="1:28">
      <c r="A337" s="90">
        <f t="shared" si="36"/>
        <v>339</v>
      </c>
      <c r="B337" s="98">
        <v>46082</v>
      </c>
      <c r="C337" s="25">
        <v>46082</v>
      </c>
      <c r="D337" s="115">
        <v>0.3125</v>
      </c>
      <c r="E337" s="116">
        <v>0.770833333333333</v>
      </c>
      <c r="F337" s="109">
        <v>1997.11</v>
      </c>
      <c r="G337" s="52">
        <v>1986.08</v>
      </c>
      <c r="H337" s="52">
        <v>1996.64</v>
      </c>
      <c r="I337" s="52">
        <v>2092.39</v>
      </c>
      <c r="J337" s="52">
        <v>2094.97</v>
      </c>
      <c r="K337" s="52">
        <v>2090.97</v>
      </c>
      <c r="L337" s="52">
        <v>2100.43</v>
      </c>
      <c r="M337" s="110">
        <f t="shared" si="40"/>
        <v>14358.59</v>
      </c>
      <c r="N337" s="111">
        <f t="shared" si="41"/>
        <v>1149.16</v>
      </c>
      <c r="O337" s="52">
        <v>1153.89</v>
      </c>
      <c r="P337" s="52">
        <f t="shared" si="37"/>
        <v>14190.0000000001</v>
      </c>
      <c r="Q337" s="52">
        <f t="shared" si="42"/>
        <v>5.58</v>
      </c>
      <c r="R337" s="52">
        <v>5.59</v>
      </c>
      <c r="S337" s="52">
        <f t="shared" si="38"/>
        <v>29.9999999999994</v>
      </c>
      <c r="T337" s="108">
        <f t="shared" si="39"/>
        <v>14160.0000000001</v>
      </c>
      <c r="U337" s="112"/>
      <c r="V337" s="52">
        <v>4.86</v>
      </c>
      <c r="W337" s="52">
        <v>28.88</v>
      </c>
      <c r="X337" s="52"/>
      <c r="Y337" s="52"/>
      <c r="Z337" s="52"/>
      <c r="AA337" s="52"/>
      <c r="AB337" s="108" t="s">
        <v>70</v>
      </c>
    </row>
    <row r="338" spans="1:28">
      <c r="A338" s="90">
        <f t="shared" si="36"/>
        <v>340</v>
      </c>
      <c r="B338" s="98">
        <v>46083</v>
      </c>
      <c r="C338" s="25">
        <v>46083</v>
      </c>
      <c r="D338" s="115">
        <v>0.3125</v>
      </c>
      <c r="E338" s="116">
        <v>0.770833333333333</v>
      </c>
      <c r="F338" s="109">
        <v>1957.18</v>
      </c>
      <c r="G338" s="52">
        <v>1945.82</v>
      </c>
      <c r="H338" s="117">
        <v>1956.7</v>
      </c>
      <c r="I338" s="52">
        <v>2050.84</v>
      </c>
      <c r="J338" s="52">
        <v>2053.29</v>
      </c>
      <c r="K338" s="52">
        <v>2056.37</v>
      </c>
      <c r="L338" s="52">
        <v>2070.18</v>
      </c>
      <c r="M338" s="110">
        <f t="shared" si="40"/>
        <v>14090.38</v>
      </c>
      <c r="N338" s="111">
        <f t="shared" si="41"/>
        <v>1153.89</v>
      </c>
      <c r="O338" s="52">
        <v>1158.53</v>
      </c>
      <c r="P338" s="52">
        <f t="shared" si="37"/>
        <v>13919.9999999996</v>
      </c>
      <c r="Q338" s="52">
        <f t="shared" si="42"/>
        <v>5.59</v>
      </c>
      <c r="R338" s="117">
        <v>5.6</v>
      </c>
      <c r="S338" s="52">
        <f t="shared" si="38"/>
        <v>29.9999999999994</v>
      </c>
      <c r="T338" s="108">
        <f t="shared" si="39"/>
        <v>13889.9999999996</v>
      </c>
      <c r="U338" s="112"/>
      <c r="V338" s="52">
        <v>4.86</v>
      </c>
      <c r="W338" s="52">
        <v>30.26</v>
      </c>
      <c r="X338" s="52"/>
      <c r="Y338" s="52"/>
      <c r="Z338" s="52"/>
      <c r="AA338" s="52"/>
      <c r="AB338" s="108" t="s">
        <v>70</v>
      </c>
    </row>
    <row r="339" spans="1:28">
      <c r="A339" s="90">
        <f t="shared" si="36"/>
        <v>341</v>
      </c>
      <c r="B339" s="98">
        <v>46084</v>
      </c>
      <c r="C339" s="25">
        <v>46084</v>
      </c>
      <c r="D339" s="115">
        <v>0.3125</v>
      </c>
      <c r="E339" s="116">
        <v>0.770833333333333</v>
      </c>
      <c r="F339" s="109">
        <v>1845.1</v>
      </c>
      <c r="G339" s="52">
        <v>1833.34</v>
      </c>
      <c r="H339" s="52">
        <v>1844.74</v>
      </c>
      <c r="I339" s="52">
        <v>1934.91</v>
      </c>
      <c r="J339" s="52">
        <v>1941.54</v>
      </c>
      <c r="K339" s="52">
        <v>1939.46</v>
      </c>
      <c r="L339" s="52">
        <v>1951.64</v>
      </c>
      <c r="M339" s="110">
        <f t="shared" si="40"/>
        <v>13290.73</v>
      </c>
      <c r="N339" s="111">
        <f t="shared" si="41"/>
        <v>1158.53</v>
      </c>
      <c r="O339" s="52">
        <v>1162.91</v>
      </c>
      <c r="P339" s="52">
        <f t="shared" si="37"/>
        <v>13140.0000000003</v>
      </c>
      <c r="Q339" s="52">
        <f t="shared" si="42"/>
        <v>5.6</v>
      </c>
      <c r="R339" s="52">
        <v>5.61</v>
      </c>
      <c r="S339" s="52">
        <f t="shared" si="38"/>
        <v>30.000000000002</v>
      </c>
      <c r="T339" s="108">
        <f t="shared" si="39"/>
        <v>13110.0000000003</v>
      </c>
      <c r="U339" s="112"/>
      <c r="V339" s="52">
        <v>4.61</v>
      </c>
      <c r="W339" s="52">
        <v>32.46</v>
      </c>
      <c r="X339" s="52"/>
      <c r="Y339" s="52"/>
      <c r="Z339" s="52"/>
      <c r="AA339" s="52"/>
      <c r="AB339" s="108" t="s">
        <v>70</v>
      </c>
    </row>
    <row r="340" spans="1:28">
      <c r="A340" s="90">
        <f t="shared" si="36"/>
        <v>342</v>
      </c>
      <c r="B340" s="98">
        <v>46085</v>
      </c>
      <c r="C340" s="25">
        <v>46085</v>
      </c>
      <c r="D340" s="115">
        <v>0.3125</v>
      </c>
      <c r="E340" s="116">
        <v>0.770833333333333</v>
      </c>
      <c r="F340" s="109">
        <v>1885.98</v>
      </c>
      <c r="G340" s="52">
        <v>1174.45</v>
      </c>
      <c r="H340" s="52">
        <v>1885.82</v>
      </c>
      <c r="I340" s="117">
        <v>1978.4</v>
      </c>
      <c r="J340" s="52">
        <v>1984.07</v>
      </c>
      <c r="K340" s="52">
        <v>1983.85</v>
      </c>
      <c r="L340" s="117">
        <v>1996.7</v>
      </c>
      <c r="M340" s="110">
        <f t="shared" si="40"/>
        <v>12889.27</v>
      </c>
      <c r="N340" s="111">
        <f t="shared" si="41"/>
        <v>1162.91</v>
      </c>
      <c r="O340" s="52">
        <v>1167.16</v>
      </c>
      <c r="P340" s="52">
        <f t="shared" si="37"/>
        <v>12750</v>
      </c>
      <c r="Q340" s="52">
        <f t="shared" si="42"/>
        <v>5.61</v>
      </c>
      <c r="R340" s="52">
        <v>5.63</v>
      </c>
      <c r="S340" s="52">
        <f t="shared" si="38"/>
        <v>59.9999999999987</v>
      </c>
      <c r="T340" s="108">
        <f t="shared" si="39"/>
        <v>12690</v>
      </c>
      <c r="U340" s="112"/>
      <c r="V340" s="52">
        <v>4.66</v>
      </c>
      <c r="W340" s="52">
        <v>34.02</v>
      </c>
      <c r="X340" s="52"/>
      <c r="Y340" s="52"/>
      <c r="Z340" s="52"/>
      <c r="AA340" s="52"/>
      <c r="AB340" s="108" t="s">
        <v>70</v>
      </c>
    </row>
    <row r="341" spans="1:28">
      <c r="A341" s="90">
        <f t="shared" si="36"/>
        <v>343</v>
      </c>
      <c r="B341" s="98">
        <v>46086</v>
      </c>
      <c r="C341" s="25">
        <v>46086</v>
      </c>
      <c r="D341" s="115">
        <v>0.3125</v>
      </c>
      <c r="E341" s="116">
        <v>0.770833333333333</v>
      </c>
      <c r="F341" s="109">
        <v>1971.16</v>
      </c>
      <c r="G341" s="52">
        <v>1469.64</v>
      </c>
      <c r="H341" s="52">
        <v>1950.39</v>
      </c>
      <c r="I341" s="52">
        <v>2034.59</v>
      </c>
      <c r="J341" s="52">
        <v>2039.29</v>
      </c>
      <c r="K341" s="52">
        <v>2038.71</v>
      </c>
      <c r="L341" s="52">
        <v>2053.86</v>
      </c>
      <c r="M341" s="110">
        <f t="shared" si="40"/>
        <v>13557.64</v>
      </c>
      <c r="N341" s="111">
        <f t="shared" si="41"/>
        <v>1167.16</v>
      </c>
      <c r="O341" s="52">
        <v>1171.63</v>
      </c>
      <c r="P341" s="52">
        <f t="shared" si="37"/>
        <v>13410.0000000001</v>
      </c>
      <c r="Q341" s="52">
        <f t="shared" si="42"/>
        <v>5.63</v>
      </c>
      <c r="R341" s="52">
        <v>5.64</v>
      </c>
      <c r="S341" s="52">
        <f t="shared" si="38"/>
        <v>29.9999999999994</v>
      </c>
      <c r="T341" s="108">
        <f t="shared" si="39"/>
        <v>13380.0000000001</v>
      </c>
      <c r="U341" s="112"/>
      <c r="V341" s="52">
        <v>4.84</v>
      </c>
      <c r="W341" s="52">
        <v>32.37</v>
      </c>
      <c r="X341" s="52"/>
      <c r="Y341" s="52"/>
      <c r="Z341" s="52"/>
      <c r="AA341" s="52"/>
      <c r="AB341" s="108" t="s">
        <v>70</v>
      </c>
    </row>
    <row r="342" spans="1:28">
      <c r="A342" s="90">
        <f t="shared" si="36"/>
        <v>344</v>
      </c>
      <c r="B342" s="98">
        <v>46087</v>
      </c>
      <c r="C342" s="25">
        <v>46087</v>
      </c>
      <c r="D342" s="115">
        <v>0.322916666666667</v>
      </c>
      <c r="E342" s="116">
        <v>0.770833333333333</v>
      </c>
      <c r="F342" s="109">
        <v>2100.09</v>
      </c>
      <c r="G342" s="52">
        <v>2093.45</v>
      </c>
      <c r="H342" s="117">
        <v>2103</v>
      </c>
      <c r="I342" s="52">
        <v>2209.23</v>
      </c>
      <c r="J342" s="52">
        <v>2210.89</v>
      </c>
      <c r="K342" s="117">
        <v>2204.3</v>
      </c>
      <c r="L342" s="52">
        <v>2215.47</v>
      </c>
      <c r="M342" s="110">
        <f t="shared" si="40"/>
        <v>15136.43</v>
      </c>
      <c r="N342" s="111">
        <f t="shared" si="41"/>
        <v>1171.63</v>
      </c>
      <c r="O342" s="117">
        <v>1176.6</v>
      </c>
      <c r="P342" s="52">
        <f t="shared" si="37"/>
        <v>14909.9999999994</v>
      </c>
      <c r="Q342" s="52">
        <f t="shared" si="42"/>
        <v>5.64</v>
      </c>
      <c r="R342" s="52">
        <v>5.65</v>
      </c>
      <c r="S342" s="52">
        <f t="shared" si="38"/>
        <v>30.000000000002</v>
      </c>
      <c r="T342" s="108">
        <f t="shared" si="39"/>
        <v>14879.9999999994</v>
      </c>
      <c r="U342" s="112"/>
      <c r="V342" s="52">
        <v>4.57</v>
      </c>
      <c r="W342" s="52">
        <v>29.43</v>
      </c>
      <c r="X342" s="52"/>
      <c r="Y342" s="52"/>
      <c r="Z342" s="52"/>
      <c r="AA342" s="52"/>
      <c r="AB342" s="108" t="s">
        <v>70</v>
      </c>
    </row>
    <row r="343" spans="1:28">
      <c r="A343" s="90">
        <f t="shared" si="36"/>
        <v>345</v>
      </c>
      <c r="B343" s="98">
        <v>46088</v>
      </c>
      <c r="C343" s="25">
        <v>46088</v>
      </c>
      <c r="D343" s="115">
        <v>0.3125</v>
      </c>
      <c r="E343" s="116">
        <v>0.770833333333333</v>
      </c>
      <c r="F343" s="109">
        <v>1863.12</v>
      </c>
      <c r="G343" s="117">
        <v>1855.6</v>
      </c>
      <c r="H343" s="52">
        <v>1864.75</v>
      </c>
      <c r="I343" s="52">
        <v>1956.63</v>
      </c>
      <c r="J343" s="52">
        <v>1958.15</v>
      </c>
      <c r="K343" s="52">
        <v>1961.58</v>
      </c>
      <c r="L343" s="117">
        <v>1972.3</v>
      </c>
      <c r="M343" s="110">
        <f t="shared" si="40"/>
        <v>13432.13</v>
      </c>
      <c r="N343" s="111">
        <f t="shared" si="41"/>
        <v>1176.6</v>
      </c>
      <c r="O343" s="52">
        <v>1181.03</v>
      </c>
      <c r="P343" s="52">
        <f t="shared" si="37"/>
        <v>13290.0000000002</v>
      </c>
      <c r="Q343" s="52">
        <f t="shared" si="42"/>
        <v>5.65</v>
      </c>
      <c r="R343" s="52">
        <v>5.66</v>
      </c>
      <c r="S343" s="52">
        <f t="shared" si="38"/>
        <v>29.9999999999994</v>
      </c>
      <c r="T343" s="108">
        <f t="shared" si="39"/>
        <v>13260.0000000002</v>
      </c>
      <c r="U343" s="112"/>
      <c r="V343" s="52">
        <v>4.98</v>
      </c>
      <c r="W343" s="52">
        <v>31.2</v>
      </c>
      <c r="X343" s="52"/>
      <c r="Y343" s="52"/>
      <c r="Z343" s="52"/>
      <c r="AA343" s="52"/>
      <c r="AB343" s="108" t="s">
        <v>70</v>
      </c>
    </row>
    <row r="344" spans="1:28">
      <c r="A344" s="90">
        <f t="shared" si="36"/>
        <v>346</v>
      </c>
      <c r="B344" s="98">
        <v>46089</v>
      </c>
      <c r="C344" s="25">
        <v>46089</v>
      </c>
      <c r="D344" s="115">
        <v>0.3125</v>
      </c>
      <c r="E344" s="116">
        <v>0.770833333333333</v>
      </c>
      <c r="F344" s="109">
        <v>1918.63</v>
      </c>
      <c r="G344" s="52">
        <v>1913.21</v>
      </c>
      <c r="H344" s="52">
        <v>1921.36</v>
      </c>
      <c r="I344" s="117">
        <v>2013</v>
      </c>
      <c r="J344" s="52">
        <v>2018.32</v>
      </c>
      <c r="K344" s="117">
        <v>2016.1</v>
      </c>
      <c r="L344" s="52">
        <v>2031.57</v>
      </c>
      <c r="M344" s="110">
        <f t="shared" si="40"/>
        <v>13832.19</v>
      </c>
      <c r="N344" s="111">
        <f t="shared" si="41"/>
        <v>1181.03</v>
      </c>
      <c r="O344" s="52">
        <v>1185.58</v>
      </c>
      <c r="P344" s="52">
        <f t="shared" si="37"/>
        <v>13649.9999999999</v>
      </c>
      <c r="Q344" s="52">
        <f t="shared" si="42"/>
        <v>5.66</v>
      </c>
      <c r="R344" s="52">
        <v>5.67</v>
      </c>
      <c r="S344" s="52">
        <f t="shared" si="38"/>
        <v>29.9999999999994</v>
      </c>
      <c r="T344" s="108">
        <f t="shared" si="39"/>
        <v>13619.9999999999</v>
      </c>
      <c r="U344" s="112"/>
      <c r="V344" s="52">
        <v>4.86</v>
      </c>
      <c r="W344" s="52">
        <v>34.11</v>
      </c>
      <c r="X344" s="52"/>
      <c r="Y344" s="52"/>
      <c r="Z344" s="52"/>
      <c r="AA344" s="52"/>
      <c r="AB344" s="108" t="s">
        <v>70</v>
      </c>
    </row>
    <row r="345" spans="1:28">
      <c r="A345" s="90">
        <f t="shared" si="36"/>
        <v>347</v>
      </c>
      <c r="B345" s="98">
        <v>46090</v>
      </c>
      <c r="C345" s="25">
        <v>46090</v>
      </c>
      <c r="D345" s="115">
        <v>0.3125</v>
      </c>
      <c r="E345" s="116">
        <v>0.770833333333333</v>
      </c>
      <c r="F345" s="109">
        <v>1936.48</v>
      </c>
      <c r="G345" s="52">
        <v>1929.84</v>
      </c>
      <c r="H345" s="52">
        <v>1940.59</v>
      </c>
      <c r="I345" s="52">
        <v>2031.97</v>
      </c>
      <c r="J345" s="52">
        <v>2038.49</v>
      </c>
      <c r="K345" s="52">
        <v>2038.15</v>
      </c>
      <c r="L345" s="52">
        <v>2052.42</v>
      </c>
      <c r="M345" s="110">
        <f t="shared" si="40"/>
        <v>13967.94</v>
      </c>
      <c r="N345" s="111">
        <f t="shared" si="41"/>
        <v>1185.58</v>
      </c>
      <c r="O345" s="52">
        <v>1190.19</v>
      </c>
      <c r="P345" s="52">
        <f t="shared" si="37"/>
        <v>13830.0000000004</v>
      </c>
      <c r="Q345" s="52">
        <f t="shared" si="42"/>
        <v>5.67</v>
      </c>
      <c r="R345" s="52">
        <v>5.68</v>
      </c>
      <c r="S345" s="52">
        <f t="shared" si="38"/>
        <v>29.9999999999994</v>
      </c>
      <c r="T345" s="108">
        <f t="shared" si="39"/>
        <v>13800.0000000004</v>
      </c>
      <c r="U345" s="112"/>
      <c r="V345" s="52">
        <v>4.91</v>
      </c>
      <c r="W345" s="52">
        <v>36.4</v>
      </c>
      <c r="X345" s="52"/>
      <c r="Y345" s="52"/>
      <c r="Z345" s="52"/>
      <c r="AA345" s="52"/>
      <c r="AB345" s="108" t="s">
        <v>70</v>
      </c>
    </row>
    <row r="346" spans="1:28">
      <c r="A346" s="90">
        <f t="shared" si="36"/>
        <v>348</v>
      </c>
      <c r="B346" s="98">
        <v>46091</v>
      </c>
      <c r="C346" s="25">
        <v>46091</v>
      </c>
      <c r="D346" s="115">
        <v>0.3125</v>
      </c>
      <c r="E346" s="116">
        <v>0.770833333333333</v>
      </c>
      <c r="F346" s="109">
        <v>1904.88</v>
      </c>
      <c r="G346" s="52">
        <v>1901.87</v>
      </c>
      <c r="H346" s="52">
        <v>1910.79</v>
      </c>
      <c r="I346" s="117">
        <v>2002.7</v>
      </c>
      <c r="J346" s="52">
        <v>2008.31</v>
      </c>
      <c r="K346" s="52">
        <v>2005.98</v>
      </c>
      <c r="L346" s="52">
        <v>2022.75</v>
      </c>
      <c r="M346" s="110">
        <f t="shared" si="40"/>
        <v>13757.28</v>
      </c>
      <c r="N346" s="111">
        <f t="shared" si="41"/>
        <v>1190.19</v>
      </c>
      <c r="O346" s="52">
        <v>1194.72</v>
      </c>
      <c r="P346" s="52">
        <f t="shared" si="37"/>
        <v>13589.9999999999</v>
      </c>
      <c r="Q346" s="52">
        <f t="shared" si="42"/>
        <v>5.68</v>
      </c>
      <c r="R346" s="52">
        <v>5.69</v>
      </c>
      <c r="S346" s="52">
        <f t="shared" si="38"/>
        <v>30.000000000002</v>
      </c>
      <c r="T346" s="108">
        <f t="shared" si="39"/>
        <v>13559.9999999999</v>
      </c>
      <c r="U346" s="112"/>
      <c r="V346" s="52">
        <v>4.91</v>
      </c>
      <c r="W346" s="52">
        <v>36.24</v>
      </c>
      <c r="X346" s="52"/>
      <c r="Y346" s="52"/>
      <c r="Z346" s="52"/>
      <c r="AA346" s="52"/>
      <c r="AB346" s="108" t="s">
        <v>70</v>
      </c>
    </row>
    <row r="347" spans="1:28">
      <c r="A347" s="90">
        <f t="shared" si="36"/>
        <v>349</v>
      </c>
      <c r="B347" s="98">
        <v>46092</v>
      </c>
      <c r="C347" s="25">
        <v>46092</v>
      </c>
      <c r="D347" s="115">
        <v>0.3125</v>
      </c>
      <c r="E347" s="116">
        <v>0.770833333333333</v>
      </c>
      <c r="F347" s="109">
        <v>1897.1</v>
      </c>
      <c r="G347" s="52">
        <v>1883.71</v>
      </c>
      <c r="H347" s="52">
        <v>1870.75</v>
      </c>
      <c r="I347" s="52">
        <v>1948.65</v>
      </c>
      <c r="J347" s="52">
        <v>1956.79</v>
      </c>
      <c r="K347" s="52">
        <v>1958.07</v>
      </c>
      <c r="L347" s="52">
        <v>1970.11</v>
      </c>
      <c r="M347" s="110">
        <f t="shared" si="40"/>
        <v>13485.18</v>
      </c>
      <c r="N347" s="111">
        <f t="shared" si="41"/>
        <v>1194.72</v>
      </c>
      <c r="O347" s="52">
        <v>1199.16</v>
      </c>
      <c r="P347" s="52">
        <f t="shared" si="37"/>
        <v>13320.0000000002</v>
      </c>
      <c r="Q347" s="52">
        <f t="shared" si="42"/>
        <v>5.69</v>
      </c>
      <c r="R347" s="117">
        <v>5.7</v>
      </c>
      <c r="S347" s="52">
        <f t="shared" si="38"/>
        <v>29.9999999999994</v>
      </c>
      <c r="T347" s="108">
        <f t="shared" si="39"/>
        <v>13290.0000000002</v>
      </c>
      <c r="U347" s="112"/>
      <c r="V347" s="52">
        <v>4.88</v>
      </c>
      <c r="W347" s="52">
        <v>36.08</v>
      </c>
      <c r="X347" s="52"/>
      <c r="Y347" s="52"/>
      <c r="Z347" s="52"/>
      <c r="AA347" s="52"/>
      <c r="AB347" s="108" t="s">
        <v>70</v>
      </c>
    </row>
    <row r="348" spans="1:28">
      <c r="A348" s="90">
        <f t="shared" si="36"/>
        <v>350</v>
      </c>
      <c r="B348" s="98">
        <v>46093</v>
      </c>
      <c r="C348" s="25">
        <v>46093</v>
      </c>
      <c r="D348" s="115">
        <v>0.3125</v>
      </c>
      <c r="E348" s="116">
        <v>0.770833333333333</v>
      </c>
      <c r="F348" s="109">
        <v>1937.16</v>
      </c>
      <c r="G348" s="52">
        <v>1922.11</v>
      </c>
      <c r="H348" s="52">
        <v>1930.76</v>
      </c>
      <c r="I348" s="52">
        <v>1975.49</v>
      </c>
      <c r="J348" s="52">
        <v>1990.62</v>
      </c>
      <c r="K348" s="52">
        <v>1992.92</v>
      </c>
      <c r="L348" s="52">
        <v>2030.33</v>
      </c>
      <c r="M348" s="110">
        <f t="shared" si="40"/>
        <v>13779.39</v>
      </c>
      <c r="N348" s="111">
        <f t="shared" si="41"/>
        <v>1199.16</v>
      </c>
      <c r="O348" s="117">
        <v>1203.7</v>
      </c>
      <c r="P348" s="52">
        <f t="shared" si="37"/>
        <v>13619.9999999999</v>
      </c>
      <c r="Q348" s="52">
        <f t="shared" si="42"/>
        <v>5.7</v>
      </c>
      <c r="R348" s="52">
        <v>5.72</v>
      </c>
      <c r="S348" s="52">
        <f t="shared" si="38"/>
        <v>59.9999999999987</v>
      </c>
      <c r="T348" s="108">
        <f t="shared" si="39"/>
        <v>13559.9999999999</v>
      </c>
      <c r="U348" s="112"/>
      <c r="V348" s="52">
        <v>4.91</v>
      </c>
      <c r="W348" s="52">
        <v>34.66</v>
      </c>
      <c r="X348" s="52"/>
      <c r="Y348" s="52"/>
      <c r="Z348" s="52"/>
      <c r="AA348" s="52"/>
      <c r="AB348" s="108" t="s">
        <v>70</v>
      </c>
    </row>
    <row r="349" spans="1:28">
      <c r="A349" s="90">
        <f t="shared" si="36"/>
        <v>351</v>
      </c>
      <c r="B349" s="98">
        <v>46094</v>
      </c>
      <c r="C349" s="25">
        <v>46094</v>
      </c>
      <c r="D349" s="115">
        <v>0.3125</v>
      </c>
      <c r="E349" s="116">
        <v>0.770833333333333</v>
      </c>
      <c r="F349" s="109">
        <v>1899.92</v>
      </c>
      <c r="G349" s="52">
        <v>1885.11</v>
      </c>
      <c r="H349" s="117">
        <v>1892.7</v>
      </c>
      <c r="I349" s="52">
        <v>1937.75</v>
      </c>
      <c r="J349" s="52">
        <v>1936.66</v>
      </c>
      <c r="K349" s="52">
        <v>1940.87</v>
      </c>
      <c r="L349" s="52">
        <v>1993.74</v>
      </c>
      <c r="M349" s="110">
        <f t="shared" si="40"/>
        <v>13486.75</v>
      </c>
      <c r="N349" s="111">
        <f t="shared" si="41"/>
        <v>1203.7</v>
      </c>
      <c r="O349" s="52">
        <v>1208.15</v>
      </c>
      <c r="P349" s="52">
        <f t="shared" si="37"/>
        <v>13350.0000000001</v>
      </c>
      <c r="Q349" s="52">
        <f t="shared" si="42"/>
        <v>5.72</v>
      </c>
      <c r="R349" s="52">
        <v>5.73</v>
      </c>
      <c r="S349" s="52">
        <f t="shared" si="38"/>
        <v>30.000000000002</v>
      </c>
      <c r="T349" s="108">
        <f t="shared" si="39"/>
        <v>13320.0000000001</v>
      </c>
      <c r="U349" s="112"/>
      <c r="V349" s="52">
        <v>5.05</v>
      </c>
      <c r="W349" s="52">
        <v>33.91</v>
      </c>
      <c r="X349" s="52"/>
      <c r="Y349" s="52"/>
      <c r="Z349" s="52"/>
      <c r="AA349" s="52"/>
      <c r="AB349" s="108" t="s">
        <v>70</v>
      </c>
    </row>
    <row r="350" spans="1:28">
      <c r="A350" s="90">
        <f t="shared" si="36"/>
        <v>352</v>
      </c>
      <c r="B350" s="98">
        <v>46095</v>
      </c>
      <c r="C350" s="25">
        <v>46095</v>
      </c>
      <c r="D350" s="115">
        <v>0.302083333333333</v>
      </c>
      <c r="E350" s="116">
        <v>0.770833333333333</v>
      </c>
      <c r="F350" s="109">
        <v>2035.94</v>
      </c>
      <c r="G350" s="52">
        <v>1929.08</v>
      </c>
      <c r="H350" s="117">
        <v>2035.5</v>
      </c>
      <c r="I350" s="52">
        <v>2107.44</v>
      </c>
      <c r="J350" s="52">
        <v>2099.33</v>
      </c>
      <c r="K350" s="52">
        <v>2078.22</v>
      </c>
      <c r="L350" s="52">
        <v>2133.49</v>
      </c>
      <c r="M350" s="110">
        <f t="shared" si="40"/>
        <v>14419</v>
      </c>
      <c r="N350" s="111">
        <f t="shared" si="41"/>
        <v>1208.15</v>
      </c>
      <c r="O350" s="117">
        <v>1212.9</v>
      </c>
      <c r="P350" s="52">
        <f t="shared" si="37"/>
        <v>14250</v>
      </c>
      <c r="Q350" s="52">
        <f t="shared" si="42"/>
        <v>5.73</v>
      </c>
      <c r="R350" s="52">
        <v>5.74</v>
      </c>
      <c r="S350" s="52">
        <f t="shared" si="38"/>
        <v>29.9999999999994</v>
      </c>
      <c r="T350" s="108">
        <f t="shared" si="39"/>
        <v>14220</v>
      </c>
      <c r="U350" s="112"/>
      <c r="V350" s="52">
        <v>5.34</v>
      </c>
      <c r="W350" s="52">
        <v>31.43</v>
      </c>
      <c r="X350" s="52"/>
      <c r="Y350" s="52"/>
      <c r="Z350" s="52"/>
      <c r="AA350" s="52"/>
      <c r="AB350" s="108" t="s">
        <v>70</v>
      </c>
    </row>
    <row r="351" spans="1:28">
      <c r="A351" s="90">
        <f t="shared" si="36"/>
        <v>353</v>
      </c>
      <c r="B351" s="98">
        <v>46096</v>
      </c>
      <c r="C351" s="25">
        <v>46096</v>
      </c>
      <c r="D351" s="115">
        <v>0.302083333333333</v>
      </c>
      <c r="E351" s="116">
        <v>0.770833333333333</v>
      </c>
      <c r="F351" s="109">
        <v>1962.19</v>
      </c>
      <c r="G351" s="52">
        <v>1967.16</v>
      </c>
      <c r="H351" s="52">
        <v>1364.33</v>
      </c>
      <c r="I351" s="52">
        <v>2055.35</v>
      </c>
      <c r="J351" s="52">
        <v>2056.22</v>
      </c>
      <c r="K351" s="52">
        <v>2040.78</v>
      </c>
      <c r="L351" s="52">
        <v>2055.06</v>
      </c>
      <c r="M351" s="110">
        <f t="shared" si="40"/>
        <v>13501.09</v>
      </c>
      <c r="N351" s="111">
        <f t="shared" si="41"/>
        <v>1212.9</v>
      </c>
      <c r="O351" s="52">
        <v>1217.34</v>
      </c>
      <c r="P351" s="52">
        <f t="shared" si="37"/>
        <v>13319.9999999995</v>
      </c>
      <c r="Q351" s="52">
        <f t="shared" si="42"/>
        <v>5.74</v>
      </c>
      <c r="R351" s="52">
        <v>5.75</v>
      </c>
      <c r="S351" s="52">
        <f t="shared" si="38"/>
        <v>29.9999999999994</v>
      </c>
      <c r="T351" s="108">
        <f t="shared" si="39"/>
        <v>13289.9999999995</v>
      </c>
      <c r="U351" s="112"/>
      <c r="V351" s="52">
        <v>5.09</v>
      </c>
      <c r="W351" s="117">
        <v>31.8</v>
      </c>
      <c r="X351" s="52"/>
      <c r="Y351" s="52"/>
      <c r="Z351" s="52"/>
      <c r="AA351" s="52"/>
      <c r="AB351" s="108" t="s">
        <v>70</v>
      </c>
    </row>
    <row r="352" spans="1:28">
      <c r="A352" s="90">
        <f t="shared" si="36"/>
        <v>354</v>
      </c>
      <c r="B352" s="98">
        <v>46097</v>
      </c>
      <c r="C352" s="25">
        <v>46097</v>
      </c>
      <c r="D352" s="115">
        <v>0.3125</v>
      </c>
      <c r="E352" s="116">
        <v>0.770833333333333</v>
      </c>
      <c r="F352" s="109">
        <v>2008.42</v>
      </c>
      <c r="G352" s="52">
        <v>1946.27</v>
      </c>
      <c r="H352" s="52">
        <v>2018.31</v>
      </c>
      <c r="I352" s="52">
        <v>2103.83</v>
      </c>
      <c r="J352" s="52">
        <v>2104.76</v>
      </c>
      <c r="K352" s="52">
        <v>2089.93</v>
      </c>
      <c r="L352" s="52">
        <v>2099.46</v>
      </c>
      <c r="M352" s="110">
        <f t="shared" si="40"/>
        <v>14370.98</v>
      </c>
      <c r="N352" s="111">
        <f t="shared" si="41"/>
        <v>1217.34</v>
      </c>
      <c r="O352" s="52">
        <v>1222.07</v>
      </c>
      <c r="P352" s="52">
        <f t="shared" si="37"/>
        <v>14190.0000000001</v>
      </c>
      <c r="Q352" s="52">
        <f t="shared" si="42"/>
        <v>5.75</v>
      </c>
      <c r="R352" s="52">
        <v>5.76</v>
      </c>
      <c r="S352" s="52">
        <f t="shared" si="38"/>
        <v>29.9999999999994</v>
      </c>
      <c r="T352" s="108">
        <f t="shared" si="39"/>
        <v>14160.0000000001</v>
      </c>
      <c r="U352" s="112"/>
      <c r="V352" s="52">
        <v>5.31</v>
      </c>
      <c r="W352" s="52">
        <v>31.93</v>
      </c>
      <c r="X352" s="52"/>
      <c r="Y352" s="52"/>
      <c r="Z352" s="52"/>
      <c r="AA352" s="52"/>
      <c r="AB352" s="108" t="s">
        <v>70</v>
      </c>
    </row>
    <row r="353" spans="1:28">
      <c r="A353" s="90">
        <f t="shared" si="36"/>
        <v>355</v>
      </c>
      <c r="B353" s="98">
        <v>46098</v>
      </c>
      <c r="C353" s="25">
        <v>46098</v>
      </c>
      <c r="D353" s="115">
        <v>0.302083333333333</v>
      </c>
      <c r="E353" s="116">
        <v>0.770833333333333</v>
      </c>
      <c r="F353" s="109">
        <v>1944.58</v>
      </c>
      <c r="G353" s="52">
        <v>1911.63</v>
      </c>
      <c r="H353" s="52">
        <v>1951.75</v>
      </c>
      <c r="I353" s="52">
        <v>2014.38</v>
      </c>
      <c r="J353" s="52">
        <v>2001.88</v>
      </c>
      <c r="K353" s="52">
        <v>2008.59</v>
      </c>
      <c r="L353" s="52">
        <v>2036.59</v>
      </c>
      <c r="M353" s="110">
        <f t="shared" si="40"/>
        <v>13869.4</v>
      </c>
      <c r="N353" s="111">
        <f t="shared" si="41"/>
        <v>1222.07</v>
      </c>
      <c r="O353" s="52">
        <v>1226.64</v>
      </c>
      <c r="P353" s="52">
        <f t="shared" si="37"/>
        <v>13710.0000000005</v>
      </c>
      <c r="Q353" s="52">
        <f t="shared" si="42"/>
        <v>5.76</v>
      </c>
      <c r="R353" s="52">
        <v>5.77</v>
      </c>
      <c r="S353" s="52">
        <f t="shared" si="38"/>
        <v>29.9999999999994</v>
      </c>
      <c r="T353" s="108">
        <f t="shared" si="39"/>
        <v>13680.0000000005</v>
      </c>
      <c r="U353" s="112"/>
      <c r="V353" s="52">
        <v>5.28</v>
      </c>
      <c r="W353" s="52">
        <v>30.54</v>
      </c>
      <c r="X353" s="52"/>
      <c r="Y353" s="52"/>
      <c r="Z353" s="52"/>
      <c r="AA353" s="52"/>
      <c r="AB353" s="108" t="s">
        <v>70</v>
      </c>
    </row>
    <row r="354" spans="1:28">
      <c r="A354" s="90">
        <f t="shared" si="36"/>
        <v>356</v>
      </c>
      <c r="B354" s="98">
        <v>46099</v>
      </c>
      <c r="C354" s="25">
        <v>46099</v>
      </c>
      <c r="D354" s="115">
        <v>0.302083333333333</v>
      </c>
      <c r="E354" s="116">
        <v>0.770833333333333</v>
      </c>
      <c r="F354" s="109">
        <v>1918.26</v>
      </c>
      <c r="G354" s="52">
        <v>1919.73</v>
      </c>
      <c r="H354" s="52">
        <v>1924.14</v>
      </c>
      <c r="I354" s="52">
        <v>1981.65</v>
      </c>
      <c r="J354" s="52">
        <v>1973.96</v>
      </c>
      <c r="K354" s="52">
        <v>1977.65</v>
      </c>
      <c r="L354" s="117">
        <v>1999.4</v>
      </c>
      <c r="M354" s="110">
        <f t="shared" si="40"/>
        <v>13694.79</v>
      </c>
      <c r="N354" s="111">
        <f t="shared" si="41"/>
        <v>1226.64</v>
      </c>
      <c r="O354" s="52">
        <v>1231.16</v>
      </c>
      <c r="P354" s="52">
        <f t="shared" si="37"/>
        <v>13559.9999999999</v>
      </c>
      <c r="Q354" s="52">
        <f t="shared" si="42"/>
        <v>5.77</v>
      </c>
      <c r="R354" s="52">
        <v>5.78</v>
      </c>
      <c r="S354" s="52">
        <f t="shared" si="38"/>
        <v>30.000000000002</v>
      </c>
      <c r="T354" s="108">
        <f t="shared" si="39"/>
        <v>13529.9999999999</v>
      </c>
      <c r="U354" s="112"/>
      <c r="V354" s="52">
        <v>4.94</v>
      </c>
      <c r="W354" s="117">
        <v>31.1</v>
      </c>
      <c r="X354" s="52"/>
      <c r="Y354" s="52"/>
      <c r="Z354" s="52"/>
      <c r="AA354" s="52"/>
      <c r="AB354" s="108" t="s">
        <v>70</v>
      </c>
    </row>
    <row r="355" spans="1:28">
      <c r="A355" s="90">
        <f t="shared" si="36"/>
        <v>357</v>
      </c>
      <c r="B355" s="98">
        <v>46100</v>
      </c>
      <c r="C355" s="25">
        <v>46100</v>
      </c>
      <c r="D355" s="115">
        <v>0.302083333333333</v>
      </c>
      <c r="E355" s="116">
        <v>0.666666666666667</v>
      </c>
      <c r="F355" s="109">
        <v>1319.06</v>
      </c>
      <c r="G355" s="52">
        <v>1319.24</v>
      </c>
      <c r="H355" s="52">
        <v>1323.83</v>
      </c>
      <c r="I355" s="52">
        <v>1364.78</v>
      </c>
      <c r="J355" s="52">
        <v>1357.25</v>
      </c>
      <c r="K355" s="52">
        <v>1364.15</v>
      </c>
      <c r="L355" s="52">
        <v>1380.06</v>
      </c>
      <c r="M355" s="110">
        <f t="shared" si="40"/>
        <v>9428.37</v>
      </c>
      <c r="N355" s="111">
        <f t="shared" si="41"/>
        <v>1231.16</v>
      </c>
      <c r="O355" s="52">
        <v>1234.27</v>
      </c>
      <c r="P355" s="52">
        <f t="shared" si="37"/>
        <v>9329.9999999997</v>
      </c>
      <c r="Q355" s="52">
        <f t="shared" si="42"/>
        <v>5.78</v>
      </c>
      <c r="R355" s="52">
        <v>5.79</v>
      </c>
      <c r="S355" s="52">
        <f t="shared" si="38"/>
        <v>29.9999999999994</v>
      </c>
      <c r="T355" s="108">
        <f t="shared" si="39"/>
        <v>9299.9999999997</v>
      </c>
      <c r="U355" s="112"/>
      <c r="V355" s="52">
        <v>3.22</v>
      </c>
      <c r="W355" s="52">
        <v>29.16</v>
      </c>
      <c r="X355" s="52"/>
      <c r="Y355" s="52"/>
      <c r="Z355" s="52"/>
      <c r="AA355" s="52"/>
      <c r="AB355" s="108" t="s">
        <v>72</v>
      </c>
    </row>
    <row r="356" spans="1:28">
      <c r="A356" s="90">
        <f t="shared" si="36"/>
        <v>358</v>
      </c>
      <c r="B356" s="98">
        <v>46101</v>
      </c>
      <c r="C356" s="25">
        <v>46101</v>
      </c>
      <c r="D356" s="115">
        <v>0.302083333333333</v>
      </c>
      <c r="E356" s="116">
        <v>0.770833333333333</v>
      </c>
      <c r="F356" s="109">
        <v>1997.45</v>
      </c>
      <c r="G356" s="52">
        <v>1580.77</v>
      </c>
      <c r="H356" s="52">
        <v>1995.51</v>
      </c>
      <c r="I356" s="52">
        <v>2083.73</v>
      </c>
      <c r="J356" s="52">
        <v>2081.55</v>
      </c>
      <c r="K356" s="52">
        <v>2083.99</v>
      </c>
      <c r="L356" s="52">
        <v>2101.28</v>
      </c>
      <c r="M356" s="110">
        <f t="shared" si="40"/>
        <v>13924.28</v>
      </c>
      <c r="N356" s="111">
        <f t="shared" si="41"/>
        <v>1234.27</v>
      </c>
      <c r="O356" s="52">
        <v>1238.85</v>
      </c>
      <c r="P356" s="52">
        <f t="shared" si="37"/>
        <v>13739.9999999998</v>
      </c>
      <c r="Q356" s="52">
        <f t="shared" si="42"/>
        <v>5.79</v>
      </c>
      <c r="R356" s="52">
        <v>5.81</v>
      </c>
      <c r="S356" s="52">
        <f t="shared" si="38"/>
        <v>59.9999999999987</v>
      </c>
      <c r="T356" s="108">
        <f t="shared" si="39"/>
        <v>13679.9999999998</v>
      </c>
      <c r="U356" s="112"/>
      <c r="V356" s="52">
        <v>3.77</v>
      </c>
      <c r="W356" s="52">
        <v>29.19</v>
      </c>
      <c r="X356" s="52"/>
      <c r="Y356" s="52"/>
      <c r="Z356" s="52"/>
      <c r="AA356" s="52"/>
      <c r="AB356" s="108" t="s">
        <v>70</v>
      </c>
    </row>
    <row r="357" spans="1:28">
      <c r="A357" s="90">
        <f t="shared" si="36"/>
        <v>359</v>
      </c>
      <c r="B357" s="98">
        <v>46102</v>
      </c>
      <c r="C357" s="25">
        <v>46102</v>
      </c>
      <c r="D357" s="115">
        <v>0.302083333333333</v>
      </c>
      <c r="E357" s="116">
        <v>0.770833333333333</v>
      </c>
      <c r="F357" s="109">
        <v>1940.54</v>
      </c>
      <c r="G357" s="52">
        <v>1841.73</v>
      </c>
      <c r="H357" s="52">
        <v>1937.06</v>
      </c>
      <c r="I357" s="52">
        <v>2023.81</v>
      </c>
      <c r="J357" s="52">
        <v>2022.17</v>
      </c>
      <c r="K357" s="52">
        <v>2022.72</v>
      </c>
      <c r="L357" s="117">
        <v>2035.8</v>
      </c>
      <c r="M357" s="110">
        <f t="shared" si="40"/>
        <v>13823.83</v>
      </c>
      <c r="N357" s="111">
        <f t="shared" si="41"/>
        <v>1238.85</v>
      </c>
      <c r="O357" s="117">
        <v>1243.4</v>
      </c>
      <c r="P357" s="52">
        <f t="shared" si="37"/>
        <v>13650.0000000005</v>
      </c>
      <c r="Q357" s="52">
        <f t="shared" si="42"/>
        <v>5.81</v>
      </c>
      <c r="R357" s="52">
        <v>5.82</v>
      </c>
      <c r="S357" s="52">
        <f t="shared" si="38"/>
        <v>30.000000000002</v>
      </c>
      <c r="T357" s="108">
        <f t="shared" si="39"/>
        <v>13620.0000000005</v>
      </c>
      <c r="U357" s="112"/>
      <c r="V357" s="52">
        <v>4.66</v>
      </c>
      <c r="W357" s="52">
        <v>31.28</v>
      </c>
      <c r="X357" s="52"/>
      <c r="Y357" s="52"/>
      <c r="Z357" s="52"/>
      <c r="AA357" s="52"/>
      <c r="AB357" s="108" t="s">
        <v>70</v>
      </c>
    </row>
    <row r="358" spans="1:28">
      <c r="A358" s="90">
        <f t="shared" si="36"/>
        <v>360</v>
      </c>
      <c r="B358" s="98">
        <v>46103</v>
      </c>
      <c r="C358" s="25">
        <v>46103</v>
      </c>
      <c r="D358" s="115">
        <v>0.302083333333333</v>
      </c>
      <c r="E358" s="116">
        <v>0.770833333333333</v>
      </c>
      <c r="F358" s="109">
        <v>1916.25</v>
      </c>
      <c r="G358" s="52">
        <v>1866.41</v>
      </c>
      <c r="H358" s="52">
        <v>1913.37</v>
      </c>
      <c r="I358" s="52">
        <v>1996.28</v>
      </c>
      <c r="J358" s="52">
        <v>1994.11</v>
      </c>
      <c r="K358" s="52">
        <v>1996.22</v>
      </c>
      <c r="L358" s="117">
        <v>2009.6</v>
      </c>
      <c r="M358" s="110">
        <f t="shared" si="40"/>
        <v>13692.24</v>
      </c>
      <c r="N358" s="111">
        <f t="shared" si="41"/>
        <v>1243.4</v>
      </c>
      <c r="O358" s="52">
        <v>1247.91</v>
      </c>
      <c r="P358" s="52">
        <f t="shared" si="37"/>
        <v>13530</v>
      </c>
      <c r="Q358" s="52">
        <f t="shared" si="42"/>
        <v>5.82</v>
      </c>
      <c r="R358" s="52">
        <v>5.83</v>
      </c>
      <c r="S358" s="52">
        <f t="shared" si="38"/>
        <v>29.9999999999994</v>
      </c>
      <c r="T358" s="108">
        <f t="shared" si="39"/>
        <v>13500</v>
      </c>
      <c r="U358" s="112"/>
      <c r="V358" s="52">
        <v>4.86</v>
      </c>
      <c r="W358" s="52">
        <v>31.84</v>
      </c>
      <c r="X358" s="52"/>
      <c r="Y358" s="52"/>
      <c r="Z358" s="52"/>
      <c r="AA358" s="52"/>
      <c r="AB358" s="108" t="s">
        <v>70</v>
      </c>
    </row>
    <row r="359" spans="1:28">
      <c r="A359" s="90">
        <f t="shared" si="36"/>
        <v>361</v>
      </c>
      <c r="B359" s="98">
        <v>46104</v>
      </c>
      <c r="C359" s="25">
        <v>46104</v>
      </c>
      <c r="D359" s="115">
        <v>0.302083333333333</v>
      </c>
      <c r="E359" s="116">
        <v>0.770833333333333</v>
      </c>
      <c r="F359" s="109">
        <v>1677.58</v>
      </c>
      <c r="G359" s="52">
        <v>1574.27</v>
      </c>
      <c r="H359" s="52">
        <v>1678.29</v>
      </c>
      <c r="I359" s="52">
        <v>1754.96</v>
      </c>
      <c r="J359" s="117">
        <v>1750.3</v>
      </c>
      <c r="K359" s="52">
        <v>1751.72</v>
      </c>
      <c r="L359" s="52">
        <v>1766.64</v>
      </c>
      <c r="M359" s="110">
        <f t="shared" si="40"/>
        <v>11953.76</v>
      </c>
      <c r="N359" s="111">
        <f t="shared" si="41"/>
        <v>1247.91</v>
      </c>
      <c r="O359" s="52">
        <v>1251.84</v>
      </c>
      <c r="P359" s="52">
        <f t="shared" si="37"/>
        <v>11789.9999999995</v>
      </c>
      <c r="Q359" s="52">
        <f t="shared" si="42"/>
        <v>5.83</v>
      </c>
      <c r="R359" s="52">
        <v>5.84</v>
      </c>
      <c r="S359" s="52">
        <f t="shared" si="38"/>
        <v>29.9999999999994</v>
      </c>
      <c r="T359" s="108">
        <f t="shared" si="39"/>
        <v>11759.9999999995</v>
      </c>
      <c r="U359" s="112"/>
      <c r="V359" s="52">
        <v>4.53</v>
      </c>
      <c r="W359" s="52">
        <v>32.09</v>
      </c>
      <c r="X359" s="52"/>
      <c r="Y359" s="52"/>
      <c r="Z359" s="52"/>
      <c r="AA359" s="52"/>
      <c r="AB359" s="108" t="s">
        <v>70</v>
      </c>
    </row>
    <row r="360" spans="1:28">
      <c r="A360" s="90">
        <f t="shared" si="36"/>
        <v>362</v>
      </c>
      <c r="B360" s="98">
        <v>46105</v>
      </c>
      <c r="C360" s="25">
        <v>46105</v>
      </c>
      <c r="D360" s="115">
        <v>0.302083333333333</v>
      </c>
      <c r="E360" s="116">
        <v>0.78125</v>
      </c>
      <c r="F360" s="109">
        <v>1758.48</v>
      </c>
      <c r="G360" s="52">
        <v>1750.54</v>
      </c>
      <c r="H360" s="52">
        <v>1755.19</v>
      </c>
      <c r="I360" s="52">
        <v>1832.21</v>
      </c>
      <c r="J360" s="52">
        <v>1828.62</v>
      </c>
      <c r="K360" s="117">
        <v>1830.7</v>
      </c>
      <c r="L360" s="52">
        <v>1842.94</v>
      </c>
      <c r="M360" s="110">
        <f t="shared" si="40"/>
        <v>12598.68</v>
      </c>
      <c r="N360" s="111">
        <f t="shared" si="41"/>
        <v>1251.84</v>
      </c>
      <c r="O360" s="52">
        <v>1255.99</v>
      </c>
      <c r="P360" s="52">
        <f t="shared" si="37"/>
        <v>12450.0000000003</v>
      </c>
      <c r="Q360" s="52">
        <f t="shared" si="42"/>
        <v>5.84</v>
      </c>
      <c r="R360" s="52">
        <v>5.85</v>
      </c>
      <c r="S360" s="52">
        <f t="shared" si="38"/>
        <v>29.9999999999994</v>
      </c>
      <c r="T360" s="108">
        <f t="shared" si="39"/>
        <v>12420.0000000003</v>
      </c>
      <c r="U360" s="112"/>
      <c r="V360" s="52">
        <v>4.52</v>
      </c>
      <c r="W360" s="52">
        <v>31.65</v>
      </c>
      <c r="X360" s="52"/>
      <c r="Y360" s="52"/>
      <c r="Z360" s="52"/>
      <c r="AA360" s="52"/>
      <c r="AB360" s="108" t="s">
        <v>70</v>
      </c>
    </row>
    <row r="361" spans="1:28">
      <c r="A361" s="90">
        <f t="shared" si="36"/>
        <v>363</v>
      </c>
      <c r="B361" s="98">
        <v>46106</v>
      </c>
      <c r="C361" s="25">
        <v>46106</v>
      </c>
      <c r="D361" s="115">
        <v>0.302083333333333</v>
      </c>
      <c r="E361" s="116">
        <v>0.78125</v>
      </c>
      <c r="F361" s="109">
        <v>1849.73</v>
      </c>
      <c r="G361" s="52">
        <v>1843.77</v>
      </c>
      <c r="H361" s="52">
        <v>1852.25</v>
      </c>
      <c r="I361" s="52">
        <v>1928.82</v>
      </c>
      <c r="J361" s="52">
        <v>1925.35</v>
      </c>
      <c r="K361" s="52">
        <v>1930.45</v>
      </c>
      <c r="L361" s="52">
        <v>1950.16</v>
      </c>
      <c r="M361" s="110">
        <f t="shared" si="40"/>
        <v>13280.53</v>
      </c>
      <c r="N361" s="111">
        <f t="shared" si="41"/>
        <v>1255.99</v>
      </c>
      <c r="O361" s="52">
        <v>1260.37</v>
      </c>
      <c r="P361" s="52">
        <f t="shared" si="37"/>
        <v>13139.9999999996</v>
      </c>
      <c r="Q361" s="52">
        <f t="shared" si="42"/>
        <v>5.85</v>
      </c>
      <c r="R361" s="52">
        <v>5.86</v>
      </c>
      <c r="S361" s="52">
        <f t="shared" si="38"/>
        <v>30.000000000002</v>
      </c>
      <c r="T361" s="108">
        <f t="shared" si="39"/>
        <v>13109.9999999996</v>
      </c>
      <c r="U361" s="112"/>
      <c r="V361" s="52">
        <v>5.24</v>
      </c>
      <c r="W361" s="52">
        <v>33</v>
      </c>
      <c r="X361" s="52"/>
      <c r="Y361" s="52"/>
      <c r="Z361" s="52"/>
      <c r="AA361" s="52"/>
      <c r="AB361" s="108" t="s">
        <v>72</v>
      </c>
    </row>
    <row r="362" spans="1:28">
      <c r="A362" s="90">
        <f t="shared" si="36"/>
        <v>364</v>
      </c>
      <c r="B362" s="98">
        <v>46107</v>
      </c>
      <c r="C362" s="25">
        <v>46107</v>
      </c>
      <c r="D362" s="115">
        <v>0.303472222222222</v>
      </c>
      <c r="E362" s="116">
        <v>0.770833333333333</v>
      </c>
      <c r="F362" s="109">
        <v>1940.07</v>
      </c>
      <c r="G362" s="52">
        <v>1935.21</v>
      </c>
      <c r="H362" s="52">
        <v>1938.71</v>
      </c>
      <c r="I362" s="52">
        <v>2010.39</v>
      </c>
      <c r="J362" s="52">
        <v>1990.95</v>
      </c>
      <c r="K362" s="52">
        <v>2002.61</v>
      </c>
      <c r="L362" s="52">
        <v>2031.39</v>
      </c>
      <c r="M362" s="110">
        <f t="shared" si="40"/>
        <v>13849.33</v>
      </c>
      <c r="N362" s="111">
        <f t="shared" si="41"/>
        <v>1260.37</v>
      </c>
      <c r="O362" s="52">
        <v>1264.93</v>
      </c>
      <c r="P362" s="52">
        <f t="shared" si="37"/>
        <v>13680.0000000005</v>
      </c>
      <c r="Q362" s="52">
        <f t="shared" si="42"/>
        <v>5.86</v>
      </c>
      <c r="R362" s="52">
        <v>5.87</v>
      </c>
      <c r="S362" s="52">
        <f t="shared" si="38"/>
        <v>29.9999999999994</v>
      </c>
      <c r="T362" s="108">
        <f t="shared" si="39"/>
        <v>13650.0000000005</v>
      </c>
      <c r="U362" s="112"/>
      <c r="V362" s="52">
        <v>5.07</v>
      </c>
      <c r="W362" s="52">
        <v>33.63</v>
      </c>
      <c r="X362" s="52"/>
      <c r="Y362" s="52"/>
      <c r="Z362" s="52"/>
      <c r="AA362" s="52"/>
      <c r="AB362" s="108" t="s">
        <v>70</v>
      </c>
    </row>
    <row r="363" spans="1:28">
      <c r="A363" s="90">
        <f t="shared" si="36"/>
        <v>365</v>
      </c>
      <c r="B363" s="98">
        <v>46108</v>
      </c>
      <c r="C363" s="25">
        <v>46108</v>
      </c>
      <c r="D363" s="115">
        <v>0.302083333333333</v>
      </c>
      <c r="E363" s="116">
        <v>0.770833333333333</v>
      </c>
      <c r="F363" s="109">
        <v>1992.79</v>
      </c>
      <c r="G363" s="52">
        <v>1929.03</v>
      </c>
      <c r="H363" s="52">
        <v>1993.67</v>
      </c>
      <c r="I363" s="52">
        <v>2072.64</v>
      </c>
      <c r="J363" s="52">
        <v>2052.07</v>
      </c>
      <c r="K363" s="117">
        <v>2062.9</v>
      </c>
      <c r="L363" s="52">
        <v>2092.22</v>
      </c>
      <c r="M363" s="110">
        <f t="shared" si="40"/>
        <v>14195.32</v>
      </c>
      <c r="N363" s="111">
        <f t="shared" si="41"/>
        <v>1264.93</v>
      </c>
      <c r="O363" s="52">
        <v>1269.61</v>
      </c>
      <c r="P363" s="52">
        <f t="shared" si="37"/>
        <v>14039.9999999995</v>
      </c>
      <c r="Q363" s="52">
        <f t="shared" si="42"/>
        <v>5.87</v>
      </c>
      <c r="R363" s="52">
        <v>5.88</v>
      </c>
      <c r="S363" s="52">
        <f t="shared" si="38"/>
        <v>29.9999999999994</v>
      </c>
      <c r="T363" s="108">
        <f t="shared" si="39"/>
        <v>14009.9999999995</v>
      </c>
      <c r="U363" s="112"/>
      <c r="V363" s="52">
        <v>5.35</v>
      </c>
      <c r="W363" s="52">
        <v>33.54</v>
      </c>
      <c r="X363" s="52"/>
      <c r="Y363" s="52"/>
      <c r="Z363" s="52"/>
      <c r="AA363" s="52"/>
      <c r="AB363" s="108" t="s">
        <v>70</v>
      </c>
    </row>
    <row r="364" spans="1:28">
      <c r="A364" s="90">
        <f t="shared" si="36"/>
        <v>366</v>
      </c>
      <c r="B364" s="98">
        <v>46109</v>
      </c>
      <c r="C364" s="25">
        <v>46109</v>
      </c>
      <c r="D364" s="115">
        <v>0.302083333333333</v>
      </c>
      <c r="E364" s="116">
        <v>0.770833333333333</v>
      </c>
      <c r="F364" s="109">
        <v>1852.84</v>
      </c>
      <c r="G364" s="52">
        <v>1854.67</v>
      </c>
      <c r="H364" s="52">
        <v>1868.42</v>
      </c>
      <c r="I364" s="117">
        <v>1949.4</v>
      </c>
      <c r="J364" s="52">
        <v>1932.78</v>
      </c>
      <c r="K364" s="52">
        <v>1946.37</v>
      </c>
      <c r="L364" s="52">
        <v>1977.43</v>
      </c>
      <c r="M364" s="110">
        <f t="shared" si="40"/>
        <v>13381.91</v>
      </c>
      <c r="N364" s="111">
        <f t="shared" si="41"/>
        <v>1269.61</v>
      </c>
      <c r="O364" s="52">
        <v>1274.02</v>
      </c>
      <c r="P364" s="52">
        <f t="shared" si="37"/>
        <v>13230.0000000002</v>
      </c>
      <c r="Q364" s="52">
        <f t="shared" si="42"/>
        <v>5.88</v>
      </c>
      <c r="R364" s="52">
        <v>5.89</v>
      </c>
      <c r="S364" s="52">
        <f t="shared" si="38"/>
        <v>29.9999999999994</v>
      </c>
      <c r="T364" s="108">
        <f t="shared" si="39"/>
        <v>13200.0000000002</v>
      </c>
      <c r="U364" s="112"/>
      <c r="V364" s="52">
        <v>5.29</v>
      </c>
      <c r="W364" s="52">
        <v>31.36</v>
      </c>
      <c r="X364" s="52"/>
      <c r="Y364" s="52"/>
      <c r="Z364" s="52"/>
      <c r="AA364" s="52"/>
      <c r="AB364" s="108" t="s">
        <v>70</v>
      </c>
    </row>
    <row r="365" spans="1:28">
      <c r="A365" s="90">
        <f t="shared" si="36"/>
        <v>367</v>
      </c>
      <c r="B365" s="98">
        <v>46110</v>
      </c>
      <c r="C365" s="25">
        <v>46110</v>
      </c>
      <c r="D365" s="115">
        <v>0.302083333333333</v>
      </c>
      <c r="E365" s="116">
        <v>0.770833333333333</v>
      </c>
      <c r="F365" s="109">
        <v>1715.08</v>
      </c>
      <c r="G365" s="52">
        <v>1715.38</v>
      </c>
      <c r="H365" s="52">
        <v>1725.11</v>
      </c>
      <c r="I365" s="52">
        <v>1796.98</v>
      </c>
      <c r="J365" s="117">
        <v>1777.5</v>
      </c>
      <c r="K365" s="52">
        <v>1791.31</v>
      </c>
      <c r="L365" s="52">
        <v>1812.82</v>
      </c>
      <c r="M365" s="110">
        <f t="shared" si="40"/>
        <v>12334.18</v>
      </c>
      <c r="N365" s="111">
        <f t="shared" si="41"/>
        <v>1274.02</v>
      </c>
      <c r="O365" s="52">
        <v>1278.09</v>
      </c>
      <c r="P365" s="52">
        <f t="shared" si="37"/>
        <v>12209.9999999998</v>
      </c>
      <c r="Q365" s="52">
        <f t="shared" si="42"/>
        <v>5.89</v>
      </c>
      <c r="R365" s="52">
        <v>5.91</v>
      </c>
      <c r="S365" s="52">
        <f t="shared" si="38"/>
        <v>60.0000000000014</v>
      </c>
      <c r="T365" s="108">
        <f t="shared" si="39"/>
        <v>12149.9999999998</v>
      </c>
      <c r="U365" s="112"/>
      <c r="V365" s="52">
        <v>5.33</v>
      </c>
      <c r="W365" s="52">
        <v>30.56</v>
      </c>
      <c r="X365" s="52"/>
      <c r="Y365" s="52"/>
      <c r="Z365" s="52"/>
      <c r="AA365" s="52"/>
      <c r="AB365" s="108" t="s">
        <v>72</v>
      </c>
    </row>
    <row r="366" spans="1:28">
      <c r="A366" s="90">
        <f t="shared" si="36"/>
        <v>368</v>
      </c>
      <c r="B366" s="98">
        <v>46111</v>
      </c>
      <c r="C366" s="25">
        <v>46111</v>
      </c>
      <c r="D366" s="115">
        <v>0.302083333333333</v>
      </c>
      <c r="E366" s="116">
        <v>0.770833333333333</v>
      </c>
      <c r="F366" s="109">
        <v>1951.64</v>
      </c>
      <c r="G366" s="52">
        <v>1947.06</v>
      </c>
      <c r="H366" s="117">
        <v>1952.8</v>
      </c>
      <c r="I366" s="52">
        <v>2033.05</v>
      </c>
      <c r="J366" s="52">
        <v>2007.45</v>
      </c>
      <c r="K366" s="52">
        <v>2017.96</v>
      </c>
      <c r="L366" s="52">
        <v>2046.46</v>
      </c>
      <c r="M366" s="110">
        <f t="shared" si="40"/>
        <v>13956.42</v>
      </c>
      <c r="N366" s="111">
        <f t="shared" si="41"/>
        <v>1278.09</v>
      </c>
      <c r="O366" s="52">
        <v>1282.68</v>
      </c>
      <c r="P366" s="52">
        <f t="shared" si="37"/>
        <v>13770.0000000004</v>
      </c>
      <c r="Q366" s="52">
        <f t="shared" si="42"/>
        <v>5.91</v>
      </c>
      <c r="R366" s="52">
        <v>5.92</v>
      </c>
      <c r="S366" s="52">
        <f t="shared" si="38"/>
        <v>29.9999999999994</v>
      </c>
      <c r="T366" s="108">
        <f t="shared" si="39"/>
        <v>13740.0000000004</v>
      </c>
      <c r="U366" s="112"/>
      <c r="V366" s="52">
        <v>4.91</v>
      </c>
      <c r="W366" s="52">
        <v>32.13</v>
      </c>
      <c r="X366" s="52"/>
      <c r="Y366" s="52"/>
      <c r="Z366" s="52"/>
      <c r="AA366" s="52"/>
      <c r="AB366" s="108" t="s">
        <v>72</v>
      </c>
    </row>
    <row r="367" ht="15.75" spans="1:28">
      <c r="A367" s="90">
        <f t="shared" si="36"/>
        <v>369</v>
      </c>
      <c r="B367" s="100">
        <v>46112</v>
      </c>
      <c r="C367" s="101">
        <v>46112</v>
      </c>
      <c r="D367" s="118">
        <v>0.291666666666667</v>
      </c>
      <c r="E367" s="119">
        <v>0.78125</v>
      </c>
      <c r="F367" s="109">
        <v>1682.69</v>
      </c>
      <c r="G367" s="120">
        <v>1644.29</v>
      </c>
      <c r="H367" s="120">
        <v>1651.24</v>
      </c>
      <c r="I367" s="120">
        <v>1728.33</v>
      </c>
      <c r="J367" s="121">
        <v>1683.2</v>
      </c>
      <c r="K367" s="120">
        <v>1701.04</v>
      </c>
      <c r="L367" s="120">
        <v>1753.59</v>
      </c>
      <c r="M367" s="110">
        <f t="shared" si="40"/>
        <v>11844.38</v>
      </c>
      <c r="N367" s="111">
        <f t="shared" si="41"/>
        <v>1282.68</v>
      </c>
      <c r="O367" s="120">
        <v>1286.58</v>
      </c>
      <c r="P367" s="52">
        <f t="shared" si="37"/>
        <v>11699.9999999996</v>
      </c>
      <c r="Q367" s="52">
        <f t="shared" si="42"/>
        <v>5.92</v>
      </c>
      <c r="R367" s="120">
        <v>5.93</v>
      </c>
      <c r="S367" s="52">
        <f t="shared" si="38"/>
        <v>29.9999999999994</v>
      </c>
      <c r="T367" s="122">
        <f t="shared" si="39"/>
        <v>11669.9999999996</v>
      </c>
      <c r="U367" s="123"/>
      <c r="V367" s="120">
        <v>5.23</v>
      </c>
      <c r="W367" s="120">
        <v>30.37</v>
      </c>
      <c r="X367" s="120"/>
      <c r="Y367" s="120"/>
      <c r="Z367" s="120"/>
      <c r="AA367" s="120"/>
      <c r="AB367" s="122" t="s">
        <v>72</v>
      </c>
    </row>
    <row r="368" ht="15.75" spans="1:28">
      <c r="A368" s="90">
        <f t="shared" ref="A368:A399" si="43">A367+1</f>
        <v>370</v>
      </c>
      <c r="B368" s="100">
        <v>46113</v>
      </c>
      <c r="C368" s="101">
        <v>46113</v>
      </c>
      <c r="D368" s="118">
        <v>0.291666666666667</v>
      </c>
      <c r="E368" s="119">
        <v>0.770833333333333</v>
      </c>
      <c r="F368" s="109">
        <v>1912.71</v>
      </c>
      <c r="G368" s="120">
        <v>1759.51</v>
      </c>
      <c r="H368" s="120">
        <v>1903.17</v>
      </c>
      <c r="I368" s="121">
        <v>1991.5</v>
      </c>
      <c r="J368" s="120">
        <v>1970.59</v>
      </c>
      <c r="K368" s="120">
        <v>1978.01</v>
      </c>
      <c r="L368" s="120">
        <v>2006.72</v>
      </c>
      <c r="M368" s="110">
        <f t="shared" ref="M368:M401" si="44">SUM(F368:L368)</f>
        <v>13522.21</v>
      </c>
      <c r="N368" s="111">
        <f t="shared" ref="N368:N401" si="45">O367</f>
        <v>1286.58</v>
      </c>
      <c r="O368" s="120">
        <v>1291.04</v>
      </c>
      <c r="P368" s="52">
        <f t="shared" ref="P368:P401" si="46">MAX((O368-N368)*3000,0)</f>
        <v>13380.0000000001</v>
      </c>
      <c r="Q368" s="52">
        <f t="shared" ref="Q368:Q401" si="47">R367</f>
        <v>5.93</v>
      </c>
      <c r="R368" s="120">
        <v>5.94</v>
      </c>
      <c r="S368" s="52">
        <f t="shared" ref="S368:S401" si="48">MAX((R368-Q368)*3000,0)</f>
        <v>30.000000000002</v>
      </c>
      <c r="T368" s="122">
        <f t="shared" ref="T368:T401" si="49">P368-S368</f>
        <v>13350.0000000001</v>
      </c>
      <c r="U368" s="123"/>
      <c r="V368" s="120">
        <v>5.05</v>
      </c>
      <c r="W368" s="121">
        <v>29.4</v>
      </c>
      <c r="X368" s="120"/>
      <c r="Y368" s="120"/>
      <c r="Z368" s="120"/>
      <c r="AA368" s="120"/>
      <c r="AB368" s="122" t="s">
        <v>72</v>
      </c>
    </row>
    <row r="369" ht="15.75" spans="1:28">
      <c r="A369" s="90">
        <f t="shared" si="43"/>
        <v>371</v>
      </c>
      <c r="B369" s="100">
        <v>46114</v>
      </c>
      <c r="C369" s="101">
        <v>46114</v>
      </c>
      <c r="D369" s="118">
        <v>0.291666666666667</v>
      </c>
      <c r="E369" s="119">
        <v>0.770833333333333</v>
      </c>
      <c r="F369" s="109">
        <v>1816.03</v>
      </c>
      <c r="G369" s="120">
        <v>1811.49</v>
      </c>
      <c r="H369" s="120">
        <v>1816.55</v>
      </c>
      <c r="I369" s="121">
        <v>1903.2</v>
      </c>
      <c r="J369" s="120">
        <v>1887.79</v>
      </c>
      <c r="K369" s="120">
        <v>1891.99</v>
      </c>
      <c r="L369" s="120">
        <v>1916.28</v>
      </c>
      <c r="M369" s="110">
        <f t="shared" si="44"/>
        <v>13043.33</v>
      </c>
      <c r="N369" s="111">
        <f t="shared" si="45"/>
        <v>1291.04</v>
      </c>
      <c r="O369" s="120">
        <v>1295.33</v>
      </c>
      <c r="P369" s="52">
        <f t="shared" si="46"/>
        <v>12869.9999999999</v>
      </c>
      <c r="Q369" s="52">
        <f t="shared" si="47"/>
        <v>5.94</v>
      </c>
      <c r="R369" s="120">
        <v>5.95</v>
      </c>
      <c r="S369" s="52">
        <f t="shared" si="48"/>
        <v>29.9999999999994</v>
      </c>
      <c r="T369" s="122">
        <f t="shared" si="49"/>
        <v>12839.9999999999</v>
      </c>
      <c r="U369" s="123"/>
      <c r="V369" s="120">
        <v>3.98</v>
      </c>
      <c r="W369" s="120">
        <v>29.12</v>
      </c>
      <c r="X369" s="120"/>
      <c r="Y369" s="120"/>
      <c r="Z369" s="120"/>
      <c r="AA369" s="120"/>
      <c r="AB369" s="122" t="s">
        <v>72</v>
      </c>
    </row>
    <row r="370" ht="15.75" spans="1:28">
      <c r="A370" s="90">
        <f t="shared" si="43"/>
        <v>372</v>
      </c>
      <c r="B370" s="100">
        <v>46115</v>
      </c>
      <c r="C370" s="101">
        <v>46115</v>
      </c>
      <c r="D370" s="118">
        <v>0.302083333333333</v>
      </c>
      <c r="E370" s="119">
        <v>0.78125</v>
      </c>
      <c r="F370" s="109">
        <v>1289.48</v>
      </c>
      <c r="G370" s="120">
        <v>1280.27</v>
      </c>
      <c r="H370" s="121">
        <v>1283.6</v>
      </c>
      <c r="I370" s="120">
        <v>1343.85</v>
      </c>
      <c r="J370" s="120">
        <v>1330.12</v>
      </c>
      <c r="K370" s="120">
        <v>1332.14</v>
      </c>
      <c r="L370" s="121">
        <v>1350.2</v>
      </c>
      <c r="M370" s="110">
        <f t="shared" si="44"/>
        <v>9209.66</v>
      </c>
      <c r="N370" s="111">
        <f t="shared" si="45"/>
        <v>1295.33</v>
      </c>
      <c r="O370" s="120">
        <v>1298.37</v>
      </c>
      <c r="P370" s="52">
        <f t="shared" si="46"/>
        <v>9119.99999999989</v>
      </c>
      <c r="Q370" s="52">
        <f t="shared" si="47"/>
        <v>5.95</v>
      </c>
      <c r="R370" s="120">
        <v>5.96</v>
      </c>
      <c r="S370" s="52">
        <f t="shared" si="48"/>
        <v>29.9999999999994</v>
      </c>
      <c r="T370" s="122">
        <f t="shared" si="49"/>
        <v>9089.99999999989</v>
      </c>
      <c r="U370" s="123"/>
      <c r="V370" s="120">
        <v>2.65</v>
      </c>
      <c r="W370" s="120">
        <v>28.46</v>
      </c>
      <c r="X370" s="120"/>
      <c r="Y370" s="120"/>
      <c r="Z370" s="120"/>
      <c r="AA370" s="120"/>
      <c r="AB370" s="122" t="s">
        <v>72</v>
      </c>
    </row>
    <row r="371" ht="15.75" spans="1:28">
      <c r="A371" s="90">
        <f t="shared" si="43"/>
        <v>373</v>
      </c>
      <c r="B371" s="100">
        <v>46116</v>
      </c>
      <c r="C371" s="101">
        <v>46116</v>
      </c>
      <c r="D371" s="118">
        <v>0.291666666666667</v>
      </c>
      <c r="E371" s="119">
        <v>0.770833333333333</v>
      </c>
      <c r="F371" s="109">
        <v>1997.87</v>
      </c>
      <c r="G371" s="120">
        <v>1992.32</v>
      </c>
      <c r="H371" s="120">
        <v>1999.68</v>
      </c>
      <c r="I371" s="120">
        <v>2094.39</v>
      </c>
      <c r="J371" s="120">
        <v>2076.68</v>
      </c>
      <c r="K371" s="120">
        <v>2080.65</v>
      </c>
      <c r="L371" s="120">
        <v>2103.63</v>
      </c>
      <c r="M371" s="110">
        <f t="shared" si="44"/>
        <v>14345.22</v>
      </c>
      <c r="N371" s="111">
        <f t="shared" si="45"/>
        <v>1298.37</v>
      </c>
      <c r="O371" s="120">
        <v>1303.09</v>
      </c>
      <c r="P371" s="52">
        <f t="shared" si="46"/>
        <v>14160.0000000001</v>
      </c>
      <c r="Q371" s="52">
        <f t="shared" si="47"/>
        <v>5.96</v>
      </c>
      <c r="R371" s="120">
        <v>5.97</v>
      </c>
      <c r="S371" s="52">
        <f t="shared" si="48"/>
        <v>29.9999999999994</v>
      </c>
      <c r="T371" s="122">
        <f t="shared" si="49"/>
        <v>14130.0000000001</v>
      </c>
      <c r="U371" s="123"/>
      <c r="V371" s="120">
        <v>5.33</v>
      </c>
      <c r="W371" s="120">
        <v>30.36</v>
      </c>
      <c r="X371" s="120"/>
      <c r="Y371" s="120"/>
      <c r="Z371" s="120"/>
      <c r="AA371" s="120"/>
      <c r="AB371" s="122" t="s">
        <v>70</v>
      </c>
    </row>
    <row r="372" ht="15.75" spans="1:28">
      <c r="A372" s="90">
        <f t="shared" si="43"/>
        <v>374</v>
      </c>
      <c r="B372" s="100">
        <v>46117</v>
      </c>
      <c r="C372" s="101">
        <v>46117</v>
      </c>
      <c r="D372" s="118">
        <v>0.291666666666667</v>
      </c>
      <c r="E372" s="119">
        <v>0.770833333333333</v>
      </c>
      <c r="F372" s="109">
        <v>1958.16</v>
      </c>
      <c r="G372" s="120">
        <v>1704.61</v>
      </c>
      <c r="H372" s="120">
        <v>1954.04</v>
      </c>
      <c r="I372" s="120">
        <v>2044.56</v>
      </c>
      <c r="J372" s="120">
        <v>2029.17</v>
      </c>
      <c r="K372" s="120">
        <v>2031.89</v>
      </c>
      <c r="L372" s="121">
        <v>2058.6</v>
      </c>
      <c r="M372" s="110">
        <f t="shared" si="44"/>
        <v>13781.03</v>
      </c>
      <c r="N372" s="111">
        <f t="shared" si="45"/>
        <v>1303.09</v>
      </c>
      <c r="O372" s="120">
        <v>1307.63</v>
      </c>
      <c r="P372" s="52">
        <f t="shared" si="46"/>
        <v>13620.0000000006</v>
      </c>
      <c r="Q372" s="52">
        <f t="shared" si="47"/>
        <v>5.97</v>
      </c>
      <c r="R372" s="120">
        <v>5.98</v>
      </c>
      <c r="S372" s="52">
        <f t="shared" si="48"/>
        <v>30.000000000002</v>
      </c>
      <c r="T372" s="122">
        <f t="shared" si="49"/>
        <v>13590.0000000006</v>
      </c>
      <c r="U372" s="123"/>
      <c r="V372" s="120">
        <v>5.33</v>
      </c>
      <c r="W372" s="120">
        <v>30.85</v>
      </c>
      <c r="X372" s="120"/>
      <c r="Y372" s="120"/>
      <c r="Z372" s="120"/>
      <c r="AA372" s="120"/>
      <c r="AB372" s="122" t="s">
        <v>72</v>
      </c>
    </row>
    <row r="373" ht="15.75" spans="1:28">
      <c r="A373" s="90">
        <f t="shared" si="43"/>
        <v>375</v>
      </c>
      <c r="B373" s="100">
        <v>46118</v>
      </c>
      <c r="C373" s="101">
        <v>46118</v>
      </c>
      <c r="D373" s="118">
        <v>0.291666666666667</v>
      </c>
      <c r="E373" s="119">
        <v>0.770833333333333</v>
      </c>
      <c r="F373" s="109">
        <v>2018.1</v>
      </c>
      <c r="G373" s="120">
        <v>1858.05</v>
      </c>
      <c r="H373" s="121">
        <v>2014.61</v>
      </c>
      <c r="I373" s="120">
        <v>2108.71</v>
      </c>
      <c r="J373" s="120">
        <v>2092.92</v>
      </c>
      <c r="K373" s="120">
        <v>2091.94</v>
      </c>
      <c r="L373" s="120">
        <v>2118.83</v>
      </c>
      <c r="M373" s="110">
        <f t="shared" si="44"/>
        <v>14303.16</v>
      </c>
      <c r="N373" s="111">
        <f t="shared" si="45"/>
        <v>1307.63</v>
      </c>
      <c r="O373" s="120">
        <v>1312.34</v>
      </c>
      <c r="P373" s="52">
        <f t="shared" si="46"/>
        <v>14129.9999999994</v>
      </c>
      <c r="Q373" s="52">
        <f t="shared" si="47"/>
        <v>5.98</v>
      </c>
      <c r="R373" s="120">
        <v>5.99</v>
      </c>
      <c r="S373" s="52">
        <f t="shared" si="48"/>
        <v>29.9999999999994</v>
      </c>
      <c r="T373" s="122">
        <f t="shared" si="49"/>
        <v>14099.9999999994</v>
      </c>
      <c r="U373" s="123"/>
      <c r="V373" s="120">
        <v>5.25</v>
      </c>
      <c r="W373" s="120">
        <v>30.44</v>
      </c>
      <c r="X373" s="120"/>
      <c r="Y373" s="120"/>
      <c r="Z373" s="120"/>
      <c r="AA373" s="120"/>
      <c r="AB373" s="122" t="s">
        <v>75</v>
      </c>
    </row>
    <row r="374" ht="15.75" spans="1:28">
      <c r="A374" s="90">
        <f t="shared" si="43"/>
        <v>376</v>
      </c>
      <c r="B374" s="100">
        <v>46119</v>
      </c>
      <c r="C374" s="101">
        <v>46119</v>
      </c>
      <c r="D374" s="118">
        <v>0.291666666666667</v>
      </c>
      <c r="E374" s="119">
        <v>0.770833333333333</v>
      </c>
      <c r="F374" s="109">
        <v>1968.94</v>
      </c>
      <c r="G374" s="121">
        <v>1691.1</v>
      </c>
      <c r="H374" s="120">
        <v>1922.45</v>
      </c>
      <c r="I374" s="120">
        <v>2009.02</v>
      </c>
      <c r="J374" s="120">
        <v>1991.09</v>
      </c>
      <c r="K374" s="120">
        <v>1990.58</v>
      </c>
      <c r="L374" s="120">
        <v>2012.07</v>
      </c>
      <c r="M374" s="110">
        <f t="shared" si="44"/>
        <v>13585.25</v>
      </c>
      <c r="N374" s="111">
        <f t="shared" si="45"/>
        <v>1312.34</v>
      </c>
      <c r="O374" s="120">
        <v>1316.82</v>
      </c>
      <c r="P374" s="52">
        <f t="shared" si="46"/>
        <v>13440.0000000001</v>
      </c>
      <c r="Q374" s="52">
        <f t="shared" si="47"/>
        <v>5.99</v>
      </c>
      <c r="R374" s="121">
        <v>6</v>
      </c>
      <c r="S374" s="52">
        <f t="shared" si="48"/>
        <v>29.9999999999994</v>
      </c>
      <c r="T374" s="122">
        <f t="shared" si="49"/>
        <v>13410.0000000001</v>
      </c>
      <c r="U374" s="123"/>
      <c r="V374" s="120">
        <v>4.82</v>
      </c>
      <c r="W374" s="120">
        <v>30.42</v>
      </c>
      <c r="X374" s="120"/>
      <c r="Y374" s="120"/>
      <c r="Z374" s="120"/>
      <c r="AA374" s="120"/>
      <c r="AB374" s="122" t="s">
        <v>70</v>
      </c>
    </row>
    <row r="375" ht="15.75" spans="1:28">
      <c r="A375" s="90">
        <f t="shared" si="43"/>
        <v>377</v>
      </c>
      <c r="B375" s="100">
        <v>46120</v>
      </c>
      <c r="C375" s="101">
        <v>46120</v>
      </c>
      <c r="D375" s="118">
        <v>0.291666666666667</v>
      </c>
      <c r="E375" s="119">
        <v>0.78125</v>
      </c>
      <c r="F375" s="109">
        <v>2043.28</v>
      </c>
      <c r="G375" s="120">
        <v>1399.13</v>
      </c>
      <c r="H375" s="120">
        <v>2045.27</v>
      </c>
      <c r="I375" s="120">
        <v>2141.15</v>
      </c>
      <c r="J375" s="121">
        <v>2130.2</v>
      </c>
      <c r="K375" s="120">
        <v>2116.14</v>
      </c>
      <c r="L375" s="120">
        <v>2126.57</v>
      </c>
      <c r="M375" s="110">
        <f t="shared" si="44"/>
        <v>14001.74</v>
      </c>
      <c r="N375" s="111">
        <f t="shared" si="45"/>
        <v>1316.82</v>
      </c>
      <c r="O375" s="120">
        <v>1321.43</v>
      </c>
      <c r="P375" s="52">
        <f t="shared" si="46"/>
        <v>13830.0000000004</v>
      </c>
      <c r="Q375" s="52">
        <f t="shared" si="47"/>
        <v>6</v>
      </c>
      <c r="R375" s="120">
        <v>6.01</v>
      </c>
      <c r="S375" s="52">
        <f t="shared" si="48"/>
        <v>29.9999999999994</v>
      </c>
      <c r="T375" s="122">
        <f t="shared" si="49"/>
        <v>13800.0000000004</v>
      </c>
      <c r="U375" s="123"/>
      <c r="V375" s="120">
        <v>5.28</v>
      </c>
      <c r="W375" s="120">
        <v>30.89</v>
      </c>
      <c r="X375" s="120"/>
      <c r="Y375" s="120"/>
      <c r="Z375" s="120"/>
      <c r="AA375" s="120"/>
      <c r="AB375" s="122" t="s">
        <v>70</v>
      </c>
    </row>
    <row r="376" ht="15.75" spans="1:28">
      <c r="A376" s="90">
        <f t="shared" si="43"/>
        <v>378</v>
      </c>
      <c r="B376" s="100">
        <v>46121</v>
      </c>
      <c r="C376" s="101">
        <v>46121</v>
      </c>
      <c r="D376" s="118">
        <v>0.291666666666667</v>
      </c>
      <c r="E376" s="119">
        <v>0.770833333333333</v>
      </c>
      <c r="F376" s="109">
        <v>2015.38</v>
      </c>
      <c r="G376" s="120">
        <v>1807.02</v>
      </c>
      <c r="H376" s="120">
        <v>2013.86</v>
      </c>
      <c r="I376" s="120">
        <v>2108.76</v>
      </c>
      <c r="J376" s="120">
        <v>2102.15</v>
      </c>
      <c r="K376" s="120">
        <v>2103.43</v>
      </c>
      <c r="L376" s="120">
        <v>2115.24</v>
      </c>
      <c r="M376" s="110">
        <f t="shared" si="44"/>
        <v>14265.84</v>
      </c>
      <c r="N376" s="111">
        <f t="shared" si="45"/>
        <v>1321.43</v>
      </c>
      <c r="O376" s="120">
        <v>1326.13</v>
      </c>
      <c r="P376" s="52">
        <f t="shared" si="46"/>
        <v>14100.0000000001</v>
      </c>
      <c r="Q376" s="52">
        <f t="shared" si="47"/>
        <v>6.01</v>
      </c>
      <c r="R376" s="120">
        <v>6.02</v>
      </c>
      <c r="S376" s="52">
        <f t="shared" si="48"/>
        <v>29.9999999999994</v>
      </c>
      <c r="T376" s="122">
        <f t="shared" si="49"/>
        <v>14070.0000000001</v>
      </c>
      <c r="U376" s="123"/>
      <c r="V376" s="121">
        <v>4.8</v>
      </c>
      <c r="W376" s="120">
        <v>32.48</v>
      </c>
      <c r="X376" s="120"/>
      <c r="Y376" s="120"/>
      <c r="Z376" s="120"/>
      <c r="AA376" s="120"/>
      <c r="AB376" s="122" t="s">
        <v>70</v>
      </c>
    </row>
    <row r="377" ht="15.75" spans="1:28">
      <c r="A377" s="90">
        <f t="shared" si="43"/>
        <v>379</v>
      </c>
      <c r="B377" s="100">
        <v>46122</v>
      </c>
      <c r="C377" s="101">
        <v>46122</v>
      </c>
      <c r="D377" s="118">
        <v>0.291666666666667</v>
      </c>
      <c r="E377" s="119">
        <v>0.770833333333333</v>
      </c>
      <c r="F377" s="109">
        <v>1974.9</v>
      </c>
      <c r="G377" s="120">
        <v>1965.01</v>
      </c>
      <c r="H377" s="120">
        <v>1974.58</v>
      </c>
      <c r="I377" s="120">
        <v>2063.52</v>
      </c>
      <c r="J377" s="121">
        <v>2059.4</v>
      </c>
      <c r="K377" s="120">
        <v>2062.69</v>
      </c>
      <c r="L377" s="120">
        <v>2073.42</v>
      </c>
      <c r="M377" s="110">
        <f t="shared" si="44"/>
        <v>14173.52</v>
      </c>
      <c r="N377" s="111">
        <f t="shared" si="45"/>
        <v>1326.13</v>
      </c>
      <c r="O377" s="121">
        <v>1330.8</v>
      </c>
      <c r="P377" s="52">
        <f t="shared" si="46"/>
        <v>14009.9999999995</v>
      </c>
      <c r="Q377" s="52">
        <f t="shared" si="47"/>
        <v>6.02</v>
      </c>
      <c r="R377" s="120">
        <v>6.04</v>
      </c>
      <c r="S377" s="52">
        <f t="shared" si="48"/>
        <v>60.0000000000014</v>
      </c>
      <c r="T377" s="122">
        <f t="shared" si="49"/>
        <v>13949.9999999995</v>
      </c>
      <c r="U377" s="123"/>
      <c r="V377" s="120">
        <v>5.15</v>
      </c>
      <c r="W377" s="120">
        <v>33.78</v>
      </c>
      <c r="X377" s="120"/>
      <c r="Y377" s="120"/>
      <c r="Z377" s="120"/>
      <c r="AA377" s="120"/>
      <c r="AB377" s="122" t="s">
        <v>70</v>
      </c>
    </row>
    <row r="378" ht="15.75" spans="1:28">
      <c r="A378" s="90">
        <f t="shared" si="43"/>
        <v>380</v>
      </c>
      <c r="B378" s="100">
        <v>46123</v>
      </c>
      <c r="C378" s="101">
        <v>46123</v>
      </c>
      <c r="D378" s="118">
        <v>0.291666666666667</v>
      </c>
      <c r="E378" s="119">
        <v>0.78125</v>
      </c>
      <c r="F378" s="109">
        <v>1952.98</v>
      </c>
      <c r="G378" s="120">
        <v>1949.04</v>
      </c>
      <c r="H378" s="120">
        <v>1952.99</v>
      </c>
      <c r="I378" s="120">
        <v>2046.82</v>
      </c>
      <c r="J378" s="120">
        <v>2042.81</v>
      </c>
      <c r="K378" s="120">
        <v>2039.78</v>
      </c>
      <c r="L378" s="120">
        <v>2055.69</v>
      </c>
      <c r="M378" s="110">
        <f t="shared" si="44"/>
        <v>14040.11</v>
      </c>
      <c r="N378" s="111">
        <f t="shared" si="45"/>
        <v>1330.8</v>
      </c>
      <c r="O378" s="120">
        <v>1335.43</v>
      </c>
      <c r="P378" s="52">
        <f t="shared" si="46"/>
        <v>13890.0000000003</v>
      </c>
      <c r="Q378" s="52">
        <f t="shared" si="47"/>
        <v>6.04</v>
      </c>
      <c r="R378" s="120">
        <v>6.05</v>
      </c>
      <c r="S378" s="52">
        <f t="shared" si="48"/>
        <v>29.9999999999994</v>
      </c>
      <c r="T378" s="122">
        <f t="shared" si="49"/>
        <v>13860.0000000003</v>
      </c>
      <c r="U378" s="123"/>
      <c r="V378" s="120">
        <v>5.25</v>
      </c>
      <c r="W378" s="120">
        <v>34.56</v>
      </c>
      <c r="X378" s="120"/>
      <c r="Y378" s="120"/>
      <c r="Z378" s="120"/>
      <c r="AA378" s="120"/>
      <c r="AB378" s="122" t="s">
        <v>70</v>
      </c>
    </row>
    <row r="379" ht="15.75" spans="1:28">
      <c r="A379" s="90">
        <f t="shared" si="43"/>
        <v>381</v>
      </c>
      <c r="B379" s="100">
        <v>46124</v>
      </c>
      <c r="C379" s="101">
        <v>46124</v>
      </c>
      <c r="D379" s="118">
        <v>0.291666666666667</v>
      </c>
      <c r="E379" s="119">
        <v>0.78125</v>
      </c>
      <c r="F379" s="109">
        <v>1968.68</v>
      </c>
      <c r="G379" s="120">
        <v>1962.24</v>
      </c>
      <c r="H379" s="120">
        <v>1967.53</v>
      </c>
      <c r="I379" s="121">
        <v>2059.47</v>
      </c>
      <c r="J379" s="120">
        <v>2055.03</v>
      </c>
      <c r="K379" s="120">
        <v>2054.93</v>
      </c>
      <c r="L379" s="120">
        <v>2070.55</v>
      </c>
      <c r="M379" s="110">
        <f t="shared" si="44"/>
        <v>14138.43</v>
      </c>
      <c r="N379" s="111">
        <f t="shared" si="45"/>
        <v>1335.43</v>
      </c>
      <c r="O379" s="121">
        <v>1340.1</v>
      </c>
      <c r="P379" s="52">
        <f t="shared" si="46"/>
        <v>14009.9999999995</v>
      </c>
      <c r="Q379" s="52">
        <f t="shared" si="47"/>
        <v>6.05</v>
      </c>
      <c r="R379" s="120">
        <v>6.06</v>
      </c>
      <c r="S379" s="52">
        <f t="shared" si="48"/>
        <v>29.9999999999994</v>
      </c>
      <c r="T379" s="122">
        <f t="shared" si="49"/>
        <v>13979.9999999995</v>
      </c>
      <c r="U379" s="123"/>
      <c r="V379" s="120">
        <v>5.19</v>
      </c>
      <c r="W379" s="120">
        <v>35.37</v>
      </c>
      <c r="X379" s="120"/>
      <c r="Y379" s="120"/>
      <c r="Z379" s="120"/>
      <c r="AA379" s="120"/>
      <c r="AB379" s="122" t="s">
        <v>70</v>
      </c>
    </row>
    <row r="380" ht="15.75" spans="1:28">
      <c r="A380" s="90">
        <f t="shared" si="43"/>
        <v>382</v>
      </c>
      <c r="B380" s="100">
        <v>46125</v>
      </c>
      <c r="C380" s="101">
        <v>46125</v>
      </c>
      <c r="D380" s="118">
        <v>0.291666666666667</v>
      </c>
      <c r="E380" s="119">
        <v>0.78125</v>
      </c>
      <c r="F380" s="109">
        <v>1976.73</v>
      </c>
      <c r="G380" s="120">
        <v>1969.38</v>
      </c>
      <c r="H380" s="120">
        <v>1975.77</v>
      </c>
      <c r="I380" s="121">
        <v>2070.1</v>
      </c>
      <c r="J380" s="120">
        <v>2063.62</v>
      </c>
      <c r="K380" s="120">
        <v>2064.79</v>
      </c>
      <c r="L380" s="120">
        <v>2084.24</v>
      </c>
      <c r="M380" s="110">
        <f t="shared" si="44"/>
        <v>14204.63</v>
      </c>
      <c r="N380" s="111">
        <f t="shared" si="45"/>
        <v>1340.1</v>
      </c>
      <c r="O380" s="120">
        <v>1344.77</v>
      </c>
      <c r="P380" s="52">
        <f t="shared" si="46"/>
        <v>14010.0000000002</v>
      </c>
      <c r="Q380" s="52">
        <f t="shared" si="47"/>
        <v>6.06</v>
      </c>
      <c r="R380" s="120">
        <v>6.07</v>
      </c>
      <c r="S380" s="52">
        <f t="shared" si="48"/>
        <v>30.000000000002</v>
      </c>
      <c r="T380" s="122">
        <f t="shared" si="49"/>
        <v>13980.0000000002</v>
      </c>
      <c r="U380" s="123"/>
      <c r="V380" s="120">
        <v>5.38</v>
      </c>
      <c r="W380" s="120">
        <v>36.06</v>
      </c>
      <c r="X380" s="120"/>
      <c r="Y380" s="120"/>
      <c r="Z380" s="120"/>
      <c r="AA380" s="120"/>
      <c r="AB380" s="122" t="s">
        <v>70</v>
      </c>
    </row>
    <row r="381" ht="15.75" spans="1:28">
      <c r="A381" s="90">
        <f t="shared" si="43"/>
        <v>383</v>
      </c>
      <c r="B381" s="100">
        <v>46126</v>
      </c>
      <c r="C381" s="101">
        <v>46126</v>
      </c>
      <c r="D381" s="118">
        <v>0.291666666666667</v>
      </c>
      <c r="E381" s="119">
        <v>0.78125</v>
      </c>
      <c r="F381" s="109">
        <v>2136.62</v>
      </c>
      <c r="G381" s="120">
        <v>1979.23</v>
      </c>
      <c r="H381" s="120">
        <v>2132.84</v>
      </c>
      <c r="I381" s="120">
        <v>2227.16</v>
      </c>
      <c r="J381" s="120">
        <v>2209.76</v>
      </c>
      <c r="K381" s="121">
        <v>2175</v>
      </c>
      <c r="L381" s="121">
        <v>2187.5</v>
      </c>
      <c r="M381" s="110">
        <f t="shared" si="44"/>
        <v>15048.11</v>
      </c>
      <c r="N381" s="111">
        <f t="shared" si="45"/>
        <v>1344.77</v>
      </c>
      <c r="O381" s="120">
        <v>1349.73</v>
      </c>
      <c r="P381" s="52">
        <f t="shared" si="46"/>
        <v>14880.0000000001</v>
      </c>
      <c r="Q381" s="52">
        <f t="shared" si="47"/>
        <v>6.07</v>
      </c>
      <c r="R381" s="120">
        <v>6.08</v>
      </c>
      <c r="S381" s="52">
        <f t="shared" si="48"/>
        <v>29.9999999999994</v>
      </c>
      <c r="T381" s="122">
        <f t="shared" si="49"/>
        <v>14850.0000000001</v>
      </c>
      <c r="U381" s="123"/>
      <c r="V381" s="120">
        <v>5.38</v>
      </c>
      <c r="W381" s="120">
        <v>34.95</v>
      </c>
      <c r="X381" s="120"/>
      <c r="Y381" s="120"/>
      <c r="Z381" s="120"/>
      <c r="AA381" s="120"/>
      <c r="AB381" s="122" t="s">
        <v>70</v>
      </c>
    </row>
    <row r="382" ht="15.75" spans="1:28">
      <c r="A382" s="90">
        <f t="shared" si="43"/>
        <v>384</v>
      </c>
      <c r="B382" s="100">
        <v>46127</v>
      </c>
      <c r="C382" s="101">
        <v>46127</v>
      </c>
      <c r="D382" s="118">
        <v>0.291666666666667</v>
      </c>
      <c r="E382" s="119">
        <v>0.78125</v>
      </c>
      <c r="F382" s="109">
        <v>2163.43</v>
      </c>
      <c r="G382" s="120">
        <v>2159.84</v>
      </c>
      <c r="H382" s="120">
        <v>2166.25</v>
      </c>
      <c r="I382" s="120">
        <v>2270.17</v>
      </c>
      <c r="J382" s="120">
        <v>2126.72</v>
      </c>
      <c r="K382" s="120">
        <v>2258.64</v>
      </c>
      <c r="L382" s="120">
        <v>2155.07</v>
      </c>
      <c r="M382" s="110">
        <f t="shared" si="44"/>
        <v>15300.12</v>
      </c>
      <c r="N382" s="111">
        <f t="shared" si="45"/>
        <v>1349.73</v>
      </c>
      <c r="O382" s="120">
        <v>1354.77</v>
      </c>
      <c r="P382" s="52">
        <f t="shared" si="46"/>
        <v>15119.9999999999</v>
      </c>
      <c r="Q382" s="52">
        <f t="shared" si="47"/>
        <v>6.08</v>
      </c>
      <c r="R382" s="120">
        <v>6.09</v>
      </c>
      <c r="S382" s="52">
        <f t="shared" si="48"/>
        <v>29.9999999999994</v>
      </c>
      <c r="T382" s="122">
        <f t="shared" si="49"/>
        <v>15089.9999999999</v>
      </c>
      <c r="U382" s="123"/>
      <c r="V382" s="120">
        <v>5.63</v>
      </c>
      <c r="W382" s="120">
        <v>32.89</v>
      </c>
      <c r="X382" s="120"/>
      <c r="Y382" s="120"/>
      <c r="Z382" s="120"/>
      <c r="AA382" s="120"/>
      <c r="AB382" s="122" t="s">
        <v>70</v>
      </c>
    </row>
    <row r="383" ht="15.75" spans="1:28">
      <c r="A383" s="90">
        <f t="shared" si="43"/>
        <v>385</v>
      </c>
      <c r="B383" s="100">
        <v>46128</v>
      </c>
      <c r="C383" s="101">
        <v>46128</v>
      </c>
      <c r="D383" s="118">
        <v>0.291666666666667</v>
      </c>
      <c r="E383" s="119">
        <v>0.78125</v>
      </c>
      <c r="F383" s="109">
        <v>2109.18</v>
      </c>
      <c r="G383" s="120">
        <v>2103.66</v>
      </c>
      <c r="H383" s="120">
        <v>2110.43</v>
      </c>
      <c r="I383" s="120">
        <v>2209.16</v>
      </c>
      <c r="J383" s="121">
        <v>2106.9</v>
      </c>
      <c r="K383" s="120">
        <v>2072.38</v>
      </c>
      <c r="L383" s="120">
        <v>2029.67</v>
      </c>
      <c r="M383" s="110">
        <f t="shared" si="44"/>
        <v>14741.38</v>
      </c>
      <c r="N383" s="111">
        <f t="shared" si="45"/>
        <v>1354.77</v>
      </c>
      <c r="O383" s="120">
        <v>1359.63</v>
      </c>
      <c r="P383" s="52">
        <f t="shared" si="46"/>
        <v>14580.0000000004</v>
      </c>
      <c r="Q383" s="52">
        <f t="shared" si="47"/>
        <v>6.09</v>
      </c>
      <c r="R383" s="121">
        <v>6.1</v>
      </c>
      <c r="S383" s="52">
        <f t="shared" si="48"/>
        <v>29.9999999999994</v>
      </c>
      <c r="T383" s="122">
        <f t="shared" si="49"/>
        <v>14550.0000000004</v>
      </c>
      <c r="U383" s="123"/>
      <c r="V383" s="120">
        <v>5.55</v>
      </c>
      <c r="W383" s="120">
        <v>34.43</v>
      </c>
      <c r="X383" s="120"/>
      <c r="Y383" s="120"/>
      <c r="Z383" s="120"/>
      <c r="AA383" s="120"/>
      <c r="AB383" s="122" t="s">
        <v>70</v>
      </c>
    </row>
    <row r="384" ht="15.75" spans="1:28">
      <c r="A384" s="90">
        <f t="shared" si="43"/>
        <v>386</v>
      </c>
      <c r="B384" s="100">
        <v>46129</v>
      </c>
      <c r="C384" s="101">
        <v>46129</v>
      </c>
      <c r="D384" s="118">
        <v>0.28125</v>
      </c>
      <c r="E384" s="119">
        <v>0.78125</v>
      </c>
      <c r="F384" s="109">
        <v>1940.56</v>
      </c>
      <c r="G384" s="120">
        <v>1932.41</v>
      </c>
      <c r="H384" s="120">
        <v>1932.78</v>
      </c>
      <c r="I384" s="120">
        <v>1991.01</v>
      </c>
      <c r="J384" s="120">
        <v>2019.03</v>
      </c>
      <c r="K384" s="120">
        <v>2022.54</v>
      </c>
      <c r="L384" s="120">
        <v>2039.15</v>
      </c>
      <c r="M384" s="110">
        <f t="shared" si="44"/>
        <v>13877.48</v>
      </c>
      <c r="N384" s="111">
        <f t="shared" si="45"/>
        <v>1359.63</v>
      </c>
      <c r="O384" s="121">
        <v>1364.2</v>
      </c>
      <c r="P384" s="52">
        <f t="shared" si="46"/>
        <v>13709.9999999998</v>
      </c>
      <c r="Q384" s="52">
        <f t="shared" si="47"/>
        <v>6.1</v>
      </c>
      <c r="R384" s="120">
        <v>6.11</v>
      </c>
      <c r="S384" s="52">
        <f t="shared" si="48"/>
        <v>30.000000000002</v>
      </c>
      <c r="T384" s="122">
        <f t="shared" si="49"/>
        <v>13679.9999999998</v>
      </c>
      <c r="U384" s="123"/>
      <c r="V384" s="120">
        <v>5.63</v>
      </c>
      <c r="W384" s="120">
        <v>34.18</v>
      </c>
      <c r="X384" s="120"/>
      <c r="Y384" s="120"/>
      <c r="Z384" s="120"/>
      <c r="AA384" s="120"/>
      <c r="AB384" s="122" t="s">
        <v>70</v>
      </c>
    </row>
    <row r="385" ht="15.75" spans="1:28">
      <c r="A385" s="90">
        <f t="shared" si="43"/>
        <v>387</v>
      </c>
      <c r="B385" s="100">
        <v>46130</v>
      </c>
      <c r="C385" s="101">
        <v>46130</v>
      </c>
      <c r="D385" s="118">
        <v>0.291666666666667</v>
      </c>
      <c r="E385" s="119">
        <v>0.78125</v>
      </c>
      <c r="F385" s="109">
        <v>2011.4</v>
      </c>
      <c r="G385" s="121">
        <v>2001.4</v>
      </c>
      <c r="H385" s="120">
        <v>2006.75</v>
      </c>
      <c r="I385" s="120">
        <v>2100.37</v>
      </c>
      <c r="J385" s="120">
        <v>2091.37</v>
      </c>
      <c r="K385" s="121">
        <v>2094.1</v>
      </c>
      <c r="L385" s="120">
        <v>2105.64</v>
      </c>
      <c r="M385" s="110">
        <f t="shared" si="44"/>
        <v>14411.03</v>
      </c>
      <c r="N385" s="111">
        <f t="shared" si="45"/>
        <v>1364.2</v>
      </c>
      <c r="O385" s="120">
        <v>1368.95</v>
      </c>
      <c r="P385" s="52">
        <f t="shared" si="46"/>
        <v>14250</v>
      </c>
      <c r="Q385" s="52">
        <f t="shared" si="47"/>
        <v>6.11</v>
      </c>
      <c r="R385" s="120">
        <v>6.12</v>
      </c>
      <c r="S385" s="52">
        <f t="shared" si="48"/>
        <v>29.9999999999994</v>
      </c>
      <c r="T385" s="122">
        <f t="shared" si="49"/>
        <v>14220</v>
      </c>
      <c r="U385" s="123"/>
      <c r="V385" s="120">
        <v>5.41</v>
      </c>
      <c r="W385" s="120">
        <v>35.25</v>
      </c>
      <c r="X385" s="120"/>
      <c r="Y385" s="120"/>
      <c r="Z385" s="120"/>
      <c r="AA385" s="120"/>
      <c r="AB385" s="122" t="s">
        <v>70</v>
      </c>
    </row>
    <row r="386" ht="15.75" spans="1:28">
      <c r="A386" s="90">
        <f t="shared" si="43"/>
        <v>388</v>
      </c>
      <c r="B386" s="100">
        <v>46131</v>
      </c>
      <c r="C386" s="101">
        <v>46131</v>
      </c>
      <c r="D386" s="118">
        <v>0.291666666666667</v>
      </c>
      <c r="E386" s="119">
        <v>0.78125</v>
      </c>
      <c r="F386" s="109">
        <v>1991.73</v>
      </c>
      <c r="G386" s="120">
        <v>2010.12</v>
      </c>
      <c r="H386" s="120">
        <v>2017.36</v>
      </c>
      <c r="I386" s="120">
        <v>2106.29</v>
      </c>
      <c r="J386" s="121">
        <v>2012</v>
      </c>
      <c r="K386" s="120">
        <v>2075.47</v>
      </c>
      <c r="L386" s="120">
        <v>2110.42</v>
      </c>
      <c r="M386" s="110">
        <f t="shared" si="44"/>
        <v>14323.39</v>
      </c>
      <c r="N386" s="111">
        <f t="shared" si="45"/>
        <v>1368.95</v>
      </c>
      <c r="O386" s="120">
        <v>1373.67</v>
      </c>
      <c r="P386" s="52">
        <f t="shared" si="46"/>
        <v>14160.0000000001</v>
      </c>
      <c r="Q386" s="52">
        <f t="shared" si="47"/>
        <v>6.12</v>
      </c>
      <c r="R386" s="120">
        <v>6.13</v>
      </c>
      <c r="S386" s="52">
        <f t="shared" si="48"/>
        <v>29.9999999999994</v>
      </c>
      <c r="T386" s="122">
        <f t="shared" si="49"/>
        <v>14130.0000000001</v>
      </c>
      <c r="U386" s="123"/>
      <c r="V386" s="120">
        <v>5.23</v>
      </c>
      <c r="W386" s="120">
        <v>33.14</v>
      </c>
      <c r="X386" s="120"/>
      <c r="Y386" s="120"/>
      <c r="Z386" s="120"/>
      <c r="AA386" s="120"/>
      <c r="AB386" s="122" t="s">
        <v>70</v>
      </c>
    </row>
    <row r="387" ht="15.75" spans="1:28">
      <c r="A387" s="90">
        <f t="shared" si="43"/>
        <v>389</v>
      </c>
      <c r="B387" s="100">
        <v>46132</v>
      </c>
      <c r="C387" s="101">
        <v>46132</v>
      </c>
      <c r="D387" s="118">
        <v>0.28125</v>
      </c>
      <c r="E387" s="119">
        <v>0.78125</v>
      </c>
      <c r="F387" s="109">
        <v>1996.28</v>
      </c>
      <c r="G387" s="120">
        <v>2054.97</v>
      </c>
      <c r="H387" s="120">
        <v>2040.59</v>
      </c>
      <c r="I387" s="120">
        <v>2130.53</v>
      </c>
      <c r="J387" s="120">
        <v>2128.61</v>
      </c>
      <c r="K387" s="120">
        <v>2127.65</v>
      </c>
      <c r="L387" s="120">
        <v>2133.86</v>
      </c>
      <c r="M387" s="110">
        <f t="shared" si="44"/>
        <v>14612.49</v>
      </c>
      <c r="N387" s="111">
        <f t="shared" si="45"/>
        <v>1373.67</v>
      </c>
      <c r="O387" s="120">
        <v>1378.49</v>
      </c>
      <c r="P387" s="52">
        <f t="shared" si="46"/>
        <v>14459.9999999998</v>
      </c>
      <c r="Q387" s="52">
        <f t="shared" si="47"/>
        <v>6.13</v>
      </c>
      <c r="R387" s="120">
        <v>6.14</v>
      </c>
      <c r="S387" s="52">
        <f t="shared" si="48"/>
        <v>29.9999999999994</v>
      </c>
      <c r="T387" s="122">
        <f t="shared" si="49"/>
        <v>14429.9999999998</v>
      </c>
      <c r="U387" s="123"/>
      <c r="V387" s="120">
        <v>5.46</v>
      </c>
      <c r="W387" s="120">
        <v>34.59</v>
      </c>
      <c r="X387" s="120"/>
      <c r="Y387" s="120"/>
      <c r="Z387" s="120"/>
      <c r="AA387" s="120"/>
      <c r="AB387" s="122" t="s">
        <v>70</v>
      </c>
    </row>
    <row r="388" ht="15.75" spans="1:28">
      <c r="A388" s="90">
        <f t="shared" si="43"/>
        <v>390</v>
      </c>
      <c r="B388" s="100">
        <v>46133</v>
      </c>
      <c r="C388" s="101">
        <v>46133</v>
      </c>
      <c r="D388" s="118">
        <v>0.28125</v>
      </c>
      <c r="E388" s="119">
        <v>0.78125</v>
      </c>
      <c r="F388" s="109">
        <v>2064.84</v>
      </c>
      <c r="G388" s="120">
        <v>2054.83</v>
      </c>
      <c r="H388" s="120">
        <v>2059.14</v>
      </c>
      <c r="I388" s="120">
        <v>2154.86</v>
      </c>
      <c r="J388" s="120">
        <v>2151.28</v>
      </c>
      <c r="K388" s="120">
        <v>2126.58</v>
      </c>
      <c r="L388" s="120">
        <v>2126.47</v>
      </c>
      <c r="M388" s="110">
        <f t="shared" si="44"/>
        <v>14738</v>
      </c>
      <c r="N388" s="111">
        <f t="shared" si="45"/>
        <v>1378.49</v>
      </c>
      <c r="O388" s="120">
        <v>1383.35</v>
      </c>
      <c r="P388" s="52">
        <f t="shared" si="46"/>
        <v>14579.9999999997</v>
      </c>
      <c r="Q388" s="52">
        <f t="shared" si="47"/>
        <v>6.14</v>
      </c>
      <c r="R388" s="120">
        <v>6.15</v>
      </c>
      <c r="S388" s="52">
        <f t="shared" si="48"/>
        <v>30.000000000002</v>
      </c>
      <c r="T388" s="122">
        <f t="shared" si="49"/>
        <v>14549.9999999997</v>
      </c>
      <c r="U388" s="123"/>
      <c r="V388" s="120">
        <v>5.47</v>
      </c>
      <c r="W388" s="120">
        <v>34.34</v>
      </c>
      <c r="X388" s="120"/>
      <c r="Y388" s="120"/>
      <c r="Z388" s="120"/>
      <c r="AA388" s="120"/>
      <c r="AB388" s="122" t="s">
        <v>70</v>
      </c>
    </row>
    <row r="389" ht="15.75" spans="1:28">
      <c r="A389" s="90">
        <f t="shared" si="43"/>
        <v>391</v>
      </c>
      <c r="B389" s="100">
        <v>46134</v>
      </c>
      <c r="C389" s="101">
        <v>46134</v>
      </c>
      <c r="D389" s="118">
        <v>0.28125</v>
      </c>
      <c r="E389" s="119">
        <v>0.78125</v>
      </c>
      <c r="F389" s="109">
        <v>2076.27</v>
      </c>
      <c r="G389" s="120">
        <v>2067.49</v>
      </c>
      <c r="H389" s="121">
        <v>2068.3</v>
      </c>
      <c r="I389" s="120">
        <v>2168.56</v>
      </c>
      <c r="J389" s="120">
        <v>2164.87</v>
      </c>
      <c r="K389" s="120">
        <v>2165.19</v>
      </c>
      <c r="L389" s="120">
        <v>2179.57</v>
      </c>
      <c r="M389" s="110">
        <f t="shared" si="44"/>
        <v>14890.25</v>
      </c>
      <c r="N389" s="111">
        <f t="shared" si="45"/>
        <v>1383.35</v>
      </c>
      <c r="O389" s="120">
        <v>1388.25</v>
      </c>
      <c r="P389" s="52">
        <f t="shared" si="46"/>
        <v>14700.0000000003</v>
      </c>
      <c r="Q389" s="52">
        <f t="shared" si="47"/>
        <v>6.15</v>
      </c>
      <c r="R389" s="120">
        <v>6.16</v>
      </c>
      <c r="S389" s="52">
        <f t="shared" si="48"/>
        <v>29.9999999999994</v>
      </c>
      <c r="T389" s="122">
        <f t="shared" si="49"/>
        <v>14670.0000000003</v>
      </c>
      <c r="U389" s="123"/>
      <c r="V389" s="120">
        <v>5.52</v>
      </c>
      <c r="W389" s="121">
        <v>33.2</v>
      </c>
      <c r="X389" s="120"/>
      <c r="Y389" s="120"/>
      <c r="Z389" s="120"/>
      <c r="AA389" s="120"/>
      <c r="AB389" s="122" t="s">
        <v>70</v>
      </c>
    </row>
    <row r="390" ht="15.75" spans="1:28">
      <c r="A390" s="90">
        <f t="shared" si="43"/>
        <v>392</v>
      </c>
      <c r="B390" s="100">
        <v>46135</v>
      </c>
      <c r="C390" s="101">
        <v>46135</v>
      </c>
      <c r="D390" s="118">
        <v>0.291666666666667</v>
      </c>
      <c r="E390" s="119">
        <v>0.78125</v>
      </c>
      <c r="F390" s="109">
        <v>2028.21</v>
      </c>
      <c r="G390" s="120">
        <v>1973.43</v>
      </c>
      <c r="H390" s="120">
        <v>2023.95</v>
      </c>
      <c r="I390" s="120">
        <v>2120.02</v>
      </c>
      <c r="J390" s="120">
        <v>2114.72</v>
      </c>
      <c r="K390" s="121">
        <v>2117.3</v>
      </c>
      <c r="L390" s="120">
        <v>2132.35</v>
      </c>
      <c r="M390" s="110">
        <f t="shared" si="44"/>
        <v>14509.98</v>
      </c>
      <c r="N390" s="111">
        <f t="shared" si="45"/>
        <v>1388.25</v>
      </c>
      <c r="O390" s="120">
        <v>1393.04</v>
      </c>
      <c r="P390" s="52">
        <f t="shared" si="46"/>
        <v>14369.9999999999</v>
      </c>
      <c r="Q390" s="52">
        <f t="shared" si="47"/>
        <v>6.16</v>
      </c>
      <c r="R390" s="120">
        <v>6.17</v>
      </c>
      <c r="S390" s="52">
        <f t="shared" si="48"/>
        <v>29.9999999999994</v>
      </c>
      <c r="T390" s="122">
        <f t="shared" si="49"/>
        <v>14339.9999999999</v>
      </c>
      <c r="U390" s="123"/>
      <c r="V390" s="120">
        <v>5.38</v>
      </c>
      <c r="W390" s="120">
        <v>35.04</v>
      </c>
      <c r="X390" s="120"/>
      <c r="Y390" s="120"/>
      <c r="Z390" s="120"/>
      <c r="AA390" s="120"/>
      <c r="AB390" s="122" t="s">
        <v>70</v>
      </c>
    </row>
    <row r="391" ht="15.75" spans="1:28">
      <c r="A391" s="90">
        <f t="shared" si="43"/>
        <v>393</v>
      </c>
      <c r="B391" s="100">
        <v>46136</v>
      </c>
      <c r="C391" s="101">
        <v>46136</v>
      </c>
      <c r="D391" s="118">
        <v>0.28125</v>
      </c>
      <c r="E391" s="119">
        <v>0.78125</v>
      </c>
      <c r="F391" s="109">
        <v>2100.56</v>
      </c>
      <c r="G391" s="120">
        <v>2095.67</v>
      </c>
      <c r="H391" s="121">
        <v>2097</v>
      </c>
      <c r="I391" s="120">
        <v>2036.81</v>
      </c>
      <c r="J391" s="120">
        <v>2193.26</v>
      </c>
      <c r="K391" s="120">
        <v>2191.94</v>
      </c>
      <c r="L391" s="120">
        <v>2208.68</v>
      </c>
      <c r="M391" s="110">
        <f t="shared" si="44"/>
        <v>14923.92</v>
      </c>
      <c r="N391" s="111">
        <f t="shared" si="45"/>
        <v>1393.04</v>
      </c>
      <c r="O391" s="120">
        <v>1397.95</v>
      </c>
      <c r="P391" s="52">
        <f t="shared" si="46"/>
        <v>14730.0000000002</v>
      </c>
      <c r="Q391" s="52">
        <f t="shared" si="47"/>
        <v>6.17</v>
      </c>
      <c r="R391" s="120">
        <v>6.18</v>
      </c>
      <c r="S391" s="52">
        <f t="shared" si="48"/>
        <v>29.9999999999994</v>
      </c>
      <c r="T391" s="122">
        <f t="shared" si="49"/>
        <v>14700.0000000002</v>
      </c>
      <c r="U391" s="123"/>
      <c r="V391" s="120">
        <v>5.51</v>
      </c>
      <c r="W391" s="120">
        <v>35.73</v>
      </c>
      <c r="X391" s="120"/>
      <c r="Y391" s="120"/>
      <c r="Z391" s="120"/>
      <c r="AA391" s="120"/>
      <c r="AB391" s="122" t="s">
        <v>70</v>
      </c>
    </row>
    <row r="392" ht="15.75" spans="1:28">
      <c r="A392" s="90">
        <f t="shared" si="43"/>
        <v>394</v>
      </c>
      <c r="B392" s="100">
        <v>46137</v>
      </c>
      <c r="C392" s="101">
        <v>46137</v>
      </c>
      <c r="D392" s="118">
        <v>0.28125</v>
      </c>
      <c r="E392" s="119">
        <v>0.78125</v>
      </c>
      <c r="F392" s="109">
        <v>2022.73</v>
      </c>
      <c r="G392" s="120">
        <v>2013.18</v>
      </c>
      <c r="H392" s="120">
        <v>2015.08</v>
      </c>
      <c r="I392" s="120">
        <v>2110.35</v>
      </c>
      <c r="J392" s="120">
        <v>2108.21</v>
      </c>
      <c r="K392" s="120">
        <v>2110.44</v>
      </c>
      <c r="L392" s="120">
        <v>2121.39</v>
      </c>
      <c r="M392" s="110">
        <f t="shared" si="44"/>
        <v>14501.38</v>
      </c>
      <c r="N392" s="111">
        <f t="shared" si="45"/>
        <v>1397.95</v>
      </c>
      <c r="O392" s="120">
        <v>1402.73</v>
      </c>
      <c r="P392" s="52">
        <f t="shared" si="46"/>
        <v>14339.9999999999</v>
      </c>
      <c r="Q392" s="52">
        <f t="shared" si="47"/>
        <v>6.18</v>
      </c>
      <c r="R392" s="120">
        <v>6.19</v>
      </c>
      <c r="S392" s="52">
        <f t="shared" si="48"/>
        <v>30.000000000002</v>
      </c>
      <c r="T392" s="122">
        <f t="shared" si="49"/>
        <v>14309.9999999999</v>
      </c>
      <c r="U392" s="123"/>
      <c r="V392" s="120">
        <v>5.37</v>
      </c>
      <c r="W392" s="120">
        <v>36.44</v>
      </c>
      <c r="X392" s="120"/>
      <c r="Y392" s="120"/>
      <c r="Z392" s="120"/>
      <c r="AA392" s="120"/>
      <c r="AB392" s="122" t="s">
        <v>70</v>
      </c>
    </row>
    <row r="393" ht="15.75" spans="1:28">
      <c r="A393" s="90">
        <f t="shared" si="43"/>
        <v>395</v>
      </c>
      <c r="B393" s="100">
        <v>46138</v>
      </c>
      <c r="C393" s="101">
        <v>46138</v>
      </c>
      <c r="D393" s="118">
        <v>0.28125</v>
      </c>
      <c r="E393" s="119">
        <v>0.78125</v>
      </c>
      <c r="F393" s="109">
        <v>1944.41</v>
      </c>
      <c r="G393" s="121">
        <v>1825.8</v>
      </c>
      <c r="H393" s="120">
        <v>1940.18</v>
      </c>
      <c r="I393" s="120">
        <v>2030.05</v>
      </c>
      <c r="J393" s="120">
        <v>2029.59</v>
      </c>
      <c r="K393" s="120">
        <v>2031.12</v>
      </c>
      <c r="L393" s="120">
        <v>1802.61</v>
      </c>
      <c r="M393" s="110">
        <f t="shared" si="44"/>
        <v>13603.76</v>
      </c>
      <c r="N393" s="111">
        <f t="shared" si="45"/>
        <v>1402.73</v>
      </c>
      <c r="O393" s="120">
        <v>1407.22</v>
      </c>
      <c r="P393" s="52">
        <f t="shared" si="46"/>
        <v>13470</v>
      </c>
      <c r="Q393" s="52">
        <f t="shared" si="47"/>
        <v>6.19</v>
      </c>
      <c r="R393" s="121">
        <v>6.2</v>
      </c>
      <c r="S393" s="52">
        <f t="shared" si="48"/>
        <v>29.9999999999994</v>
      </c>
      <c r="T393" s="122">
        <f t="shared" si="49"/>
        <v>13440</v>
      </c>
      <c r="U393" s="123"/>
      <c r="V393" s="120">
        <v>5.27</v>
      </c>
      <c r="W393" s="120">
        <v>38.36</v>
      </c>
      <c r="X393" s="120"/>
      <c r="Y393" s="120"/>
      <c r="Z393" s="120"/>
      <c r="AA393" s="120"/>
      <c r="AB393" s="122" t="s">
        <v>70</v>
      </c>
    </row>
    <row r="394" ht="15.75" spans="1:28">
      <c r="A394" s="90">
        <f t="shared" si="43"/>
        <v>396</v>
      </c>
      <c r="B394" s="100">
        <v>46139</v>
      </c>
      <c r="C394" s="101">
        <v>46139</v>
      </c>
      <c r="D394" s="118">
        <v>0.28125</v>
      </c>
      <c r="E394" s="119">
        <v>0.78125</v>
      </c>
      <c r="F394" s="109">
        <v>1956.95</v>
      </c>
      <c r="G394" s="120">
        <v>1946.38</v>
      </c>
      <c r="H394" s="120">
        <v>1945.74</v>
      </c>
      <c r="I394" s="120">
        <v>2038.54</v>
      </c>
      <c r="J394" s="120">
        <v>2035.27</v>
      </c>
      <c r="K394" s="120">
        <v>2038.39</v>
      </c>
      <c r="L394" s="120">
        <v>2046.68</v>
      </c>
      <c r="M394" s="110">
        <f t="shared" si="44"/>
        <v>14007.95</v>
      </c>
      <c r="N394" s="111">
        <f t="shared" si="45"/>
        <v>1407.22</v>
      </c>
      <c r="O394" s="120">
        <v>1411.84</v>
      </c>
      <c r="P394" s="52">
        <f t="shared" si="46"/>
        <v>13859.9999999997</v>
      </c>
      <c r="Q394" s="52">
        <f t="shared" si="47"/>
        <v>6.2</v>
      </c>
      <c r="R394" s="120">
        <v>6.21</v>
      </c>
      <c r="S394" s="52">
        <f t="shared" si="48"/>
        <v>29.9999999999994</v>
      </c>
      <c r="T394" s="122">
        <f t="shared" si="49"/>
        <v>13829.9999999997</v>
      </c>
      <c r="U394" s="123"/>
      <c r="V394" s="120">
        <v>5.34</v>
      </c>
      <c r="W394" s="120">
        <v>36.93</v>
      </c>
      <c r="X394" s="120"/>
      <c r="Y394" s="120"/>
      <c r="Z394" s="120"/>
      <c r="AA394" s="120"/>
      <c r="AB394" s="122" t="s">
        <v>70</v>
      </c>
    </row>
    <row r="395" ht="15.75" spans="1:28">
      <c r="A395" s="90">
        <f t="shared" si="43"/>
        <v>397</v>
      </c>
      <c r="B395" s="100">
        <v>46140</v>
      </c>
      <c r="C395" s="101">
        <v>46140</v>
      </c>
      <c r="D395" s="118">
        <v>0.28125</v>
      </c>
      <c r="E395" s="119">
        <v>0.78125</v>
      </c>
      <c r="F395" s="109">
        <v>2093.68</v>
      </c>
      <c r="G395" s="121">
        <v>2086</v>
      </c>
      <c r="H395" s="120">
        <v>2084.92</v>
      </c>
      <c r="I395" s="120">
        <v>2176.92</v>
      </c>
      <c r="J395" s="120">
        <v>2155.17</v>
      </c>
      <c r="K395" s="121">
        <v>2144.3</v>
      </c>
      <c r="L395" s="120">
        <v>2157.17</v>
      </c>
      <c r="M395" s="110">
        <f t="shared" si="44"/>
        <v>14898.16</v>
      </c>
      <c r="N395" s="111">
        <f t="shared" si="45"/>
        <v>1411.84</v>
      </c>
      <c r="O395" s="120">
        <v>1416.75</v>
      </c>
      <c r="P395" s="52">
        <f t="shared" si="46"/>
        <v>14730.0000000002</v>
      </c>
      <c r="Q395" s="52">
        <f t="shared" si="47"/>
        <v>6.21</v>
      </c>
      <c r="R395" s="120">
        <v>6.22</v>
      </c>
      <c r="S395" s="52">
        <f t="shared" si="48"/>
        <v>29.9999999999994</v>
      </c>
      <c r="T395" s="122">
        <f t="shared" si="49"/>
        <v>14700.0000000002</v>
      </c>
      <c r="U395" s="123"/>
      <c r="V395" s="120">
        <v>5.63</v>
      </c>
      <c r="W395" s="120">
        <v>36.48</v>
      </c>
      <c r="X395" s="120"/>
      <c r="Y395" s="120"/>
      <c r="Z395" s="120"/>
      <c r="AA395" s="120"/>
      <c r="AB395" s="122" t="s">
        <v>70</v>
      </c>
    </row>
    <row r="396" ht="15.75" spans="1:28">
      <c r="A396" s="90">
        <f t="shared" si="43"/>
        <v>398</v>
      </c>
      <c r="B396" s="100">
        <v>46141</v>
      </c>
      <c r="C396" s="101">
        <v>46141</v>
      </c>
      <c r="D396" s="118">
        <v>0.28125</v>
      </c>
      <c r="E396" s="119">
        <v>0.78125</v>
      </c>
      <c r="F396" s="109">
        <v>1928.65</v>
      </c>
      <c r="G396" s="120">
        <v>1964.38</v>
      </c>
      <c r="H396" s="120">
        <v>2079.19</v>
      </c>
      <c r="I396" s="120">
        <v>2176.96</v>
      </c>
      <c r="J396" s="120">
        <v>2174.82</v>
      </c>
      <c r="K396" s="120">
        <v>2174.08</v>
      </c>
      <c r="L396" s="121">
        <v>2182.1</v>
      </c>
      <c r="M396" s="110">
        <f t="shared" si="44"/>
        <v>14680.18</v>
      </c>
      <c r="N396" s="111">
        <f t="shared" si="45"/>
        <v>1416.75</v>
      </c>
      <c r="O396" s="120">
        <v>1421.59</v>
      </c>
      <c r="P396" s="52">
        <f t="shared" si="46"/>
        <v>14519.9999999998</v>
      </c>
      <c r="Q396" s="52">
        <f t="shared" si="47"/>
        <v>6.22</v>
      </c>
      <c r="R396" s="120">
        <v>6.23</v>
      </c>
      <c r="S396" s="52">
        <f t="shared" si="48"/>
        <v>30.000000000002</v>
      </c>
      <c r="T396" s="122">
        <f t="shared" si="49"/>
        <v>14489.9999999998</v>
      </c>
      <c r="U396" s="123"/>
      <c r="V396" s="121">
        <v>5.6</v>
      </c>
      <c r="W396" s="120">
        <v>35.61</v>
      </c>
      <c r="X396" s="120"/>
      <c r="Y396" s="120"/>
      <c r="Z396" s="120"/>
      <c r="AA396" s="120"/>
      <c r="AB396" s="122" t="s">
        <v>70</v>
      </c>
    </row>
    <row r="397" ht="15.75" spans="1:28">
      <c r="A397" s="90">
        <f t="shared" si="43"/>
        <v>399</v>
      </c>
      <c r="B397" s="100">
        <v>46142</v>
      </c>
      <c r="C397" s="101">
        <v>46142</v>
      </c>
      <c r="D397" s="118">
        <v>0.28125</v>
      </c>
      <c r="E397" s="119">
        <v>0.78125</v>
      </c>
      <c r="F397" s="109">
        <v>2032.59</v>
      </c>
      <c r="G397" s="120">
        <v>2026.51</v>
      </c>
      <c r="H397" s="120">
        <v>2030.75</v>
      </c>
      <c r="I397" s="120">
        <v>2123.96</v>
      </c>
      <c r="J397" s="120">
        <v>2121.13</v>
      </c>
      <c r="K397" s="120">
        <v>2123.62</v>
      </c>
      <c r="L397" s="120">
        <v>2139.25</v>
      </c>
      <c r="M397" s="110">
        <f t="shared" si="44"/>
        <v>14597.81</v>
      </c>
      <c r="N397" s="111">
        <f t="shared" si="45"/>
        <v>1421.59</v>
      </c>
      <c r="O397" s="121">
        <v>1426.4</v>
      </c>
      <c r="P397" s="52">
        <v>14430</v>
      </c>
      <c r="Q397" s="52">
        <f t="shared" si="47"/>
        <v>6.23</v>
      </c>
      <c r="R397" s="120">
        <v>6.25</v>
      </c>
      <c r="S397" s="52">
        <f t="shared" si="48"/>
        <v>59.9999999999987</v>
      </c>
      <c r="T397" s="122">
        <f t="shared" si="49"/>
        <v>14370</v>
      </c>
      <c r="U397" s="123"/>
      <c r="V397" s="120">
        <v>5.55</v>
      </c>
      <c r="W397" s="121">
        <v>34.4</v>
      </c>
      <c r="X397" s="120"/>
      <c r="Y397" s="120"/>
      <c r="Z397" s="120"/>
      <c r="AA397" s="120"/>
      <c r="AB397" s="122" t="s">
        <v>70</v>
      </c>
    </row>
    <row r="398" ht="15.75" spans="1:28">
      <c r="A398" s="90">
        <f t="shared" si="43"/>
        <v>400</v>
      </c>
      <c r="B398" s="100">
        <v>46143</v>
      </c>
      <c r="C398" s="101">
        <v>46143</v>
      </c>
      <c r="D398" s="118">
        <v>0.28125</v>
      </c>
      <c r="E398" s="119">
        <v>0.78125</v>
      </c>
      <c r="F398" s="109">
        <v>2027.46</v>
      </c>
      <c r="G398" s="121">
        <v>2021.8</v>
      </c>
      <c r="H398" s="120">
        <v>2023.76</v>
      </c>
      <c r="I398" s="120">
        <v>2118.43</v>
      </c>
      <c r="J398" s="120">
        <v>2025.12</v>
      </c>
      <c r="K398" s="120">
        <v>2120.39</v>
      </c>
      <c r="L398" s="120">
        <v>2131.84</v>
      </c>
      <c r="M398" s="110">
        <f t="shared" si="44"/>
        <v>14468.8</v>
      </c>
      <c r="N398" s="111">
        <f t="shared" si="45"/>
        <v>1426.4</v>
      </c>
      <c r="O398" s="120">
        <v>1431.17</v>
      </c>
      <c r="P398" s="52">
        <f t="shared" si="46"/>
        <v>14309.9999999999</v>
      </c>
      <c r="Q398" s="52">
        <f t="shared" si="47"/>
        <v>6.25</v>
      </c>
      <c r="R398" s="120">
        <v>6.26</v>
      </c>
      <c r="S398" s="52">
        <f t="shared" si="48"/>
        <v>29.9999999999994</v>
      </c>
      <c r="T398" s="122">
        <f t="shared" si="49"/>
        <v>14279.9999999999</v>
      </c>
      <c r="U398" s="123"/>
      <c r="V398" s="120">
        <v>5.48</v>
      </c>
      <c r="W398" s="120">
        <v>34.55</v>
      </c>
      <c r="X398" s="120"/>
      <c r="Y398" s="120"/>
      <c r="Z398" s="120"/>
      <c r="AA398" s="120"/>
      <c r="AB398" s="122" t="s">
        <v>70</v>
      </c>
    </row>
    <row r="399" ht="15.75" spans="1:28">
      <c r="A399" s="90">
        <f t="shared" si="43"/>
        <v>401</v>
      </c>
      <c r="B399" s="100">
        <v>46144</v>
      </c>
      <c r="C399" s="101">
        <v>46144</v>
      </c>
      <c r="D399" s="118">
        <v>0.28125</v>
      </c>
      <c r="E399" s="119">
        <v>0.78125</v>
      </c>
      <c r="F399" s="109">
        <v>2054.12</v>
      </c>
      <c r="G399" s="120">
        <v>2045.39</v>
      </c>
      <c r="H399" s="120">
        <v>2048.16</v>
      </c>
      <c r="I399" s="121">
        <v>2146.6</v>
      </c>
      <c r="J399" s="120">
        <v>2146.67</v>
      </c>
      <c r="K399" s="120">
        <v>2149.26</v>
      </c>
      <c r="L399" s="121">
        <v>2162.8</v>
      </c>
      <c r="M399" s="110">
        <f t="shared" si="44"/>
        <v>14753</v>
      </c>
      <c r="N399" s="111">
        <f t="shared" si="45"/>
        <v>1431.17</v>
      </c>
      <c r="O399" s="120">
        <v>1436.03</v>
      </c>
      <c r="P399" s="52">
        <f t="shared" si="46"/>
        <v>14579.9999999997</v>
      </c>
      <c r="Q399" s="52">
        <f t="shared" si="47"/>
        <v>6.26</v>
      </c>
      <c r="R399" s="120">
        <v>6.27</v>
      </c>
      <c r="S399" s="52">
        <f t="shared" si="48"/>
        <v>29.9999999999994</v>
      </c>
      <c r="T399" s="122">
        <f t="shared" si="49"/>
        <v>14549.9999999997</v>
      </c>
      <c r="U399" s="123"/>
      <c r="V399" s="120">
        <v>5.54</v>
      </c>
      <c r="W399" s="121">
        <v>35.4</v>
      </c>
      <c r="X399" s="120"/>
      <c r="Y399" s="120"/>
      <c r="Z399" s="120"/>
      <c r="AA399" s="120"/>
      <c r="AB399" s="122" t="s">
        <v>70</v>
      </c>
    </row>
    <row r="400" ht="15.75" spans="1:28">
      <c r="A400" s="90">
        <f t="shared" ref="A400:A418" si="50">A399+1</f>
        <v>402</v>
      </c>
      <c r="B400" s="100">
        <v>46145</v>
      </c>
      <c r="C400" s="101">
        <v>46145</v>
      </c>
      <c r="D400" s="118">
        <v>0.28125</v>
      </c>
      <c r="E400" s="119">
        <v>0.78125</v>
      </c>
      <c r="F400" s="109">
        <v>2084.92</v>
      </c>
      <c r="G400" s="120">
        <v>2080.61</v>
      </c>
      <c r="H400" s="120">
        <v>2078.48</v>
      </c>
      <c r="I400" s="120">
        <v>2178.92</v>
      </c>
      <c r="J400" s="120">
        <v>2043.99</v>
      </c>
      <c r="K400" s="120">
        <v>2179.03</v>
      </c>
      <c r="L400" s="120">
        <v>2193.72</v>
      </c>
      <c r="M400" s="110">
        <f t="shared" si="44"/>
        <v>14839.67</v>
      </c>
      <c r="N400" s="111">
        <f t="shared" si="45"/>
        <v>1436.03</v>
      </c>
      <c r="O400" s="120">
        <v>1440.92</v>
      </c>
      <c r="P400" s="52">
        <f t="shared" si="46"/>
        <v>14670.0000000003</v>
      </c>
      <c r="Q400" s="52">
        <f t="shared" si="47"/>
        <v>6.27</v>
      </c>
      <c r="R400" s="120">
        <v>6.28</v>
      </c>
      <c r="S400" s="52">
        <f t="shared" si="48"/>
        <v>30.000000000002</v>
      </c>
      <c r="T400" s="122">
        <f t="shared" si="49"/>
        <v>14640.0000000003</v>
      </c>
      <c r="U400" s="123"/>
      <c r="V400" s="120">
        <v>5.55</v>
      </c>
      <c r="W400" s="120">
        <v>34.46</v>
      </c>
      <c r="X400" s="120"/>
      <c r="Y400" s="120"/>
      <c r="Z400" s="120"/>
      <c r="AA400" s="120"/>
      <c r="AB400" s="122" t="s">
        <v>70</v>
      </c>
    </row>
    <row r="401" ht="15.75" spans="1:28">
      <c r="A401" s="90">
        <f t="shared" si="50"/>
        <v>403</v>
      </c>
      <c r="B401" s="100">
        <v>46146</v>
      </c>
      <c r="C401" s="101">
        <v>46146</v>
      </c>
      <c r="D401" s="118">
        <v>0.28125</v>
      </c>
      <c r="E401" s="119">
        <v>0.78125</v>
      </c>
      <c r="F401" s="109">
        <v>1978.27</v>
      </c>
      <c r="G401" s="121">
        <v>1994.9</v>
      </c>
      <c r="H401" s="120">
        <v>2017.34</v>
      </c>
      <c r="I401" s="120">
        <v>2107.98</v>
      </c>
      <c r="J401" s="120">
        <v>2105.98</v>
      </c>
      <c r="K401" s="120">
        <v>2111.42</v>
      </c>
      <c r="L401" s="120">
        <v>2121.75</v>
      </c>
      <c r="M401" s="110">
        <f t="shared" si="44"/>
        <v>14437.64</v>
      </c>
      <c r="N401" s="111">
        <f t="shared" si="45"/>
        <v>1440.92</v>
      </c>
      <c r="O401" s="120">
        <v>1445.68</v>
      </c>
      <c r="P401" s="52">
        <f t="shared" si="46"/>
        <v>14280</v>
      </c>
      <c r="Q401" s="52">
        <f t="shared" si="47"/>
        <v>6.28</v>
      </c>
      <c r="R401" s="120">
        <v>6.29</v>
      </c>
      <c r="S401" s="52">
        <f t="shared" si="48"/>
        <v>29.9999999999994</v>
      </c>
      <c r="T401" s="122">
        <f t="shared" si="49"/>
        <v>14250</v>
      </c>
      <c r="U401" s="123"/>
      <c r="V401" s="120">
        <v>5.53</v>
      </c>
      <c r="W401" s="120">
        <v>33.62</v>
      </c>
      <c r="X401" s="120"/>
      <c r="Y401" s="120"/>
      <c r="Z401" s="120"/>
      <c r="AA401" s="120"/>
      <c r="AB401" s="122" t="s">
        <v>70</v>
      </c>
    </row>
    <row r="402" ht="15.75" spans="1:28">
      <c r="A402" s="90">
        <f t="shared" si="50"/>
        <v>404</v>
      </c>
      <c r="B402" s="100">
        <v>46147</v>
      </c>
      <c r="C402" s="101">
        <v>46147</v>
      </c>
      <c r="D402" s="118">
        <v>0.28125</v>
      </c>
      <c r="E402" s="119">
        <v>0.791666666666667</v>
      </c>
      <c r="F402" s="109">
        <v>2017.69</v>
      </c>
      <c r="G402" s="120">
        <v>2010.73</v>
      </c>
      <c r="H402" s="120">
        <v>2013.72</v>
      </c>
      <c r="I402" s="120">
        <v>2109.76</v>
      </c>
      <c r="J402" s="120">
        <v>2018.26</v>
      </c>
      <c r="K402" s="120">
        <v>2008.55</v>
      </c>
      <c r="L402" s="120">
        <v>2080.22</v>
      </c>
      <c r="M402" s="110">
        <f t="shared" ref="M402:M418" si="51">SUM(F402:L402)</f>
        <v>14258.93</v>
      </c>
      <c r="N402" s="111">
        <f t="shared" ref="N402:N418" si="52">O401</f>
        <v>1445.68</v>
      </c>
      <c r="O402" s="120">
        <v>1450.36</v>
      </c>
      <c r="P402" s="52">
        <f t="shared" ref="P402:P418" si="53">MAX((O402-N402)*3000,0)</f>
        <v>14039.9999999995</v>
      </c>
      <c r="Q402" s="52">
        <f t="shared" ref="Q402:Q418" si="54">R401</f>
        <v>6.29</v>
      </c>
      <c r="R402" s="121">
        <v>6.3</v>
      </c>
      <c r="S402" s="52">
        <f t="shared" ref="S402:S418" si="55">MAX((R402-Q402)*3000,0)</f>
        <v>29.9999999999994</v>
      </c>
      <c r="T402" s="122">
        <f t="shared" ref="T402:T418" si="56">P402-S402</f>
        <v>14009.9999999995</v>
      </c>
      <c r="U402" s="123"/>
      <c r="V402" s="120">
        <v>5.38</v>
      </c>
      <c r="W402" s="120">
        <v>34.92</v>
      </c>
      <c r="X402" s="120"/>
      <c r="Y402" s="120"/>
      <c r="Z402" s="120"/>
      <c r="AA402" s="120"/>
      <c r="AB402" s="122" t="s">
        <v>70</v>
      </c>
    </row>
    <row r="403" ht="15.75" spans="1:28">
      <c r="A403" s="90">
        <f t="shared" si="50"/>
        <v>405</v>
      </c>
      <c r="B403" s="100">
        <v>46148</v>
      </c>
      <c r="C403" s="101">
        <v>46148</v>
      </c>
      <c r="D403" s="118">
        <v>0.28125</v>
      </c>
      <c r="E403" s="119">
        <v>0.78125</v>
      </c>
      <c r="F403" s="109">
        <v>1945.01</v>
      </c>
      <c r="G403" s="120">
        <v>1932.07</v>
      </c>
      <c r="H403" s="120">
        <v>1935.42</v>
      </c>
      <c r="I403" s="120">
        <v>2036.71</v>
      </c>
      <c r="J403" s="120">
        <v>2019.24</v>
      </c>
      <c r="K403" s="121">
        <v>2021.9</v>
      </c>
      <c r="L403" s="120">
        <v>2030.14</v>
      </c>
      <c r="M403" s="110">
        <f t="shared" si="51"/>
        <v>13920.49</v>
      </c>
      <c r="N403" s="111">
        <f t="shared" si="52"/>
        <v>1450.36</v>
      </c>
      <c r="O403" s="120">
        <v>1454.98</v>
      </c>
      <c r="P403" s="52">
        <f t="shared" si="53"/>
        <v>13860.0000000004</v>
      </c>
      <c r="Q403" s="52">
        <f t="shared" si="54"/>
        <v>6.3</v>
      </c>
      <c r="R403" s="120">
        <v>6.31</v>
      </c>
      <c r="S403" s="52">
        <f t="shared" si="55"/>
        <v>29.9999999999994</v>
      </c>
      <c r="T403" s="122">
        <f t="shared" si="56"/>
        <v>13830.0000000004</v>
      </c>
      <c r="U403" s="123"/>
      <c r="V403" s="120">
        <v>5.66</v>
      </c>
      <c r="W403" s="120">
        <v>35.14</v>
      </c>
      <c r="X403" s="120"/>
      <c r="Y403" s="120"/>
      <c r="Z403" s="120"/>
      <c r="AA403" s="120"/>
      <c r="AB403" s="122" t="s">
        <v>70</v>
      </c>
    </row>
    <row r="404" ht="15.75" spans="1:28">
      <c r="A404" s="90">
        <f t="shared" si="50"/>
        <v>406</v>
      </c>
      <c r="B404" s="100">
        <v>46149</v>
      </c>
      <c r="C404" s="101">
        <v>46149</v>
      </c>
      <c r="D404" s="118">
        <v>0.282638888888889</v>
      </c>
      <c r="E404" s="119">
        <v>0.78125</v>
      </c>
      <c r="F404" s="109">
        <v>1989.26</v>
      </c>
      <c r="G404" s="120">
        <v>1981.61</v>
      </c>
      <c r="H404" s="120">
        <v>1984.04</v>
      </c>
      <c r="I404" s="120">
        <v>2083.09</v>
      </c>
      <c r="J404" s="120">
        <v>2073.29</v>
      </c>
      <c r="K404" s="120">
        <v>2076.27</v>
      </c>
      <c r="L404" s="121">
        <v>1931.8</v>
      </c>
      <c r="M404" s="110">
        <f t="shared" si="51"/>
        <v>14119.36</v>
      </c>
      <c r="N404" s="111">
        <f t="shared" si="52"/>
        <v>1454.98</v>
      </c>
      <c r="O404" s="120">
        <v>1459.63</v>
      </c>
      <c r="P404" s="52">
        <f t="shared" si="53"/>
        <v>13950.0000000003</v>
      </c>
      <c r="Q404" s="52">
        <f t="shared" si="54"/>
        <v>6.31</v>
      </c>
      <c r="R404" s="120">
        <v>6.32</v>
      </c>
      <c r="S404" s="52">
        <f t="shared" si="55"/>
        <v>30.000000000002</v>
      </c>
      <c r="T404" s="122">
        <f t="shared" si="56"/>
        <v>13920.0000000003</v>
      </c>
      <c r="U404" s="123"/>
      <c r="V404" s="120">
        <v>5.62</v>
      </c>
      <c r="W404" s="120">
        <v>35.86</v>
      </c>
      <c r="X404" s="120"/>
      <c r="Y404" s="120"/>
      <c r="Z404" s="120"/>
      <c r="AA404" s="120"/>
      <c r="AB404" s="122" t="s">
        <v>70</v>
      </c>
    </row>
    <row r="405" ht="15.75" spans="1:28">
      <c r="A405" s="90">
        <f t="shared" si="50"/>
        <v>407</v>
      </c>
      <c r="B405" s="100">
        <v>46150</v>
      </c>
      <c r="C405" s="101">
        <v>46150</v>
      </c>
      <c r="D405" s="118">
        <v>0.28125</v>
      </c>
      <c r="E405" s="119">
        <v>0.78125</v>
      </c>
      <c r="F405" s="109">
        <v>2021.62</v>
      </c>
      <c r="G405" s="121">
        <v>2015.1</v>
      </c>
      <c r="H405" s="120">
        <v>2014.02</v>
      </c>
      <c r="I405" s="120">
        <v>2108.34</v>
      </c>
      <c r="J405" s="120">
        <v>2104.51</v>
      </c>
      <c r="K405" s="120">
        <v>2102.51</v>
      </c>
      <c r="L405" s="120">
        <v>2105.89</v>
      </c>
      <c r="M405" s="110">
        <f t="shared" si="51"/>
        <v>14471.99</v>
      </c>
      <c r="N405" s="111">
        <f t="shared" si="52"/>
        <v>1459.63</v>
      </c>
      <c r="O405" s="121">
        <v>1464.4</v>
      </c>
      <c r="P405" s="52">
        <f t="shared" si="53"/>
        <v>14309.9999999999</v>
      </c>
      <c r="Q405" s="52">
        <f t="shared" si="54"/>
        <v>6.32</v>
      </c>
      <c r="R405" s="120">
        <v>6.33</v>
      </c>
      <c r="S405" s="52">
        <f t="shared" si="55"/>
        <v>29.9999999999994</v>
      </c>
      <c r="T405" s="122">
        <f t="shared" si="56"/>
        <v>14279.9999999999</v>
      </c>
      <c r="U405" s="123"/>
      <c r="V405" s="120">
        <v>5.84</v>
      </c>
      <c r="W405" s="120">
        <v>35.67</v>
      </c>
      <c r="X405" s="120"/>
      <c r="Y405" s="120"/>
      <c r="Z405" s="120"/>
      <c r="AA405" s="120"/>
      <c r="AB405" s="122" t="s">
        <v>70</v>
      </c>
    </row>
    <row r="406" ht="15.75" spans="1:28">
      <c r="A406" s="90">
        <f t="shared" si="50"/>
        <v>408</v>
      </c>
      <c r="B406" s="100">
        <v>46151</v>
      </c>
      <c r="C406" s="101">
        <v>46151</v>
      </c>
      <c r="D406" s="118">
        <v>0.28125</v>
      </c>
      <c r="E406" s="119">
        <v>0.78125</v>
      </c>
      <c r="F406" s="109">
        <v>1988.28</v>
      </c>
      <c r="G406" s="120">
        <v>1986.11</v>
      </c>
      <c r="H406" s="120">
        <v>1980.38</v>
      </c>
      <c r="I406" s="120">
        <v>2073.36</v>
      </c>
      <c r="J406" s="120">
        <v>2076.49</v>
      </c>
      <c r="K406" s="120">
        <v>2073.01</v>
      </c>
      <c r="L406" s="120">
        <v>2072.42</v>
      </c>
      <c r="M406" s="110">
        <f t="shared" si="51"/>
        <v>14250.05</v>
      </c>
      <c r="N406" s="111">
        <f t="shared" si="52"/>
        <v>1464.4</v>
      </c>
      <c r="O406" s="121">
        <v>1469.1</v>
      </c>
      <c r="P406" s="52">
        <f t="shared" si="53"/>
        <v>14099.9999999995</v>
      </c>
      <c r="Q406" s="52">
        <f t="shared" si="54"/>
        <v>6.33</v>
      </c>
      <c r="R406" s="120">
        <v>6.34</v>
      </c>
      <c r="S406" s="52">
        <f t="shared" si="55"/>
        <v>29.9999999999994</v>
      </c>
      <c r="T406" s="122">
        <f t="shared" si="56"/>
        <v>14069.9999999995</v>
      </c>
      <c r="U406" s="123"/>
      <c r="V406" s="120">
        <v>5.61</v>
      </c>
      <c r="W406" s="120">
        <v>36.14</v>
      </c>
      <c r="X406" s="120"/>
      <c r="Y406" s="120"/>
      <c r="Z406" s="120"/>
      <c r="AA406" s="120"/>
      <c r="AB406" s="122" t="s">
        <v>70</v>
      </c>
    </row>
    <row r="407" ht="15.75" spans="1:28">
      <c r="A407" s="90">
        <f t="shared" si="50"/>
        <v>409</v>
      </c>
      <c r="B407" s="100">
        <v>46152</v>
      </c>
      <c r="C407" s="101">
        <v>46152</v>
      </c>
      <c r="D407" s="118">
        <v>0.28125</v>
      </c>
      <c r="E407" s="119">
        <v>0.78125</v>
      </c>
      <c r="F407" s="109">
        <v>2018.26</v>
      </c>
      <c r="G407" s="120">
        <v>2016.19</v>
      </c>
      <c r="H407" s="120">
        <v>2010.91</v>
      </c>
      <c r="I407" s="120">
        <v>2103.62</v>
      </c>
      <c r="J407" s="120">
        <v>2106.07</v>
      </c>
      <c r="K407" s="120">
        <v>2103.63</v>
      </c>
      <c r="L407" s="120">
        <v>2105.42</v>
      </c>
      <c r="M407" s="110">
        <f t="shared" si="51"/>
        <v>14464.1</v>
      </c>
      <c r="N407" s="111">
        <f t="shared" si="52"/>
        <v>1469.1</v>
      </c>
      <c r="O407" s="120">
        <v>1473.87</v>
      </c>
      <c r="P407" s="52">
        <f t="shared" si="53"/>
        <v>14309.9999999999</v>
      </c>
      <c r="Q407" s="52">
        <f t="shared" si="54"/>
        <v>6.34</v>
      </c>
      <c r="R407" s="120">
        <v>6.35</v>
      </c>
      <c r="S407" s="52">
        <f t="shared" si="55"/>
        <v>29.9999999999994</v>
      </c>
      <c r="T407" s="122">
        <f t="shared" si="56"/>
        <v>14279.9999999999</v>
      </c>
      <c r="U407" s="123"/>
      <c r="V407" s="120">
        <v>5.62</v>
      </c>
      <c r="W407" s="120">
        <v>37.34</v>
      </c>
      <c r="X407" s="120"/>
      <c r="Y407" s="120"/>
      <c r="Z407" s="120"/>
      <c r="AA407" s="120"/>
      <c r="AB407" s="122" t="s">
        <v>70</v>
      </c>
    </row>
    <row r="408" ht="15.75" spans="1:28">
      <c r="A408" s="90">
        <f t="shared" si="50"/>
        <v>410</v>
      </c>
      <c r="B408" s="100">
        <v>46153</v>
      </c>
      <c r="C408" s="101">
        <v>46153</v>
      </c>
      <c r="D408" s="118">
        <v>0.28125</v>
      </c>
      <c r="E408" s="119">
        <v>0.78125</v>
      </c>
      <c r="F408" s="109">
        <v>2027.41</v>
      </c>
      <c r="G408" s="120">
        <v>2014.58</v>
      </c>
      <c r="H408" s="120">
        <v>1983.37</v>
      </c>
      <c r="I408" s="120">
        <v>2073.83</v>
      </c>
      <c r="J408" s="120">
        <v>2078.97</v>
      </c>
      <c r="K408" s="120">
        <v>2075.39</v>
      </c>
      <c r="L408" s="120">
        <v>2073.64</v>
      </c>
      <c r="M408" s="110">
        <f t="shared" si="51"/>
        <v>14327.19</v>
      </c>
      <c r="N408" s="111">
        <f t="shared" si="52"/>
        <v>1473.87</v>
      </c>
      <c r="O408" s="120">
        <v>1478.59</v>
      </c>
      <c r="P408" s="52">
        <f t="shared" si="53"/>
        <v>14160.0000000001</v>
      </c>
      <c r="Q408" s="52">
        <f t="shared" si="54"/>
        <v>6.35</v>
      </c>
      <c r="R408" s="120">
        <v>6.36</v>
      </c>
      <c r="S408" s="52">
        <f t="shared" si="55"/>
        <v>30.000000000002</v>
      </c>
      <c r="T408" s="122">
        <f t="shared" si="56"/>
        <v>14130.0000000001</v>
      </c>
      <c r="U408" s="123"/>
      <c r="V408" s="120">
        <v>5.56</v>
      </c>
      <c r="W408" s="120">
        <v>37.28</v>
      </c>
      <c r="X408" s="120"/>
      <c r="Y408" s="120"/>
      <c r="Z408" s="120"/>
      <c r="AA408" s="120"/>
      <c r="AB408" s="122" t="s">
        <v>70</v>
      </c>
    </row>
    <row r="409" ht="15.75" spans="1:28">
      <c r="A409" s="90">
        <f t="shared" si="50"/>
        <v>411</v>
      </c>
      <c r="B409" s="100">
        <v>46154</v>
      </c>
      <c r="C409" s="101">
        <v>46154</v>
      </c>
      <c r="D409" s="118">
        <v>0.28125</v>
      </c>
      <c r="E409" s="119">
        <v>0.78125</v>
      </c>
      <c r="F409" s="109">
        <v>1968</v>
      </c>
      <c r="G409" s="120">
        <v>1960.37</v>
      </c>
      <c r="H409" s="120">
        <v>1960.35</v>
      </c>
      <c r="I409" s="120">
        <v>2057.62</v>
      </c>
      <c r="J409" s="120">
        <v>2053.41</v>
      </c>
      <c r="K409" s="121">
        <v>2009.9</v>
      </c>
      <c r="L409" s="120">
        <v>2003.76</v>
      </c>
      <c r="M409" s="110">
        <f t="shared" si="51"/>
        <v>14013.41</v>
      </c>
      <c r="N409" s="111">
        <f t="shared" si="52"/>
        <v>1478.59</v>
      </c>
      <c r="O409" s="120">
        <v>1483.22</v>
      </c>
      <c r="P409" s="52">
        <f t="shared" si="53"/>
        <v>13890.0000000003</v>
      </c>
      <c r="Q409" s="52">
        <f t="shared" si="54"/>
        <v>6.36</v>
      </c>
      <c r="R409" s="120">
        <v>6.37</v>
      </c>
      <c r="S409" s="52">
        <f t="shared" si="55"/>
        <v>29.9999999999994</v>
      </c>
      <c r="T409" s="122">
        <f t="shared" si="56"/>
        <v>13860.0000000003</v>
      </c>
      <c r="U409" s="123"/>
      <c r="V409" s="120">
        <v>5.56</v>
      </c>
      <c r="W409" s="121">
        <v>36.4</v>
      </c>
      <c r="X409" s="120"/>
      <c r="Y409" s="120"/>
      <c r="Z409" s="120"/>
      <c r="AA409" s="120"/>
      <c r="AB409" s="122" t="s">
        <v>70</v>
      </c>
    </row>
    <row r="410" ht="15.75" spans="1:28">
      <c r="A410" s="90">
        <f t="shared" si="50"/>
        <v>412</v>
      </c>
      <c r="B410" s="100">
        <v>46155</v>
      </c>
      <c r="C410" s="101">
        <v>46155</v>
      </c>
      <c r="D410" s="118">
        <v>0.28125</v>
      </c>
      <c r="E410" s="119">
        <v>0.78125</v>
      </c>
      <c r="F410" s="109">
        <v>1943.61</v>
      </c>
      <c r="G410" s="120">
        <v>1934.59</v>
      </c>
      <c r="H410" s="120">
        <v>1934.79</v>
      </c>
      <c r="I410" s="121">
        <v>2029.6</v>
      </c>
      <c r="J410" s="120">
        <v>2031.51</v>
      </c>
      <c r="K410" s="120">
        <v>2032.83</v>
      </c>
      <c r="L410" s="120">
        <v>2039.83</v>
      </c>
      <c r="M410" s="110">
        <f t="shared" si="51"/>
        <v>13946.76</v>
      </c>
      <c r="N410" s="111">
        <f t="shared" si="52"/>
        <v>1483.22</v>
      </c>
      <c r="O410" s="120">
        <v>1487.82</v>
      </c>
      <c r="P410" s="52">
        <f t="shared" si="53"/>
        <v>13799.9999999997</v>
      </c>
      <c r="Q410" s="52">
        <f t="shared" si="54"/>
        <v>6.37</v>
      </c>
      <c r="R410" s="120">
        <v>6.38</v>
      </c>
      <c r="S410" s="52">
        <f t="shared" si="55"/>
        <v>29.9999999999994</v>
      </c>
      <c r="T410" s="122">
        <f t="shared" si="56"/>
        <v>13769.9999999997</v>
      </c>
      <c r="U410" s="123"/>
      <c r="V410" s="120">
        <v>5.45</v>
      </c>
      <c r="W410" s="120">
        <v>37.04</v>
      </c>
      <c r="X410" s="120"/>
      <c r="Y410" s="120"/>
      <c r="Z410" s="120"/>
      <c r="AA410" s="120"/>
      <c r="AB410" s="122" t="s">
        <v>70</v>
      </c>
    </row>
    <row r="411" ht="15.75" spans="1:28">
      <c r="A411" s="90">
        <f t="shared" si="50"/>
        <v>413</v>
      </c>
      <c r="B411" s="100">
        <v>46156</v>
      </c>
      <c r="C411" s="101">
        <v>46156</v>
      </c>
      <c r="D411" s="118">
        <v>0.28125</v>
      </c>
      <c r="E411" s="119">
        <v>0.78125</v>
      </c>
      <c r="F411" s="109">
        <v>2007.97</v>
      </c>
      <c r="G411" s="121">
        <v>1998.8</v>
      </c>
      <c r="H411" s="121">
        <v>2001</v>
      </c>
      <c r="I411" s="120">
        <v>1994.92</v>
      </c>
      <c r="J411" s="121">
        <v>2102.9</v>
      </c>
      <c r="K411" s="120">
        <v>2098.87</v>
      </c>
      <c r="L411" s="120">
        <v>2108.35</v>
      </c>
      <c r="M411" s="110">
        <f t="shared" si="51"/>
        <v>14312.81</v>
      </c>
      <c r="N411" s="111">
        <f t="shared" si="52"/>
        <v>1487.82</v>
      </c>
      <c r="O411" s="120">
        <v>1492.54</v>
      </c>
      <c r="P411" s="52">
        <f t="shared" si="53"/>
        <v>14160.0000000001</v>
      </c>
      <c r="Q411" s="52">
        <f t="shared" si="54"/>
        <v>6.38</v>
      </c>
      <c r="R411" s="120">
        <v>6.39</v>
      </c>
      <c r="S411" s="52">
        <f t="shared" si="55"/>
        <v>29.9999999999994</v>
      </c>
      <c r="T411" s="122">
        <f t="shared" si="56"/>
        <v>14130.0000000001</v>
      </c>
      <c r="U411" s="123"/>
      <c r="V411" s="120">
        <v>5.62</v>
      </c>
      <c r="W411" s="120">
        <v>36.42</v>
      </c>
      <c r="X411" s="120"/>
      <c r="Y411" s="120"/>
      <c r="Z411" s="120"/>
      <c r="AA411" s="120"/>
      <c r="AB411" s="122" t="s">
        <v>70</v>
      </c>
    </row>
    <row r="412" ht="15.75" spans="1:28">
      <c r="A412" s="90">
        <f t="shared" si="50"/>
        <v>414</v>
      </c>
      <c r="B412" s="100">
        <v>46157</v>
      </c>
      <c r="C412" s="101">
        <v>46157</v>
      </c>
      <c r="D412" s="118">
        <v>0.28125</v>
      </c>
      <c r="E412" s="119">
        <v>0.78125</v>
      </c>
      <c r="F412" s="109">
        <v>1995.55</v>
      </c>
      <c r="G412" s="121">
        <v>1990.6</v>
      </c>
      <c r="H412" s="120">
        <v>1990.76</v>
      </c>
      <c r="I412" s="120">
        <v>2004.92</v>
      </c>
      <c r="J412" s="120">
        <v>2090.64</v>
      </c>
      <c r="K412" s="120">
        <v>2091.44</v>
      </c>
      <c r="L412" s="120">
        <v>2100.07</v>
      </c>
      <c r="M412" s="110">
        <f t="shared" si="51"/>
        <v>14263.98</v>
      </c>
      <c r="N412" s="111">
        <f t="shared" si="52"/>
        <v>1492.54</v>
      </c>
      <c r="O412" s="120">
        <v>1497.24</v>
      </c>
      <c r="P412" s="52">
        <f t="shared" si="53"/>
        <v>14100.0000000001</v>
      </c>
      <c r="Q412" s="52">
        <f t="shared" si="54"/>
        <v>6.39</v>
      </c>
      <c r="R412" s="121">
        <v>6.4</v>
      </c>
      <c r="S412" s="52">
        <f t="shared" si="55"/>
        <v>30.000000000002</v>
      </c>
      <c r="T412" s="122">
        <f t="shared" si="56"/>
        <v>14070.0000000001</v>
      </c>
      <c r="U412" s="123"/>
      <c r="V412" s="120">
        <v>5.79</v>
      </c>
      <c r="W412" s="120">
        <v>33.73</v>
      </c>
      <c r="X412" s="120"/>
      <c r="Y412" s="120"/>
      <c r="Z412" s="120"/>
      <c r="AA412" s="120"/>
      <c r="AB412" s="122" t="s">
        <v>72</v>
      </c>
    </row>
    <row r="413" ht="15.75" spans="1:28">
      <c r="A413" s="90">
        <f t="shared" si="50"/>
        <v>415</v>
      </c>
      <c r="B413" s="100">
        <v>46158</v>
      </c>
      <c r="C413" s="101">
        <v>46158</v>
      </c>
      <c r="D413" s="118">
        <v>0.28125</v>
      </c>
      <c r="E413" s="119">
        <v>0.78125</v>
      </c>
      <c r="F413" s="109">
        <v>2010.04</v>
      </c>
      <c r="G413" s="120">
        <v>2001.88</v>
      </c>
      <c r="H413" s="121">
        <v>2001.9</v>
      </c>
      <c r="I413" s="120">
        <v>2100.92</v>
      </c>
      <c r="J413" s="120">
        <v>2105.68</v>
      </c>
      <c r="K413" s="120">
        <v>2104.87</v>
      </c>
      <c r="L413" s="120">
        <v>2118.85</v>
      </c>
      <c r="M413" s="110">
        <f t="shared" si="51"/>
        <v>14444.14</v>
      </c>
      <c r="N413" s="111">
        <f t="shared" si="52"/>
        <v>1497.24</v>
      </c>
      <c r="O413" s="121">
        <v>1502</v>
      </c>
      <c r="P413" s="52">
        <f t="shared" si="53"/>
        <v>14280</v>
      </c>
      <c r="Q413" s="52">
        <f t="shared" si="54"/>
        <v>6.4</v>
      </c>
      <c r="R413" s="120">
        <v>6.41</v>
      </c>
      <c r="S413" s="52">
        <f t="shared" si="55"/>
        <v>29.9999999999994</v>
      </c>
      <c r="T413" s="122">
        <f t="shared" si="56"/>
        <v>14250</v>
      </c>
      <c r="U413" s="123"/>
      <c r="V413" s="120">
        <v>5.72</v>
      </c>
      <c r="W413" s="120">
        <v>35.69</v>
      </c>
      <c r="X413" s="120"/>
      <c r="Y413" s="120"/>
      <c r="Z413" s="120"/>
      <c r="AA413" s="120"/>
      <c r="AB413" s="122" t="s">
        <v>70</v>
      </c>
    </row>
    <row r="414" ht="15.75" spans="1:28">
      <c r="A414" s="90">
        <f t="shared" si="50"/>
        <v>416</v>
      </c>
      <c r="B414" s="100">
        <v>46159</v>
      </c>
      <c r="C414" s="101">
        <v>46159</v>
      </c>
      <c r="D414" s="118">
        <v>0.28125</v>
      </c>
      <c r="E414" s="119">
        <v>0.78125</v>
      </c>
      <c r="F414" s="109">
        <v>1743.21</v>
      </c>
      <c r="G414" s="120">
        <v>1735.93</v>
      </c>
      <c r="H414" s="120">
        <v>1737.51</v>
      </c>
      <c r="I414" s="120">
        <v>1815.09</v>
      </c>
      <c r="J414" s="120">
        <v>1821.54</v>
      </c>
      <c r="K414" s="120">
        <v>1822.65</v>
      </c>
      <c r="L414" s="120">
        <v>1832.61</v>
      </c>
      <c r="M414" s="110">
        <f t="shared" si="51"/>
        <v>12508.54</v>
      </c>
      <c r="N414" s="111">
        <f t="shared" si="52"/>
        <v>1502</v>
      </c>
      <c r="O414" s="120">
        <v>1506.13</v>
      </c>
      <c r="P414" s="52">
        <f t="shared" si="53"/>
        <v>12390.0000000003</v>
      </c>
      <c r="Q414" s="52">
        <f t="shared" si="54"/>
        <v>6.41</v>
      </c>
      <c r="R414" s="120">
        <v>6.42</v>
      </c>
      <c r="S414" s="52">
        <f t="shared" si="55"/>
        <v>29.9999999999994</v>
      </c>
      <c r="T414" s="122">
        <f t="shared" si="56"/>
        <v>12360.0000000003</v>
      </c>
      <c r="U414" s="123"/>
      <c r="V414" s="121">
        <v>5.2</v>
      </c>
      <c r="W414" s="120">
        <v>35.68</v>
      </c>
      <c r="X414" s="120"/>
      <c r="Y414" s="120"/>
      <c r="Z414" s="120"/>
      <c r="AA414" s="120"/>
      <c r="AB414" s="122" t="s">
        <v>70</v>
      </c>
    </row>
    <row r="415" ht="15.75" spans="1:28">
      <c r="A415" s="90">
        <f t="shared" si="50"/>
        <v>417</v>
      </c>
      <c r="B415" s="100">
        <v>46160</v>
      </c>
      <c r="C415" s="101">
        <v>46160</v>
      </c>
      <c r="D415" s="118">
        <v>0.270833333333333</v>
      </c>
      <c r="E415" s="119">
        <v>0.78125</v>
      </c>
      <c r="F415" s="109">
        <v>1944.13</v>
      </c>
      <c r="G415" s="120">
        <v>1932.66</v>
      </c>
      <c r="H415" s="120">
        <v>1937.23</v>
      </c>
      <c r="I415" s="120">
        <v>2027.97</v>
      </c>
      <c r="J415" s="120">
        <v>2031.92</v>
      </c>
      <c r="K415" s="120">
        <v>2035.73</v>
      </c>
      <c r="L415" s="120">
        <v>2044.57</v>
      </c>
      <c r="M415" s="110">
        <f t="shared" si="51"/>
        <v>13954.21</v>
      </c>
      <c r="N415" s="111">
        <f t="shared" si="52"/>
        <v>1506.13</v>
      </c>
      <c r="O415" s="120">
        <v>1510.72</v>
      </c>
      <c r="P415" s="52">
        <f t="shared" si="53"/>
        <v>13769.9999999998</v>
      </c>
      <c r="Q415" s="52">
        <f t="shared" si="54"/>
        <v>6.42</v>
      </c>
      <c r="R415" s="120">
        <v>6.43</v>
      </c>
      <c r="S415" s="52">
        <f t="shared" si="55"/>
        <v>29.9999999999994</v>
      </c>
      <c r="T415" s="122">
        <f t="shared" si="56"/>
        <v>13739.9999999998</v>
      </c>
      <c r="U415" s="123"/>
      <c r="V415" s="120">
        <v>5.51</v>
      </c>
      <c r="W415" s="120">
        <v>35.42</v>
      </c>
      <c r="X415" s="120"/>
      <c r="Y415" s="120"/>
      <c r="Z415" s="120"/>
      <c r="AA415" s="120"/>
      <c r="AB415" s="122" t="s">
        <v>72</v>
      </c>
    </row>
    <row r="416" ht="15.75" spans="1:28">
      <c r="A416" s="90">
        <f t="shared" si="50"/>
        <v>418</v>
      </c>
      <c r="B416" s="100">
        <v>46161</v>
      </c>
      <c r="C416" s="101">
        <v>46161</v>
      </c>
      <c r="D416" s="118">
        <v>0.28125</v>
      </c>
      <c r="E416" s="119">
        <v>0.791666666666667</v>
      </c>
      <c r="F416" s="109">
        <v>2017</v>
      </c>
      <c r="G416" s="121">
        <v>1989.7</v>
      </c>
      <c r="H416" s="120">
        <v>1986.14</v>
      </c>
      <c r="I416" s="120">
        <v>2089.01</v>
      </c>
      <c r="J416" s="120">
        <v>2088.76</v>
      </c>
      <c r="K416" s="120">
        <v>2090.14</v>
      </c>
      <c r="L416" s="120">
        <v>2099.95</v>
      </c>
      <c r="M416" s="110">
        <f t="shared" si="51"/>
        <v>14360.7</v>
      </c>
      <c r="N416" s="111">
        <f t="shared" si="52"/>
        <v>1510.72</v>
      </c>
      <c r="O416" s="120">
        <v>1515.46</v>
      </c>
      <c r="P416" s="52">
        <f t="shared" si="53"/>
        <v>14220</v>
      </c>
      <c r="Q416" s="52">
        <f t="shared" si="54"/>
        <v>6.43</v>
      </c>
      <c r="R416" s="120">
        <v>6.44</v>
      </c>
      <c r="S416" s="52">
        <f t="shared" si="55"/>
        <v>30.000000000002</v>
      </c>
      <c r="T416" s="122">
        <f t="shared" si="56"/>
        <v>14190</v>
      </c>
      <c r="U416" s="123"/>
      <c r="V416" s="120">
        <v>2.95</v>
      </c>
      <c r="W416" s="120">
        <v>34.74</v>
      </c>
      <c r="X416" s="120"/>
      <c r="Y416" s="120"/>
      <c r="Z416" s="120"/>
      <c r="AA416" s="120"/>
      <c r="AB416" s="122" t="s">
        <v>70</v>
      </c>
    </row>
    <row r="417" ht="15.75" spans="1:28">
      <c r="A417" s="90">
        <f t="shared" si="50"/>
        <v>419</v>
      </c>
      <c r="B417" s="100">
        <v>46162</v>
      </c>
      <c r="C417" s="101">
        <v>46162</v>
      </c>
      <c r="D417" s="118">
        <v>0.28125</v>
      </c>
      <c r="E417" s="119">
        <v>0.78125</v>
      </c>
      <c r="F417" s="109">
        <v>1966.17</v>
      </c>
      <c r="G417" s="120">
        <v>1934.71</v>
      </c>
      <c r="H417" s="120">
        <v>1931.94</v>
      </c>
      <c r="I417" s="120">
        <v>2028.54</v>
      </c>
      <c r="J417" s="120">
        <v>2032.03</v>
      </c>
      <c r="K417" s="120">
        <v>2032.46</v>
      </c>
      <c r="L417" s="120">
        <v>2040.53</v>
      </c>
      <c r="M417" s="110">
        <f t="shared" si="51"/>
        <v>13966.38</v>
      </c>
      <c r="N417" s="111">
        <f t="shared" si="52"/>
        <v>1515.46</v>
      </c>
      <c r="O417" s="120">
        <v>1520.06</v>
      </c>
      <c r="P417" s="52">
        <f t="shared" si="53"/>
        <v>13799.9999999997</v>
      </c>
      <c r="Q417" s="52">
        <f t="shared" si="54"/>
        <v>6.44</v>
      </c>
      <c r="R417" s="120">
        <v>6.45</v>
      </c>
      <c r="S417" s="52">
        <f t="shared" si="55"/>
        <v>29.9999999999994</v>
      </c>
      <c r="T417" s="122">
        <f t="shared" si="56"/>
        <v>13769.9999999997</v>
      </c>
      <c r="U417" s="123"/>
      <c r="V417" s="120">
        <v>5.83</v>
      </c>
      <c r="W417" s="120">
        <v>34.73</v>
      </c>
      <c r="X417" s="120"/>
      <c r="Y417" s="120"/>
      <c r="Z417" s="120"/>
      <c r="AA417" s="120"/>
      <c r="AB417" s="122" t="s">
        <v>70</v>
      </c>
    </row>
    <row r="418" ht="15.75" spans="1:28">
      <c r="A418" s="90">
        <f t="shared" si="50"/>
        <v>420</v>
      </c>
      <c r="B418" s="100">
        <v>46163</v>
      </c>
      <c r="C418" s="101">
        <v>46163</v>
      </c>
      <c r="D418" s="118">
        <v>0.28125</v>
      </c>
      <c r="E418" s="119">
        <v>0.78125</v>
      </c>
      <c r="F418" s="109">
        <v>1877.09</v>
      </c>
      <c r="G418" s="120">
        <v>1847.82</v>
      </c>
      <c r="H418" s="120">
        <v>1850.79</v>
      </c>
      <c r="I418" s="120">
        <v>1942.43</v>
      </c>
      <c r="J418" s="120">
        <v>1945.71</v>
      </c>
      <c r="K418" s="120">
        <v>1947.64</v>
      </c>
      <c r="L418" s="120">
        <v>1955.53</v>
      </c>
      <c r="M418" s="110">
        <f t="shared" si="51"/>
        <v>13367.01</v>
      </c>
      <c r="N418" s="111">
        <f t="shared" si="52"/>
        <v>1520.06</v>
      </c>
      <c r="O418" s="120">
        <v>1524.47</v>
      </c>
      <c r="P418" s="52">
        <f t="shared" si="53"/>
        <v>13230.0000000002</v>
      </c>
      <c r="Q418" s="52">
        <f t="shared" si="54"/>
        <v>6.45</v>
      </c>
      <c r="R418" s="120">
        <v>6.46</v>
      </c>
      <c r="S418" s="52">
        <f t="shared" si="55"/>
        <v>29.9999999999994</v>
      </c>
      <c r="T418" s="122">
        <f t="shared" si="56"/>
        <v>13200.0000000002</v>
      </c>
      <c r="U418" s="123"/>
      <c r="V418" s="120">
        <v>5.68</v>
      </c>
      <c r="W418" s="120">
        <v>35.73</v>
      </c>
      <c r="X418" s="120"/>
      <c r="Y418" s="120"/>
      <c r="Z418" s="120"/>
      <c r="AA418" s="120"/>
      <c r="AB418" s="122" t="s">
        <v>70</v>
      </c>
    </row>
    <row r="419" ht="15.75" spans="1:28">
      <c r="A419" s="90">
        <f t="shared" ref="A419:A429" si="57">A418+1</f>
        <v>421</v>
      </c>
      <c r="B419" s="100">
        <v>46164</v>
      </c>
      <c r="C419" s="101">
        <v>46164</v>
      </c>
      <c r="D419" s="118">
        <v>0.28125</v>
      </c>
      <c r="E419" s="119">
        <v>0.78125</v>
      </c>
      <c r="F419" s="109">
        <v>151.75</v>
      </c>
      <c r="G419" s="120">
        <v>147.77</v>
      </c>
      <c r="H419" s="120">
        <v>147.84</v>
      </c>
      <c r="I419" s="120">
        <v>154.66</v>
      </c>
      <c r="J419" s="120">
        <v>154.72</v>
      </c>
      <c r="K419" s="120">
        <v>156.14</v>
      </c>
      <c r="L419" s="120">
        <v>157.81</v>
      </c>
      <c r="M419" s="110">
        <f t="shared" ref="M419:M429" si="58">SUM(F419:L419)</f>
        <v>1070.69</v>
      </c>
      <c r="N419" s="111">
        <f t="shared" ref="N419:N428" si="59">O418</f>
        <v>1524.47</v>
      </c>
      <c r="O419" s="120">
        <v>1524.82</v>
      </c>
      <c r="P419" s="52">
        <f t="shared" ref="P419:P429" si="60">MAX((O419-N419)*3000,0)</f>
        <v>1049.99999999973</v>
      </c>
      <c r="Q419" s="52">
        <f t="shared" ref="Q419:Q428" si="61">R418</f>
        <v>6.46</v>
      </c>
      <c r="R419" s="120">
        <v>6.47</v>
      </c>
      <c r="S419" s="52">
        <f t="shared" ref="S419:S429" si="62">MAX((R419-Q419)*3000,0)</f>
        <v>29.9999999999994</v>
      </c>
      <c r="T419" s="122">
        <f t="shared" ref="T419:T429" si="63">P419-S419</f>
        <v>1019.99999999973</v>
      </c>
      <c r="U419" s="123"/>
      <c r="V419" s="120">
        <v>0.67</v>
      </c>
      <c r="W419" s="120">
        <v>34.08</v>
      </c>
      <c r="X419" s="120"/>
      <c r="Y419" s="120"/>
      <c r="Z419" s="120"/>
      <c r="AA419" s="120"/>
      <c r="AB419" s="122" t="s">
        <v>70</v>
      </c>
    </row>
    <row r="420" ht="15.75" spans="1:28">
      <c r="A420" s="90">
        <f t="shared" si="57"/>
        <v>422</v>
      </c>
      <c r="B420" s="100">
        <v>46165</v>
      </c>
      <c r="C420" s="101">
        <v>46165</v>
      </c>
      <c r="D420" s="118">
        <v>0.270833333333333</v>
      </c>
      <c r="E420" s="119">
        <v>0.78125</v>
      </c>
      <c r="F420" s="109">
        <v>1831.82</v>
      </c>
      <c r="G420" s="120">
        <v>1802.98</v>
      </c>
      <c r="H420" s="120">
        <v>1808.32</v>
      </c>
      <c r="I420" s="120">
        <v>1898.66</v>
      </c>
      <c r="J420" s="120">
        <v>1903.36</v>
      </c>
      <c r="K420" s="120">
        <v>1907.33</v>
      </c>
      <c r="L420" s="120">
        <v>1915.98</v>
      </c>
      <c r="M420" s="110">
        <f t="shared" si="58"/>
        <v>13068.45</v>
      </c>
      <c r="N420" s="111">
        <f t="shared" si="59"/>
        <v>1524.82</v>
      </c>
      <c r="O420" s="120">
        <v>1529.13</v>
      </c>
      <c r="P420" s="52">
        <f t="shared" si="60"/>
        <v>12930.0000000005</v>
      </c>
      <c r="Q420" s="52">
        <f t="shared" si="61"/>
        <v>6.47</v>
      </c>
      <c r="R420" s="120">
        <v>6.48</v>
      </c>
      <c r="S420" s="52">
        <f t="shared" si="62"/>
        <v>30.000000000002</v>
      </c>
      <c r="T420" s="122">
        <f t="shared" si="63"/>
        <v>12900.0000000005</v>
      </c>
      <c r="U420" s="123"/>
      <c r="V420" s="120">
        <v>5.83</v>
      </c>
      <c r="W420" s="120">
        <v>35.22</v>
      </c>
      <c r="X420" s="120"/>
      <c r="Y420" s="120"/>
      <c r="Z420" s="120"/>
      <c r="AA420" s="120"/>
      <c r="AB420" s="122" t="s">
        <v>70</v>
      </c>
    </row>
    <row r="421" ht="15.75" spans="1:28">
      <c r="A421" s="90">
        <f t="shared" si="57"/>
        <v>423</v>
      </c>
      <c r="B421" s="100">
        <v>46166</v>
      </c>
      <c r="C421" s="101">
        <v>46166</v>
      </c>
      <c r="D421" s="118">
        <v>0.28125</v>
      </c>
      <c r="E421" s="119">
        <v>0.78125</v>
      </c>
      <c r="F421" s="109">
        <v>1625.48</v>
      </c>
      <c r="G421" s="120">
        <v>1595.02</v>
      </c>
      <c r="H421" s="120">
        <v>1597.41</v>
      </c>
      <c r="I421" s="120">
        <v>1676.67</v>
      </c>
      <c r="J421" s="120">
        <v>1693.71</v>
      </c>
      <c r="K421" s="120">
        <v>1707.41</v>
      </c>
      <c r="L421" s="120">
        <v>1720.87</v>
      </c>
      <c r="M421" s="110">
        <f t="shared" si="58"/>
        <v>11616.57</v>
      </c>
      <c r="N421" s="111">
        <f t="shared" si="59"/>
        <v>1529.13</v>
      </c>
      <c r="O421" s="120">
        <v>1532.96</v>
      </c>
      <c r="P421" s="52">
        <f t="shared" si="60"/>
        <v>11489.9999999998</v>
      </c>
      <c r="Q421" s="52">
        <f t="shared" si="61"/>
        <v>6.48</v>
      </c>
      <c r="R421" s="120">
        <v>6.49</v>
      </c>
      <c r="S421" s="52">
        <f t="shared" si="62"/>
        <v>29.9999999999994</v>
      </c>
      <c r="T421" s="122">
        <f t="shared" si="63"/>
        <v>11459.9999999998</v>
      </c>
      <c r="U421" s="123"/>
      <c r="V421" s="121">
        <v>5.1</v>
      </c>
      <c r="W421" s="120">
        <v>34.04</v>
      </c>
      <c r="X421" s="120"/>
      <c r="Y421" s="120"/>
      <c r="Z421" s="120"/>
      <c r="AA421" s="120"/>
      <c r="AB421" s="122" t="s">
        <v>72</v>
      </c>
    </row>
    <row r="422" ht="15.75" spans="1:28">
      <c r="A422" s="90">
        <f t="shared" si="57"/>
        <v>424</v>
      </c>
      <c r="B422" s="100">
        <v>46167</v>
      </c>
      <c r="C422" s="101">
        <v>46167</v>
      </c>
      <c r="D422" s="118">
        <v>0.28125</v>
      </c>
      <c r="E422" s="119">
        <v>0.78125</v>
      </c>
      <c r="F422" s="109">
        <v>1877.57</v>
      </c>
      <c r="G422" s="120">
        <v>1846.01</v>
      </c>
      <c r="H422" s="120">
        <v>1849.97</v>
      </c>
      <c r="I422" s="120">
        <v>1939.03</v>
      </c>
      <c r="J422" s="121">
        <v>1943.9</v>
      </c>
      <c r="K422" s="120">
        <v>1956.16</v>
      </c>
      <c r="L422" s="120">
        <v>1971.17</v>
      </c>
      <c r="M422" s="110">
        <f t="shared" si="58"/>
        <v>13383.81</v>
      </c>
      <c r="N422" s="111">
        <f t="shared" si="59"/>
        <v>1532.96</v>
      </c>
      <c r="O422" s="120">
        <v>1537.38</v>
      </c>
      <c r="P422" s="52">
        <f t="shared" si="60"/>
        <v>13260.0000000002</v>
      </c>
      <c r="Q422" s="52">
        <f t="shared" si="61"/>
        <v>6.49</v>
      </c>
      <c r="R422" s="121">
        <v>6.5</v>
      </c>
      <c r="S422" s="52">
        <f t="shared" si="62"/>
        <v>29.9999999999994</v>
      </c>
      <c r="T422" s="122">
        <f t="shared" si="63"/>
        <v>13230.0000000002</v>
      </c>
      <c r="U422" s="123"/>
      <c r="V422" s="120">
        <v>4.78</v>
      </c>
      <c r="W422" s="120">
        <v>34.28</v>
      </c>
      <c r="X422" s="120"/>
      <c r="Y422" s="120"/>
      <c r="Z422" s="120"/>
      <c r="AA422" s="120"/>
      <c r="AB422" s="122" t="s">
        <v>70</v>
      </c>
    </row>
    <row r="423" ht="15.75" spans="1:28">
      <c r="A423" s="90">
        <f t="shared" si="57"/>
        <v>425</v>
      </c>
      <c r="B423" s="100">
        <v>46168</v>
      </c>
      <c r="C423" s="101">
        <v>46168</v>
      </c>
      <c r="D423" s="118">
        <v>0.270833333333333</v>
      </c>
      <c r="E423" s="119">
        <v>0.78125</v>
      </c>
      <c r="F423" s="109">
        <v>1893.61</v>
      </c>
      <c r="G423" s="120">
        <v>1864.07</v>
      </c>
      <c r="H423" s="121">
        <v>1872.9</v>
      </c>
      <c r="I423" s="120">
        <v>1954.07</v>
      </c>
      <c r="J423" s="120">
        <v>1957.97</v>
      </c>
      <c r="K423" s="121">
        <v>1963.7</v>
      </c>
      <c r="L423" s="120">
        <v>1976.51</v>
      </c>
      <c r="M423" s="110">
        <f t="shared" si="58"/>
        <v>13482.83</v>
      </c>
      <c r="N423" s="111">
        <f t="shared" si="59"/>
        <v>1537.38</v>
      </c>
      <c r="O423" s="120">
        <v>1541.82</v>
      </c>
      <c r="P423" s="52">
        <f t="shared" si="60"/>
        <v>13319.9999999995</v>
      </c>
      <c r="Q423" s="52">
        <f t="shared" si="61"/>
        <v>6.5</v>
      </c>
      <c r="R423" s="120">
        <v>6.51</v>
      </c>
      <c r="S423" s="52">
        <f t="shared" si="62"/>
        <v>29.9999999999994</v>
      </c>
      <c r="T423" s="122">
        <f t="shared" si="63"/>
        <v>13289.9999999995</v>
      </c>
      <c r="U423" s="123"/>
      <c r="V423" s="120">
        <v>5.74</v>
      </c>
      <c r="W423" s="120">
        <v>34.28</v>
      </c>
      <c r="X423" s="120"/>
      <c r="Y423" s="120"/>
      <c r="Z423" s="120"/>
      <c r="AA423" s="120"/>
      <c r="AB423" s="122" t="s">
        <v>70</v>
      </c>
    </row>
    <row r="424" ht="15.75" spans="1:28">
      <c r="A424" s="90">
        <f t="shared" si="57"/>
        <v>426</v>
      </c>
      <c r="B424" s="100">
        <v>46169</v>
      </c>
      <c r="C424" s="101">
        <v>46169</v>
      </c>
      <c r="D424" s="118">
        <v>0.270833333333333</v>
      </c>
      <c r="E424" s="119">
        <v>0.78125</v>
      </c>
      <c r="F424" s="109">
        <v>1881.25</v>
      </c>
      <c r="G424" s="120">
        <v>1846.79</v>
      </c>
      <c r="H424" s="121">
        <v>1854.8</v>
      </c>
      <c r="I424" s="120">
        <v>1934.29</v>
      </c>
      <c r="J424" s="121">
        <v>1931</v>
      </c>
      <c r="K424" s="120">
        <v>1939.48</v>
      </c>
      <c r="L424" s="120">
        <v>1950.76</v>
      </c>
      <c r="M424" s="110">
        <f t="shared" si="58"/>
        <v>13338.37</v>
      </c>
      <c r="N424" s="111">
        <f t="shared" si="59"/>
        <v>1541.82</v>
      </c>
      <c r="O424" s="120">
        <v>1546.22</v>
      </c>
      <c r="P424" s="52">
        <f t="shared" si="60"/>
        <v>13200.0000000003</v>
      </c>
      <c r="Q424" s="52">
        <f t="shared" si="61"/>
        <v>6.51</v>
      </c>
      <c r="R424" s="120">
        <v>6.52</v>
      </c>
      <c r="S424" s="52">
        <f t="shared" si="62"/>
        <v>29.9999999999994</v>
      </c>
      <c r="T424" s="122">
        <f t="shared" si="63"/>
        <v>13170.0000000003</v>
      </c>
      <c r="U424" s="123"/>
      <c r="V424" s="120">
        <v>5.74</v>
      </c>
      <c r="W424" s="120">
        <v>34.56</v>
      </c>
      <c r="X424" s="120"/>
      <c r="Y424" s="120"/>
      <c r="Z424" s="120"/>
      <c r="AA424" s="120"/>
      <c r="AB424" s="122" t="s">
        <v>70</v>
      </c>
    </row>
    <row r="425" ht="15.75" spans="1:28">
      <c r="A425" s="90">
        <f t="shared" si="57"/>
        <v>427</v>
      </c>
      <c r="B425" s="100">
        <v>46170</v>
      </c>
      <c r="C425" s="101">
        <v>46170</v>
      </c>
      <c r="D425" s="118">
        <v>0.270833333333333</v>
      </c>
      <c r="E425" s="119">
        <v>0.791666666666667</v>
      </c>
      <c r="F425" s="109">
        <v>1903.07</v>
      </c>
      <c r="G425" s="120">
        <v>1870.81</v>
      </c>
      <c r="H425" s="120">
        <v>1878.85</v>
      </c>
      <c r="I425" s="120">
        <v>1959.58</v>
      </c>
      <c r="J425" s="120">
        <v>1960.86</v>
      </c>
      <c r="K425" s="120">
        <v>1969.11</v>
      </c>
      <c r="L425" s="121">
        <v>1979.8</v>
      </c>
      <c r="M425" s="110">
        <f t="shared" si="58"/>
        <v>13522.08</v>
      </c>
      <c r="N425" s="111">
        <f t="shared" si="59"/>
        <v>1546.22</v>
      </c>
      <c r="O425" s="120">
        <v>1550.68</v>
      </c>
      <c r="P425" s="52">
        <f t="shared" si="60"/>
        <v>13380.0000000001</v>
      </c>
      <c r="Q425" s="52">
        <f t="shared" si="61"/>
        <v>6.52</v>
      </c>
      <c r="R425" s="120">
        <v>6.53</v>
      </c>
      <c r="S425" s="52">
        <f t="shared" si="62"/>
        <v>30.000000000002</v>
      </c>
      <c r="T425" s="122">
        <f t="shared" si="63"/>
        <v>13350.0000000001</v>
      </c>
      <c r="U425" s="123"/>
      <c r="V425" s="120">
        <v>5.79</v>
      </c>
      <c r="W425" s="120">
        <v>34.25</v>
      </c>
      <c r="X425" s="120"/>
      <c r="Y425" s="120"/>
      <c r="Z425" s="120"/>
      <c r="AA425" s="120"/>
      <c r="AB425" s="122" t="s">
        <v>70</v>
      </c>
    </row>
    <row r="426" ht="15.75" spans="1:28">
      <c r="A426" s="90">
        <f t="shared" si="57"/>
        <v>428</v>
      </c>
      <c r="B426" s="100">
        <v>46171</v>
      </c>
      <c r="C426" s="101">
        <v>46171</v>
      </c>
      <c r="D426" s="118">
        <v>0.270833333333333</v>
      </c>
      <c r="E426" s="119">
        <v>0.791666666666667</v>
      </c>
      <c r="F426" s="109">
        <v>1853.8</v>
      </c>
      <c r="G426" s="120">
        <v>1820.55</v>
      </c>
      <c r="H426" s="120">
        <v>1828.88</v>
      </c>
      <c r="I426" s="120">
        <v>1907.06</v>
      </c>
      <c r="J426" s="120">
        <v>1905.91</v>
      </c>
      <c r="K426" s="121">
        <v>1916.7</v>
      </c>
      <c r="L426" s="120">
        <v>1936.72</v>
      </c>
      <c r="M426" s="110">
        <f t="shared" si="58"/>
        <v>13169.62</v>
      </c>
      <c r="N426" s="111">
        <f t="shared" si="59"/>
        <v>1550.68</v>
      </c>
      <c r="O426" s="120">
        <v>1555.02</v>
      </c>
      <c r="P426" s="52">
        <f t="shared" si="60"/>
        <v>13019.9999999998</v>
      </c>
      <c r="Q426" s="52">
        <f t="shared" si="61"/>
        <v>6.53</v>
      </c>
      <c r="R426" s="120">
        <v>6.54</v>
      </c>
      <c r="S426" s="52">
        <f t="shared" si="62"/>
        <v>29.9999999999994</v>
      </c>
      <c r="T426" s="122">
        <f t="shared" si="63"/>
        <v>12989.9999999998</v>
      </c>
      <c r="U426" s="123"/>
      <c r="V426" s="120">
        <v>5.17</v>
      </c>
      <c r="W426" s="120">
        <v>33.11</v>
      </c>
      <c r="X426" s="120"/>
      <c r="Y426" s="120"/>
      <c r="Z426" s="120"/>
      <c r="AA426" s="120"/>
      <c r="AB426" s="122" t="s">
        <v>70</v>
      </c>
    </row>
    <row r="427" ht="15.75" spans="1:28">
      <c r="A427" s="90">
        <f t="shared" si="57"/>
        <v>429</v>
      </c>
      <c r="B427" s="100">
        <v>46172</v>
      </c>
      <c r="C427" s="101">
        <v>46172</v>
      </c>
      <c r="D427" s="118">
        <v>0.270833333333333</v>
      </c>
      <c r="E427" s="119">
        <v>0.791666666666667</v>
      </c>
      <c r="F427" s="109">
        <v>1867.11</v>
      </c>
      <c r="G427" s="120">
        <v>1833.09</v>
      </c>
      <c r="H427" s="120">
        <v>1840.35</v>
      </c>
      <c r="I427" s="120">
        <v>1908.34</v>
      </c>
      <c r="J427" s="120">
        <v>1917.57</v>
      </c>
      <c r="K427" s="120">
        <v>1926.71</v>
      </c>
      <c r="L427" s="120">
        <v>1947.18</v>
      </c>
      <c r="M427" s="110">
        <f t="shared" si="58"/>
        <v>13240.35</v>
      </c>
      <c r="N427" s="111">
        <f t="shared" si="59"/>
        <v>1555.02</v>
      </c>
      <c r="O427" s="120">
        <v>1559.39</v>
      </c>
      <c r="P427" s="52">
        <f t="shared" si="60"/>
        <v>13110.0000000004</v>
      </c>
      <c r="Q427" s="52">
        <f t="shared" si="61"/>
        <v>6.54</v>
      </c>
      <c r="R427" s="120">
        <v>6.55</v>
      </c>
      <c r="S427" s="52">
        <f t="shared" si="62"/>
        <v>29.9999999999994</v>
      </c>
      <c r="T427" s="122">
        <f t="shared" si="63"/>
        <v>13080.0000000004</v>
      </c>
      <c r="U427" s="123"/>
      <c r="V427" s="120">
        <v>4.81</v>
      </c>
      <c r="W427" s="120">
        <v>33.78</v>
      </c>
      <c r="X427" s="120"/>
      <c r="Y427" s="120"/>
      <c r="Z427" s="120"/>
      <c r="AA427" s="120"/>
      <c r="AB427" s="122" t="s">
        <v>70</v>
      </c>
    </row>
    <row r="428" ht="15.75" spans="1:28">
      <c r="A428" s="90">
        <f t="shared" si="57"/>
        <v>430</v>
      </c>
      <c r="B428" s="100">
        <v>46173</v>
      </c>
      <c r="C428" s="101">
        <v>46173</v>
      </c>
      <c r="D428" s="118">
        <v>0.270833333333333</v>
      </c>
      <c r="E428" s="119">
        <v>0.791666666666667</v>
      </c>
      <c r="F428" s="109">
        <v>1558.36</v>
      </c>
      <c r="G428" s="120">
        <v>1532.95</v>
      </c>
      <c r="H428" s="120">
        <v>1542.84</v>
      </c>
      <c r="I428" s="121">
        <v>1609.9</v>
      </c>
      <c r="J428" s="120">
        <v>1609.07</v>
      </c>
      <c r="K428" s="120">
        <v>1619.51</v>
      </c>
      <c r="L428" s="120">
        <v>1643.83</v>
      </c>
      <c r="M428" s="110">
        <f t="shared" si="58"/>
        <v>11116.46</v>
      </c>
      <c r="N428" s="111">
        <f t="shared" ref="N428:N443" si="64">O427</f>
        <v>1559.39</v>
      </c>
      <c r="O428" s="120">
        <v>1563.06</v>
      </c>
      <c r="P428" s="52">
        <f t="shared" si="60"/>
        <v>11009.9999999995</v>
      </c>
      <c r="Q428" s="52">
        <v>6.55</v>
      </c>
      <c r="R428" s="120">
        <v>6.56</v>
      </c>
      <c r="S428" s="52">
        <f t="shared" si="62"/>
        <v>29.9999999999994</v>
      </c>
      <c r="T428" s="122">
        <f t="shared" si="63"/>
        <v>10979.9999999995</v>
      </c>
      <c r="U428" s="123"/>
      <c r="V428" s="120">
        <v>4.86</v>
      </c>
      <c r="W428" s="121">
        <v>33.8</v>
      </c>
      <c r="X428" s="120"/>
      <c r="Y428" s="120"/>
      <c r="Z428" s="120"/>
      <c r="AA428" s="120"/>
      <c r="AB428" s="122" t="s">
        <v>72</v>
      </c>
    </row>
    <row r="429" ht="15.75" spans="1:28">
      <c r="A429" s="90">
        <f t="shared" si="57"/>
        <v>431</v>
      </c>
      <c r="B429" s="100">
        <v>46174</v>
      </c>
      <c r="C429" s="101">
        <v>46174</v>
      </c>
      <c r="D429" s="118">
        <v>0.270833333333333</v>
      </c>
      <c r="E429" s="119">
        <v>0.791666666666667</v>
      </c>
      <c r="F429" s="109">
        <v>1731.79</v>
      </c>
      <c r="G429" s="120">
        <v>1748.42</v>
      </c>
      <c r="H429" s="120">
        <v>1746.09</v>
      </c>
      <c r="I429" s="121">
        <v>1728.76</v>
      </c>
      <c r="J429" s="120">
        <v>1724.59</v>
      </c>
      <c r="K429" s="121">
        <v>1736.6</v>
      </c>
      <c r="L429" s="120">
        <v>1764.28</v>
      </c>
      <c r="M429" s="110">
        <f t="shared" si="58"/>
        <v>12180.53</v>
      </c>
      <c r="N429" s="111">
        <f t="shared" si="64"/>
        <v>1563.06</v>
      </c>
      <c r="O429" s="120">
        <v>1567.08</v>
      </c>
      <c r="P429" s="52">
        <f t="shared" si="60"/>
        <v>12059.9999999999</v>
      </c>
      <c r="Q429" s="52">
        <f t="shared" ref="Q428:Q443" si="65">R428</f>
        <v>6.56</v>
      </c>
      <c r="R429" s="120">
        <v>6.57</v>
      </c>
      <c r="S429" s="52">
        <f t="shared" si="62"/>
        <v>30.000000000002</v>
      </c>
      <c r="T429" s="122">
        <f t="shared" si="63"/>
        <v>12029.9999999999</v>
      </c>
      <c r="U429" s="123"/>
      <c r="V429" s="120">
        <v>4.64</v>
      </c>
      <c r="W429" s="121">
        <v>33.96</v>
      </c>
      <c r="X429" s="120"/>
      <c r="Y429" s="120"/>
      <c r="Z429" s="120"/>
      <c r="AA429" s="120"/>
      <c r="AB429" s="122" t="s">
        <v>72</v>
      </c>
    </row>
    <row r="430" ht="15.75" spans="1:28">
      <c r="A430" s="90">
        <f t="shared" ref="A430:A443" si="66">A429+1</f>
        <v>432</v>
      </c>
      <c r="B430" s="100">
        <v>46175</v>
      </c>
      <c r="C430" s="101">
        <v>46175</v>
      </c>
      <c r="D430" s="118">
        <v>0.270833333333333</v>
      </c>
      <c r="E430" s="119">
        <v>0.770833333333333</v>
      </c>
      <c r="F430" s="109">
        <v>1359</v>
      </c>
      <c r="G430" s="121">
        <v>1366.35</v>
      </c>
      <c r="H430" s="120">
        <v>1363.09</v>
      </c>
      <c r="I430" s="121">
        <v>1344.25</v>
      </c>
      <c r="J430" s="121">
        <v>1336.5</v>
      </c>
      <c r="K430" s="120">
        <v>1345.19</v>
      </c>
      <c r="L430" s="120">
        <v>1363.67</v>
      </c>
      <c r="M430" s="110">
        <f t="shared" ref="M430:M443" si="67">SUM(F430:L430)</f>
        <v>9478.05</v>
      </c>
      <c r="N430" s="111">
        <f t="shared" si="64"/>
        <v>1567.08</v>
      </c>
      <c r="O430" s="120">
        <v>1570.21</v>
      </c>
      <c r="P430" s="52">
        <f t="shared" ref="P430:P443" si="68">MAX((O430-N430)*3000,0)</f>
        <v>9390.00000000033</v>
      </c>
      <c r="Q430" s="52">
        <f t="shared" si="65"/>
        <v>6.57</v>
      </c>
      <c r="R430" s="120">
        <v>6.58</v>
      </c>
      <c r="S430" s="52">
        <f t="shared" ref="S430:S443" si="69">MAX((R430-Q430)*3000,0)</f>
        <v>29.9999999999994</v>
      </c>
      <c r="T430" s="122">
        <f t="shared" ref="T430:T443" si="70">P430-S430</f>
        <v>9360.00000000033</v>
      </c>
      <c r="U430" s="123"/>
      <c r="V430" s="120">
        <v>4.42</v>
      </c>
      <c r="W430" s="121">
        <v>32.97</v>
      </c>
      <c r="X430" s="120"/>
      <c r="Y430" s="120"/>
      <c r="Z430" s="120"/>
      <c r="AA430" s="120"/>
      <c r="AB430" s="122" t="s">
        <v>72</v>
      </c>
    </row>
    <row r="431" ht="15.75" spans="1:28">
      <c r="A431" s="90">
        <f t="shared" si="66"/>
        <v>433</v>
      </c>
      <c r="B431" s="100">
        <v>46176</v>
      </c>
      <c r="C431" s="101">
        <v>46176</v>
      </c>
      <c r="D431" s="118">
        <v>0.270833333333333</v>
      </c>
      <c r="E431" s="119">
        <v>0.791666666666667</v>
      </c>
      <c r="F431" s="109">
        <v>1740.45</v>
      </c>
      <c r="G431" s="120">
        <v>1748.37</v>
      </c>
      <c r="H431" s="120">
        <v>1744.83</v>
      </c>
      <c r="I431" s="121">
        <v>1759.58</v>
      </c>
      <c r="J431" s="120">
        <v>1717.38</v>
      </c>
      <c r="K431" s="120">
        <v>1723.57</v>
      </c>
      <c r="L431" s="120">
        <v>1741.24</v>
      </c>
      <c r="M431" s="110">
        <f t="shared" si="67"/>
        <v>12175.42</v>
      </c>
      <c r="N431" s="111">
        <f t="shared" si="64"/>
        <v>1570.21</v>
      </c>
      <c r="O431" s="120">
        <v>1574.23</v>
      </c>
      <c r="P431" s="52">
        <f t="shared" si="68"/>
        <v>12059.9999999999</v>
      </c>
      <c r="Q431" s="52">
        <f t="shared" si="65"/>
        <v>6.58</v>
      </c>
      <c r="R431" s="120">
        <v>6.59</v>
      </c>
      <c r="S431" s="52">
        <f t="shared" si="69"/>
        <v>29.9999999999994</v>
      </c>
      <c r="T431" s="122">
        <f t="shared" si="70"/>
        <v>12029.9999999999</v>
      </c>
      <c r="U431" s="123"/>
      <c r="V431" s="120">
        <v>5.34</v>
      </c>
      <c r="W431" s="121">
        <v>35.21</v>
      </c>
      <c r="X431" s="120"/>
      <c r="Y431" s="120"/>
      <c r="Z431" s="120"/>
      <c r="AA431" s="120"/>
      <c r="AB431" s="122" t="s">
        <v>72</v>
      </c>
    </row>
    <row r="432" ht="15.75" spans="1:28">
      <c r="A432" s="90">
        <f t="shared" si="66"/>
        <v>434</v>
      </c>
      <c r="B432" s="100">
        <v>46177</v>
      </c>
      <c r="C432" s="101">
        <v>46177</v>
      </c>
      <c r="D432" s="118">
        <v>0.270833333333333</v>
      </c>
      <c r="E432" s="119">
        <v>0.791666666666667</v>
      </c>
      <c r="F432" s="109">
        <v>1532.13</v>
      </c>
      <c r="G432" s="121">
        <v>1540.3</v>
      </c>
      <c r="H432" s="120">
        <v>1541.23</v>
      </c>
      <c r="I432" s="121">
        <v>1648.61</v>
      </c>
      <c r="J432" s="120">
        <v>1644.01</v>
      </c>
      <c r="K432" s="120">
        <v>1628.89</v>
      </c>
      <c r="L432" s="120">
        <v>1633.27</v>
      </c>
      <c r="M432" s="110">
        <f t="shared" si="67"/>
        <v>11168.44</v>
      </c>
      <c r="N432" s="111">
        <f t="shared" si="64"/>
        <v>1574.23</v>
      </c>
      <c r="O432" s="120">
        <v>1577.92</v>
      </c>
      <c r="P432" s="52">
        <f t="shared" si="68"/>
        <v>11070.0000000002</v>
      </c>
      <c r="Q432" s="52">
        <f t="shared" si="65"/>
        <v>6.59</v>
      </c>
      <c r="R432" s="121">
        <v>6.6</v>
      </c>
      <c r="S432" s="52">
        <f t="shared" si="69"/>
        <v>29.9999999999994</v>
      </c>
      <c r="T432" s="122">
        <f t="shared" si="70"/>
        <v>11040.0000000002</v>
      </c>
      <c r="U432" s="123"/>
      <c r="V432" s="121">
        <v>4.7</v>
      </c>
      <c r="W432" s="121">
        <v>34.74</v>
      </c>
      <c r="X432" s="120"/>
      <c r="Y432" s="120"/>
      <c r="Z432" s="120"/>
      <c r="AA432" s="120"/>
      <c r="AB432" s="122" t="s">
        <v>72</v>
      </c>
    </row>
    <row r="433" ht="15.75" spans="1:28">
      <c r="A433" s="90">
        <f t="shared" si="66"/>
        <v>435</v>
      </c>
      <c r="B433" s="100">
        <v>46178</v>
      </c>
      <c r="C433" s="101">
        <v>46178</v>
      </c>
      <c r="D433" s="118">
        <v>0.270833333333333</v>
      </c>
      <c r="E433" s="119">
        <v>0.791666666666667</v>
      </c>
      <c r="F433" s="109">
        <v>1912</v>
      </c>
      <c r="G433" s="120">
        <v>1873.52</v>
      </c>
      <c r="H433" s="120">
        <v>1863.43</v>
      </c>
      <c r="I433" s="121">
        <v>1841.22</v>
      </c>
      <c r="J433" s="120">
        <v>1980.22</v>
      </c>
      <c r="K433" s="120">
        <v>1978.06</v>
      </c>
      <c r="L433" s="120">
        <v>1982.36</v>
      </c>
      <c r="M433" s="110">
        <f t="shared" si="67"/>
        <v>13430.81</v>
      </c>
      <c r="N433" s="111">
        <f t="shared" si="64"/>
        <v>1577.92</v>
      </c>
      <c r="O433" s="120">
        <v>1582.35</v>
      </c>
      <c r="P433" s="52">
        <f t="shared" si="68"/>
        <v>13289.9999999995</v>
      </c>
      <c r="Q433" s="52">
        <f t="shared" si="65"/>
        <v>6.6</v>
      </c>
      <c r="R433" s="120">
        <v>6.61</v>
      </c>
      <c r="S433" s="52">
        <f t="shared" si="69"/>
        <v>30.000000000002</v>
      </c>
      <c r="T433" s="122">
        <f t="shared" si="70"/>
        <v>13259.9999999995</v>
      </c>
      <c r="U433" s="123"/>
      <c r="V433" s="120">
        <v>4.64</v>
      </c>
      <c r="W433" s="121">
        <v>34.64</v>
      </c>
      <c r="X433" s="120"/>
      <c r="Y433" s="120"/>
      <c r="Z433" s="120"/>
      <c r="AA433" s="120"/>
      <c r="AB433" s="122" t="s">
        <v>72</v>
      </c>
    </row>
    <row r="434" ht="15.75" spans="1:28">
      <c r="A434" s="90">
        <f t="shared" si="66"/>
        <v>436</v>
      </c>
      <c r="B434" s="100">
        <v>46179</v>
      </c>
      <c r="C434" s="101">
        <v>46179</v>
      </c>
      <c r="D434" s="118">
        <v>0.270833333333333</v>
      </c>
      <c r="E434" s="119">
        <v>0.791666666666667</v>
      </c>
      <c r="F434" s="109">
        <v>1643.62</v>
      </c>
      <c r="G434" s="120">
        <v>1636.44</v>
      </c>
      <c r="H434" s="120">
        <v>1628.04</v>
      </c>
      <c r="I434" s="121">
        <v>1679.48</v>
      </c>
      <c r="J434" s="120">
        <v>1661.38</v>
      </c>
      <c r="K434" s="120">
        <v>1650.06</v>
      </c>
      <c r="L434" s="120">
        <v>1640.67</v>
      </c>
      <c r="M434" s="110">
        <f t="shared" si="67"/>
        <v>11539.69</v>
      </c>
      <c r="N434" s="111">
        <f t="shared" si="64"/>
        <v>1582.35</v>
      </c>
      <c r="O434" s="120">
        <v>1586.16</v>
      </c>
      <c r="P434" s="52">
        <f t="shared" si="68"/>
        <v>11430.0000000005</v>
      </c>
      <c r="Q434" s="52">
        <f t="shared" si="65"/>
        <v>6.61</v>
      </c>
      <c r="R434" s="120">
        <v>6.62</v>
      </c>
      <c r="S434" s="52">
        <f t="shared" si="69"/>
        <v>29.9999999999994</v>
      </c>
      <c r="T434" s="122">
        <f t="shared" si="70"/>
        <v>11400.0000000005</v>
      </c>
      <c r="U434" s="123"/>
      <c r="V434" s="120">
        <v>4.68</v>
      </c>
      <c r="W434" s="121">
        <v>34.33</v>
      </c>
      <c r="X434" s="120"/>
      <c r="Y434" s="120"/>
      <c r="Z434" s="120"/>
      <c r="AA434" s="120"/>
      <c r="AB434" s="122" t="s">
        <v>72</v>
      </c>
    </row>
    <row r="435" ht="15.75" spans="1:28">
      <c r="A435" s="90">
        <f t="shared" si="66"/>
        <v>437</v>
      </c>
      <c r="B435" s="100">
        <v>46180</v>
      </c>
      <c r="C435" s="101">
        <v>46180</v>
      </c>
      <c r="D435" s="118">
        <v>0.270833333333333</v>
      </c>
      <c r="E435" s="119">
        <v>0.791666666666667</v>
      </c>
      <c r="F435" s="109">
        <v>1835.83</v>
      </c>
      <c r="G435" s="121">
        <v>1835.3</v>
      </c>
      <c r="H435" s="120">
        <v>1837.11</v>
      </c>
      <c r="I435" s="121">
        <v>1904.72</v>
      </c>
      <c r="J435" s="120">
        <v>1896.24</v>
      </c>
      <c r="K435" s="120">
        <v>1904.39</v>
      </c>
      <c r="L435" s="120">
        <v>1912.32</v>
      </c>
      <c r="M435" s="110">
        <f t="shared" si="67"/>
        <v>13125.91</v>
      </c>
      <c r="N435" s="111">
        <f t="shared" si="64"/>
        <v>1586.16</v>
      </c>
      <c r="O435" s="120">
        <v>1590.49</v>
      </c>
      <c r="P435" s="52">
        <f t="shared" si="68"/>
        <v>12989.9999999998</v>
      </c>
      <c r="Q435" s="52">
        <f t="shared" si="65"/>
        <v>6.62</v>
      </c>
      <c r="R435" s="120">
        <v>6.62</v>
      </c>
      <c r="S435" s="52">
        <f t="shared" si="69"/>
        <v>0</v>
      </c>
      <c r="T435" s="122">
        <f t="shared" si="70"/>
        <v>12989.9999999998</v>
      </c>
      <c r="U435" s="123"/>
      <c r="V435" s="120">
        <v>5.17</v>
      </c>
      <c r="W435" s="121">
        <v>33.9</v>
      </c>
      <c r="X435" s="120"/>
      <c r="Y435" s="120"/>
      <c r="Z435" s="120"/>
      <c r="AA435" s="120"/>
      <c r="AB435" s="122" t="s">
        <v>72</v>
      </c>
    </row>
    <row r="436" ht="15.75" spans="1:28">
      <c r="A436" s="90">
        <f t="shared" si="66"/>
        <v>438</v>
      </c>
      <c r="B436" s="100">
        <v>46181</v>
      </c>
      <c r="C436" s="101">
        <v>46181</v>
      </c>
      <c r="D436" s="118">
        <v>0.270833333333333</v>
      </c>
      <c r="E436" s="119">
        <v>0.791666666666667</v>
      </c>
      <c r="F436" s="109">
        <v>1843.22</v>
      </c>
      <c r="G436" s="121">
        <v>1838.4</v>
      </c>
      <c r="H436" s="120">
        <v>1835.24</v>
      </c>
      <c r="I436" s="121">
        <v>1906.74</v>
      </c>
      <c r="J436" s="120">
        <v>1900.18</v>
      </c>
      <c r="K436" s="121">
        <v>1902.3</v>
      </c>
      <c r="L436" s="120">
        <v>1902.22</v>
      </c>
      <c r="M436" s="110">
        <f t="shared" si="67"/>
        <v>13128.3</v>
      </c>
      <c r="N436" s="111">
        <f t="shared" si="64"/>
        <v>1590.49</v>
      </c>
      <c r="O436" s="120">
        <v>1594.82</v>
      </c>
      <c r="P436" s="52">
        <f t="shared" si="68"/>
        <v>12989.9999999998</v>
      </c>
      <c r="Q436" s="52">
        <f t="shared" si="65"/>
        <v>6.62</v>
      </c>
      <c r="R436" s="120">
        <v>6.63</v>
      </c>
      <c r="S436" s="52">
        <f t="shared" si="69"/>
        <v>29.9999999999994</v>
      </c>
      <c r="T436" s="122">
        <f t="shared" si="70"/>
        <v>12959.9999999998</v>
      </c>
      <c r="U436" s="123"/>
      <c r="V436" s="120">
        <v>4.36</v>
      </c>
      <c r="W436" s="121">
        <v>33.41</v>
      </c>
      <c r="X436" s="120"/>
      <c r="Y436" s="120"/>
      <c r="Z436" s="120"/>
      <c r="AA436" s="120"/>
      <c r="AB436" s="122" t="s">
        <v>72</v>
      </c>
    </row>
    <row r="437" ht="15.75" spans="1:28">
      <c r="A437" s="90">
        <f t="shared" si="66"/>
        <v>439</v>
      </c>
      <c r="B437" s="100">
        <v>46182</v>
      </c>
      <c r="C437" s="101">
        <v>46182</v>
      </c>
      <c r="D437" s="118"/>
      <c r="E437" s="119"/>
      <c r="F437" s="109"/>
      <c r="G437" s="120"/>
      <c r="H437" s="120"/>
      <c r="I437" s="121"/>
      <c r="J437" s="120"/>
      <c r="K437" s="120"/>
      <c r="L437" s="120"/>
      <c r="M437" s="110">
        <f t="shared" si="67"/>
        <v>0</v>
      </c>
      <c r="N437" s="111">
        <f t="shared" si="64"/>
        <v>1594.82</v>
      </c>
      <c r="O437" s="120"/>
      <c r="P437" s="52">
        <f t="shared" si="68"/>
        <v>0</v>
      </c>
      <c r="Q437" s="52">
        <f t="shared" si="65"/>
        <v>6.63</v>
      </c>
      <c r="R437" s="120"/>
      <c r="S437" s="52">
        <f t="shared" si="69"/>
        <v>0</v>
      </c>
      <c r="T437" s="122">
        <f t="shared" si="70"/>
        <v>0</v>
      </c>
      <c r="U437" s="123"/>
      <c r="V437" s="120"/>
      <c r="W437" s="121"/>
      <c r="X437" s="120"/>
      <c r="Y437" s="120"/>
      <c r="Z437" s="120"/>
      <c r="AA437" s="120"/>
      <c r="AB437" s="122"/>
    </row>
    <row r="438" ht="15.75" spans="1:28">
      <c r="A438" s="90">
        <f t="shared" si="66"/>
        <v>440</v>
      </c>
      <c r="B438" s="100">
        <v>46183</v>
      </c>
      <c r="C438" s="101">
        <v>46183</v>
      </c>
      <c r="D438" s="118"/>
      <c r="E438" s="119"/>
      <c r="F438" s="109"/>
      <c r="G438" s="120"/>
      <c r="H438" s="120"/>
      <c r="I438" s="121"/>
      <c r="J438" s="120"/>
      <c r="K438" s="120"/>
      <c r="L438" s="120"/>
      <c r="M438" s="110">
        <f t="shared" si="67"/>
        <v>0</v>
      </c>
      <c r="N438" s="111">
        <f t="shared" si="64"/>
        <v>0</v>
      </c>
      <c r="O438" s="120"/>
      <c r="P438" s="52">
        <f t="shared" si="68"/>
        <v>0</v>
      </c>
      <c r="Q438" s="52">
        <f t="shared" si="65"/>
        <v>0</v>
      </c>
      <c r="R438" s="120"/>
      <c r="S438" s="52">
        <f t="shared" si="69"/>
        <v>0</v>
      </c>
      <c r="T438" s="122">
        <f t="shared" si="70"/>
        <v>0</v>
      </c>
      <c r="U438" s="123"/>
      <c r="V438" s="120"/>
      <c r="W438" s="121"/>
      <c r="X438" s="120"/>
      <c r="Y438" s="120"/>
      <c r="Z438" s="120"/>
      <c r="AA438" s="120"/>
      <c r="AB438" s="122"/>
    </row>
    <row r="439" ht="15.75" spans="1:28">
      <c r="A439" s="90">
        <f t="shared" si="66"/>
        <v>441</v>
      </c>
      <c r="B439" s="100">
        <v>46184</v>
      </c>
      <c r="C439" s="101">
        <v>46184</v>
      </c>
      <c r="D439" s="118"/>
      <c r="E439" s="119"/>
      <c r="F439" s="109"/>
      <c r="G439" s="120"/>
      <c r="H439" s="120"/>
      <c r="I439" s="121"/>
      <c r="J439" s="120"/>
      <c r="K439" s="120"/>
      <c r="L439" s="120"/>
      <c r="M439" s="110">
        <f t="shared" si="67"/>
        <v>0</v>
      </c>
      <c r="N439" s="111">
        <f t="shared" si="64"/>
        <v>0</v>
      </c>
      <c r="O439" s="120"/>
      <c r="P439" s="52">
        <f t="shared" si="68"/>
        <v>0</v>
      </c>
      <c r="Q439" s="52">
        <f t="shared" si="65"/>
        <v>0</v>
      </c>
      <c r="R439" s="120"/>
      <c r="S439" s="52">
        <f t="shared" si="69"/>
        <v>0</v>
      </c>
      <c r="T439" s="122">
        <f t="shared" si="70"/>
        <v>0</v>
      </c>
      <c r="U439" s="123"/>
      <c r="V439" s="120"/>
      <c r="W439" s="121"/>
      <c r="X439" s="120"/>
      <c r="Y439" s="120"/>
      <c r="Z439" s="120"/>
      <c r="AA439" s="120"/>
      <c r="AB439" s="122"/>
    </row>
    <row r="440" ht="15.75" spans="1:28">
      <c r="A440" s="90">
        <f t="shared" si="66"/>
        <v>442</v>
      </c>
      <c r="B440" s="100">
        <v>46185</v>
      </c>
      <c r="C440" s="101">
        <v>46185</v>
      </c>
      <c r="D440" s="118"/>
      <c r="E440" s="119"/>
      <c r="F440" s="109"/>
      <c r="G440" s="120"/>
      <c r="H440" s="120"/>
      <c r="I440" s="121"/>
      <c r="J440" s="120"/>
      <c r="K440" s="120"/>
      <c r="L440" s="120"/>
      <c r="M440" s="110">
        <f t="shared" si="67"/>
        <v>0</v>
      </c>
      <c r="N440" s="111">
        <f t="shared" si="64"/>
        <v>0</v>
      </c>
      <c r="O440" s="120"/>
      <c r="P440" s="52">
        <f t="shared" si="68"/>
        <v>0</v>
      </c>
      <c r="Q440" s="52">
        <f t="shared" si="65"/>
        <v>0</v>
      </c>
      <c r="R440" s="120"/>
      <c r="S440" s="52">
        <f t="shared" si="69"/>
        <v>0</v>
      </c>
      <c r="T440" s="122">
        <f t="shared" si="70"/>
        <v>0</v>
      </c>
      <c r="U440" s="123"/>
      <c r="V440" s="120"/>
      <c r="W440" s="121"/>
      <c r="X440" s="120"/>
      <c r="Y440" s="120"/>
      <c r="Z440" s="120"/>
      <c r="AA440" s="120"/>
      <c r="AB440" s="122"/>
    </row>
    <row r="441" ht="15.75" spans="1:28">
      <c r="A441" s="90">
        <f t="shared" si="66"/>
        <v>443</v>
      </c>
      <c r="B441" s="100">
        <v>46186</v>
      </c>
      <c r="C441" s="101">
        <v>46186</v>
      </c>
      <c r="D441" s="118"/>
      <c r="E441" s="119"/>
      <c r="F441" s="109"/>
      <c r="G441" s="120"/>
      <c r="H441" s="120"/>
      <c r="I441" s="121"/>
      <c r="J441" s="120"/>
      <c r="K441" s="120"/>
      <c r="L441" s="120"/>
      <c r="M441" s="110">
        <f t="shared" si="67"/>
        <v>0</v>
      </c>
      <c r="N441" s="111">
        <f t="shared" si="64"/>
        <v>0</v>
      </c>
      <c r="O441" s="120"/>
      <c r="P441" s="52">
        <f t="shared" si="68"/>
        <v>0</v>
      </c>
      <c r="Q441" s="52">
        <f t="shared" si="65"/>
        <v>0</v>
      </c>
      <c r="R441" s="120"/>
      <c r="S441" s="52">
        <f t="shared" si="69"/>
        <v>0</v>
      </c>
      <c r="T441" s="122">
        <f t="shared" si="70"/>
        <v>0</v>
      </c>
      <c r="U441" s="123"/>
      <c r="V441" s="120"/>
      <c r="W441" s="121"/>
      <c r="X441" s="120"/>
      <c r="Y441" s="120"/>
      <c r="Z441" s="120"/>
      <c r="AA441" s="120"/>
      <c r="AB441" s="122"/>
    </row>
    <row r="442" ht="15.75" spans="1:28">
      <c r="A442" s="90">
        <f t="shared" si="66"/>
        <v>444</v>
      </c>
      <c r="B442" s="100">
        <v>46187</v>
      </c>
      <c r="C442" s="101">
        <v>46187</v>
      </c>
      <c r="D442" s="118"/>
      <c r="E442" s="119"/>
      <c r="F442" s="109"/>
      <c r="G442" s="120"/>
      <c r="H442" s="120"/>
      <c r="I442" s="121"/>
      <c r="J442" s="120"/>
      <c r="K442" s="120"/>
      <c r="L442" s="120"/>
      <c r="M442" s="110">
        <f t="shared" si="67"/>
        <v>0</v>
      </c>
      <c r="N442" s="111">
        <f t="shared" si="64"/>
        <v>0</v>
      </c>
      <c r="O442" s="120"/>
      <c r="P442" s="52">
        <f t="shared" si="68"/>
        <v>0</v>
      </c>
      <c r="Q442" s="52">
        <f t="shared" si="65"/>
        <v>0</v>
      </c>
      <c r="R442" s="120"/>
      <c r="S442" s="52">
        <f t="shared" si="69"/>
        <v>0</v>
      </c>
      <c r="T442" s="122">
        <f t="shared" si="70"/>
        <v>0</v>
      </c>
      <c r="U442" s="123"/>
      <c r="V442" s="120"/>
      <c r="W442" s="121"/>
      <c r="X442" s="120"/>
      <c r="Y442" s="120"/>
      <c r="Z442" s="120"/>
      <c r="AA442" s="120"/>
      <c r="AB442" s="122"/>
    </row>
    <row r="443" ht="15.75" spans="1:28">
      <c r="A443" s="90">
        <f t="shared" si="66"/>
        <v>445</v>
      </c>
      <c r="B443" s="100">
        <v>46188</v>
      </c>
      <c r="C443" s="101">
        <v>46188</v>
      </c>
      <c r="D443" s="118"/>
      <c r="E443" s="119"/>
      <c r="F443" s="109"/>
      <c r="G443" s="120"/>
      <c r="H443" s="120"/>
      <c r="I443" s="121"/>
      <c r="J443" s="120"/>
      <c r="K443" s="120"/>
      <c r="L443" s="120"/>
      <c r="M443" s="110">
        <f t="shared" si="67"/>
        <v>0</v>
      </c>
      <c r="N443" s="111">
        <f t="shared" si="64"/>
        <v>0</v>
      </c>
      <c r="O443" s="120"/>
      <c r="P443" s="52">
        <f t="shared" si="68"/>
        <v>0</v>
      </c>
      <c r="Q443" s="52">
        <f t="shared" si="65"/>
        <v>0</v>
      </c>
      <c r="R443" s="120"/>
      <c r="S443" s="52">
        <f t="shared" si="69"/>
        <v>0</v>
      </c>
      <c r="T443" s="122">
        <f t="shared" si="70"/>
        <v>0</v>
      </c>
      <c r="U443" s="123"/>
      <c r="V443" s="120"/>
      <c r="W443" s="121"/>
      <c r="X443" s="120"/>
      <c r="Y443" s="120"/>
      <c r="Z443" s="120"/>
      <c r="AA443" s="120"/>
      <c r="AB443" s="122"/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9"/>
  <sheetViews>
    <sheetView workbookViewId="0">
      <pane xSplit="2" ySplit="3" topLeftCell="C352" activePane="bottomRight" state="frozen"/>
      <selection/>
      <selection pane="topRight"/>
      <selection pane="bottomLeft"/>
      <selection pane="bottomRight" activeCell="A369" sqref="A369:B369"/>
    </sheetView>
  </sheetViews>
  <sheetFormatPr defaultColWidth="9" defaultRowHeight="14.25"/>
  <cols>
    <col min="3" max="3" width="9" customWidth="1"/>
  </cols>
  <sheetData>
    <row r="1" spans="1:9">
      <c r="A1" t="s">
        <v>76</v>
      </c>
    </row>
    <row r="2" ht="18" customHeight="1" spans="1:9">
      <c r="C2" s="97">
        <v>335.72</v>
      </c>
      <c r="D2" s="97">
        <v>335.72</v>
      </c>
      <c r="E2" s="97">
        <v>335.72</v>
      </c>
      <c r="F2" s="97">
        <v>350.98</v>
      </c>
      <c r="G2" s="97">
        <v>350.98</v>
      </c>
      <c r="H2" s="97">
        <v>350.98</v>
      </c>
      <c r="I2" s="97">
        <v>350.98</v>
      </c>
    </row>
    <row r="3" spans="1:9"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</row>
    <row r="4" ht="15" spans="1:9">
      <c r="A4" s="98">
        <v>45747</v>
      </c>
      <c r="B4" s="25">
        <v>45747</v>
      </c>
    </row>
    <row r="5" ht="15" spans="1:9">
      <c r="A5" s="98">
        <v>45748</v>
      </c>
      <c r="B5" s="25">
        <v>45748</v>
      </c>
      <c r="C5" s="99">
        <f>IFERROR((Data_Entry!F3/Data_Entry!$V3/C$2),"")</f>
        <v>1.20850183620764</v>
      </c>
      <c r="D5" s="99">
        <f>IFERROR((Data_Entry!G3/Data_Entry!$V3/D$2),"")</f>
        <v>1.22886763755608</v>
      </c>
      <c r="E5" s="99">
        <f>IFERROR((Data_Entry!H3/Data_Entry!$V3/E$2),"")</f>
        <v>1.20680996658722</v>
      </c>
      <c r="F5" s="99">
        <f>IFERROR((Data_Entry!I3/Data_Entry!$V3/F$2),"")</f>
        <v>1.21692674631878</v>
      </c>
      <c r="G5" s="99">
        <f>IFERROR((Data_Entry!J3/Data_Entry!$V3/G$2),"")</f>
        <v>1.22658205697132</v>
      </c>
      <c r="H5" s="99">
        <f>IFERROR((Data_Entry!K3/Data_Entry!$V3/H$2),"")</f>
        <v>1.22569107726892</v>
      </c>
      <c r="I5" s="99">
        <f>IFERROR((Data_Entry!L3/Data_Entry!$V3/I$2),"")</f>
        <v>1.21506599279063</v>
      </c>
    </row>
    <row r="6" ht="15" spans="1:9">
      <c r="A6" s="98">
        <v>45749</v>
      </c>
      <c r="B6" s="25">
        <v>45749</v>
      </c>
      <c r="C6" s="99">
        <f>IFERROR((Data_Entry!F4/Data_Entry!$V4/C$2),"")</f>
        <v>1.23194649121915</v>
      </c>
      <c r="D6" s="99">
        <f>IFERROR((Data_Entry!G4/Data_Entry!$V4/D$2),"")</f>
        <v>1.22454610146233</v>
      </c>
      <c r="E6" s="99">
        <f>IFERROR((Data_Entry!H4/Data_Entry!$V4/E$2),"")</f>
        <v>1.21336638520011</v>
      </c>
      <c r="F6" s="99">
        <f>IFERROR((Data_Entry!I4/Data_Entry!$V4/F$2),"")</f>
        <v>1.22090989998663</v>
      </c>
      <c r="G6" s="99">
        <f>IFERROR((Data_Entry!J4/Data_Entry!$V4/G$2),"")</f>
        <v>1.19065767255512</v>
      </c>
      <c r="H6" s="99">
        <f>IFERROR((Data_Entry!K4/Data_Entry!$V4/H$2),"")</f>
        <v>1.19415157472245</v>
      </c>
      <c r="I6" s="99">
        <f>IFERROR((Data_Entry!L4/Data_Entry!$V4/I$2),"")</f>
        <v>1.17482308994235</v>
      </c>
    </row>
    <row r="7" ht="15" spans="1:9">
      <c r="A7" s="98">
        <v>45750</v>
      </c>
      <c r="B7" s="25">
        <v>45750</v>
      </c>
      <c r="C7" s="99">
        <f>IFERROR((Data_Entry!F5/Data_Entry!$V5/C$2),"")</f>
        <v>1.20590659205406</v>
      </c>
      <c r="D7" s="99">
        <f>IFERROR((Data_Entry!G5/Data_Entry!$V5/D$2),"")</f>
        <v>1.1972063149841</v>
      </c>
      <c r="E7" s="99">
        <f>IFERROR((Data_Entry!H5/Data_Entry!$V5/E$2),"")</f>
        <v>1.18948937761292</v>
      </c>
      <c r="F7" s="99">
        <f>IFERROR((Data_Entry!I5/Data_Entry!$V5/F$2),"")</f>
        <v>1.19623826475948</v>
      </c>
      <c r="G7" s="99">
        <f>IFERROR((Data_Entry!J5/Data_Entry!$V5/G$2),"")</f>
        <v>1.16643228431315</v>
      </c>
      <c r="H7" s="99">
        <f>IFERROR((Data_Entry!K5/Data_Entry!$V5/H$2),"")</f>
        <v>1.17145912364861</v>
      </c>
      <c r="I7" s="99">
        <f>IFERROR((Data_Entry!L5/Data_Entry!$V5/I$2),"")</f>
        <v>1.15029905769748</v>
      </c>
    </row>
    <row r="8" ht="15" spans="1:9">
      <c r="A8" s="98">
        <v>45751</v>
      </c>
      <c r="B8" s="25">
        <v>45751</v>
      </c>
      <c r="C8" s="99">
        <f>IFERROR((Data_Entry!F6/Data_Entry!$V6/C$2),"")</f>
        <v>1.21695806347841</v>
      </c>
      <c r="D8" s="99">
        <f>IFERROR((Data_Entry!G6/Data_Entry!$V6/D$2),"")</f>
        <v>1.20676120473373</v>
      </c>
      <c r="E8" s="99">
        <f>IFERROR((Data_Entry!H6/Data_Entry!$V6/E$2),"")</f>
        <v>1.19917210874685</v>
      </c>
      <c r="F8" s="99">
        <f>IFERROR((Data_Entry!I6/Data_Entry!$V6/F$2),"")</f>
        <v>1.2075108402078</v>
      </c>
      <c r="G8" s="99">
        <f>IFERROR((Data_Entry!J6/Data_Entry!$V6/G$2),"")</f>
        <v>1.17627052485691</v>
      </c>
      <c r="H8" s="99">
        <f>IFERROR((Data_Entry!K6/Data_Entry!$V6/H$2),"")</f>
        <v>1.18315429201853</v>
      </c>
      <c r="I8" s="99">
        <f>IFERROR((Data_Entry!L6/Data_Entry!$V6/I$2),"")</f>
        <v>1.15940923062199</v>
      </c>
    </row>
    <row r="9" ht="15" spans="1:9">
      <c r="A9" s="98">
        <v>45752</v>
      </c>
      <c r="B9" s="25">
        <v>45752</v>
      </c>
      <c r="C9" s="99">
        <f>IFERROR((Data_Entry!F7/Data_Entry!$V7/C$2),"")</f>
        <v>1.20057738024468</v>
      </c>
      <c r="D9" s="99">
        <f>IFERROR((Data_Entry!G7/Data_Entry!$V7/D$2),"")</f>
        <v>1.19276395049509</v>
      </c>
      <c r="E9" s="99">
        <f>IFERROR((Data_Entry!H7/Data_Entry!$V7/E$2),"")</f>
        <v>1.18363670232359</v>
      </c>
      <c r="F9" s="99">
        <f>IFERROR((Data_Entry!I7/Data_Entry!$V7/F$2),"")</f>
        <v>1.19276147884673</v>
      </c>
      <c r="G9" s="99">
        <f>IFERROR((Data_Entry!J7/Data_Entry!$V7/G$2),"")</f>
        <v>1.1617307574568</v>
      </c>
      <c r="H9" s="99">
        <f>IFERROR((Data_Entry!K7/Data_Entry!$V7/H$2),"")</f>
        <v>1.16858216673565</v>
      </c>
      <c r="I9" s="99">
        <f>IFERROR((Data_Entry!L7/Data_Entry!$V7/I$2),"")</f>
        <v>1.09115036663181</v>
      </c>
    </row>
    <row r="10" ht="15" spans="1:9">
      <c r="A10" s="98">
        <v>45753</v>
      </c>
      <c r="B10" s="25">
        <v>45753</v>
      </c>
      <c r="C10" s="99">
        <f>IFERROR((Data_Entry!F8/Data_Entry!$V8/C$2),"")</f>
        <v>1.17735211993011</v>
      </c>
      <c r="D10" s="99">
        <f>IFERROR((Data_Entry!G8/Data_Entry!$V8/D$2),"")</f>
        <v>1.17135657061185</v>
      </c>
      <c r="E10" s="99">
        <f>IFERROR((Data_Entry!H8/Data_Entry!$V8/E$2),"")</f>
        <v>1.16208287922028</v>
      </c>
      <c r="F10" s="99">
        <f>IFERROR((Data_Entry!I8/Data_Entry!$V8/F$2),"")</f>
        <v>1.17348002223598</v>
      </c>
      <c r="G10" s="99">
        <f>IFERROR((Data_Entry!J8/Data_Entry!$V8/G$2),"")</f>
        <v>1.14265434170692</v>
      </c>
      <c r="H10" s="99">
        <f>IFERROR((Data_Entry!K8/Data_Entry!$V8/H$2),"")</f>
        <v>1.14818292456281</v>
      </c>
      <c r="I10" s="99">
        <f>IFERROR((Data_Entry!L8/Data_Entry!$V8/I$2),"")</f>
        <v>1.12833778759505</v>
      </c>
    </row>
    <row r="11" ht="15" spans="1:9">
      <c r="A11" s="98">
        <v>45754</v>
      </c>
      <c r="B11" s="25">
        <v>45754</v>
      </c>
      <c r="C11" s="99">
        <f>IFERROR((Data_Entry!F9/Data_Entry!$V9/C$2),"")</f>
        <v>1.17486859823236</v>
      </c>
      <c r="D11" s="99">
        <f>IFERROR((Data_Entry!G9/Data_Entry!$V9/D$2),"")</f>
        <v>1.16660915179803</v>
      </c>
      <c r="E11" s="99">
        <f>IFERROR((Data_Entry!H9/Data_Entry!$V9/E$2),"")</f>
        <v>1.15706936564288</v>
      </c>
      <c r="F11" s="99">
        <f>IFERROR((Data_Entry!I9/Data_Entry!$V9/F$2),"")</f>
        <v>1.1675573999928</v>
      </c>
      <c r="G11" s="99">
        <f>IFERROR((Data_Entry!J9/Data_Entry!$V9/G$2),"")</f>
        <v>1.13755892026797</v>
      </c>
      <c r="H11" s="99">
        <f>IFERROR((Data_Entry!K9/Data_Entry!$V9/H$2),"")</f>
        <v>1.14380235010864</v>
      </c>
      <c r="I11" s="99">
        <f>IFERROR((Data_Entry!L9/Data_Entry!$V9/I$2),"")</f>
        <v>1.12537822878074</v>
      </c>
    </row>
    <row r="12" ht="15" spans="1:9">
      <c r="A12" s="98">
        <v>45755</v>
      </c>
      <c r="B12" s="25">
        <v>45755</v>
      </c>
      <c r="C12" s="99">
        <f>IFERROR((Data_Entry!F10/Data_Entry!$V10/C$2),"")</f>
        <v>1.12103785384108</v>
      </c>
      <c r="D12" s="99">
        <f>IFERROR((Data_Entry!G10/Data_Entry!$V10/D$2),"")</f>
        <v>1.11574044044234</v>
      </c>
      <c r="E12" s="99">
        <f>IFERROR((Data_Entry!H10/Data_Entry!$V10/E$2),"")</f>
        <v>1.10640262699372</v>
      </c>
      <c r="F12" s="99">
        <f>IFERROR((Data_Entry!I10/Data_Entry!$V10/F$2),"")</f>
        <v>1.12805348291321</v>
      </c>
      <c r="G12" s="99">
        <f>IFERROR((Data_Entry!J10/Data_Entry!$V10/G$2),"")</f>
        <v>1.08855348358493</v>
      </c>
      <c r="H12" s="99">
        <f>IFERROR((Data_Entry!K10/Data_Entry!$V10/H$2),"")</f>
        <v>1.09343653987711</v>
      </c>
      <c r="I12" s="99">
        <f>IFERROR((Data_Entry!L10/Data_Entry!$V10/I$2),"")</f>
        <v>1.07554835878668</v>
      </c>
    </row>
    <row r="13" ht="15" spans="1:9">
      <c r="A13" s="98">
        <v>45756</v>
      </c>
      <c r="B13" s="25">
        <v>45756</v>
      </c>
      <c r="C13" s="99">
        <f>IFERROR((Data_Entry!F11/Data_Entry!$V11/C$2),"")</f>
        <v>1.12806058816585</v>
      </c>
      <c r="D13" s="99">
        <f>IFERROR((Data_Entry!G11/Data_Entry!$V11/D$2),"")</f>
        <v>1.12123227113386</v>
      </c>
      <c r="E13" s="99">
        <f>IFERROR((Data_Entry!H11/Data_Entry!$V11/E$2),"")</f>
        <v>1.11293401280888</v>
      </c>
      <c r="F13" s="99">
        <f>IFERROR((Data_Entry!I11/Data_Entry!$V11/F$2),"")</f>
        <v>1.14453310753841</v>
      </c>
      <c r="G13" s="99">
        <f>IFERROR((Data_Entry!J11/Data_Entry!$V11/G$2),"")</f>
        <v>1.0934773651258</v>
      </c>
      <c r="H13" s="99">
        <f>IFERROR((Data_Entry!K11/Data_Entry!$V11/H$2),"")</f>
        <v>1.09800790882111</v>
      </c>
      <c r="I13" s="99">
        <f>IFERROR((Data_Entry!L11/Data_Entry!$V11/I$2),"")</f>
        <v>1.08094326148066</v>
      </c>
    </row>
    <row r="14" ht="15" spans="1:9">
      <c r="A14" s="98">
        <v>45757</v>
      </c>
      <c r="B14" s="25">
        <v>45757</v>
      </c>
      <c r="C14" s="99">
        <f>IFERROR((Data_Entry!F12/Data_Entry!$V12/C$2),"")</f>
        <v>1.12101435355508</v>
      </c>
      <c r="D14" s="99">
        <f>IFERROR((Data_Entry!G12/Data_Entry!$V12/D$2),"")</f>
        <v>1.11006013271507</v>
      </c>
      <c r="E14" s="99">
        <f>IFERROR((Data_Entry!H12/Data_Entry!$V12/E$2),"")</f>
        <v>1.10285660791184</v>
      </c>
      <c r="F14" s="99">
        <f>IFERROR((Data_Entry!I12/Data_Entry!$V12/F$2),"")</f>
        <v>1.14590516815308</v>
      </c>
      <c r="G14" s="99">
        <f>IFERROR((Data_Entry!J12/Data_Entry!$V12/G$2),"")</f>
        <v>1.11744840394417</v>
      </c>
      <c r="H14" s="99">
        <f>IFERROR((Data_Entry!K12/Data_Entry!$V12/H$2),"")</f>
        <v>1.13076970488463</v>
      </c>
      <c r="I14" s="99">
        <f>IFERROR((Data_Entry!L12/Data_Entry!$V12/I$2),"")</f>
        <v>1.12030338376162</v>
      </c>
    </row>
    <row r="15" ht="15" spans="1:9">
      <c r="A15" s="98">
        <v>45758</v>
      </c>
      <c r="B15" s="25">
        <v>45758</v>
      </c>
      <c r="C15" s="99">
        <f>IFERROR((Data_Entry!F13/Data_Entry!$V13/C$2),"")</f>
        <v>1.20002973829333</v>
      </c>
      <c r="D15" s="99">
        <f>IFERROR((Data_Entry!G13/Data_Entry!$V13/D$2),"")</f>
        <v>1.19344275475401</v>
      </c>
      <c r="E15" s="99">
        <f>IFERROR((Data_Entry!H13/Data_Entry!$V13/E$2),"")</f>
        <v>1.19063965422211</v>
      </c>
      <c r="F15" s="99">
        <f>IFERROR((Data_Entry!I13/Data_Entry!$V13/F$2),"")</f>
        <v>1.20343062653374</v>
      </c>
      <c r="G15" s="99">
        <f>IFERROR((Data_Entry!J13/Data_Entry!$V13/G$2),"")</f>
        <v>1.16672156521554</v>
      </c>
      <c r="H15" s="99">
        <f>IFERROR((Data_Entry!K13/Data_Entry!$V13/H$2),"")</f>
        <v>1.16589345419353</v>
      </c>
      <c r="I15" s="99">
        <f>IFERROR((Data_Entry!L13/Data_Entry!$V13/I$2),"")</f>
        <v>1.15911800037711</v>
      </c>
    </row>
    <row r="16" ht="15" spans="1:9">
      <c r="A16" s="98">
        <v>45759</v>
      </c>
      <c r="B16" s="25">
        <v>45759</v>
      </c>
      <c r="C16" s="99">
        <f>IFERROR((Data_Entry!F14/Data_Entry!$V14/C$2),"")</f>
        <v>1.17277615110455</v>
      </c>
      <c r="D16" s="99">
        <f>IFERROR((Data_Entry!G14/Data_Entry!$V14/D$2),"")</f>
        <v>1.16681880569766</v>
      </c>
      <c r="E16" s="99">
        <f>IFERROR((Data_Entry!H14/Data_Entry!$V14/E$2),"")</f>
        <v>1.20483792736917</v>
      </c>
      <c r="F16" s="99">
        <f>IFERROR((Data_Entry!I14/Data_Entry!$V14/F$2),"")</f>
        <v>1.17953195619195</v>
      </c>
      <c r="G16" s="99">
        <f>IFERROR((Data_Entry!J14/Data_Entry!$V14/G$2),"")</f>
        <v>1.14048493240299</v>
      </c>
      <c r="H16" s="99">
        <f>IFERROR((Data_Entry!K14/Data_Entry!$V14/H$2),"")</f>
        <v>1.13781524218128</v>
      </c>
      <c r="I16" s="99">
        <f>IFERROR((Data_Entry!L14/Data_Entry!$V14/I$2),"")</f>
        <v>1.13095593306122</v>
      </c>
    </row>
    <row r="17" ht="15" spans="1:9">
      <c r="A17" s="98">
        <v>45760</v>
      </c>
      <c r="B17" s="25">
        <v>45760</v>
      </c>
      <c r="C17" s="99">
        <f>IFERROR((Data_Entry!F15/Data_Entry!$V15/C$2),"")</f>
        <v>1.20986710202932</v>
      </c>
      <c r="D17" s="99">
        <f>IFERROR((Data_Entry!G15/Data_Entry!$V15/D$2),"")</f>
        <v>1.20789466041187</v>
      </c>
      <c r="E17" s="99">
        <f>IFERROR((Data_Entry!H15/Data_Entry!$V15/E$2),"")</f>
        <v>1.21033591423984</v>
      </c>
      <c r="F17" s="99">
        <f>IFERROR((Data_Entry!I15/Data_Entry!$V15/F$2),"")</f>
        <v>1.20048837207013</v>
      </c>
      <c r="G17" s="99">
        <f>IFERROR((Data_Entry!J15/Data_Entry!$V15/G$2),"")</f>
        <v>1.13509428877454</v>
      </c>
      <c r="H17" s="99">
        <f>IFERROR((Data_Entry!K15/Data_Entry!$V15/H$2),"")</f>
        <v>1.1309545228392</v>
      </c>
      <c r="I17" s="99">
        <f>IFERROR((Data_Entry!L15/Data_Entry!$V15/I$2),"")</f>
        <v>1.12279530120707</v>
      </c>
    </row>
    <row r="18" ht="15" spans="1:9">
      <c r="A18" s="98">
        <v>45761</v>
      </c>
      <c r="B18" s="25">
        <v>45761</v>
      </c>
      <c r="C18" s="99">
        <f>IFERROR((Data_Entry!F16/Data_Entry!$V16/C$2),"")</f>
        <v>1.21857268494544</v>
      </c>
      <c r="D18" s="99">
        <f>IFERROR((Data_Entry!G16/Data_Entry!$V16/D$2),"")</f>
        <v>1.20487310854283</v>
      </c>
      <c r="E18" s="99">
        <f>IFERROR((Data_Entry!H16/Data_Entry!$V16/E$2),"")</f>
        <v>1.21149109342091</v>
      </c>
      <c r="F18" s="99">
        <f>IFERROR((Data_Entry!I16/Data_Entry!$V16/F$2),"")</f>
        <v>1.21981963564831</v>
      </c>
      <c r="G18" s="99">
        <f>IFERROR((Data_Entry!J16/Data_Entry!$V16/G$2),"")</f>
        <v>1.20417139956981</v>
      </c>
      <c r="H18" s="99">
        <f>IFERROR((Data_Entry!K16/Data_Entry!$V16/H$2),"")</f>
        <v>1.19976461682719</v>
      </c>
      <c r="I18" s="99">
        <f>IFERROR((Data_Entry!L16/Data_Entry!$V16/I$2),"")</f>
        <v>1.19401085520853</v>
      </c>
    </row>
    <row r="19" ht="15" spans="1:9">
      <c r="A19" s="98">
        <v>45762</v>
      </c>
      <c r="B19" s="25">
        <v>45762</v>
      </c>
      <c r="C19" s="99">
        <f>IFERROR((Data_Entry!F17/Data_Entry!$V17/C$2),"")</f>
        <v>1.21063594023517</v>
      </c>
      <c r="D19" s="99">
        <f>IFERROR((Data_Entry!G17/Data_Entry!$V17/D$2),"")</f>
        <v>1.19785029249056</v>
      </c>
      <c r="E19" s="99">
        <f>IFERROR((Data_Entry!H17/Data_Entry!$V17/E$2),"")</f>
        <v>1.20309925959371</v>
      </c>
      <c r="F19" s="99">
        <f>IFERROR((Data_Entry!I17/Data_Entry!$V17/F$2),"")</f>
        <v>1.20963446599035</v>
      </c>
      <c r="G19" s="99">
        <f>IFERROR((Data_Entry!J17/Data_Entry!$V17/G$2),"")</f>
        <v>1.19176192486713</v>
      </c>
      <c r="H19" s="99">
        <f>IFERROR((Data_Entry!K17/Data_Entry!$V17/H$2),"")</f>
        <v>1.19270053874215</v>
      </c>
      <c r="I19" s="99">
        <f>IFERROR((Data_Entry!L17/Data_Entry!$V17/I$2),"")</f>
        <v>1.19994286118612</v>
      </c>
    </row>
    <row r="20" ht="15" spans="1:9">
      <c r="A20" s="98">
        <v>45763</v>
      </c>
      <c r="B20" s="25">
        <v>45763</v>
      </c>
      <c r="C20" s="99">
        <f>IFERROR((Data_Entry!F18/Data_Entry!$V18/C$2),"")</f>
        <v>1.20891559292608</v>
      </c>
      <c r="D20" s="99">
        <f>IFERROR((Data_Entry!G18/Data_Entry!$V18/D$2),"")</f>
        <v>1.19667584854348</v>
      </c>
      <c r="E20" s="99">
        <f>IFERROR((Data_Entry!H18/Data_Entry!$V18/E$2),"")</f>
        <v>1.19903987449859</v>
      </c>
      <c r="F20" s="99">
        <f>IFERROR((Data_Entry!I18/Data_Entry!$V18/F$2),"")</f>
        <v>1.20542300153674</v>
      </c>
      <c r="G20" s="99">
        <f>IFERROR((Data_Entry!J18/Data_Entry!$V18/G$2),"")</f>
        <v>1.19175944543487</v>
      </c>
      <c r="H20" s="99">
        <f>IFERROR((Data_Entry!K18/Data_Entry!$V18/H$2),"")</f>
        <v>1.19612929602103</v>
      </c>
      <c r="I20" s="99">
        <f>IFERROR((Data_Entry!L18/Data_Entry!$V18/I$2),"")</f>
        <v>1.20253991770887</v>
      </c>
    </row>
    <row r="21" ht="15" spans="1:9">
      <c r="A21" s="98">
        <v>45764</v>
      </c>
      <c r="B21" s="25">
        <v>45764</v>
      </c>
      <c r="C21" s="99" t="str">
        <f>IFERROR((Data_Entry!F19/Data_Entry!$V19/C$2),"")</f>
        <v/>
      </c>
      <c r="D21" s="99" t="str">
        <f>IFERROR((Data_Entry!G19/Data_Entry!$V19/D$2),"")</f>
        <v/>
      </c>
      <c r="E21" s="99" t="str">
        <f>IFERROR((Data_Entry!H19/Data_Entry!$V19/E$2),"")</f>
        <v/>
      </c>
      <c r="F21" s="99" t="str">
        <f>IFERROR((Data_Entry!I19/Data_Entry!$V19/F$2),"")</f>
        <v/>
      </c>
      <c r="G21" s="99" t="str">
        <f>IFERROR((Data_Entry!J19/Data_Entry!$V19/G$2),"")</f>
        <v/>
      </c>
      <c r="H21" s="99" t="str">
        <f>IFERROR((Data_Entry!K19/Data_Entry!$V19/H$2),"")</f>
        <v/>
      </c>
      <c r="I21" s="99" t="str">
        <f>IFERROR((Data_Entry!L19/Data_Entry!$V19/I$2),"")</f>
        <v/>
      </c>
    </row>
    <row r="22" ht="15" spans="1:9">
      <c r="A22" s="98">
        <v>45765</v>
      </c>
      <c r="B22" s="25">
        <v>45765</v>
      </c>
      <c r="C22" s="99" t="str">
        <f>IFERROR((Data_Entry!F20/Data_Entry!$V20/C$2),"")</f>
        <v/>
      </c>
      <c r="D22" s="99" t="str">
        <f>IFERROR((Data_Entry!G20/Data_Entry!$V20/D$2),"")</f>
        <v/>
      </c>
      <c r="E22" s="99" t="str">
        <f>IFERROR((Data_Entry!H20/Data_Entry!$V20/E$2),"")</f>
        <v/>
      </c>
      <c r="F22" s="99" t="str">
        <f>IFERROR((Data_Entry!I20/Data_Entry!$V20/F$2),"")</f>
        <v/>
      </c>
      <c r="G22" s="99" t="str">
        <f>IFERROR((Data_Entry!J20/Data_Entry!$V20/G$2),"")</f>
        <v/>
      </c>
      <c r="H22" s="99" t="str">
        <f>IFERROR((Data_Entry!K20/Data_Entry!$V20/H$2),"")</f>
        <v/>
      </c>
      <c r="I22" s="99" t="str">
        <f>IFERROR((Data_Entry!L20/Data_Entry!$V20/I$2),"")</f>
        <v/>
      </c>
    </row>
    <row r="23" ht="15" spans="1:9">
      <c r="A23" s="98">
        <v>45766</v>
      </c>
      <c r="B23" s="25">
        <v>45766</v>
      </c>
      <c r="C23" s="99" t="str">
        <f>IFERROR((Data_Entry!F21/Data_Entry!$V21/C$2),"")</f>
        <v/>
      </c>
      <c r="D23" s="99" t="str">
        <f>IFERROR((Data_Entry!G21/Data_Entry!$V21/D$2),"")</f>
        <v/>
      </c>
      <c r="E23" s="99" t="str">
        <f>IFERROR((Data_Entry!H21/Data_Entry!$V21/E$2),"")</f>
        <v/>
      </c>
      <c r="F23" s="99" t="str">
        <f>IFERROR((Data_Entry!I21/Data_Entry!$V21/F$2),"")</f>
        <v/>
      </c>
      <c r="G23" s="99" t="str">
        <f>IFERROR((Data_Entry!J21/Data_Entry!$V21/G$2),"")</f>
        <v/>
      </c>
      <c r="H23" s="99" t="str">
        <f>IFERROR((Data_Entry!K21/Data_Entry!$V21/H$2),"")</f>
        <v/>
      </c>
      <c r="I23" s="99" t="str">
        <f>IFERROR((Data_Entry!L21/Data_Entry!$V21/I$2),"")</f>
        <v/>
      </c>
    </row>
    <row r="24" ht="15" spans="1:9">
      <c r="A24" s="98">
        <v>45767</v>
      </c>
      <c r="B24" s="25">
        <v>45767</v>
      </c>
      <c r="C24" s="99">
        <f>IFERROR((Data_Entry!F22/Data_Entry!$V22/C$2),"")</f>
        <v>1.17988970081161</v>
      </c>
      <c r="D24" s="99">
        <f>IFERROR((Data_Entry!G22/Data_Entry!$V22/D$2),"")</f>
        <v>1.17873288045586</v>
      </c>
      <c r="E24" s="99">
        <f>IFERROR((Data_Entry!H22/Data_Entry!$V22/E$2),"")</f>
        <v>1.18045972823328</v>
      </c>
      <c r="F24" s="99">
        <f>IFERROR((Data_Entry!I22/Data_Entry!$V22/F$2),"")</f>
        <v>1.18067160543349</v>
      </c>
      <c r="G24" s="99">
        <f>IFERROR((Data_Entry!J22/Data_Entry!$V22/G$2),"")</f>
        <v>1.17540091709977</v>
      </c>
      <c r="H24" s="99">
        <f>IFERROR((Data_Entry!K22/Data_Entry!$V22/H$2),"")</f>
        <v>1.17856546831028</v>
      </c>
      <c r="I24" s="99">
        <f>IFERROR((Data_Entry!L22/Data_Entry!$V22/I$2),"")</f>
        <v>1.19048064508093</v>
      </c>
    </row>
    <row r="25" ht="15" spans="1:9">
      <c r="A25" s="98">
        <v>45768</v>
      </c>
      <c r="B25" s="25">
        <v>45768</v>
      </c>
      <c r="C25" s="99">
        <f>IFERROR((Data_Entry!F23/Data_Entry!$V23/C$2),"")</f>
        <v>1.15984408776021</v>
      </c>
      <c r="D25" s="99">
        <f>IFERROR((Data_Entry!G23/Data_Entry!$V23/D$2),"")</f>
        <v>1.15942991041287</v>
      </c>
      <c r="E25" s="99">
        <f>IFERROR((Data_Entry!H23/Data_Entry!$V23/E$2),"")</f>
        <v>1.16001997129127</v>
      </c>
      <c r="F25" s="99">
        <f>IFERROR((Data_Entry!I23/Data_Entry!$V23/F$2),"")</f>
        <v>1.16154766653371</v>
      </c>
      <c r="G25" s="99">
        <f>IFERROR((Data_Entry!J23/Data_Entry!$V23/G$2),"")</f>
        <v>1.15717894656866</v>
      </c>
      <c r="H25" s="99">
        <f>IFERROR((Data_Entry!K23/Data_Entry!$V23/H$2),"")</f>
        <v>1.159284615322</v>
      </c>
      <c r="I25" s="99">
        <f>IFERROR((Data_Entry!L23/Data_Entry!$V23/I$2),"")</f>
        <v>1.16768558241007</v>
      </c>
    </row>
    <row r="26" ht="15" spans="1:9">
      <c r="A26" s="98">
        <v>45769</v>
      </c>
      <c r="B26" s="25">
        <v>45769</v>
      </c>
      <c r="C26" s="99">
        <f>IFERROR((Data_Entry!F24/Data_Entry!$V24/C$2),"")</f>
        <v>1.15734973950153</v>
      </c>
      <c r="D26" s="99">
        <f>IFERROR((Data_Entry!G24/Data_Entry!$V24/D$2),"")</f>
        <v>1.16718838570382</v>
      </c>
      <c r="E26" s="99">
        <f>IFERROR((Data_Entry!H24/Data_Entry!$V24/E$2),"")</f>
        <v>1.18525223039401</v>
      </c>
      <c r="F26" s="99">
        <f>IFERROR((Data_Entry!I24/Data_Entry!$V24/F$2),"")</f>
        <v>1.18159413382788</v>
      </c>
      <c r="G26" s="99">
        <f>IFERROR((Data_Entry!J24/Data_Entry!$V24/G$2),"")</f>
        <v>1.15276252467118</v>
      </c>
      <c r="H26" s="99">
        <f>IFERROR((Data_Entry!K24/Data_Entry!$V24/H$2),"")</f>
        <v>1.1571064223637</v>
      </c>
      <c r="I26" s="99">
        <f>IFERROR((Data_Entry!L24/Data_Entry!$V24/I$2),"")</f>
        <v>1.16659824353283</v>
      </c>
    </row>
    <row r="27" ht="15" spans="1:9">
      <c r="A27" s="98">
        <v>45770</v>
      </c>
      <c r="B27" s="25">
        <v>45770</v>
      </c>
      <c r="C27" s="99">
        <f>IFERROR((Data_Entry!F25/Data_Entry!$V25/C$2),"")</f>
        <v>1.17535769471976</v>
      </c>
      <c r="D27" s="99">
        <f>IFERROR((Data_Entry!G25/Data_Entry!$V25/D$2),"")</f>
        <v>1.17342386651113</v>
      </c>
      <c r="E27" s="99">
        <f>IFERROR((Data_Entry!H25/Data_Entry!$V25/E$2),"")</f>
        <v>1.17380485953134</v>
      </c>
      <c r="F27" s="99">
        <f>IFERROR((Data_Entry!I25/Data_Entry!$V25/F$2),"")</f>
        <v>1.17470087078439</v>
      </c>
      <c r="G27" s="99">
        <f>IFERROR((Data_Entry!J25/Data_Entry!$V25/G$2),"")</f>
        <v>1.16338703457561</v>
      </c>
      <c r="H27" s="99">
        <f>IFERROR((Data_Entry!K25/Data_Entry!$V25/H$2),"")</f>
        <v>1.15656229003972</v>
      </c>
      <c r="I27" s="99">
        <f>IFERROR((Data_Entry!L25/Data_Entry!$V25/I$2),"")</f>
        <v>1.15042775025057</v>
      </c>
    </row>
    <row r="28" ht="15" spans="1:9">
      <c r="A28" s="98">
        <v>45771</v>
      </c>
      <c r="B28" s="25">
        <v>45771</v>
      </c>
      <c r="C28" s="99">
        <f>IFERROR((Data_Entry!F26/Data_Entry!$V26/C$2),"")</f>
        <v>1.18646673027232</v>
      </c>
      <c r="D28" s="99">
        <f>IFERROR((Data_Entry!G26/Data_Entry!$V26/D$2),"")</f>
        <v>1.18295940000891</v>
      </c>
      <c r="E28" s="99">
        <f>IFERROR((Data_Entry!H26/Data_Entry!$V26/E$2),"")</f>
        <v>1.18393713227035</v>
      </c>
      <c r="F28" s="99">
        <f>IFERROR((Data_Entry!I26/Data_Entry!$V26/F$2),"")</f>
        <v>1.18451324296332</v>
      </c>
      <c r="G28" s="99">
        <f>IFERROR((Data_Entry!J26/Data_Entry!$V26/G$2),"")</f>
        <v>1.18266454798973</v>
      </c>
      <c r="H28" s="99">
        <f>IFERROR((Data_Entry!K26/Data_Entry!$V26/H$2),"")</f>
        <v>1.18311040971865</v>
      </c>
      <c r="I28" s="99">
        <f>IFERROR((Data_Entry!L26/Data_Entry!$V26/I$2),"")</f>
        <v>1.19414820617864</v>
      </c>
    </row>
    <row r="29" ht="15" spans="1:9">
      <c r="A29" s="98">
        <v>45772</v>
      </c>
      <c r="B29" s="25">
        <v>45772</v>
      </c>
      <c r="C29" s="99">
        <f>IFERROR((Data_Entry!F27/Data_Entry!$V27/C$2),"")</f>
        <v>1.16829545232256</v>
      </c>
      <c r="D29" s="99">
        <f>IFERROR((Data_Entry!G27/Data_Entry!$V27/D$2),"")</f>
        <v>1.16068205380817</v>
      </c>
      <c r="E29" s="99">
        <f>IFERROR((Data_Entry!H27/Data_Entry!$V27/E$2),"")</f>
        <v>1.1520127825071</v>
      </c>
      <c r="F29" s="99">
        <f>IFERROR((Data_Entry!I27/Data_Entry!$V27/F$2),"")</f>
        <v>1.1566972817263</v>
      </c>
      <c r="G29" s="99">
        <f>IFERROR((Data_Entry!J27/Data_Entry!$V27/G$2),"")</f>
        <v>1.15833980419856</v>
      </c>
      <c r="H29" s="99">
        <f>IFERROR((Data_Entry!K27/Data_Entry!$V27/H$2),"")</f>
        <v>1.16346404906347</v>
      </c>
      <c r="I29" s="99">
        <f>IFERROR((Data_Entry!L27/Data_Entry!$V27/I$2),"")</f>
        <v>1.17706137101829</v>
      </c>
    </row>
    <row r="30" ht="15" spans="1:9">
      <c r="A30" s="98">
        <v>45773</v>
      </c>
      <c r="B30" s="25">
        <v>45773</v>
      </c>
      <c r="C30" s="99">
        <f>IFERROR((Data_Entry!F28/Data_Entry!$V28/C$2),"")</f>
        <v>1.1578084219401</v>
      </c>
      <c r="D30" s="99">
        <f>IFERROR((Data_Entry!G28/Data_Entry!$V28/D$2),"")</f>
        <v>1.14944713845158</v>
      </c>
      <c r="E30" s="99">
        <f>IFERROR((Data_Entry!H28/Data_Entry!$V28/E$2),"")</f>
        <v>1.13999164866384</v>
      </c>
      <c r="F30" s="99">
        <f>IFERROR((Data_Entry!I28/Data_Entry!$V28/F$2),"")</f>
        <v>1.14286940642533</v>
      </c>
      <c r="G30" s="99">
        <f>IFERROR((Data_Entry!J28/Data_Entry!$V28/G$2),"")</f>
        <v>1.14783826594837</v>
      </c>
      <c r="H30" s="99">
        <f>IFERROR((Data_Entry!K28/Data_Entry!$V28/H$2),"")</f>
        <v>1.15329872540296</v>
      </c>
      <c r="I30" s="99">
        <f>IFERROR((Data_Entry!L28/Data_Entry!$V28/I$2),"")</f>
        <v>1.16638691282749</v>
      </c>
    </row>
    <row r="31" ht="15" spans="1:9">
      <c r="A31" s="98">
        <v>45774</v>
      </c>
      <c r="B31" s="25">
        <v>45774</v>
      </c>
      <c r="C31" s="99">
        <f>IFERROR((Data_Entry!F29/Data_Entry!$V29/C$2),"")</f>
        <v>1.13841665474829</v>
      </c>
      <c r="D31" s="99">
        <f>IFERROR((Data_Entry!G29/Data_Entry!$V29/D$2),"")</f>
        <v>1.13086773654253</v>
      </c>
      <c r="E31" s="99">
        <f>IFERROR((Data_Entry!H29/Data_Entry!$V29/E$2),"")</f>
        <v>1.12034567192777</v>
      </c>
      <c r="F31" s="99">
        <f>IFERROR((Data_Entry!I29/Data_Entry!$V29/F$2),"")</f>
        <v>1.12282481566853</v>
      </c>
      <c r="G31" s="99">
        <f>IFERROR((Data_Entry!J29/Data_Entry!$V29/G$2),"")</f>
        <v>1.12842799768388</v>
      </c>
      <c r="H31" s="99">
        <f>IFERROR((Data_Entry!K29/Data_Entry!$V29/H$2),"")</f>
        <v>1.13468136025384</v>
      </c>
      <c r="I31" s="99">
        <f>IFERROR((Data_Entry!L29/Data_Entry!$V29/I$2),"")</f>
        <v>1.14614673930223</v>
      </c>
    </row>
    <row r="32" ht="15" spans="1:9">
      <c r="A32" s="98">
        <v>45775</v>
      </c>
      <c r="B32" s="25">
        <v>45775</v>
      </c>
      <c r="C32" s="99">
        <f>IFERROR((Data_Entry!F30/Data_Entry!$V30/C$2),"")</f>
        <v>1.04114765551379</v>
      </c>
      <c r="D32" s="99">
        <f>IFERROR((Data_Entry!G30/Data_Entry!$V30/D$2),"")</f>
        <v>1.01901070155866</v>
      </c>
      <c r="E32" s="99">
        <f>IFERROR((Data_Entry!H30/Data_Entry!$V30/E$2),"")</f>
        <v>1.00722012210753</v>
      </c>
      <c r="F32" s="99">
        <f>IFERROR((Data_Entry!I30/Data_Entry!$V30/F$2),"")</f>
        <v>1.00769792632577</v>
      </c>
      <c r="G32" s="99">
        <f>IFERROR((Data_Entry!J30/Data_Entry!$V30/G$2),"")</f>
        <v>1.01274871917074</v>
      </c>
      <c r="H32" s="99">
        <f>IFERROR((Data_Entry!K30/Data_Entry!$V30/H$2),"")</f>
        <v>1.01900824876493</v>
      </c>
      <c r="I32" s="99">
        <f>IFERROR((Data_Entry!L30/Data_Entry!$V30/I$2),"")</f>
        <v>1.02856482368848</v>
      </c>
    </row>
    <row r="33" ht="15" spans="1:9">
      <c r="A33" s="98">
        <v>45776</v>
      </c>
      <c r="B33" s="25">
        <v>45776</v>
      </c>
      <c r="C33" s="99">
        <f>IFERROR((Data_Entry!F31/Data_Entry!$V31/C$2),"")</f>
        <v>1.13867948730334</v>
      </c>
      <c r="D33" s="99">
        <f>IFERROR((Data_Entry!G31/Data_Entry!$V31/D$2),"")</f>
        <v>1.13296902287728</v>
      </c>
      <c r="E33" s="99">
        <f>IFERROR((Data_Entry!H31/Data_Entry!$V31/E$2),"")</f>
        <v>1.12753764129911</v>
      </c>
      <c r="F33" s="99">
        <f>IFERROR((Data_Entry!I31/Data_Entry!$V31/F$2),"")</f>
        <v>1.12424978400248</v>
      </c>
      <c r="G33" s="99">
        <f>IFERROR((Data_Entry!J31/Data_Entry!$V31/G$2),"")</f>
        <v>1.10671843420148</v>
      </c>
      <c r="H33" s="99">
        <f>IFERROR((Data_Entry!K31/Data_Entry!$V31/H$2),"")</f>
        <v>1.10912610713169</v>
      </c>
      <c r="I33" s="99">
        <f>IFERROR((Data_Entry!L31/Data_Entry!$V31/I$2),"")</f>
        <v>1.12000427118098</v>
      </c>
    </row>
    <row r="34" ht="15" spans="1:9">
      <c r="A34" s="98">
        <v>45777</v>
      </c>
      <c r="B34" s="25">
        <v>45777</v>
      </c>
      <c r="C34" s="99">
        <f>IFERROR((Data_Entry!F32/Data_Entry!$V32/C$2),"")</f>
        <v>1.13810346438695</v>
      </c>
      <c r="D34" s="99">
        <f>IFERROR((Data_Entry!G32/Data_Entry!$V32/D$2),"")</f>
        <v>1.13328966791557</v>
      </c>
      <c r="E34" s="99">
        <f>IFERROR((Data_Entry!H32/Data_Entry!$V32/E$2),"")</f>
        <v>1.12801300639886</v>
      </c>
      <c r="F34" s="99">
        <f>IFERROR((Data_Entry!I32/Data_Entry!$V32/F$2),"")</f>
        <v>1.13178008861685</v>
      </c>
      <c r="G34" s="99">
        <f>IFERROR((Data_Entry!J32/Data_Entry!$V32/G$2),"")</f>
        <v>1.12812357313859</v>
      </c>
      <c r="H34" s="99">
        <f>IFERROR((Data_Entry!K32/Data_Entry!$V32/H$2),"")</f>
        <v>1.10973682151715</v>
      </c>
      <c r="I34" s="99">
        <f>IFERROR((Data_Entry!L32/Data_Entry!$V32/I$2),"")</f>
        <v>1.11664878168759</v>
      </c>
    </row>
    <row r="35" ht="15" spans="1:9">
      <c r="A35" s="98">
        <v>45778</v>
      </c>
      <c r="B35" s="25">
        <v>45778</v>
      </c>
      <c r="C35" s="99">
        <f>IFERROR((Data_Entry!F33/Data_Entry!$V33/C$2),"")</f>
        <v>1.12279232866588</v>
      </c>
      <c r="D35" s="99">
        <f>IFERROR((Data_Entry!G33/Data_Entry!$V33/D$2),"")</f>
        <v>1.11609031508314</v>
      </c>
      <c r="E35" s="99">
        <f>IFERROR((Data_Entry!H33/Data_Entry!$V33/E$2),"")</f>
        <v>1.11238316264244</v>
      </c>
      <c r="F35" s="99">
        <f>IFERROR((Data_Entry!I33/Data_Entry!$V33/F$2),"")</f>
        <v>1.11565979646225</v>
      </c>
      <c r="G35" s="99">
        <f>IFERROR((Data_Entry!J33/Data_Entry!$V33/G$2),"")</f>
        <v>1.11282095432995</v>
      </c>
      <c r="H35" s="99">
        <f>IFERROR((Data_Entry!K33/Data_Entry!$V33/H$2),"")</f>
        <v>1.11852960778144</v>
      </c>
      <c r="I35" s="99">
        <f>IFERROR((Data_Entry!L33/Data_Entry!$V33/I$2),"")</f>
        <v>1.13335352524319</v>
      </c>
    </row>
    <row r="36" ht="15" spans="1:9">
      <c r="A36" s="98">
        <v>45779</v>
      </c>
      <c r="B36" s="25">
        <v>45779</v>
      </c>
      <c r="C36" s="99">
        <f>IFERROR((Data_Entry!F34/Data_Entry!$V34/C$2),"")</f>
        <v>1.10374335144977</v>
      </c>
      <c r="D36" s="99">
        <f>IFERROR((Data_Entry!G34/Data_Entry!$V34/D$2),"")</f>
        <v>1.09206797280192</v>
      </c>
      <c r="E36" s="99">
        <f>IFERROR((Data_Entry!H34/Data_Entry!$V34/E$2),"")</f>
        <v>1.08875833646476</v>
      </c>
      <c r="F36" s="99">
        <f>IFERROR((Data_Entry!I34/Data_Entry!$V34/F$2),"")</f>
        <v>1.09232610229818</v>
      </c>
      <c r="G36" s="99">
        <f>IFERROR((Data_Entry!J34/Data_Entry!$V34/G$2),"")</f>
        <v>1.08993475168186</v>
      </c>
      <c r="H36" s="99">
        <f>IFERROR((Data_Entry!K34/Data_Entry!$V34/H$2),"")</f>
        <v>1.09602758186723</v>
      </c>
      <c r="I36" s="99">
        <f>IFERROR((Data_Entry!L34/Data_Entry!$V34/I$2),"")</f>
        <v>1.10493061430437</v>
      </c>
    </row>
    <row r="37" ht="15" spans="1:9">
      <c r="A37" s="98">
        <v>45780</v>
      </c>
      <c r="B37" s="25">
        <v>45780</v>
      </c>
      <c r="C37" s="99">
        <f>IFERROR((Data_Entry!F35/Data_Entry!$V35/C$2),"")</f>
        <v>1.1246174975303</v>
      </c>
      <c r="D37" s="99">
        <f>IFERROR((Data_Entry!G35/Data_Entry!$V35/D$2),"")</f>
        <v>1.11746094622982</v>
      </c>
      <c r="E37" s="99">
        <f>IFERROR((Data_Entry!H35/Data_Entry!$V35/E$2),"")</f>
        <v>1.11289622702194</v>
      </c>
      <c r="F37" s="99">
        <f>IFERROR((Data_Entry!I35/Data_Entry!$V35/F$2),"")</f>
        <v>1.11589484244011</v>
      </c>
      <c r="G37" s="99">
        <f>IFERROR((Data_Entry!J35/Data_Entry!$V35/G$2),"")</f>
        <v>1.11354784921858</v>
      </c>
      <c r="H37" s="99">
        <f>IFERROR((Data_Entry!K35/Data_Entry!$V35/H$2),"")</f>
        <v>1.1186594313024</v>
      </c>
      <c r="I37" s="99">
        <f>IFERROR((Data_Entry!L35/Data_Entry!$V35/I$2),"")</f>
        <v>1.12980236308387</v>
      </c>
    </row>
    <row r="38" ht="15" spans="1:9">
      <c r="A38" s="98">
        <v>45781</v>
      </c>
      <c r="B38" s="25">
        <v>45781</v>
      </c>
      <c r="C38" s="99">
        <f>IFERROR((Data_Entry!F36/Data_Entry!$V36/C$2),"")</f>
        <v>1.12612149391311</v>
      </c>
      <c r="D38" s="99">
        <f>IFERROR((Data_Entry!G36/Data_Entry!$V36/D$2),"")</f>
        <v>1.11938993000592</v>
      </c>
      <c r="E38" s="99">
        <f>IFERROR((Data_Entry!H36/Data_Entry!$V36/E$2),"")</f>
        <v>1.11693725307749</v>
      </c>
      <c r="F38" s="99">
        <f>IFERROR((Data_Entry!I36/Data_Entry!$V36/F$2),"")</f>
        <v>1.11817862366327</v>
      </c>
      <c r="G38" s="99">
        <f>IFERROR((Data_Entry!J36/Data_Entry!$V36/G$2),"")</f>
        <v>1.11744371994244</v>
      </c>
      <c r="H38" s="99">
        <f>IFERROR((Data_Entry!K36/Data_Entry!$V36/H$2),"")</f>
        <v>1.1235038490865</v>
      </c>
      <c r="I38" s="99">
        <f>IFERROR((Data_Entry!L36/Data_Entry!$V36/I$2),"")</f>
        <v>1.13623464277348</v>
      </c>
    </row>
    <row r="39" ht="15" spans="1:9">
      <c r="A39" s="98">
        <v>45782</v>
      </c>
      <c r="B39" s="25">
        <v>45782</v>
      </c>
      <c r="C39" s="99">
        <f>IFERROR((Data_Entry!F37/Data_Entry!$V37/C$2),"")</f>
        <v>1.33585372703077</v>
      </c>
      <c r="D39" s="99">
        <f>IFERROR((Data_Entry!G37/Data_Entry!$V37/D$2),"")</f>
        <v>1.32572060641551</v>
      </c>
      <c r="E39" s="99">
        <f>IFERROR((Data_Entry!H37/Data_Entry!$V37/E$2),"")</f>
        <v>1.31984072058247</v>
      </c>
      <c r="F39" s="99">
        <f>IFERROR((Data_Entry!I37/Data_Entry!$V37/F$2),"")</f>
        <v>1.3256566180719</v>
      </c>
      <c r="G39" s="99">
        <f>IFERROR((Data_Entry!J37/Data_Entry!$V37/G$2),"")</f>
        <v>1.33060055956796</v>
      </c>
      <c r="H39" s="99">
        <f>IFERROR((Data_Entry!K37/Data_Entry!$V37/H$2),"")</f>
        <v>1.34150552044279</v>
      </c>
      <c r="I39" s="99">
        <f>IFERROR((Data_Entry!L37/Data_Entry!$V37/I$2),"")</f>
        <v>1.35812228293706</v>
      </c>
    </row>
    <row r="40" ht="15" spans="1:9">
      <c r="A40" s="98">
        <v>45783</v>
      </c>
      <c r="B40" s="25">
        <v>45783</v>
      </c>
      <c r="C40" s="99">
        <f>IFERROR((Data_Entry!F38/Data_Entry!$V38/C$2),"")</f>
        <v>1.13484713886264</v>
      </c>
      <c r="D40" s="99">
        <f>IFERROR((Data_Entry!G38/Data_Entry!$V38/D$2),"")</f>
        <v>1.12826508702251</v>
      </c>
      <c r="E40" s="99">
        <f>IFERROR((Data_Entry!H38/Data_Entry!$V38/E$2),"")</f>
        <v>1.12411848490039</v>
      </c>
      <c r="F40" s="99">
        <f>IFERROR((Data_Entry!I38/Data_Entry!$V38/F$2),"")</f>
        <v>1.1272215477947</v>
      </c>
      <c r="G40" s="99">
        <f>IFERROR((Data_Entry!J38/Data_Entry!$V38/G$2),"")</f>
        <v>1.12022420591861</v>
      </c>
      <c r="H40" s="99">
        <f>IFERROR((Data_Entry!K38/Data_Entry!$V38/H$2),"")</f>
        <v>1.1198518226257</v>
      </c>
      <c r="I40" s="99">
        <f>IFERROR((Data_Entry!L38/Data_Entry!$V38/I$2),"")</f>
        <v>1.12916140494847</v>
      </c>
    </row>
    <row r="41" ht="15" spans="1:9">
      <c r="A41" s="98">
        <v>45784</v>
      </c>
      <c r="B41" s="25">
        <v>45784</v>
      </c>
      <c r="C41" s="99">
        <f>IFERROR((Data_Entry!F39/Data_Entry!$V39/C$2),"")</f>
        <v>1.14165218544654</v>
      </c>
      <c r="D41" s="99">
        <f>IFERROR((Data_Entry!G39/Data_Entry!$V39/D$2),"")</f>
        <v>1.13585220388059</v>
      </c>
      <c r="E41" s="99">
        <f>IFERROR((Data_Entry!H39/Data_Entry!$V39/E$2),"")</f>
        <v>1.12905183789726</v>
      </c>
      <c r="F41" s="99">
        <f>IFERROR((Data_Entry!I39/Data_Entry!$V39/F$2),"")</f>
        <v>1.13104332128799</v>
      </c>
      <c r="G41" s="99">
        <f>IFERROR((Data_Entry!J39/Data_Entry!$V39/G$2),"")</f>
        <v>1.13522568076233</v>
      </c>
      <c r="H41" s="99">
        <f>IFERROR((Data_Entry!K39/Data_Entry!$V39/H$2),"")</f>
        <v>1.139816599774</v>
      </c>
      <c r="I41" s="99">
        <f>IFERROR((Data_Entry!L39/Data_Entry!$V39/I$2),"")</f>
        <v>1.15551388726122</v>
      </c>
    </row>
    <row r="42" ht="15" spans="1:9">
      <c r="A42" s="98">
        <v>45785</v>
      </c>
      <c r="B42" s="25">
        <v>45785</v>
      </c>
      <c r="C42" s="99">
        <f>IFERROR((Data_Entry!F40/Data_Entry!$V40/C$2),"")</f>
        <v>0.97798585656114</v>
      </c>
      <c r="D42" s="99">
        <f>IFERROR((Data_Entry!G40/Data_Entry!$V40/D$2),"")</f>
        <v>0.976068492451192</v>
      </c>
      <c r="E42" s="99">
        <f>IFERROR((Data_Entry!H40/Data_Entry!$V40/E$2),"")</f>
        <v>0.974481535733559</v>
      </c>
      <c r="F42" s="99">
        <f>IFERROR((Data_Entry!I40/Data_Entry!$V40/F$2),"")</f>
        <v>0.973519044634208</v>
      </c>
      <c r="G42" s="99">
        <f>IFERROR((Data_Entry!J40/Data_Entry!$V40/G$2),"")</f>
        <v>0.970334683534363</v>
      </c>
      <c r="H42" s="99">
        <f>IFERROR((Data_Entry!K40/Data_Entry!$V40/H$2),"")</f>
        <v>0.972302762349455</v>
      </c>
      <c r="I42" s="99">
        <f>IFERROR((Data_Entry!L40/Data_Entry!$V40/I$2),"")</f>
        <v>0.981281224097138</v>
      </c>
    </row>
    <row r="43" ht="15" spans="1:9">
      <c r="A43" s="98">
        <v>45786</v>
      </c>
      <c r="B43" s="25">
        <v>45786</v>
      </c>
      <c r="C43" s="99">
        <f>IFERROR((Data_Entry!F41/Data_Entry!$V41/C$2),"")</f>
        <v>0.962279668218828</v>
      </c>
      <c r="D43" s="99">
        <f>IFERROR((Data_Entry!G41/Data_Entry!$V41/D$2),"")</f>
        <v>0.959184867924607</v>
      </c>
      <c r="E43" s="99">
        <f>IFERROR((Data_Entry!H41/Data_Entry!$V41/E$2),"")</f>
        <v>0.957111990429229</v>
      </c>
      <c r="F43" s="99">
        <f>IFERROR((Data_Entry!I41/Data_Entry!$V41/F$2),"")</f>
        <v>0.959413336336898</v>
      </c>
      <c r="G43" s="99">
        <f>IFERROR((Data_Entry!J41/Data_Entry!$V41/G$2),"")</f>
        <v>0.957736050004016</v>
      </c>
      <c r="H43" s="99">
        <f>IFERROR((Data_Entry!K41/Data_Entry!$V41/H$2),"")</f>
        <v>0.958241457475182</v>
      </c>
      <c r="I43" s="99">
        <f>IFERROR((Data_Entry!L41/Data_Entry!$V41/I$2),"")</f>
        <v>0.962368026168333</v>
      </c>
    </row>
    <row r="44" ht="15" spans="1:9">
      <c r="A44" s="98">
        <v>45787</v>
      </c>
      <c r="B44" s="25">
        <v>45787</v>
      </c>
      <c r="C44" s="99">
        <f>IFERROR((Data_Entry!F42/Data_Entry!$V42/C$2),"")</f>
        <v>0.947711281633442</v>
      </c>
      <c r="D44" s="99">
        <f>IFERROR((Data_Entry!G42/Data_Entry!$V42/D$2),"")</f>
        <v>0.944189910797695</v>
      </c>
      <c r="E44" s="99">
        <f>IFERROR((Data_Entry!H42/Data_Entry!$V42/E$2),"")</f>
        <v>0.944171409725002</v>
      </c>
      <c r="F44" s="99">
        <f>IFERROR((Data_Entry!I42/Data_Entry!$V42/F$2),"")</f>
        <v>0.944023401143465</v>
      </c>
      <c r="G44" s="99">
        <f>IFERROR((Data_Entry!J42/Data_Entry!$V42/G$2),"")</f>
        <v>0.941457382800504</v>
      </c>
      <c r="H44" s="99">
        <f>IFERROR((Data_Entry!K42/Data_Entry!$V42/H$2),"")</f>
        <v>0.94236581228284</v>
      </c>
      <c r="I44" s="99">
        <f>IFERROR((Data_Entry!L42/Data_Entry!$V42/I$2),"")</f>
        <v>0.949479876930221</v>
      </c>
    </row>
    <row r="45" ht="15" spans="1:9">
      <c r="A45" s="98">
        <v>45788</v>
      </c>
      <c r="B45" s="25">
        <v>45788</v>
      </c>
      <c r="C45" s="99">
        <f>IFERROR((Data_Entry!F43/Data_Entry!$V43/C$2),"")</f>
        <v>1.02279805306874</v>
      </c>
      <c r="D45" s="99">
        <f>IFERROR((Data_Entry!G43/Data_Entry!$V43/D$2),"")</f>
        <v>1.02057879444563</v>
      </c>
      <c r="E45" s="99">
        <f>IFERROR((Data_Entry!H43/Data_Entry!$V43/E$2),"")</f>
        <v>1.0209990527231</v>
      </c>
      <c r="F45" s="99">
        <f>IFERROR((Data_Entry!I43/Data_Entry!$V43/F$2),"")</f>
        <v>1.01891507174536</v>
      </c>
      <c r="G45" s="99">
        <f>IFERROR((Data_Entry!J43/Data_Entry!$V43/G$2),"")</f>
        <v>1.01570623470689</v>
      </c>
      <c r="H45" s="99">
        <f>IFERROR((Data_Entry!K43/Data_Entry!$V43/H$2),"")</f>
        <v>1.01765974648636</v>
      </c>
      <c r="I45" s="99">
        <f>IFERROR((Data_Entry!L43/Data_Entry!$V43/I$2),"")</f>
        <v>1.02500128353482</v>
      </c>
    </row>
    <row r="46" ht="15" spans="1:9">
      <c r="A46" s="98">
        <v>45789</v>
      </c>
      <c r="B46" s="25">
        <v>45789</v>
      </c>
      <c r="C46" s="99">
        <f>IFERROR((Data_Entry!F44/Data_Entry!$V44/C$2),"")</f>
        <v>0.960420506688738</v>
      </c>
      <c r="D46" s="99">
        <f>IFERROR((Data_Entry!G44/Data_Entry!$V44/D$2),"")</f>
        <v>0.957778668370828</v>
      </c>
      <c r="E46" s="99">
        <f>IFERROR((Data_Entry!H44/Data_Entry!$V44/E$2),"")</f>
        <v>0.957692808625496</v>
      </c>
      <c r="F46" s="99">
        <f>IFERROR((Data_Entry!I44/Data_Entry!$V44/F$2),"")</f>
        <v>0.958349248016229</v>
      </c>
      <c r="G46" s="99">
        <f>IFERROR((Data_Entry!J44/Data_Entry!$V44/G$2),"")</f>
        <v>0.958848325733243</v>
      </c>
      <c r="H46" s="99">
        <f>IFERROR((Data_Entry!K44/Data_Entry!$V44/H$2),"")</f>
        <v>0.963877007540117</v>
      </c>
      <c r="I46" s="99">
        <f>IFERROR((Data_Entry!L44/Data_Entry!$V44/I$2),"")</f>
        <v>0.978476610122635</v>
      </c>
    </row>
    <row r="47" ht="15" spans="1:9">
      <c r="A47" s="98">
        <v>45790</v>
      </c>
      <c r="B47" s="25">
        <v>45790</v>
      </c>
      <c r="C47" s="99">
        <f>IFERROR((Data_Entry!F45/Data_Entry!$V45/C$2),"")</f>
        <v>0.919596669441888</v>
      </c>
      <c r="D47" s="99">
        <f>IFERROR((Data_Entry!G45/Data_Entry!$V45/D$2),"")</f>
        <v>0.916654544869775</v>
      </c>
      <c r="E47" s="99">
        <f>IFERROR((Data_Entry!H45/Data_Entry!$V45/E$2),"")</f>
        <v>0.914370286661613</v>
      </c>
      <c r="F47" s="99">
        <f>IFERROR((Data_Entry!I45/Data_Entry!$V45/F$2),"")</f>
        <v>0.91549533348692</v>
      </c>
      <c r="G47" s="99">
        <f>IFERROR((Data_Entry!J45/Data_Entry!$V45/G$2),"")</f>
        <v>0.909569769063799</v>
      </c>
      <c r="H47" s="99">
        <f>IFERROR((Data_Entry!K45/Data_Entry!$V45/H$2),"")</f>
        <v>0.905929654635732</v>
      </c>
      <c r="I47" s="99">
        <f>IFERROR((Data_Entry!L45/Data_Entry!$V45/I$2),"")</f>
        <v>0.912790374506159</v>
      </c>
    </row>
    <row r="48" ht="15" spans="1:9">
      <c r="A48" s="98">
        <v>45791</v>
      </c>
      <c r="B48" s="25">
        <v>45791</v>
      </c>
      <c r="C48" s="99">
        <f>IFERROR((Data_Entry!F46/Data_Entry!$V46/C$2),"")</f>
        <v>0.906539990310364</v>
      </c>
      <c r="D48" s="99">
        <f>IFERROR((Data_Entry!G46/Data_Entry!$V46/D$2),"")</f>
        <v>0.901615312635796</v>
      </c>
      <c r="E48" s="99">
        <f>IFERROR((Data_Entry!H46/Data_Entry!$V46/E$2),"")</f>
        <v>0.898999221047255</v>
      </c>
      <c r="F48" s="99">
        <f>IFERROR((Data_Entry!I46/Data_Entry!$V46/F$2),"")</f>
        <v>0.898619678240131</v>
      </c>
      <c r="G48" s="99">
        <f>IFERROR((Data_Entry!J46/Data_Entry!$V46/G$2),"")</f>
        <v>0.894686162039268</v>
      </c>
      <c r="H48" s="99">
        <f>IFERROR((Data_Entry!K46/Data_Entry!$V46/H$2),"")</f>
        <v>0.894646651273858</v>
      </c>
      <c r="I48" s="99">
        <f>IFERROR((Data_Entry!L46/Data_Entry!$V46/I$2),"")</f>
        <v>0.90035815191819</v>
      </c>
    </row>
    <row r="49" ht="15" spans="1:9">
      <c r="A49" s="98">
        <v>45792</v>
      </c>
      <c r="B49" s="25">
        <v>45792</v>
      </c>
      <c r="C49" s="99">
        <f>IFERROR((Data_Entry!F47/Data_Entry!$V47/C$2),"")</f>
        <v>0.905837122866939</v>
      </c>
      <c r="D49" s="99">
        <f>IFERROR((Data_Entry!G47/Data_Entry!$V47/D$2),"")</f>
        <v>0.901276030289792</v>
      </c>
      <c r="E49" s="99">
        <f>IFERROR((Data_Entry!H47/Data_Entry!$V47/E$2),"")</f>
        <v>0.901007122337397</v>
      </c>
      <c r="F49" s="99">
        <f>IFERROR((Data_Entry!I47/Data_Entry!$V47/F$2),"")</f>
        <v>0.902730291691201</v>
      </c>
      <c r="G49" s="99">
        <f>IFERROR((Data_Entry!J47/Data_Entry!$V47/G$2),"")</f>
        <v>0.901137529203943</v>
      </c>
      <c r="H49" s="99">
        <f>IFERROR((Data_Entry!K47/Data_Entry!$V47/H$2),"")</f>
        <v>0.904090570212928</v>
      </c>
      <c r="I49" s="99">
        <f>IFERROR((Data_Entry!L47/Data_Entry!$V47/I$2),"")</f>
        <v>0.913197016607467</v>
      </c>
    </row>
    <row r="50" ht="15" spans="1:9">
      <c r="A50" s="98">
        <v>45793</v>
      </c>
      <c r="B50" s="25">
        <v>45793</v>
      </c>
      <c r="C50" s="99">
        <f>IFERROR((Data_Entry!F48/Data_Entry!$V48/C$2),"")</f>
        <v>0.905385167071493</v>
      </c>
      <c r="D50" s="99">
        <f>IFERROR((Data_Entry!G48/Data_Entry!$V48/D$2),"")</f>
        <v>0.895845008994856</v>
      </c>
      <c r="E50" s="99">
        <f>IFERROR((Data_Entry!H48/Data_Entry!$V48/E$2),"")</f>
        <v>0.893691118680197</v>
      </c>
      <c r="F50" s="99">
        <f>IFERROR((Data_Entry!I48/Data_Entry!$V48/F$2),"")</f>
        <v>0.890733459540799</v>
      </c>
      <c r="G50" s="99">
        <f>IFERROR((Data_Entry!J48/Data_Entry!$V48/G$2),"")</f>
        <v>0.890346535872397</v>
      </c>
      <c r="H50" s="99">
        <f>IFERROR((Data_Entry!K48/Data_Entry!$V48/H$2),"")</f>
        <v>0.89786893498406</v>
      </c>
      <c r="I50" s="99">
        <f>IFERROR((Data_Entry!L48/Data_Entry!$V48/I$2),"")</f>
        <v>0.910587166214267</v>
      </c>
    </row>
    <row r="51" ht="15" spans="1:9">
      <c r="A51" s="98">
        <v>45794</v>
      </c>
      <c r="B51" s="25">
        <v>45794</v>
      </c>
      <c r="C51" s="99">
        <f>IFERROR((Data_Entry!F49/Data_Entry!$V49/C$2),"")</f>
        <v>0.916219281707679</v>
      </c>
      <c r="D51" s="99">
        <f>IFERROR((Data_Entry!G49/Data_Entry!$V49/D$2),"")</f>
        <v>0.90776024059888</v>
      </c>
      <c r="E51" s="99">
        <f>IFERROR((Data_Entry!H49/Data_Entry!$V49/E$2),"")</f>
        <v>0.900590984239122</v>
      </c>
      <c r="F51" s="99">
        <f>IFERROR((Data_Entry!I49/Data_Entry!$V49/F$2),"")</f>
        <v>0.897757055222036</v>
      </c>
      <c r="G51" s="99">
        <f>IFERROR((Data_Entry!J49/Data_Entry!$V49/G$2),"")</f>
        <v>0.894744947573498</v>
      </c>
      <c r="H51" s="99">
        <f>IFERROR((Data_Entry!K49/Data_Entry!$V49/H$2),"")</f>
        <v>0.895396717389256</v>
      </c>
      <c r="I51" s="99">
        <f>IFERROR((Data_Entry!L49/Data_Entry!$V49/I$2),"")</f>
        <v>0.901230057240287</v>
      </c>
    </row>
    <row r="52" ht="15" spans="1:9">
      <c r="A52" s="98">
        <v>45795</v>
      </c>
      <c r="B52" s="25">
        <v>45795</v>
      </c>
      <c r="C52" s="99">
        <f>IFERROR((Data_Entry!F50/Data_Entry!$V50/C$2),"")</f>
        <v>0.879347377310181</v>
      </c>
      <c r="D52" s="99">
        <f>IFERROR((Data_Entry!G50/Data_Entry!$V50/D$2),"")</f>
        <v>0.87318755415155</v>
      </c>
      <c r="E52" s="99">
        <f>IFERROR((Data_Entry!H50/Data_Entry!$V50/E$2),"")</f>
        <v>0.865164935676868</v>
      </c>
      <c r="F52" s="99">
        <f>IFERROR((Data_Entry!I50/Data_Entry!$V50/F$2),"")</f>
        <v>0.86275906959865</v>
      </c>
      <c r="G52" s="99">
        <f>IFERROR((Data_Entry!J50/Data_Entry!$V50/G$2),"")</f>
        <v>0.858988875171961</v>
      </c>
      <c r="H52" s="99">
        <f>IFERROR((Data_Entry!K50/Data_Entry!$V50/H$2),"")</f>
        <v>0.856471108345919</v>
      </c>
      <c r="I52" s="99">
        <f>IFERROR((Data_Entry!L50/Data_Entry!$V50/I$2),"")</f>
        <v>0.864579608688249</v>
      </c>
    </row>
    <row r="53" ht="15" spans="1:9">
      <c r="A53" s="98">
        <v>45796</v>
      </c>
      <c r="B53" s="25">
        <v>45796</v>
      </c>
      <c r="C53" s="99">
        <f>IFERROR((Data_Entry!F51/Data_Entry!$V51/C$2),"")</f>
        <v>0.923990290128739</v>
      </c>
      <c r="D53" s="99">
        <f>IFERROR((Data_Entry!G51/Data_Entry!$V51/D$2),"")</f>
        <v>0.92293220942095</v>
      </c>
      <c r="E53" s="99">
        <f>IFERROR((Data_Entry!H51/Data_Entry!$V51/E$2),"")</f>
        <v>0.915089374221985</v>
      </c>
      <c r="F53" s="99">
        <f>IFERROR((Data_Entry!I51/Data_Entry!$V51/F$2),"")</f>
        <v>0.911483440402467</v>
      </c>
      <c r="G53" s="99">
        <f>IFERROR((Data_Entry!J51/Data_Entry!$V51/G$2),"")</f>
        <v>0.908029906833257</v>
      </c>
      <c r="H53" s="99">
        <f>IFERROR((Data_Entry!K51/Data_Entry!$V51/H$2),"")</f>
        <v>0.909320185347309</v>
      </c>
      <c r="I53" s="99">
        <f>IFERROR((Data_Entry!L51/Data_Entry!$V51/I$2),"")</f>
        <v>0.915219971861376</v>
      </c>
    </row>
    <row r="54" ht="15" spans="1:9">
      <c r="A54" s="98">
        <v>45797</v>
      </c>
      <c r="B54" s="25">
        <v>45797</v>
      </c>
      <c r="C54" s="99">
        <f>IFERROR((Data_Entry!F52/Data_Entry!$V52/C$2),"")</f>
        <v>0.919969457476203</v>
      </c>
      <c r="D54" s="99">
        <f>IFERROR((Data_Entry!G52/Data_Entry!$V52/D$2),"")</f>
        <v>0.916469872217309</v>
      </c>
      <c r="E54" s="99">
        <f>IFERROR((Data_Entry!H52/Data_Entry!$V52/E$2),"")</f>
        <v>0.911435962704176</v>
      </c>
      <c r="F54" s="99">
        <f>IFERROR((Data_Entry!I52/Data_Entry!$V52/F$2),"")</f>
        <v>0.909997996977982</v>
      </c>
      <c r="G54" s="99">
        <f>IFERROR((Data_Entry!J52/Data_Entry!$V52/G$2),"")</f>
        <v>0.908154419499125</v>
      </c>
      <c r="H54" s="99">
        <f>IFERROR((Data_Entry!K52/Data_Entry!$V52/H$2),"")</f>
        <v>0.90925060070277</v>
      </c>
      <c r="I54" s="99">
        <f>IFERROR((Data_Entry!L52/Data_Entry!$V52/I$2),"")</f>
        <v>0.91802910968072</v>
      </c>
    </row>
    <row r="55" ht="15" spans="1:9">
      <c r="A55" s="98">
        <v>45798</v>
      </c>
      <c r="B55" s="25">
        <v>45798</v>
      </c>
      <c r="C55" s="99">
        <f>IFERROR((Data_Entry!F53/Data_Entry!$V53/C$2),"")</f>
        <v>0.961717142138643</v>
      </c>
      <c r="D55" s="99">
        <f>IFERROR((Data_Entry!G53/Data_Entry!$V53/D$2),"")</f>
        <v>0.954919823952043</v>
      </c>
      <c r="E55" s="99">
        <f>IFERROR((Data_Entry!H53/Data_Entry!$V53/E$2),"")</f>
        <v>0.952490364219951</v>
      </c>
      <c r="F55" s="99">
        <f>IFERROR((Data_Entry!I53/Data_Entry!$V53/F$2),"")</f>
        <v>0.942894447761947</v>
      </c>
      <c r="G55" s="99">
        <f>IFERROR((Data_Entry!J53/Data_Entry!$V53/G$2),"")</f>
        <v>0.938030471605442</v>
      </c>
      <c r="H55" s="99">
        <f>IFERROR((Data_Entry!K53/Data_Entry!$V53/H$2),"")</f>
        <v>0.936880916884845</v>
      </c>
      <c r="I55" s="99">
        <f>IFERROR((Data_Entry!L53/Data_Entry!$V53/I$2),"")</f>
        <v>0.942826463342987</v>
      </c>
    </row>
    <row r="56" ht="15" spans="1:9">
      <c r="A56" s="98">
        <v>45799</v>
      </c>
      <c r="B56" s="25">
        <v>45799</v>
      </c>
      <c r="C56" s="99">
        <f>IFERROR((Data_Entry!F54/Data_Entry!$V54/C$2),"")</f>
        <v>0.906293546899849</v>
      </c>
      <c r="D56" s="99">
        <f>IFERROR((Data_Entry!G54/Data_Entry!$V54/D$2),"")</f>
        <v>0.901187250836803</v>
      </c>
      <c r="E56" s="99">
        <f>IFERROR((Data_Entry!H54/Data_Entry!$V54/E$2),"")</f>
        <v>0.900767893189114</v>
      </c>
      <c r="F56" s="99">
        <f>IFERROR((Data_Entry!I54/Data_Entry!$V54/F$2),"")</f>
        <v>0.901061765300282</v>
      </c>
      <c r="G56" s="99">
        <f>IFERROR((Data_Entry!J54/Data_Entry!$V54/G$2),"")</f>
        <v>0.895876638579679</v>
      </c>
      <c r="H56" s="99">
        <f>IFERROR((Data_Entry!K54/Data_Entry!$V54/H$2),"")</f>
        <v>0.896118493182119</v>
      </c>
      <c r="I56" s="99">
        <f>IFERROR((Data_Entry!L54/Data_Entry!$V54/I$2),"")</f>
        <v>0.90175783464389</v>
      </c>
    </row>
    <row r="57" ht="15" spans="1:9">
      <c r="A57" s="98">
        <v>45800</v>
      </c>
      <c r="B57" s="25">
        <v>45800</v>
      </c>
      <c r="C57" s="99">
        <f>IFERROR((Data_Entry!F55/Data_Entry!$V55/C$2),"")</f>
        <v>0.329137538647409</v>
      </c>
      <c r="D57" s="99">
        <f>IFERROR((Data_Entry!G55/Data_Entry!$V55/D$2),"")</f>
        <v>0.327642407212607</v>
      </c>
      <c r="E57" s="99">
        <f>IFERROR((Data_Entry!H55/Data_Entry!$V55/E$2),"")</f>
        <v>0.325770595377564</v>
      </c>
      <c r="F57" s="99">
        <f>IFERROR((Data_Entry!I55/Data_Entry!$V55/F$2),"")</f>
        <v>0.326828072059711</v>
      </c>
      <c r="G57" s="99">
        <f>IFERROR((Data_Entry!J55/Data_Entry!$V55/G$2),"")</f>
        <v>0.323956734373327</v>
      </c>
      <c r="H57" s="99">
        <f>IFERROR((Data_Entry!K55/Data_Entry!$V55/H$2),"")</f>
        <v>0.323208412775524</v>
      </c>
      <c r="I57" s="99">
        <f>IFERROR((Data_Entry!L55/Data_Entry!$V55/I$2),"")</f>
        <v>0.326140724814322</v>
      </c>
    </row>
    <row r="58" ht="15" spans="1:9">
      <c r="A58" s="98">
        <v>45801</v>
      </c>
      <c r="B58" s="25">
        <v>45801</v>
      </c>
      <c r="C58" s="99">
        <f>IFERROR((Data_Entry!F56/Data_Entry!$V56/C$2),"")</f>
        <v>0.911144474791264</v>
      </c>
      <c r="D58" s="99">
        <f>IFERROR((Data_Entry!G56/Data_Entry!$V56/D$2),"")</f>
        <v>0.903988977383473</v>
      </c>
      <c r="E58" s="99">
        <f>IFERROR((Data_Entry!H56/Data_Entry!$V56/E$2),"")</f>
        <v>0.898213025506603</v>
      </c>
      <c r="F58" s="99">
        <f>IFERROR((Data_Entry!I56/Data_Entry!$V56/F$2),"")</f>
        <v>0.895003148692818</v>
      </c>
      <c r="G58" s="99">
        <f>IFERROR((Data_Entry!J56/Data_Entry!$V56/G$2),"")</f>
        <v>0.888857353257034</v>
      </c>
      <c r="H58" s="99">
        <f>IFERROR((Data_Entry!K56/Data_Entry!$V56/H$2),"")</f>
        <v>0.886273014314498</v>
      </c>
      <c r="I58" s="99">
        <f>IFERROR((Data_Entry!L56/Data_Entry!$V56/I$2),"")</f>
        <v>0.89043717882968</v>
      </c>
    </row>
    <row r="59" ht="15" spans="1:9">
      <c r="A59" s="98">
        <v>45802</v>
      </c>
      <c r="B59" s="25">
        <v>45802</v>
      </c>
      <c r="C59" s="99">
        <f>IFERROR((Data_Entry!F57/Data_Entry!$V57/C$2),"")</f>
        <v>0.890480640098377</v>
      </c>
      <c r="D59" s="99">
        <f>IFERROR((Data_Entry!G57/Data_Entry!$V57/D$2),"")</f>
        <v>0.883314358085</v>
      </c>
      <c r="E59" s="99">
        <f>IFERROR((Data_Entry!H57/Data_Entry!$V57/E$2),"")</f>
        <v>0.882188162386939</v>
      </c>
      <c r="F59" s="99">
        <f>IFERROR((Data_Entry!I57/Data_Entry!$V57/F$2),"")</f>
        <v>0.881961724103726</v>
      </c>
      <c r="G59" s="99">
        <f>IFERROR((Data_Entry!J57/Data_Entry!$V57/G$2),"")</f>
        <v>0.878989446832819</v>
      </c>
      <c r="H59" s="99">
        <f>IFERROR((Data_Entry!K57/Data_Entry!$V57/H$2),"")</f>
        <v>0.879763294169623</v>
      </c>
      <c r="I59" s="99">
        <f>IFERROR((Data_Entry!L57/Data_Entry!$V57/I$2),"")</f>
        <v>0.886279440494305</v>
      </c>
    </row>
    <row r="60" ht="15" spans="1:9">
      <c r="A60" s="98">
        <v>45803</v>
      </c>
      <c r="B60" s="25">
        <v>45803</v>
      </c>
      <c r="C60" s="99">
        <f>IFERROR((Data_Entry!F58/Data_Entry!$V58/C$2),"")</f>
        <v>0.889669224550565</v>
      </c>
      <c r="D60" s="99">
        <f>IFERROR((Data_Entry!G58/Data_Entry!$V58/D$2),"")</f>
        <v>0.893891062307925</v>
      </c>
      <c r="E60" s="99">
        <f>IFERROR((Data_Entry!H58/Data_Entry!$V58/E$2),"")</f>
        <v>0.884991969892265</v>
      </c>
      <c r="F60" s="99">
        <f>IFERROR((Data_Entry!I58/Data_Entry!$V58/F$2),"")</f>
        <v>0.888180155776341</v>
      </c>
      <c r="G60" s="99">
        <f>IFERROR((Data_Entry!J58/Data_Entry!$V58/G$2),"")</f>
        <v>0.895044053745145</v>
      </c>
      <c r="H60" s="99">
        <f>IFERROR((Data_Entry!K58/Data_Entry!$V58/H$2),"")</f>
        <v>0.896203734619806</v>
      </c>
      <c r="I60" s="99">
        <f>IFERROR((Data_Entry!L58/Data_Entry!$V58/I$2),"")</f>
        <v>0.897969746104061</v>
      </c>
    </row>
    <row r="61" ht="15" spans="1:9">
      <c r="A61" s="98">
        <v>45804</v>
      </c>
      <c r="B61" s="25">
        <v>45804</v>
      </c>
      <c r="C61" s="99">
        <f>IFERROR((Data_Entry!F59/Data_Entry!$V59/C$2),"")</f>
        <v>1.02781266746833</v>
      </c>
      <c r="D61" s="99">
        <f>IFERROR((Data_Entry!G59/Data_Entry!$V59/D$2),"")</f>
        <v>0.993367663739082</v>
      </c>
      <c r="E61" s="99">
        <f>IFERROR((Data_Entry!H59/Data_Entry!$V59/E$2),"")</f>
        <v>0.986557394430328</v>
      </c>
      <c r="F61" s="99">
        <f>IFERROR((Data_Entry!I59/Data_Entry!$V59/F$2),"")</f>
        <v>0.983225571295276</v>
      </c>
      <c r="G61" s="99">
        <f>IFERROR((Data_Entry!J59/Data_Entry!$V59/G$2),"")</f>
        <v>0.980150481107273</v>
      </c>
      <c r="H61" s="99">
        <f>IFERROR((Data_Entry!K59/Data_Entry!$V59/H$2),"")</f>
        <v>0.979962210279437</v>
      </c>
      <c r="I61" s="99">
        <f>IFERROR((Data_Entry!L59/Data_Entry!$V59/I$2),"")</f>
        <v>0.986275558706233</v>
      </c>
    </row>
    <row r="62" ht="15" spans="1:9">
      <c r="A62" s="98">
        <v>45805</v>
      </c>
      <c r="B62" s="25">
        <v>45805</v>
      </c>
      <c r="C62" s="99">
        <f>IFERROR((Data_Entry!F60/Data_Entry!$V60/C$2),"")</f>
        <v>0.961057102749253</v>
      </c>
      <c r="D62" s="99">
        <f>IFERROR((Data_Entry!G60/Data_Entry!$V60/D$2),"")</f>
        <v>0.957140699750282</v>
      </c>
      <c r="E62" s="99">
        <f>IFERROR((Data_Entry!H60/Data_Entry!$V60/E$2),"")</f>
        <v>0.953616549946825</v>
      </c>
      <c r="F62" s="99">
        <f>IFERROR((Data_Entry!I60/Data_Entry!$V60/F$2),"")</f>
        <v>0.94119182338834</v>
      </c>
      <c r="G62" s="99">
        <f>IFERROR((Data_Entry!J60/Data_Entry!$V60/G$2),"")</f>
        <v>0.918709213262242</v>
      </c>
      <c r="H62" s="99">
        <f>IFERROR((Data_Entry!K60/Data_Entry!$V60/H$2),"")</f>
        <v>0.917566029696509</v>
      </c>
      <c r="I62" s="99">
        <f>IFERROR((Data_Entry!L60/Data_Entry!$V60/I$2),"")</f>
        <v>0.922906748816424</v>
      </c>
    </row>
    <row r="63" ht="15" spans="1:9">
      <c r="A63" s="98">
        <v>45806</v>
      </c>
      <c r="B63" s="25">
        <v>45806</v>
      </c>
      <c r="C63" s="99">
        <f>IFERROR((Data_Entry!F61/Data_Entry!$V61/C$2),"")</f>
        <v>0.935647497585629</v>
      </c>
      <c r="D63" s="99">
        <f>IFERROR((Data_Entry!G61/Data_Entry!$V61/D$2),"")</f>
        <v>0.930997375375228</v>
      </c>
      <c r="E63" s="99">
        <f>IFERROR((Data_Entry!H61/Data_Entry!$V61/E$2),"")</f>
        <v>0.930658096072323</v>
      </c>
      <c r="F63" s="99">
        <f>IFERROR((Data_Entry!I61/Data_Entry!$V61/F$2),"")</f>
        <v>0.928570140004255</v>
      </c>
      <c r="G63" s="99">
        <f>IFERROR((Data_Entry!J61/Data_Entry!$V61/G$2),"")</f>
        <v>0.92052852634781</v>
      </c>
      <c r="H63" s="99">
        <f>IFERROR((Data_Entry!K61/Data_Entry!$V61/H$2),"")</f>
        <v>0.907609447316358</v>
      </c>
      <c r="I63" s="99">
        <f>IFERROR((Data_Entry!L61/Data_Entry!$V61/I$2),"")</f>
        <v>0.90460279057834</v>
      </c>
    </row>
    <row r="64" ht="15" spans="1:9">
      <c r="A64" s="98">
        <v>45807</v>
      </c>
      <c r="B64" s="25">
        <v>45807</v>
      </c>
      <c r="C64" s="99">
        <f>IFERROR((Data_Entry!F62/Data_Entry!$V62/C$2),"")</f>
        <v>0.896521183973591</v>
      </c>
      <c r="D64" s="99">
        <f>IFERROR((Data_Entry!G62/Data_Entry!$V62/D$2),"")</f>
        <v>0.893588126472345</v>
      </c>
      <c r="E64" s="99">
        <f>IFERROR((Data_Entry!H62/Data_Entry!$V62/E$2),"")</f>
        <v>0.895599756889218</v>
      </c>
      <c r="F64" s="99">
        <f>IFERROR((Data_Entry!I62/Data_Entry!$V62/F$2),"")</f>
        <v>0.895541052107261</v>
      </c>
      <c r="G64" s="99">
        <f>IFERROR((Data_Entry!J62/Data_Entry!$V62/G$2),"")</f>
        <v>0.889498029451031</v>
      </c>
      <c r="H64" s="99">
        <f>IFERROR((Data_Entry!K62/Data_Entry!$V62/H$2),"")</f>
        <v>0.891745073976633</v>
      </c>
      <c r="I64" s="99">
        <f>IFERROR((Data_Entry!L62/Data_Entry!$V62/I$2),"")</f>
        <v>0.900244574434637</v>
      </c>
    </row>
    <row r="65" ht="15" spans="1:9">
      <c r="A65" s="98">
        <v>45808</v>
      </c>
      <c r="B65" s="25">
        <v>45808</v>
      </c>
      <c r="C65" s="99">
        <f>IFERROR((Data_Entry!F63/Data_Entry!$V63/C$2),"")</f>
        <v>0.875866776079119</v>
      </c>
      <c r="D65" s="99">
        <f>IFERROR((Data_Entry!G63/Data_Entry!$V63/D$2),"")</f>
        <v>0.873520076961124</v>
      </c>
      <c r="E65" s="99">
        <f>IFERROR((Data_Entry!H63/Data_Entry!$V63/E$2),"")</f>
        <v>0.871487154938003</v>
      </c>
      <c r="F65" s="99">
        <f>IFERROR((Data_Entry!I63/Data_Entry!$V63/F$2),"")</f>
        <v>0.873146541950449</v>
      </c>
      <c r="G65" s="99">
        <f>IFERROR((Data_Entry!J63/Data_Entry!$V63/G$2),"")</f>
        <v>0.871891049275678</v>
      </c>
      <c r="H65" s="99">
        <f>IFERROR((Data_Entry!K63/Data_Entry!$V63/H$2),"")</f>
        <v>0.872833725593772</v>
      </c>
      <c r="I65" s="99">
        <f>IFERROR((Data_Entry!L63/Data_Entry!$V63/I$2),"")</f>
        <v>0.882966439201266</v>
      </c>
    </row>
    <row r="66" ht="15" spans="1:9">
      <c r="A66" s="98">
        <v>45809</v>
      </c>
      <c r="B66" s="25">
        <v>45809</v>
      </c>
      <c r="C66" s="99">
        <f>IFERROR((Data_Entry!F64/Data_Entry!$V64/C$2),"")</f>
        <v>0.952648111685282</v>
      </c>
      <c r="D66" s="99">
        <f>IFERROR((Data_Entry!G64/Data_Entry!$V64/D$2),"")</f>
        <v>0.946654940318044</v>
      </c>
      <c r="E66" s="99">
        <f>IFERROR((Data_Entry!H64/Data_Entry!$V64/E$2),"")</f>
        <v>0.943149114198012</v>
      </c>
      <c r="F66" s="99">
        <f>IFERROR((Data_Entry!I64/Data_Entry!$V64/F$2),"")</f>
        <v>0.942285508284217</v>
      </c>
      <c r="G66" s="99">
        <f>IFERROR((Data_Entry!J64/Data_Entry!$V64/G$2),"")</f>
        <v>0.93806071522075</v>
      </c>
      <c r="H66" s="99">
        <f>IFERROR((Data_Entry!K64/Data_Entry!$V64/H$2),"")</f>
        <v>0.936738937553152</v>
      </c>
      <c r="I66" s="99">
        <f>IFERROR((Data_Entry!L64/Data_Entry!$V64/I$2),"")</f>
        <v>0.943386989673881</v>
      </c>
    </row>
    <row r="67" ht="15" spans="1:9">
      <c r="A67" s="98">
        <v>45810</v>
      </c>
      <c r="B67" s="25">
        <v>45810</v>
      </c>
      <c r="C67" s="99">
        <f>IFERROR((Data_Entry!F65/Data_Entry!$V65/C$2),"")</f>
        <v>0.935923180273147</v>
      </c>
      <c r="D67" s="99">
        <f>IFERROR((Data_Entry!G65/Data_Entry!$V65/D$2),"")</f>
        <v>0.929588051986799</v>
      </c>
      <c r="E67" s="99">
        <f>IFERROR((Data_Entry!H65/Data_Entry!$V65/E$2),"")</f>
        <v>0.925815066562437</v>
      </c>
      <c r="F67" s="99">
        <f>IFERROR((Data_Entry!I65/Data_Entry!$V65/F$2),"")</f>
        <v>0.925228176436987</v>
      </c>
      <c r="G67" s="99">
        <f>IFERROR((Data_Entry!J65/Data_Entry!$V65/G$2),"")</f>
        <v>0.921966693027236</v>
      </c>
      <c r="H67" s="99">
        <f>IFERROR((Data_Entry!K65/Data_Entry!$V65/H$2),"")</f>
        <v>0.920655613758827</v>
      </c>
      <c r="I67" s="99">
        <f>IFERROR((Data_Entry!L65/Data_Entry!$V65/I$2),"")</f>
        <v>0.930435431199146</v>
      </c>
    </row>
    <row r="68" ht="15" spans="1:9">
      <c r="A68" s="98">
        <v>45811</v>
      </c>
      <c r="B68" s="25">
        <v>45811</v>
      </c>
      <c r="C68" s="99">
        <f>IFERROR((Data_Entry!F66/Data_Entry!$V66/C$2),"")</f>
        <v>0.680691683785705</v>
      </c>
      <c r="D68" s="99">
        <f>IFERROR((Data_Entry!G66/Data_Entry!$V66/D$2),"")</f>
        <v>0.676323630190387</v>
      </c>
      <c r="E68" s="99">
        <f>IFERROR((Data_Entry!H66/Data_Entry!$V66/E$2),"")</f>
        <v>0.666008226734167</v>
      </c>
      <c r="F68" s="99">
        <f>IFERROR((Data_Entry!I66/Data_Entry!$V66/F$2),"")</f>
        <v>0.661125837109593</v>
      </c>
      <c r="G68" s="99">
        <f>IFERROR((Data_Entry!J66/Data_Entry!$V66/G$2),"")</f>
        <v>0.66048525298866</v>
      </c>
      <c r="H68" s="99">
        <f>IFERROR((Data_Entry!K66/Data_Entry!$V66/H$2),"")</f>
        <v>0.662115396162079</v>
      </c>
      <c r="I68" s="99">
        <f>IFERROR((Data_Entry!L66/Data_Entry!$V66/I$2),"")</f>
        <v>0.670031868581969</v>
      </c>
    </row>
    <row r="69" ht="15" spans="1:9">
      <c r="A69" s="98">
        <v>45812</v>
      </c>
      <c r="B69" s="25">
        <v>45812</v>
      </c>
      <c r="C69" s="99">
        <f>IFERROR((Data_Entry!F67/Data_Entry!$V67/C$2),"")</f>
        <v>0.942658938960394</v>
      </c>
      <c r="D69" s="99">
        <f>IFERROR((Data_Entry!G67/Data_Entry!$V67/D$2),"")</f>
        <v>0.938723764027573</v>
      </c>
      <c r="E69" s="99">
        <f>IFERROR((Data_Entry!H67/Data_Entry!$V67/E$2),"")</f>
        <v>0.93478339071307</v>
      </c>
      <c r="F69" s="99">
        <f>IFERROR((Data_Entry!I67/Data_Entry!$V67/F$2),"")</f>
        <v>0.931264312331356</v>
      </c>
      <c r="G69" s="99">
        <f>IFERROR((Data_Entry!J67/Data_Entry!$V67/G$2),"")</f>
        <v>0.914109652782729</v>
      </c>
      <c r="H69" s="99">
        <f>IFERROR((Data_Entry!K67/Data_Entry!$V67/H$2),"")</f>
        <v>0.913244461257668</v>
      </c>
      <c r="I69" s="99">
        <f>IFERROR((Data_Entry!L67/Data_Entry!$V67/I$2),"")</f>
        <v>0.920673174696986</v>
      </c>
    </row>
    <row r="70" ht="15" spans="1:9">
      <c r="A70" s="98">
        <v>45813</v>
      </c>
      <c r="B70" s="25">
        <v>45813</v>
      </c>
      <c r="C70" s="99">
        <f>IFERROR((Data_Entry!F68/Data_Entry!$V68/C$2),"")</f>
        <v>0.984066808920854</v>
      </c>
      <c r="D70" s="99">
        <f>IFERROR((Data_Entry!G68/Data_Entry!$V68/D$2),"")</f>
        <v>0.975991898010247</v>
      </c>
      <c r="E70" s="99">
        <f>IFERROR((Data_Entry!H68/Data_Entry!$V68/E$2),"")</f>
        <v>0.967082958742675</v>
      </c>
      <c r="F70" s="99">
        <f>IFERROR((Data_Entry!I68/Data_Entry!$V68/F$2),"")</f>
        <v>0.962282233123877</v>
      </c>
      <c r="G70" s="99">
        <f>IFERROR((Data_Entry!J68/Data_Entry!$V68/G$2),"")</f>
        <v>0.965235004325551</v>
      </c>
      <c r="H70" s="99">
        <f>IFERROR((Data_Entry!K68/Data_Entry!$V68/H$2),"")</f>
        <v>0.959578116339185</v>
      </c>
      <c r="I70" s="99">
        <f>IFERROR((Data_Entry!L68/Data_Entry!$V68/I$2),"")</f>
        <v>0.957842715720657</v>
      </c>
    </row>
    <row r="71" ht="15" spans="1:9">
      <c r="A71" s="98">
        <v>45814</v>
      </c>
      <c r="B71" s="25">
        <v>45814</v>
      </c>
      <c r="C71" s="99">
        <f>IFERROR((Data_Entry!F69/Data_Entry!$V69/C$2),"")</f>
        <v>0.916808623230642</v>
      </c>
      <c r="D71" s="99">
        <f>IFERROR((Data_Entry!G69/Data_Entry!$V69/D$2),"")</f>
        <v>0.912713619135637</v>
      </c>
      <c r="E71" s="99">
        <f>IFERROR((Data_Entry!H69/Data_Entry!$V69/E$2),"")</f>
        <v>0.911930040370407</v>
      </c>
      <c r="F71" s="99">
        <f>IFERROR((Data_Entry!I69/Data_Entry!$V69/F$2),"")</f>
        <v>0.916948631348312</v>
      </c>
      <c r="G71" s="99">
        <f>IFERROR((Data_Entry!J69/Data_Entry!$V69/G$2),"")</f>
        <v>0.929053733202118</v>
      </c>
      <c r="H71" s="99">
        <f>IFERROR((Data_Entry!K69/Data_Entry!$V69/H$2),"")</f>
        <v>0.93665664068536</v>
      </c>
      <c r="I71" s="99">
        <f>IFERROR((Data_Entry!L69/Data_Entry!$V69/I$2),"")</f>
        <v>0.953459014887016</v>
      </c>
    </row>
    <row r="72" ht="15" spans="1:9">
      <c r="A72" s="98">
        <v>45815</v>
      </c>
      <c r="B72" s="25">
        <v>45815</v>
      </c>
      <c r="C72" s="99">
        <f>IFERROR((Data_Entry!F70/Data_Entry!$V70/C$2),"")</f>
        <v>0.905920153755188</v>
      </c>
      <c r="D72" s="99">
        <f>IFERROR((Data_Entry!G70/Data_Entry!$V70/D$2),"")</f>
        <v>0.901196962459073</v>
      </c>
      <c r="E72" s="99">
        <f>IFERROR((Data_Entry!H70/Data_Entry!$V70/E$2),"")</f>
        <v>0.894993714165454</v>
      </c>
      <c r="F72" s="99">
        <f>IFERROR((Data_Entry!I70/Data_Entry!$V70/F$2),"")</f>
        <v>0.895325753666325</v>
      </c>
      <c r="G72" s="99">
        <f>IFERROR((Data_Entry!J70/Data_Entry!$V70/G$2),"")</f>
        <v>0.893834601788779</v>
      </c>
      <c r="H72" s="99">
        <f>IFERROR((Data_Entry!K70/Data_Entry!$V70/H$2),"")</f>
        <v>0.89425176927833</v>
      </c>
      <c r="I72" s="99">
        <f>IFERROR((Data_Entry!L70/Data_Entry!$V70/I$2),"")</f>
        <v>0.902959031134719</v>
      </c>
    </row>
    <row r="73" ht="15" spans="1:9">
      <c r="A73" s="98">
        <v>45816</v>
      </c>
      <c r="B73" s="25">
        <v>45816</v>
      </c>
      <c r="C73" s="99">
        <f>IFERROR((Data_Entry!F71/Data_Entry!$V71/C$2),"")</f>
        <v>0.967102004672996</v>
      </c>
      <c r="D73" s="99">
        <f>IFERROR((Data_Entry!G71/Data_Entry!$V71/D$2),"")</f>
        <v>0.966103860380837</v>
      </c>
      <c r="E73" s="99">
        <f>IFERROR((Data_Entry!H71/Data_Entry!$V71/E$2),"")</f>
        <v>0.963335323317848</v>
      </c>
      <c r="F73" s="99">
        <f>IFERROR((Data_Entry!I71/Data_Entry!$V71/F$2),"")</f>
        <v>0.964927329202596</v>
      </c>
      <c r="G73" s="99">
        <f>IFERROR((Data_Entry!J71/Data_Entry!$V71/G$2),"")</f>
        <v>0.961429941238857</v>
      </c>
      <c r="H73" s="99">
        <f>IFERROR((Data_Entry!K71/Data_Entry!$V71/H$2),"")</f>
        <v>0.964294181381575</v>
      </c>
      <c r="I73" s="99">
        <f>IFERROR((Data_Entry!L71/Data_Entry!$V71/I$2),"")</f>
        <v>0.973831598558554</v>
      </c>
    </row>
    <row r="74" ht="15" spans="1:9">
      <c r="A74" s="98">
        <v>45817</v>
      </c>
      <c r="B74" s="25">
        <v>45817</v>
      </c>
      <c r="C74" s="99">
        <f>IFERROR((Data_Entry!F72/Data_Entry!$V72/C$2),"")</f>
        <v>0.904557582329494</v>
      </c>
      <c r="D74" s="99">
        <f>IFERROR((Data_Entry!G72/Data_Entry!$V72/D$2),"")</f>
        <v>0.900972057177916</v>
      </c>
      <c r="E74" s="99">
        <f>IFERROR((Data_Entry!H72/Data_Entry!$V72/E$2),"")</f>
        <v>0.898841124917287</v>
      </c>
      <c r="F74" s="99">
        <f>IFERROR((Data_Entry!I72/Data_Entry!$V72/F$2),"")</f>
        <v>0.899538612480478</v>
      </c>
      <c r="G74" s="99">
        <f>IFERROR((Data_Entry!J72/Data_Entry!$V72/G$2),"")</f>
        <v>0.89903790382264</v>
      </c>
      <c r="H74" s="99">
        <f>IFERROR((Data_Entry!K72/Data_Entry!$V72/H$2),"")</f>
        <v>0.90035392569324</v>
      </c>
      <c r="I74" s="99">
        <f>IFERROR((Data_Entry!L72/Data_Entry!$V72/I$2),"")</f>
        <v>0.907164449649845</v>
      </c>
    </row>
    <row r="75" ht="15" spans="1:9">
      <c r="A75" s="98">
        <v>45818</v>
      </c>
      <c r="B75" s="25">
        <v>45818</v>
      </c>
      <c r="C75" s="99">
        <f>IFERROR((Data_Entry!F73/Data_Entry!$V73/C$2),"")</f>
        <v>0.887834782009844</v>
      </c>
      <c r="D75" s="99">
        <f>IFERROR((Data_Entry!G73/Data_Entry!$V73/D$2),"")</f>
        <v>0.882448385754137</v>
      </c>
      <c r="E75" s="99">
        <f>IFERROR((Data_Entry!H73/Data_Entry!$V73/E$2),"")</f>
        <v>0.875875831571948</v>
      </c>
      <c r="F75" s="99">
        <f>IFERROR((Data_Entry!I73/Data_Entry!$V73/F$2),"")</f>
        <v>0.869147791405885</v>
      </c>
      <c r="G75" s="99">
        <f>IFERROR((Data_Entry!J73/Data_Entry!$V73/G$2),"")</f>
        <v>0.864118358640383</v>
      </c>
      <c r="H75" s="99">
        <f>IFERROR((Data_Entry!K73/Data_Entry!$V73/H$2),"")</f>
        <v>0.864363903337689</v>
      </c>
      <c r="I75" s="99">
        <f>IFERROR((Data_Entry!L73/Data_Entry!$V73/I$2),"")</f>
        <v>0.872750524809455</v>
      </c>
    </row>
    <row r="76" ht="15" spans="1:9">
      <c r="A76" s="98">
        <v>45819</v>
      </c>
      <c r="B76" s="25">
        <v>45819</v>
      </c>
      <c r="C76" s="99">
        <f>IFERROR((Data_Entry!F74/Data_Entry!$V74/C$2),"")</f>
        <v>0.927636718878805</v>
      </c>
      <c r="D76" s="99">
        <f>IFERROR((Data_Entry!G74/Data_Entry!$V74/D$2),"")</f>
        <v>0.924086492741491</v>
      </c>
      <c r="E76" s="99">
        <f>IFERROR((Data_Entry!H74/Data_Entry!$V74/E$2),"")</f>
        <v>0.922305883966739</v>
      </c>
      <c r="F76" s="99">
        <f>IFERROR((Data_Entry!I74/Data_Entry!$V74/F$2),"")</f>
        <v>0.923912780640143</v>
      </c>
      <c r="G76" s="99">
        <f>IFERROR((Data_Entry!J74/Data_Entry!$V74/G$2),"")</f>
        <v>0.916180083220856</v>
      </c>
      <c r="H76" s="99">
        <f>IFERROR((Data_Entry!K74/Data_Entry!$V74/H$2),"")</f>
        <v>0.910271482337594</v>
      </c>
      <c r="I76" s="99">
        <f>IFERROR((Data_Entry!L74/Data_Entry!$V74/I$2),"")</f>
        <v>0.914534716604788</v>
      </c>
    </row>
    <row r="77" ht="15" spans="1:9">
      <c r="A77" s="98">
        <v>45820</v>
      </c>
      <c r="B77" s="25">
        <v>45820</v>
      </c>
      <c r="C77" s="99">
        <f>IFERROR((Data_Entry!F75/Data_Entry!$V75/C$2),"")</f>
        <v>0.939243104478318</v>
      </c>
      <c r="D77" s="99">
        <f>IFERROR((Data_Entry!G75/Data_Entry!$V75/D$2),"")</f>
        <v>0.935525044933595</v>
      </c>
      <c r="E77" s="99">
        <f>IFERROR((Data_Entry!H75/Data_Entry!$V75/E$2),"")</f>
        <v>0.933565669804202</v>
      </c>
      <c r="F77" s="99">
        <f>IFERROR((Data_Entry!I75/Data_Entry!$V75/F$2),"")</f>
        <v>0.935905301023396</v>
      </c>
      <c r="G77" s="99">
        <f>IFERROR((Data_Entry!J75/Data_Entry!$V75/G$2),"")</f>
        <v>0.933116756364853</v>
      </c>
      <c r="H77" s="99">
        <f>IFERROR((Data_Entry!K75/Data_Entry!$V75/H$2),"")</f>
        <v>0.930813175994753</v>
      </c>
      <c r="I77" s="99">
        <f>IFERROR((Data_Entry!L75/Data_Entry!$V75/I$2),"")</f>
        <v>0.940466996361556</v>
      </c>
    </row>
    <row r="78" ht="15" spans="1:9">
      <c r="A78" s="98">
        <v>45821</v>
      </c>
      <c r="B78" s="25">
        <v>45821</v>
      </c>
      <c r="C78" s="99">
        <f>IFERROR((Data_Entry!F76/Data_Entry!$V76/C$2),"")</f>
        <v>1.00443726146597</v>
      </c>
      <c r="D78" s="99">
        <f>IFERROR((Data_Entry!G76/Data_Entry!$V76/D$2),"")</f>
        <v>0.998998781626778</v>
      </c>
      <c r="E78" s="99">
        <f>IFERROR((Data_Entry!H76/Data_Entry!$V76/E$2),"")</f>
        <v>0.996490931382911</v>
      </c>
      <c r="F78" s="99">
        <f>IFERROR((Data_Entry!I76/Data_Entry!$V76/F$2),"")</f>
        <v>0.998273957343402</v>
      </c>
      <c r="G78" s="99">
        <f>IFERROR((Data_Entry!J76/Data_Entry!$V76/G$2),"")</f>
        <v>0.994671142000555</v>
      </c>
      <c r="H78" s="99">
        <f>IFERROR((Data_Entry!K76/Data_Entry!$V76/H$2),"")</f>
        <v>0.993825583297642</v>
      </c>
      <c r="I78" s="99">
        <f>IFERROR((Data_Entry!L76/Data_Entry!$V76/I$2),"")</f>
        <v>1.00004779244843</v>
      </c>
    </row>
    <row r="79" ht="15" spans="1:9">
      <c r="A79" s="98">
        <v>45822</v>
      </c>
      <c r="B79" s="25">
        <v>45822</v>
      </c>
      <c r="C79" s="99">
        <f>IFERROR((Data_Entry!F77/Data_Entry!$V77/C$2),"")</f>
        <v>0.959353252931235</v>
      </c>
      <c r="D79" s="99">
        <f>IFERROR((Data_Entry!G77/Data_Entry!$V77/D$2),"")</f>
        <v>0.957036507495223</v>
      </c>
      <c r="E79" s="99">
        <f>IFERROR((Data_Entry!H77/Data_Entry!$V77/E$2),"")</f>
        <v>0.954336541009646</v>
      </c>
      <c r="F79" s="99">
        <f>IFERROR((Data_Entry!I77/Data_Entry!$V77/F$2),"")</f>
        <v>0.957408368236995</v>
      </c>
      <c r="G79" s="99">
        <f>IFERROR((Data_Entry!J77/Data_Entry!$V77/G$2),"")</f>
        <v>0.954570310898907</v>
      </c>
      <c r="H79" s="99">
        <f>IFERROR((Data_Entry!K77/Data_Entry!$V77/H$2),"")</f>
        <v>0.95406490342774</v>
      </c>
      <c r="I79" s="99">
        <f>IFERROR((Data_Entry!L77/Data_Entry!$V77/I$2),"")</f>
        <v>0.961701554777783</v>
      </c>
    </row>
    <row r="80" ht="15" spans="1:9">
      <c r="A80" s="98">
        <v>45823</v>
      </c>
      <c r="B80" s="25">
        <v>45823</v>
      </c>
      <c r="C80" s="99">
        <f>IFERROR((Data_Entry!F78/Data_Entry!$V78/C$2),"")</f>
        <v>1.01890293087699</v>
      </c>
      <c r="D80" s="99">
        <f>IFERROR((Data_Entry!G78/Data_Entry!$V78/D$2),"")</f>
        <v>1.01260320929729</v>
      </c>
      <c r="E80" s="99">
        <f>IFERROR((Data_Entry!H78/Data_Entry!$V78/E$2),"")</f>
        <v>1.01235498657201</v>
      </c>
      <c r="F80" s="99">
        <f>IFERROR((Data_Entry!I78/Data_Entry!$V78/F$2),"")</f>
        <v>1.01268991978454</v>
      </c>
      <c r="G80" s="99">
        <f>IFERROR((Data_Entry!J78/Data_Entry!$V78/G$2),"")</f>
        <v>1.00988987812778</v>
      </c>
      <c r="H80" s="99">
        <f>IFERROR((Data_Entry!K78/Data_Entry!$V78/H$2),"")</f>
        <v>1.00743370123588</v>
      </c>
      <c r="I80" s="99">
        <f>IFERROR((Data_Entry!L78/Data_Entry!$V78/I$2),"")</f>
        <v>1.01370513956652</v>
      </c>
    </row>
    <row r="81" ht="15" spans="1:9">
      <c r="A81" s="98">
        <v>45824</v>
      </c>
      <c r="B81" s="25">
        <v>45824</v>
      </c>
      <c r="C81" s="99">
        <f>IFERROR((Data_Entry!F79/Data_Entry!$V79/C$2),"")</f>
        <v>1.71824734898129</v>
      </c>
      <c r="D81" s="99">
        <f>IFERROR((Data_Entry!G79/Data_Entry!$V79/D$2),"")</f>
        <v>1.66180150125104</v>
      </c>
      <c r="E81" s="99">
        <f>IFERROR((Data_Entry!H79/Data_Entry!$V79/E$2),"")</f>
        <v>1.66105683307518</v>
      </c>
      <c r="F81" s="99">
        <f>IFERROR((Data_Entry!I79/Data_Entry!$V79/F$2),"")</f>
        <v>1.66975326229415</v>
      </c>
      <c r="G81" s="99">
        <f>IFERROR((Data_Entry!J79/Data_Entry!$V79/G$2),"")</f>
        <v>1.64909681463331</v>
      </c>
      <c r="H81" s="99">
        <f>IFERROR((Data_Entry!K79/Data_Entry!$V79/H$2),"")</f>
        <v>1.63684540429654</v>
      </c>
      <c r="I81" s="99">
        <f>IFERROR((Data_Entry!L79/Data_Entry!$V79/I$2),"")</f>
        <v>1.68043763177389</v>
      </c>
    </row>
    <row r="82" ht="15" spans="1:9">
      <c r="A82" s="98">
        <v>45825</v>
      </c>
      <c r="B82" s="25">
        <v>45825</v>
      </c>
      <c r="C82" s="99">
        <f>IFERROR((Data_Entry!F80/Data_Entry!$V80/C$2),"")</f>
        <v>1.04517230400822</v>
      </c>
      <c r="D82" s="99">
        <f>IFERROR((Data_Entry!G80/Data_Entry!$V80/D$2),"")</f>
        <v>1.04035434160265</v>
      </c>
      <c r="E82" s="99">
        <f>IFERROR((Data_Entry!H80/Data_Entry!$V80/E$2),"")</f>
        <v>1.03486902629631</v>
      </c>
      <c r="F82" s="99">
        <f>IFERROR((Data_Entry!I80/Data_Entry!$V80/F$2),"")</f>
        <v>1.03712726925109</v>
      </c>
      <c r="G82" s="99">
        <f>IFERROR((Data_Entry!J80/Data_Entry!$V80/G$2),"")</f>
        <v>1.03458948823077</v>
      </c>
      <c r="H82" s="99">
        <f>IFERROR((Data_Entry!K80/Data_Entry!$V80/H$2),"")</f>
        <v>1.03326610549011</v>
      </c>
      <c r="I82" s="99">
        <f>IFERROR((Data_Entry!L80/Data_Entry!$V80/I$2),"")</f>
        <v>1.04184473949133</v>
      </c>
    </row>
    <row r="83" ht="15" spans="1:9">
      <c r="A83" s="98">
        <v>45826</v>
      </c>
      <c r="B83" s="25">
        <v>45826</v>
      </c>
      <c r="C83" s="99">
        <f>IFERROR((Data_Entry!F81/Data_Entry!$V81/C$2),"")</f>
        <v>1.07813058501132</v>
      </c>
      <c r="D83" s="99">
        <f>IFERROR((Data_Entry!G81/Data_Entry!$V81/D$2),"")</f>
        <v>1.06785416418444</v>
      </c>
      <c r="E83" s="99">
        <f>IFERROR((Data_Entry!H81/Data_Entry!$V81/E$2),"")</f>
        <v>1.06530101615292</v>
      </c>
      <c r="F83" s="99">
        <f>IFERROR((Data_Entry!I81/Data_Entry!$V81/F$2),"")</f>
        <v>1.06888467393339</v>
      </c>
      <c r="G83" s="99">
        <f>IFERROR((Data_Entry!J81/Data_Entry!$V81/G$2),"")</f>
        <v>1.06505865210065</v>
      </c>
      <c r="H83" s="99">
        <f>IFERROR((Data_Entry!K81/Data_Entry!$V81/H$2),"")</f>
        <v>1.06410214664246</v>
      </c>
      <c r="I83" s="99">
        <f>IFERROR((Data_Entry!L81/Data_Entry!$V81/I$2),"")</f>
        <v>1.07460335550255</v>
      </c>
    </row>
    <row r="84" ht="15" spans="1:9">
      <c r="A84" s="98">
        <v>45827</v>
      </c>
      <c r="B84" s="25">
        <v>45827</v>
      </c>
      <c r="C84" s="99">
        <f>IFERROR((Data_Entry!F82/Data_Entry!$V82/C$2),"")</f>
        <v>1.0297328817971</v>
      </c>
      <c r="D84" s="99">
        <f>IFERROR((Data_Entry!G82/Data_Entry!$V82/D$2),"")</f>
        <v>1.02421947318736</v>
      </c>
      <c r="E84" s="99">
        <f>IFERROR((Data_Entry!H82/Data_Entry!$V82/E$2),"")</f>
        <v>1.02088994720875</v>
      </c>
      <c r="F84" s="99">
        <f>IFERROR((Data_Entry!I82/Data_Entry!$V82/F$2),"")</f>
        <v>1.0224256696634</v>
      </c>
      <c r="G84" s="99">
        <f>IFERROR((Data_Entry!J82/Data_Entry!$V82/G$2),"")</f>
        <v>1.01824095828384</v>
      </c>
      <c r="H84" s="99">
        <f>IFERROR((Data_Entry!K82/Data_Entry!$V82/H$2),"")</f>
        <v>1.0162136676646</v>
      </c>
      <c r="I84" s="99">
        <f>IFERROR((Data_Entry!L82/Data_Entry!$V82/I$2),"")</f>
        <v>1.02048056650171</v>
      </c>
    </row>
    <row r="85" ht="15" spans="1:9">
      <c r="A85" s="98">
        <v>45828</v>
      </c>
      <c r="B85" s="25">
        <v>45828</v>
      </c>
      <c r="C85" s="99">
        <f>IFERROR((Data_Entry!F83/Data_Entry!$V83/C$2),"")</f>
        <v>1.03913724213505</v>
      </c>
      <c r="D85" s="99">
        <f>IFERROR((Data_Entry!G83/Data_Entry!$V83/D$2),"")</f>
        <v>1.03350153744262</v>
      </c>
      <c r="E85" s="99">
        <f>IFERROR((Data_Entry!H83/Data_Entry!$V83/E$2),"")</f>
        <v>1.02920134093412</v>
      </c>
      <c r="F85" s="99">
        <f>IFERROR((Data_Entry!I83/Data_Entry!$V83/F$2),"")</f>
        <v>1.02860214069954</v>
      </c>
      <c r="G85" s="99">
        <f>IFERROR((Data_Entry!J83/Data_Entry!$V83/G$2),"")</f>
        <v>1.02437521017609</v>
      </c>
      <c r="H85" s="99">
        <f>IFERROR((Data_Entry!K83/Data_Entry!$V83/H$2),"")</f>
        <v>1.02119832410231</v>
      </c>
      <c r="I85" s="99">
        <f>IFERROR((Data_Entry!L83/Data_Entry!$V83/I$2),"")</f>
        <v>1.02554564188749</v>
      </c>
    </row>
    <row r="86" ht="15" spans="1:9">
      <c r="A86" s="98">
        <v>45829</v>
      </c>
      <c r="B86" s="25">
        <v>45829</v>
      </c>
      <c r="C86" s="99">
        <f>IFERROR((Data_Entry!F84/Data_Entry!$V84/C$2),"")</f>
        <v>1.00219222817457</v>
      </c>
      <c r="D86" s="99">
        <f>IFERROR((Data_Entry!G84/Data_Entry!$V84/D$2),"")</f>
        <v>0.996609558579439</v>
      </c>
      <c r="E86" s="99">
        <f>IFERROR((Data_Entry!H84/Data_Entry!$V84/E$2),"")</f>
        <v>0.995448063563002</v>
      </c>
      <c r="F86" s="99">
        <f>IFERROR((Data_Entry!I84/Data_Entry!$V84/F$2),"")</f>
        <v>0.998220257313664</v>
      </c>
      <c r="G86" s="99">
        <f>IFERROR((Data_Entry!J84/Data_Entry!$V84/G$2),"")</f>
        <v>0.995595083093484</v>
      </c>
      <c r="H86" s="99">
        <f>IFERROR((Data_Entry!K84/Data_Entry!$V84/H$2),"")</f>
        <v>0.992781756454792</v>
      </c>
      <c r="I86" s="99">
        <f>IFERROR((Data_Entry!L84/Data_Entry!$V84/I$2),"")</f>
        <v>0.999671718827893</v>
      </c>
    </row>
    <row r="87" ht="15" spans="1:9">
      <c r="A87" s="98">
        <v>45830</v>
      </c>
      <c r="B87" s="25">
        <v>45830</v>
      </c>
      <c r="C87" s="99">
        <f>IFERROR((Data_Entry!F85/Data_Entry!$V85/C$2),"")</f>
        <v>1.11902228321083</v>
      </c>
      <c r="D87" s="99">
        <f>IFERROR((Data_Entry!G85/Data_Entry!$V85/D$2),"")</f>
        <v>1.10666250337241</v>
      </c>
      <c r="E87" s="99">
        <f>IFERROR((Data_Entry!H85/Data_Entry!$V85/E$2),"")</f>
        <v>1.10106465294697</v>
      </c>
      <c r="F87" s="99">
        <f>IFERROR((Data_Entry!I85/Data_Entry!$V85/F$2),"")</f>
        <v>1.10080935940942</v>
      </c>
      <c r="G87" s="99">
        <f>IFERROR((Data_Entry!J85/Data_Entry!$V85/G$2),"")</f>
        <v>1.09344082873373</v>
      </c>
      <c r="H87" s="99">
        <f>IFERROR((Data_Entry!K85/Data_Entry!$V85/H$2),"")</f>
        <v>1.08874134361391</v>
      </c>
      <c r="I87" s="99">
        <f>IFERROR((Data_Entry!L85/Data_Entry!$V85/I$2),"")</f>
        <v>1.09696134894545</v>
      </c>
    </row>
    <row r="88" ht="15" spans="1:9">
      <c r="A88" s="98">
        <v>45831</v>
      </c>
      <c r="B88" s="25">
        <v>45831</v>
      </c>
      <c r="C88" s="99">
        <f>IFERROR((Data_Entry!F86/Data_Entry!$V86/C$2),"")</f>
        <v>1.14798534297707</v>
      </c>
      <c r="D88" s="99">
        <f>IFERROR((Data_Entry!G86/Data_Entry!$V86/D$2),"")</f>
        <v>1.13497196141203</v>
      </c>
      <c r="E88" s="99">
        <f>IFERROR((Data_Entry!H86/Data_Entry!$V86/E$2),"")</f>
        <v>1.13231068825895</v>
      </c>
      <c r="F88" s="99">
        <f>IFERROR((Data_Entry!I86/Data_Entry!$V86/F$2),"")</f>
        <v>1.13118864369461</v>
      </c>
      <c r="G88" s="99">
        <f>IFERROR((Data_Entry!J86/Data_Entry!$V86/G$2),"")</f>
        <v>1.12301480911994</v>
      </c>
      <c r="H88" s="99">
        <f>IFERROR((Data_Entry!K86/Data_Entry!$V86/H$2),"")</f>
        <v>1.11832069269278</v>
      </c>
      <c r="I88" s="99">
        <f>IFERROR((Data_Entry!L86/Data_Entry!$V86/I$2),"")</f>
        <v>1.12532683661392</v>
      </c>
    </row>
    <row r="89" ht="15" spans="1:9">
      <c r="A89" s="98">
        <v>45832</v>
      </c>
      <c r="B89" s="25">
        <v>45832</v>
      </c>
      <c r="C89" s="99">
        <f>IFERROR((Data_Entry!F87/Data_Entry!$V87/C$2),"")</f>
        <v>1.0313320802161</v>
      </c>
      <c r="D89" s="99">
        <f>IFERROR((Data_Entry!G87/Data_Entry!$V87/D$2),"")</f>
        <v>1.02418548861791</v>
      </c>
      <c r="E89" s="99">
        <f>IFERROR((Data_Entry!H87/Data_Entry!$V87/E$2),"")</f>
        <v>1.02151802052528</v>
      </c>
      <c r="F89" s="99">
        <f>IFERROR((Data_Entry!I87/Data_Entry!$V87/F$2),"")</f>
        <v>1.02291409214115</v>
      </c>
      <c r="G89" s="99">
        <f>IFERROR((Data_Entry!J87/Data_Entry!$V87/G$2),"")</f>
        <v>1.01653536409354</v>
      </c>
      <c r="H89" s="99">
        <f>IFERROR((Data_Entry!K87/Data_Entry!$V87/H$2),"")</f>
        <v>1.01319716308196</v>
      </c>
      <c r="I89" s="99">
        <f>IFERROR((Data_Entry!L87/Data_Entry!$V87/I$2),"")</f>
        <v>1.01980977782465</v>
      </c>
    </row>
    <row r="90" ht="15" spans="1:9">
      <c r="A90" s="98">
        <v>45833</v>
      </c>
      <c r="B90" s="25">
        <v>45833</v>
      </c>
      <c r="C90" s="99">
        <f>IFERROR((Data_Entry!F88/Data_Entry!$V88/C$2),"")</f>
        <v>1.13087851955608</v>
      </c>
      <c r="D90" s="99">
        <f>IFERROR((Data_Entry!G88/Data_Entry!$V88/D$2),"")</f>
        <v>1.12046527351965</v>
      </c>
      <c r="E90" s="99">
        <f>IFERROR((Data_Entry!H88/Data_Entry!$V88/E$2),"")</f>
        <v>1.12053792407339</v>
      </c>
      <c r="F90" s="99">
        <f>IFERROR((Data_Entry!I88/Data_Entry!$V88/F$2),"")</f>
        <v>1.12182984044212</v>
      </c>
      <c r="G90" s="99">
        <f>IFERROR((Data_Entry!J88/Data_Entry!$V88/G$2),"")</f>
        <v>1.11705806783978</v>
      </c>
      <c r="H90" s="99">
        <f>IFERROR((Data_Entry!K88/Data_Entry!$V88/H$2),"")</f>
        <v>1.11332867274767</v>
      </c>
      <c r="I90" s="99">
        <f>IFERROR((Data_Entry!L88/Data_Entry!$V88/I$2),"")</f>
        <v>1.12685641643584</v>
      </c>
    </row>
    <row r="91" ht="15" spans="1:9">
      <c r="A91" s="98">
        <v>45834</v>
      </c>
      <c r="B91" s="25">
        <v>45834</v>
      </c>
      <c r="C91" s="99">
        <f>IFERROR((Data_Entry!F89/Data_Entry!$V89/C$2),"")</f>
        <v>1.19610730030127</v>
      </c>
      <c r="D91" s="99">
        <f>IFERROR((Data_Entry!G89/Data_Entry!$V89/D$2),"")</f>
        <v>1.18593726064237</v>
      </c>
      <c r="E91" s="99">
        <f>IFERROR((Data_Entry!H89/Data_Entry!$V89/E$2),"")</f>
        <v>1.18410750455311</v>
      </c>
      <c r="F91" s="99">
        <f>IFERROR((Data_Entry!I89/Data_Entry!$V89/F$2),"")</f>
        <v>1.18533412567261</v>
      </c>
      <c r="G91" s="99">
        <f>IFERROR((Data_Entry!J89/Data_Entry!$V89/G$2),"")</f>
        <v>1.17762102846723</v>
      </c>
      <c r="H91" s="99">
        <f>IFERROR((Data_Entry!K89/Data_Entry!$V89/H$2),"")</f>
        <v>1.17324552477553</v>
      </c>
      <c r="I91" s="99">
        <f>IFERROR((Data_Entry!L89/Data_Entry!$V89/I$2),"")</f>
        <v>1.1812231873204</v>
      </c>
    </row>
    <row r="92" ht="15" spans="1:9">
      <c r="A92" s="98">
        <v>45835</v>
      </c>
      <c r="B92" s="25">
        <v>45835</v>
      </c>
      <c r="C92" s="99">
        <f>IFERROR((Data_Entry!F90/Data_Entry!$V90/C$2),"")</f>
        <v>1.1538465666906</v>
      </c>
      <c r="D92" s="99">
        <f>IFERROR((Data_Entry!G90/Data_Entry!$V90/D$2),"")</f>
        <v>1.14142201298165</v>
      </c>
      <c r="E92" s="99">
        <f>IFERROR((Data_Entry!H90/Data_Entry!$V90/E$2),"")</f>
        <v>1.14182453631995</v>
      </c>
      <c r="F92" s="99">
        <f>IFERROR((Data_Entry!I90/Data_Entry!$V90/F$2),"")</f>
        <v>1.14333662399079</v>
      </c>
      <c r="G92" s="99">
        <f>IFERROR((Data_Entry!J90/Data_Entry!$V90/G$2),"")</f>
        <v>0.737471758612564</v>
      </c>
      <c r="H92" s="99">
        <f>IFERROR((Data_Entry!K90/Data_Entry!$V90/H$2),"")</f>
        <v>1.13617520877194</v>
      </c>
      <c r="I92" s="99">
        <f>IFERROR((Data_Entry!L90/Data_Entry!$V90/I$2),"")</f>
        <v>1.1462371254952</v>
      </c>
    </row>
    <row r="93" ht="15" spans="1:9">
      <c r="A93" s="98">
        <v>45836</v>
      </c>
      <c r="B93" s="25">
        <v>45836</v>
      </c>
      <c r="C93" s="99">
        <f>IFERROR((Data_Entry!F91/Data_Entry!$V91/C$2),"")</f>
        <v>1.15838310699873</v>
      </c>
      <c r="D93" s="99">
        <f>IFERROR((Data_Entry!G91/Data_Entry!$V91/D$2),"")</f>
        <v>1.15066260106783</v>
      </c>
      <c r="E93" s="99">
        <f>IFERROR((Data_Entry!H91/Data_Entry!$V91/E$2),"")</f>
        <v>1.14819150487888</v>
      </c>
      <c r="F93" s="99">
        <f>IFERROR((Data_Entry!I91/Data_Entry!$V91/F$2),"")</f>
        <v>1.14846910393371</v>
      </c>
      <c r="G93" s="99">
        <f>IFERROR((Data_Entry!J91/Data_Entry!$V91/G$2),"")</f>
        <v>1.14015158580957</v>
      </c>
      <c r="H93" s="99">
        <f>IFERROR((Data_Entry!K91/Data_Entry!$V91/H$2),"")</f>
        <v>1.13634418119975</v>
      </c>
      <c r="I93" s="99">
        <f>IFERROR((Data_Entry!L91/Data_Entry!$V91/I$2),"")</f>
        <v>1.14294964490203</v>
      </c>
    </row>
    <row r="94" ht="15" spans="1:9">
      <c r="A94" s="98">
        <v>45837</v>
      </c>
      <c r="B94" s="25">
        <v>45837</v>
      </c>
      <c r="C94" s="99">
        <f>IFERROR((Data_Entry!F92/Data_Entry!$V92/C$2),"")</f>
        <v>1.01845153596324</v>
      </c>
      <c r="D94" s="99">
        <f>IFERROR((Data_Entry!G92/Data_Entry!$V92/D$2),"")</f>
        <v>1.01184755029279</v>
      </c>
      <c r="E94" s="99">
        <f>IFERROR((Data_Entry!H92/Data_Entry!$V92/E$2),"")</f>
        <v>1.00927474754201</v>
      </c>
      <c r="F94" s="99">
        <f>IFERROR((Data_Entry!I92/Data_Entry!$V92/F$2),"")</f>
        <v>1.0093085451136</v>
      </c>
      <c r="G94" s="99">
        <f>IFERROR((Data_Entry!J92/Data_Entry!$V92/G$2),"")</f>
        <v>0</v>
      </c>
      <c r="H94" s="99">
        <f>IFERROR((Data_Entry!K92/Data_Entry!$V92/H$2),"")</f>
        <v>0.999017334110482</v>
      </c>
      <c r="I94" s="99">
        <f>IFERROR((Data_Entry!L92/Data_Entry!$V92/I$2),"")</f>
        <v>1.00112953278823</v>
      </c>
    </row>
    <row r="95" ht="15" spans="1:9">
      <c r="A95" s="98">
        <v>45838</v>
      </c>
      <c r="B95" s="25">
        <v>45838</v>
      </c>
      <c r="C95" s="99">
        <f>IFERROR((Data_Entry!F93/Data_Entry!$V93/C$2),"")</f>
        <v>1.04001233520931</v>
      </c>
      <c r="D95" s="99">
        <f>IFERROR((Data_Entry!G93/Data_Entry!$V93/D$2),"")</f>
        <v>1.0287284221445</v>
      </c>
      <c r="E95" s="99">
        <f>IFERROR((Data_Entry!H93/Data_Entry!$V93/E$2),"")</f>
        <v>1.02502552313669</v>
      </c>
      <c r="F95" s="99">
        <f>IFERROR((Data_Entry!I93/Data_Entry!$V93/F$2),"")</f>
        <v>1.02552069890581</v>
      </c>
      <c r="G95" s="99">
        <f>IFERROR((Data_Entry!J93/Data_Entry!$V93/G$2),"")</f>
        <v>0.141586750376257</v>
      </c>
      <c r="H95" s="99">
        <f>IFERROR((Data_Entry!K93/Data_Entry!$V93/H$2),"")</f>
        <v>1.01958773138294</v>
      </c>
      <c r="I95" s="99">
        <f>IFERROR((Data_Entry!L93/Data_Entry!$V93/I$2),"")</f>
        <v>1.0296324353435</v>
      </c>
    </row>
    <row r="96" ht="15" spans="1:9">
      <c r="A96" s="98">
        <v>45839</v>
      </c>
      <c r="B96" s="25">
        <v>45839</v>
      </c>
      <c r="C96" s="99">
        <f>IFERROR((Data_Entry!F94/Data_Entry!$V94/C$2),"")</f>
        <v>0.952633688246699</v>
      </c>
      <c r="D96" s="99">
        <f>IFERROR((Data_Entry!G94/Data_Entry!$V94/D$2),"")</f>
        <v>0.9477229035194</v>
      </c>
      <c r="E96" s="99">
        <f>IFERROR((Data_Entry!H94/Data_Entry!$V94/E$2),"")</f>
        <v>0.948315710617629</v>
      </c>
      <c r="F96" s="99">
        <f>IFERROR((Data_Entry!I94/Data_Entry!$V94/F$2),"")</f>
        <v>0.950872131566188</v>
      </c>
      <c r="G96" s="99">
        <f>IFERROR((Data_Entry!J94/Data_Entry!$V94/G$2),"")</f>
        <v>0.864165104292747</v>
      </c>
      <c r="H96" s="99">
        <f>IFERROR((Data_Entry!K94/Data_Entry!$V94/H$2),"")</f>
        <v>0.942520647347133</v>
      </c>
      <c r="I96" s="99">
        <f>IFERROR((Data_Entry!L94/Data_Entry!$V94/I$2),"")</f>
        <v>0.948582998842273</v>
      </c>
    </row>
    <row r="97" ht="15" spans="1:9">
      <c r="A97" s="98">
        <v>45840</v>
      </c>
      <c r="B97" s="25">
        <v>45840</v>
      </c>
      <c r="C97" s="99">
        <f>IFERROR((Data_Entry!F95/Data_Entry!$V95/C$2),"")</f>
        <v>1.10981642625244</v>
      </c>
      <c r="D97" s="99">
        <f>IFERROR((Data_Entry!G95/Data_Entry!$V95/D$2),"")</f>
        <v>1.10143575390038</v>
      </c>
      <c r="E97" s="99">
        <f>IFERROR((Data_Entry!H95/Data_Entry!$V95/E$2),"")</f>
        <v>1.09844025253759</v>
      </c>
      <c r="F97" s="99">
        <f>IFERROR((Data_Entry!I95/Data_Entry!$V95/F$2),"")</f>
        <v>1.09892462525429</v>
      </c>
      <c r="G97" s="99">
        <f>IFERROR((Data_Entry!J95/Data_Entry!$V95/G$2),"")</f>
        <v>1.04169986668482</v>
      </c>
      <c r="H97" s="99">
        <f>IFERROR((Data_Entry!K95/Data_Entry!$V95/H$2),"")</f>
        <v>1.08393833827028</v>
      </c>
      <c r="I97" s="99">
        <f>IFERROR((Data_Entry!L95/Data_Entry!$V95/I$2),"")</f>
        <v>1.09103710578902</v>
      </c>
    </row>
    <row r="98" ht="15" spans="1:9">
      <c r="A98" s="98">
        <v>45841</v>
      </c>
      <c r="B98" s="25">
        <v>45841</v>
      </c>
      <c r="C98" s="99">
        <f>IFERROR((Data_Entry!F96/Data_Entry!$V96/C$2),"")</f>
        <v>1.11413964327106</v>
      </c>
      <c r="D98" s="99">
        <f>IFERROR((Data_Entry!G96/Data_Entry!$V96/D$2),"")</f>
        <v>1.10334679022872</v>
      </c>
      <c r="E98" s="99">
        <f>IFERROR((Data_Entry!H96/Data_Entry!$V96/E$2),"")</f>
        <v>1.10000061894498</v>
      </c>
      <c r="F98" s="99">
        <f>IFERROR((Data_Entry!I96/Data_Entry!$V96/F$2),"")</f>
        <v>1.10159087023866</v>
      </c>
      <c r="G98" s="99">
        <f>IFERROR((Data_Entry!J96/Data_Entry!$V96/G$2),"")</f>
        <v>1.045070093164</v>
      </c>
      <c r="H98" s="99">
        <f>IFERROR((Data_Entry!K96/Data_Entry!$V96/H$2),"")</f>
        <v>1.08814059039143</v>
      </c>
      <c r="I98" s="99">
        <f>IFERROR((Data_Entry!L96/Data_Entry!$V96/I$2),"")</f>
        <v>1.09383892078063</v>
      </c>
    </row>
    <row r="99" ht="15" spans="1:9">
      <c r="A99" s="98">
        <v>45842</v>
      </c>
      <c r="B99" s="25">
        <v>45842</v>
      </c>
      <c r="C99" s="99">
        <f>IFERROR((Data_Entry!F97/Data_Entry!$V97/C$2),"")</f>
        <v>1.05704489190728</v>
      </c>
      <c r="D99" s="99">
        <f>IFERROR((Data_Entry!G97/Data_Entry!$V97/D$2),"")</f>
        <v>1.05390735665965</v>
      </c>
      <c r="E99" s="99">
        <f>IFERROR((Data_Entry!H97/Data_Entry!$V97/E$2),"")</f>
        <v>1.04625547744814</v>
      </c>
      <c r="F99" s="99">
        <f>IFERROR((Data_Entry!I97/Data_Entry!$V97/F$2),"")</f>
        <v>1.05386188513432</v>
      </c>
      <c r="G99" s="99">
        <f>IFERROR((Data_Entry!J97/Data_Entry!$V97/G$2),"")</f>
        <v>0.995814892903046</v>
      </c>
      <c r="H99" s="99">
        <f>IFERROR((Data_Entry!K97/Data_Entry!$V97/H$2),"")</f>
        <v>1.03695683831304</v>
      </c>
      <c r="I99" s="99">
        <f>IFERROR((Data_Entry!L97/Data_Entry!$V97/I$2),"")</f>
        <v>1.04593487441513</v>
      </c>
    </row>
    <row r="100" ht="15" spans="1:9">
      <c r="A100" s="98">
        <v>45843</v>
      </c>
      <c r="B100" s="25">
        <v>45843</v>
      </c>
      <c r="C100" s="99">
        <f>IFERROR((Data_Entry!F98/Data_Entry!$V98/C$2),"")</f>
        <v>1.14884923944557</v>
      </c>
      <c r="D100" s="99">
        <f>IFERROR((Data_Entry!G98/Data_Entry!$V98/D$2),"")</f>
        <v>1.13467572183168</v>
      </c>
      <c r="E100" s="99">
        <f>IFERROR((Data_Entry!H98/Data_Entry!$V98/E$2),"")</f>
        <v>1.13283887366456</v>
      </c>
      <c r="F100" s="99">
        <f>IFERROR((Data_Entry!I98/Data_Entry!$V98/F$2),"")</f>
        <v>1.13411020570973</v>
      </c>
      <c r="G100" s="99">
        <f>IFERROR((Data_Entry!J98/Data_Entry!$V98/G$2),"")</f>
        <v>1.07337550097821</v>
      </c>
      <c r="H100" s="99">
        <f>IFERROR((Data_Entry!K98/Data_Entry!$V98/H$2),"")</f>
        <v>1.11746633236462</v>
      </c>
      <c r="I100" s="99">
        <f>IFERROR((Data_Entry!L98/Data_Entry!$V98/I$2),"")</f>
        <v>1.12375823883602</v>
      </c>
    </row>
    <row r="101" ht="15" spans="1:9">
      <c r="A101" s="98">
        <v>45844</v>
      </c>
      <c r="B101" s="25">
        <v>45844</v>
      </c>
      <c r="C101" s="99">
        <f>IFERROR((Data_Entry!F99/Data_Entry!$V99/C$2),"")</f>
        <v>1.09951606600368</v>
      </c>
      <c r="D101" s="99">
        <f>IFERROR((Data_Entry!G99/Data_Entry!$V99/D$2),"")</f>
        <v>1.0887743240265</v>
      </c>
      <c r="E101" s="99">
        <f>IFERROR((Data_Entry!H99/Data_Entry!$V99/E$2),"")</f>
        <v>1.08423686405338</v>
      </c>
      <c r="F101" s="99">
        <f>IFERROR((Data_Entry!I99/Data_Entry!$V99/F$2),"")</f>
        <v>1.08526621389052</v>
      </c>
      <c r="G101" s="99">
        <f>IFERROR((Data_Entry!J99/Data_Entry!$V99/G$2),"")</f>
        <v>1.03148637552824</v>
      </c>
      <c r="H101" s="99">
        <f>IFERROR((Data_Entry!K99/Data_Entry!$V99/H$2),"")</f>
        <v>1.07366287791667</v>
      </c>
      <c r="I101" s="99">
        <f>IFERROR((Data_Entry!L99/Data_Entry!$V99/I$2),"")</f>
        <v>1.08243181120989</v>
      </c>
    </row>
    <row r="102" ht="15" spans="1:9">
      <c r="A102" s="98">
        <v>45845</v>
      </c>
      <c r="B102" s="25">
        <v>45845</v>
      </c>
      <c r="C102" s="99">
        <f>IFERROR((Data_Entry!F100/Data_Entry!$V100/C$2),"")</f>
        <v>1.09379777853506</v>
      </c>
      <c r="D102" s="99">
        <f>IFERROR((Data_Entry!G100/Data_Entry!$V100/D$2),"")</f>
        <v>1.08179976820511</v>
      </c>
      <c r="E102" s="99">
        <f>IFERROR((Data_Entry!H100/Data_Entry!$V100/E$2),"")</f>
        <v>1.07986258945392</v>
      </c>
      <c r="F102" s="99">
        <f>IFERROR((Data_Entry!I100/Data_Entry!$V100/F$2),"")</f>
        <v>1.08045125994867</v>
      </c>
      <c r="G102" s="99">
        <f>IFERROR((Data_Entry!J100/Data_Entry!$V100/G$2),"")</f>
        <v>1.02621750009066</v>
      </c>
      <c r="H102" s="99">
        <f>IFERROR((Data_Entry!K100/Data_Entry!$V100/H$2),"")</f>
        <v>1.06901475070602</v>
      </c>
      <c r="I102" s="99">
        <f>IFERROR((Data_Entry!L100/Data_Entry!$V100/I$2),"")</f>
        <v>1.07401573297066</v>
      </c>
    </row>
    <row r="103" ht="15" spans="1:9">
      <c r="A103" s="98">
        <v>45846</v>
      </c>
      <c r="B103" s="25">
        <v>45846</v>
      </c>
      <c r="C103" s="99">
        <f>IFERROR((Data_Entry!F101/Data_Entry!$V101/C$2),"")</f>
        <v>1.06023787828613</v>
      </c>
      <c r="D103" s="99">
        <f>IFERROR((Data_Entry!G101/Data_Entry!$V101/D$2),"")</f>
        <v>1.05366571787284</v>
      </c>
      <c r="E103" s="99">
        <f>IFERROR((Data_Entry!H101/Data_Entry!$V101/E$2),"")</f>
        <v>1.04993442679949</v>
      </c>
      <c r="F103" s="99">
        <f>IFERROR((Data_Entry!I101/Data_Entry!$V101/F$2),"")</f>
        <v>1.04814805276289</v>
      </c>
      <c r="G103" s="99">
        <f>IFERROR((Data_Entry!J101/Data_Entry!$V101/G$2),"")</f>
        <v>0.993040533785522</v>
      </c>
      <c r="H103" s="99">
        <f>IFERROR((Data_Entry!K101/Data_Entry!$V101/H$2),"")</f>
        <v>1.03285787086448</v>
      </c>
      <c r="I103" s="99">
        <f>IFERROR((Data_Entry!L101/Data_Entry!$V101/I$2),"")</f>
        <v>1.03691362203116</v>
      </c>
    </row>
    <row r="104" ht="15" spans="1:9">
      <c r="A104" s="98">
        <v>45847</v>
      </c>
      <c r="B104" s="25">
        <v>45847</v>
      </c>
      <c r="C104" s="99">
        <f>IFERROR((Data_Entry!F102/Data_Entry!$V102/C$2),"")</f>
        <v>0.995900969610945</v>
      </c>
      <c r="D104" s="99">
        <f>IFERROR((Data_Entry!G102/Data_Entry!$V102/D$2),"")</f>
        <v>0.993034144301505</v>
      </c>
      <c r="E104" s="99">
        <f>IFERROR((Data_Entry!H102/Data_Entry!$V102/E$2),"")</f>
        <v>0.991597788294311</v>
      </c>
      <c r="F104" s="99">
        <f>IFERROR((Data_Entry!I102/Data_Entry!$V102/F$2),"")</f>
        <v>0.99172908740901</v>
      </c>
      <c r="G104" s="99">
        <f>IFERROR((Data_Entry!J102/Data_Entry!$V102/G$2),"")</f>
        <v>0.941485804738263</v>
      </c>
      <c r="H104" s="99">
        <f>IFERROR((Data_Entry!K102/Data_Entry!$V102/H$2),"")</f>
        <v>0.977652184273644</v>
      </c>
      <c r="I104" s="99">
        <f>IFERROR((Data_Entry!L102/Data_Entry!$V102/I$2),"")</f>
        <v>0.981835839885475</v>
      </c>
    </row>
    <row r="105" ht="15" spans="1:9">
      <c r="A105" s="98">
        <v>45848</v>
      </c>
      <c r="B105" s="25">
        <v>45848</v>
      </c>
      <c r="C105" s="99">
        <f>IFERROR((Data_Entry!F103/Data_Entry!$V103/C$2),"")</f>
        <v>1.04825568333716</v>
      </c>
      <c r="D105" s="99">
        <f>IFERROR((Data_Entry!G103/Data_Entry!$V103/D$2),"")</f>
        <v>1.04034219466234</v>
      </c>
      <c r="E105" s="99">
        <f>IFERROR((Data_Entry!H103/Data_Entry!$V103/E$2),"")</f>
        <v>1.03917147255501</v>
      </c>
      <c r="F105" s="99">
        <f>IFERROR((Data_Entry!I103/Data_Entry!$V103/F$2),"")</f>
        <v>1.03834352654075</v>
      </c>
      <c r="G105" s="99">
        <f>IFERROR((Data_Entry!J103/Data_Entry!$V103/G$2),"")</f>
        <v>0.983954238721487</v>
      </c>
      <c r="H105" s="99">
        <f>IFERROR((Data_Entry!K103/Data_Entry!$V103/H$2),"")</f>
        <v>1.02148950954385</v>
      </c>
      <c r="I105" s="99">
        <f>IFERROR((Data_Entry!L103/Data_Entry!$V103/I$2),"")</f>
        <v>1.02725871468913</v>
      </c>
    </row>
    <row r="106" ht="15" spans="1:9">
      <c r="A106" s="98">
        <v>45849</v>
      </c>
      <c r="B106" s="25">
        <v>45849</v>
      </c>
      <c r="C106" s="99">
        <f>IFERROR((Data_Entry!F104/Data_Entry!$V104/C$2),"")</f>
        <v>1.1333172665533</v>
      </c>
      <c r="D106" s="99">
        <f>IFERROR((Data_Entry!G104/Data_Entry!$V104/D$2),"")</f>
        <v>1.1217861926786</v>
      </c>
      <c r="E106" s="99">
        <f>IFERROR((Data_Entry!H104/Data_Entry!$V104/E$2),"")</f>
        <v>1.11937166253263</v>
      </c>
      <c r="F106" s="99">
        <f>IFERROR((Data_Entry!I104/Data_Entry!$V104/F$2),"")</f>
        <v>1.11816783137086</v>
      </c>
      <c r="G106" s="99">
        <f>IFERROR((Data_Entry!J104/Data_Entry!$V104/G$2),"")</f>
        <v>1.05965202195757</v>
      </c>
      <c r="H106" s="99">
        <f>IFERROR((Data_Entry!K104/Data_Entry!$V104/H$2),"")</f>
        <v>1.10310179117519</v>
      </c>
      <c r="I106" s="99">
        <f>IFERROR((Data_Entry!L104/Data_Entry!$V104/I$2),"")</f>
        <v>1.10720286228862</v>
      </c>
    </row>
    <row r="107" ht="15" spans="1:9">
      <c r="A107" s="98">
        <v>45850</v>
      </c>
      <c r="B107" s="25">
        <v>45850</v>
      </c>
      <c r="C107" s="99">
        <f>IFERROR((Data_Entry!F105/Data_Entry!$V105/C$2),"")</f>
        <v>1.10258397971788</v>
      </c>
      <c r="D107" s="99">
        <f>IFERROR((Data_Entry!G105/Data_Entry!$V105/D$2),"")</f>
        <v>1.09563122976199</v>
      </c>
      <c r="E107" s="99">
        <f>IFERROR((Data_Entry!H105/Data_Entry!$V105/E$2),"")</f>
        <v>1.09354238839781</v>
      </c>
      <c r="F107" s="99">
        <f>IFERROR((Data_Entry!I105/Data_Entry!$V105/F$2),"")</f>
        <v>1.0939207470439</v>
      </c>
      <c r="G107" s="99">
        <f>IFERROR((Data_Entry!J105/Data_Entry!$V105/G$2),"")</f>
        <v>1.04121479748206</v>
      </c>
      <c r="H107" s="99">
        <f>IFERROR((Data_Entry!K105/Data_Entry!$V105/H$2),"")</f>
        <v>1.07269266307504</v>
      </c>
      <c r="I107" s="99">
        <f>IFERROR((Data_Entry!L105/Data_Entry!$V105/I$2),"")</f>
        <v>1.09881121287159</v>
      </c>
    </row>
    <row r="108" ht="15" spans="1:9">
      <c r="A108" s="98">
        <v>45851</v>
      </c>
      <c r="B108" s="25">
        <v>45851</v>
      </c>
      <c r="C108" s="99">
        <f>IFERROR((Data_Entry!F106/Data_Entry!$V106/C$2),"")</f>
        <v>0.944006692810375</v>
      </c>
      <c r="D108" s="99">
        <f>IFERROR((Data_Entry!G106/Data_Entry!$V106/D$2),"")</f>
        <v>0.934353220311341</v>
      </c>
      <c r="E108" s="99">
        <f>IFERROR((Data_Entry!H106/Data_Entry!$V106/E$2),"")</f>
        <v>0.940122543188775</v>
      </c>
      <c r="F108" s="99">
        <f>IFERROR((Data_Entry!I106/Data_Entry!$V106/F$2),"")</f>
        <v>0.942302227706418</v>
      </c>
      <c r="G108" s="99">
        <f>IFERROR((Data_Entry!J106/Data_Entry!$V106/G$2),"")</f>
        <v>0.89898734421645</v>
      </c>
      <c r="H108" s="99">
        <f>IFERROR((Data_Entry!K106/Data_Entry!$V106/H$2),"")</f>
        <v>0.899484291634113</v>
      </c>
      <c r="I108" s="99">
        <f>IFERROR((Data_Entry!L106/Data_Entry!$V106/I$2),"")</f>
        <v>0.947087121413625</v>
      </c>
    </row>
    <row r="109" ht="15" spans="1:9">
      <c r="A109" s="98">
        <v>45852</v>
      </c>
      <c r="B109" s="25">
        <v>45852</v>
      </c>
      <c r="C109" s="99">
        <f>IFERROR((Data_Entry!F107/Data_Entry!$V107/C$2),"")</f>
        <v>1.07966376800503</v>
      </c>
      <c r="D109" s="99">
        <f>IFERROR((Data_Entry!G107/Data_Entry!$V107/D$2),"")</f>
        <v>1.07776495474882</v>
      </c>
      <c r="E109" s="99">
        <f>IFERROR((Data_Entry!H107/Data_Entry!$V107/E$2),"")</f>
        <v>1.07586614149261</v>
      </c>
      <c r="F109" s="99">
        <f>IFERROR((Data_Entry!I107/Data_Entry!$V107/F$2),"")</f>
        <v>1.07884229336863</v>
      </c>
      <c r="G109" s="99">
        <f>IFERROR((Data_Entry!J107/Data_Entry!$V107/G$2),"")</f>
        <v>1.02600449017343</v>
      </c>
      <c r="H109" s="99">
        <f>IFERROR((Data_Entry!K107/Data_Entry!$V107/H$2),"")</f>
        <v>1.06521343990736</v>
      </c>
      <c r="I109" s="99">
        <f>IFERROR((Data_Entry!L107/Data_Entry!$V107/I$2),"")</f>
        <v>1.06922722737129</v>
      </c>
    </row>
    <row r="110" ht="15" spans="1:9">
      <c r="A110" s="98">
        <v>45853</v>
      </c>
      <c r="B110" s="25">
        <v>45853</v>
      </c>
      <c r="C110" s="99">
        <f>IFERROR((Data_Entry!F108/Data_Entry!$V108/C$2),"")</f>
        <v>0.997465443561439</v>
      </c>
      <c r="D110" s="99">
        <f>IFERROR((Data_Entry!G108/Data_Entry!$V108/D$2),"")</f>
        <v>0.995905795193113</v>
      </c>
      <c r="E110" s="99">
        <f>IFERROR((Data_Entry!H108/Data_Entry!$V108/E$2),"")</f>
        <v>0.994825546938001</v>
      </c>
      <c r="F110" s="99">
        <f>IFERROR((Data_Entry!I108/Data_Entry!$V108/F$2),"")</f>
        <v>0.997819226949336</v>
      </c>
      <c r="G110" s="99">
        <f>IFERROR((Data_Entry!J108/Data_Entry!$V108/G$2),"")</f>
        <v>0.948258426375493</v>
      </c>
      <c r="H110" s="99">
        <f>IFERROR((Data_Entry!K108/Data_Entry!$V108/H$2),"")</f>
        <v>0.988287363133074</v>
      </c>
      <c r="I110" s="99">
        <f>IFERROR((Data_Entry!L108/Data_Entry!$V108/I$2),"")</f>
        <v>0.996107282197217</v>
      </c>
    </row>
    <row r="111" ht="15" spans="1:9">
      <c r="A111" s="98">
        <v>45854</v>
      </c>
      <c r="B111" s="25">
        <v>45854</v>
      </c>
      <c r="C111" s="99">
        <f>IFERROR((Data_Entry!F109/Data_Entry!$V109/C$2),"")</f>
        <v>0.951083856607964</v>
      </c>
      <c r="D111" s="99">
        <f>IFERROR((Data_Entry!G109/Data_Entry!$V109/D$2),"")</f>
        <v>0.949092793471087</v>
      </c>
      <c r="E111" s="99">
        <f>IFERROR((Data_Entry!H109/Data_Entry!$V109/E$2),"")</f>
        <v>0.948216091930712</v>
      </c>
      <c r="F111" s="99">
        <f>IFERROR((Data_Entry!I109/Data_Entry!$V109/F$2),"")</f>
        <v>0.948676027285707</v>
      </c>
      <c r="G111" s="99">
        <f>IFERROR((Data_Entry!J109/Data_Entry!$V109/G$2),"")</f>
        <v>0.905423274810268</v>
      </c>
      <c r="H111" s="99">
        <f>IFERROR((Data_Entry!K109/Data_Entry!$V109/H$2),"")</f>
        <v>0.944412382916486</v>
      </c>
      <c r="I111" s="99">
        <f>IFERROR((Data_Entry!L109/Data_Entry!$V109/I$2),"")</f>
        <v>0.952611310417962</v>
      </c>
    </row>
    <row r="112" ht="15" spans="1:9">
      <c r="A112" s="98">
        <v>45855</v>
      </c>
      <c r="B112" s="25">
        <v>45855</v>
      </c>
      <c r="C112" s="99">
        <f>IFERROR((Data_Entry!F110/Data_Entry!$V110/C$2),"")</f>
        <v>1.07076223629333</v>
      </c>
      <c r="D112" s="99">
        <f>IFERROR((Data_Entry!G110/Data_Entry!$V110/D$2),"")</f>
        <v>1.07136066038048</v>
      </c>
      <c r="E112" s="99">
        <f>IFERROR((Data_Entry!H110/Data_Entry!$V110/E$2),"")</f>
        <v>1.0686442184568</v>
      </c>
      <c r="F112" s="99">
        <f>IFERROR((Data_Entry!I110/Data_Entry!$V110/F$2),"")</f>
        <v>1.07426390884627</v>
      </c>
      <c r="G112" s="99">
        <f>IFERROR((Data_Entry!J110/Data_Entry!$V110/G$2),"")</f>
        <v>1.07063009770643</v>
      </c>
      <c r="H112" s="99">
        <f>IFERROR((Data_Entry!K110/Data_Entry!$V110/H$2),"")</f>
        <v>1.07034067912007</v>
      </c>
      <c r="I112" s="99">
        <f>IFERROR((Data_Entry!L110/Data_Entry!$V110/I$2),"")</f>
        <v>1.0802323632494</v>
      </c>
    </row>
    <row r="113" ht="15" spans="1:9">
      <c r="A113" s="98">
        <v>45856</v>
      </c>
      <c r="B113" s="25">
        <v>45856</v>
      </c>
      <c r="C113" s="99">
        <f>IFERROR((Data_Entry!F111/Data_Entry!$V111/C$2),"")</f>
        <v>0.940498463434243</v>
      </c>
      <c r="D113" s="99">
        <f>IFERROR((Data_Entry!G111/Data_Entry!$V111/D$2),"")</f>
        <v>0.938738094701397</v>
      </c>
      <c r="E113" s="99">
        <f>IFERROR((Data_Entry!H111/Data_Entry!$V111/E$2),"")</f>
        <v>0.93903327848282</v>
      </c>
      <c r="F113" s="99">
        <f>IFERROR((Data_Entry!I111/Data_Entry!$V111/F$2),"")</f>
        <v>0.942539781789881</v>
      </c>
      <c r="G113" s="99">
        <f>IFERROR((Data_Entry!J111/Data_Entry!$V111/G$2),"")</f>
        <v>0.938319937123288</v>
      </c>
      <c r="H113" s="99">
        <f>IFERROR((Data_Entry!K111/Data_Entry!$V111/H$2),"")</f>
        <v>0.933576462096606</v>
      </c>
      <c r="I113" s="99">
        <f>IFERROR((Data_Entry!L111/Data_Entry!$V111/I$2),"")</f>
        <v>0.939125917187345</v>
      </c>
    </row>
    <row r="114" ht="15" spans="1:9">
      <c r="A114" s="98">
        <v>45857</v>
      </c>
      <c r="B114" s="25">
        <v>45857</v>
      </c>
      <c r="C114" s="99">
        <f>IFERROR((Data_Entry!F112/Data_Entry!$V112/C$2),"")</f>
        <v>1.02411180392832</v>
      </c>
      <c r="D114" s="99">
        <f>IFERROR((Data_Entry!G112/Data_Entry!$V112/D$2),"")</f>
        <v>1.02058152516868</v>
      </c>
      <c r="E114" s="99">
        <f>IFERROR((Data_Entry!H112/Data_Entry!$V112/E$2),"")</f>
        <v>1.02325129848066</v>
      </c>
      <c r="F114" s="99">
        <f>IFERROR((Data_Entry!I112/Data_Entry!$V112/F$2),"")</f>
        <v>1.02602659642947</v>
      </c>
      <c r="G114" s="99">
        <f>IFERROR((Data_Entry!J112/Data_Entry!$V112/G$2),"")</f>
        <v>1.02409549557535</v>
      </c>
      <c r="H114" s="99">
        <f>IFERROR((Data_Entry!K112/Data_Entry!$V112/H$2),"")</f>
        <v>1.02114080574392</v>
      </c>
      <c r="I114" s="99">
        <f>IFERROR((Data_Entry!L112/Data_Entry!$V112/I$2),"")</f>
        <v>1.03230531232127</v>
      </c>
    </row>
    <row r="115" ht="15" spans="1:9">
      <c r="A115" s="98">
        <v>45858</v>
      </c>
      <c r="B115" s="25">
        <v>45858</v>
      </c>
      <c r="C115" s="99">
        <f>IFERROR((Data_Entry!F113/Data_Entry!$V113/C$2),"")</f>
        <v>1.04073504593189</v>
      </c>
      <c r="D115" s="99">
        <f>IFERROR((Data_Entry!G113/Data_Entry!$V113/D$2),"")</f>
        <v>1.03393877055473</v>
      </c>
      <c r="E115" s="99">
        <f>IFERROR((Data_Entry!H113/Data_Entry!$V113/E$2),"")</f>
        <v>1.03134657120838</v>
      </c>
      <c r="F115" s="99">
        <f>IFERROR((Data_Entry!I113/Data_Entry!$V113/F$2),"")</f>
        <v>1.03110026104124</v>
      </c>
      <c r="G115" s="99">
        <f>IFERROR((Data_Entry!J113/Data_Entry!$V113/G$2),"")</f>
        <v>1.026510941155</v>
      </c>
      <c r="H115" s="99">
        <f>IFERROR((Data_Entry!K113/Data_Entry!$V113/H$2),"")</f>
        <v>1.01969458391729</v>
      </c>
      <c r="I115" s="99">
        <f>IFERROR((Data_Entry!L113/Data_Entry!$V113/I$2),"")</f>
        <v>1.02464455762563</v>
      </c>
    </row>
    <row r="116" ht="15" spans="1:9">
      <c r="A116" s="98">
        <v>45859</v>
      </c>
      <c r="B116" s="25">
        <v>45859</v>
      </c>
      <c r="C116" s="99">
        <f>IFERROR((Data_Entry!F114/Data_Entry!$V114/C$2),"")</f>
        <v>0.983942218612692</v>
      </c>
      <c r="D116" s="99">
        <f>IFERROR((Data_Entry!G114/Data_Entry!$V114/D$2),"")</f>
        <v>0.980272068317378</v>
      </c>
      <c r="E116" s="99">
        <f>IFERROR((Data_Entry!H114/Data_Entry!$V114/E$2),"")</f>
        <v>0.980006115397428</v>
      </c>
      <c r="F116" s="99">
        <f>IFERROR((Data_Entry!I114/Data_Entry!$V114/F$2),"")</f>
        <v>0.98090506930449</v>
      </c>
      <c r="G116" s="99">
        <f>IFERROR((Data_Entry!J114/Data_Entry!$V114/G$2),"")</f>
        <v>0.977212783797205</v>
      </c>
      <c r="H116" s="99">
        <f>IFERROR((Data_Entry!K114/Data_Entry!$V114/H$2),"")</f>
        <v>0.973418742390112</v>
      </c>
      <c r="I116" s="99">
        <f>IFERROR((Data_Entry!L114/Data_Entry!$V114/I$2),"")</f>
        <v>0.979371462528826</v>
      </c>
    </row>
    <row r="117" ht="15" spans="1:9">
      <c r="A117" s="98">
        <v>45860</v>
      </c>
      <c r="B117" s="25">
        <v>45860</v>
      </c>
      <c r="C117" s="99">
        <f>IFERROR((Data_Entry!F115/Data_Entry!$V115/C$2),"")</f>
        <v>0.940577062435858</v>
      </c>
      <c r="D117" s="99">
        <f>IFERROR((Data_Entry!G115/Data_Entry!$V115/D$2),"")</f>
        <v>0.935921986979027</v>
      </c>
      <c r="E117" s="99">
        <f>IFERROR((Data_Entry!H115/Data_Entry!$V115/E$2),"")</f>
        <v>0.933288667632505</v>
      </c>
      <c r="F117" s="99">
        <f>IFERROR((Data_Entry!I115/Data_Entry!$V115/F$2),"")</f>
        <v>0.931587552093613</v>
      </c>
      <c r="G117" s="99">
        <f>IFERROR((Data_Entry!J115/Data_Entry!$V115/G$2),"")</f>
        <v>0.925531355544709</v>
      </c>
      <c r="H117" s="99">
        <f>IFERROR((Data_Entry!K115/Data_Entry!$V115/H$2),"")</f>
        <v>0.91866307809493</v>
      </c>
      <c r="I117" s="99">
        <f>IFERROR((Data_Entry!L115/Data_Entry!$V115/I$2),"")</f>
        <v>0.920534993391864</v>
      </c>
    </row>
    <row r="118" ht="15" spans="1:9">
      <c r="A118" s="98">
        <v>45861</v>
      </c>
      <c r="B118" s="25">
        <v>45861</v>
      </c>
      <c r="C118" s="99">
        <f>IFERROR((Data_Entry!F116/Data_Entry!$V116/C$2),"")</f>
        <v>0.989904590822022</v>
      </c>
      <c r="D118" s="99">
        <f>IFERROR((Data_Entry!G116/Data_Entry!$V116/D$2),"")</f>
        <v>0.980945659844742</v>
      </c>
      <c r="E118" s="99">
        <f>IFERROR((Data_Entry!H116/Data_Entry!$V116/E$2),"")</f>
        <v>0.974827924369209</v>
      </c>
      <c r="F118" s="99">
        <f>IFERROR((Data_Entry!I116/Data_Entry!$V116/F$2),"")</f>
        <v>0.971598206340927</v>
      </c>
      <c r="G118" s="99">
        <f>IFERROR((Data_Entry!J116/Data_Entry!$V116/G$2),"")</f>
        <v>0.961209711708315</v>
      </c>
      <c r="H118" s="99">
        <f>IFERROR((Data_Entry!K116/Data_Entry!$V116/H$2),"")</f>
        <v>0.955642881251178</v>
      </c>
      <c r="I118" s="99">
        <f>IFERROR((Data_Entry!L116/Data_Entry!$V116/I$2),"")</f>
        <v>0.955149756505959</v>
      </c>
    </row>
    <row r="119" ht="15" spans="1:9">
      <c r="A119" s="98">
        <v>45862</v>
      </c>
      <c r="B119" s="25">
        <v>45862</v>
      </c>
      <c r="C119" s="99">
        <f>IFERROR((Data_Entry!F117/Data_Entry!$V117/C$2),"")</f>
        <v>1.04639372695527</v>
      </c>
      <c r="D119" s="99">
        <f>IFERROR((Data_Entry!G117/Data_Entry!$V117/D$2),"")</f>
        <v>1.03791750396024</v>
      </c>
      <c r="E119" s="99">
        <f>IFERROR((Data_Entry!H117/Data_Entry!$V117/E$2),"")</f>
        <v>1.03679800280995</v>
      </c>
      <c r="F119" s="99">
        <f>IFERROR((Data_Entry!I117/Data_Entry!$V117/F$2),"")</f>
        <v>1.03772715399757</v>
      </c>
      <c r="G119" s="99">
        <f>IFERROR((Data_Entry!J117/Data_Entry!$V117/G$2),"")</f>
        <v>1.03103448407737</v>
      </c>
      <c r="H119" s="99">
        <f>IFERROR((Data_Entry!K117/Data_Entry!$V117/H$2),"")</f>
        <v>1.02753517380481</v>
      </c>
      <c r="I119" s="99">
        <f>IFERROR((Data_Entry!L117/Data_Entry!$V117/I$2),"")</f>
        <v>1.03434257520936</v>
      </c>
    </row>
    <row r="120" ht="15" spans="1:9">
      <c r="A120" s="98">
        <v>45863</v>
      </c>
      <c r="B120" s="25">
        <v>45863</v>
      </c>
      <c r="C120" s="99">
        <f>IFERROR((Data_Entry!F118/Data_Entry!$V118/C$2),"")</f>
        <v>1.0441386171825</v>
      </c>
      <c r="D120" s="99">
        <f>IFERROR((Data_Entry!G118/Data_Entry!$V118/D$2),"")</f>
        <v>1.03871250002846</v>
      </c>
      <c r="E120" s="99">
        <f>IFERROR((Data_Entry!H118/Data_Entry!$V118/E$2),"")</f>
        <v>1.03788719899279</v>
      </c>
      <c r="F120" s="99">
        <f>IFERROR((Data_Entry!I118/Data_Entry!$V118/F$2),"")</f>
        <v>1.03779481147056</v>
      </c>
      <c r="G120" s="99">
        <f>IFERROR((Data_Entry!J118/Data_Entry!$V118/G$2),"")</f>
        <v>1.03301293230638</v>
      </c>
      <c r="H120" s="99">
        <f>IFERROR((Data_Entry!K118/Data_Entry!$V118/H$2),"")</f>
        <v>1.03177889897368</v>
      </c>
      <c r="I120" s="99">
        <f>IFERROR((Data_Entry!L118/Data_Entry!$V118/I$2),"")</f>
        <v>1.03718686857872</v>
      </c>
    </row>
    <row r="121" ht="15" spans="1:9">
      <c r="A121" s="98">
        <v>45864</v>
      </c>
      <c r="B121" s="25">
        <v>45864</v>
      </c>
      <c r="C121" s="99">
        <f>IFERROR((Data_Entry!F119/Data_Entry!$V119/C$2),"")</f>
        <v>1.03526010402685</v>
      </c>
      <c r="D121" s="99">
        <f>IFERROR((Data_Entry!G119/Data_Entry!$V119/D$2),"")</f>
        <v>1.02781342226824</v>
      </c>
      <c r="E121" s="99">
        <f>IFERROR((Data_Entry!H119/Data_Entry!$V119/E$2),"")</f>
        <v>1.02447889043651</v>
      </c>
      <c r="F121" s="99">
        <f>IFERROR((Data_Entry!I119/Data_Entry!$V119/F$2),"")</f>
        <v>1.02375800350674</v>
      </c>
      <c r="G121" s="99">
        <f>IFERROR((Data_Entry!J119/Data_Entry!$V119/G$2),"")</f>
        <v>1.01577781957674</v>
      </c>
      <c r="H121" s="99">
        <f>IFERROR((Data_Entry!K119/Data_Entry!$V119/H$2),"")</f>
        <v>1.00873054814408</v>
      </c>
      <c r="I121" s="99">
        <f>IFERROR((Data_Entry!L119/Data_Entry!$V119/I$2),"")</f>
        <v>1.01150407178484</v>
      </c>
    </row>
    <row r="122" ht="15" spans="1:9">
      <c r="A122" s="98">
        <v>45865</v>
      </c>
      <c r="B122" s="25">
        <v>45865</v>
      </c>
      <c r="C122" s="99">
        <f>IFERROR((Data_Entry!F120/Data_Entry!$V120/C$2),"")</f>
        <v>1.12666433337305</v>
      </c>
      <c r="D122" s="99">
        <f>IFERROR((Data_Entry!G120/Data_Entry!$V120/D$2),"")</f>
        <v>1.11735598117479</v>
      </c>
      <c r="E122" s="99">
        <f>IFERROR((Data_Entry!H120/Data_Entry!$V120/E$2),"")</f>
        <v>1.11709534731324</v>
      </c>
      <c r="F122" s="99">
        <f>IFERROR((Data_Entry!I120/Data_Entry!$V120/F$2),"")</f>
        <v>1.11794119323038</v>
      </c>
      <c r="G122" s="99">
        <f>IFERROR((Data_Entry!J120/Data_Entry!$V120/G$2),"")</f>
        <v>1.11195794632173</v>
      </c>
      <c r="H122" s="99">
        <f>IFERROR((Data_Entry!K120/Data_Entry!$V120/H$2),"")</f>
        <v>1.1061171576728</v>
      </c>
      <c r="I122" s="99">
        <f>IFERROR((Data_Entry!L120/Data_Entry!$V120/I$2),"")</f>
        <v>1.11480711151633</v>
      </c>
    </row>
    <row r="123" ht="15" spans="1:9">
      <c r="A123" s="98">
        <v>45866</v>
      </c>
      <c r="B123" s="25">
        <v>45866</v>
      </c>
      <c r="C123" s="99">
        <f>IFERROR((Data_Entry!F121/Data_Entry!$V121/C$2),"")</f>
        <v>1.06084471878597</v>
      </c>
      <c r="D123" s="99">
        <f>IFERROR((Data_Entry!G121/Data_Entry!$V121/D$2),"")</f>
        <v>1.05230494612701</v>
      </c>
      <c r="E123" s="99">
        <f>IFERROR((Data_Entry!H121/Data_Entry!$V121/E$2),"")</f>
        <v>1.05024173705261</v>
      </c>
      <c r="F123" s="99">
        <f>IFERROR((Data_Entry!I121/Data_Entry!$V121/F$2),"")</f>
        <v>1.04945993943041</v>
      </c>
      <c r="G123" s="99">
        <f>IFERROR((Data_Entry!J121/Data_Entry!$V121/G$2),"")</f>
        <v>1.04187959166496</v>
      </c>
      <c r="H123" s="99">
        <f>IFERROR((Data_Entry!K121/Data_Entry!$V121/H$2),"")</f>
        <v>1.03726603518013</v>
      </c>
      <c r="I123" s="99">
        <f>IFERROR((Data_Entry!L121/Data_Entry!$V121/I$2),"")</f>
        <v>1.04368319165053</v>
      </c>
    </row>
    <row r="124" ht="15" spans="1:9">
      <c r="A124" s="98">
        <v>45867</v>
      </c>
      <c r="B124" s="25">
        <v>45867</v>
      </c>
      <c r="C124" s="99">
        <f>IFERROR((Data_Entry!F122/Data_Entry!$V122/C$2),"")</f>
        <v>1.06976902520808</v>
      </c>
      <c r="D124" s="99">
        <f>IFERROR((Data_Entry!G122/Data_Entry!$V122/D$2),"")</f>
        <v>1.06181013782587</v>
      </c>
      <c r="E124" s="99">
        <f>IFERROR((Data_Entry!H122/Data_Entry!$V122/E$2),"")</f>
        <v>1.05870538373815</v>
      </c>
      <c r="F124" s="99">
        <f>IFERROR((Data_Entry!I122/Data_Entry!$V122/F$2),"")</f>
        <v>1.05996482713105</v>
      </c>
      <c r="G124" s="99">
        <f>IFERROR((Data_Entry!J122/Data_Entry!$V122/G$2),"")</f>
        <v>1.0512213572217</v>
      </c>
      <c r="H124" s="99">
        <f>IFERROR((Data_Entry!K122/Data_Entry!$V122/H$2),"")</f>
        <v>1.04945758829171</v>
      </c>
      <c r="I124" s="99">
        <f>IFERROR((Data_Entry!L122/Data_Entry!$V122/I$2),"")</f>
        <v>1.05764328512063</v>
      </c>
    </row>
    <row r="125" ht="15" spans="1:9">
      <c r="A125" s="98">
        <v>45868</v>
      </c>
      <c r="B125" s="25">
        <v>45868</v>
      </c>
      <c r="C125" s="99">
        <f>IFERROR((Data_Entry!F123/Data_Entry!$V123/C$2),"")</f>
        <v>0.996103195239731</v>
      </c>
      <c r="D125" s="99">
        <f>IFERROR((Data_Entry!G123/Data_Entry!$V123/D$2),"")</f>
        <v>0.991118298862497</v>
      </c>
      <c r="E125" s="99">
        <f>IFERROR((Data_Entry!H123/Data_Entry!$V123/E$2),"")</f>
        <v>0.988858011928708</v>
      </c>
      <c r="F125" s="99">
        <f>IFERROR((Data_Entry!I123/Data_Entry!$V123/F$2),"")</f>
        <v>0.987864232250539</v>
      </c>
      <c r="G125" s="99">
        <f>IFERROR((Data_Entry!J123/Data_Entry!$V123/G$2),"")</f>
        <v>0.978537406187046</v>
      </c>
      <c r="H125" s="99">
        <f>IFERROR((Data_Entry!K123/Data_Entry!$V123/H$2),"")</f>
        <v>0.975805559559284</v>
      </c>
      <c r="I125" s="99">
        <f>IFERROR((Data_Entry!L123/Data_Entry!$V123/I$2),"")</f>
        <v>0.980330704280116</v>
      </c>
    </row>
    <row r="126" ht="15" spans="1:9">
      <c r="A126" s="98">
        <v>45869</v>
      </c>
      <c r="B126" s="25">
        <v>45869</v>
      </c>
      <c r="C126" s="99">
        <f>IFERROR((Data_Entry!F124/Data_Entry!$V124/C$2),"")</f>
        <v>1.04128413164482</v>
      </c>
      <c r="D126" s="99">
        <f>IFERROR((Data_Entry!G124/Data_Entry!$V124/D$2),"")</f>
        <v>1.0347283314482</v>
      </c>
      <c r="E126" s="99">
        <f>IFERROR((Data_Entry!H124/Data_Entry!$V124/E$2),"")</f>
        <v>1.03436109782723</v>
      </c>
      <c r="F126" s="99">
        <f>IFERROR((Data_Entry!I124/Data_Entry!$V124/F$2),"")</f>
        <v>1.03532678623793</v>
      </c>
      <c r="G126" s="99">
        <f>IFERROR((Data_Entry!J124/Data_Entry!$V124/G$2),"")</f>
        <v>1.02817134853461</v>
      </c>
      <c r="H126" s="99">
        <f>IFERROR((Data_Entry!K124/Data_Entry!$V124/H$2),"")</f>
        <v>1.02882184287127</v>
      </c>
      <c r="I126" s="99">
        <f>IFERROR((Data_Entry!L124/Data_Entry!$V124/I$2),"")</f>
        <v>1.03946393021913</v>
      </c>
    </row>
    <row r="127" ht="15" spans="1:9">
      <c r="A127" s="98">
        <v>45870</v>
      </c>
      <c r="B127" s="25">
        <v>45870</v>
      </c>
      <c r="C127" s="99">
        <f>IFERROR((Data_Entry!F125/Data_Entry!$V125/C$2),"")</f>
        <v>1.00631874303969</v>
      </c>
      <c r="D127" s="99">
        <f>IFERROR((Data_Entry!G125/Data_Entry!$V125/D$2),"")</f>
        <v>0.998020226836368</v>
      </c>
      <c r="E127" s="99">
        <f>IFERROR((Data_Entry!H125/Data_Entry!$V125/E$2),"")</f>
        <v>0.996921085617385</v>
      </c>
      <c r="F127" s="99">
        <f>IFERROR((Data_Entry!I125/Data_Entry!$V125/F$2),"")</f>
        <v>0.993107543475002</v>
      </c>
      <c r="G127" s="99">
        <f>IFERROR((Data_Entry!J125/Data_Entry!$V125/G$2),"")</f>
        <v>0.984328750347735</v>
      </c>
      <c r="H127" s="99">
        <f>IFERROR((Data_Entry!K125/Data_Entry!$V125/H$2),"")</f>
        <v>0.981963207289489</v>
      </c>
      <c r="I127" s="99">
        <f>IFERROR((Data_Entry!L125/Data_Entry!$V125/I$2),"")</f>
        <v>0.988902133593676</v>
      </c>
    </row>
    <row r="128" ht="15" spans="1:9">
      <c r="A128" s="98">
        <v>45871</v>
      </c>
      <c r="B128" s="25">
        <v>45871</v>
      </c>
      <c r="C128" s="99">
        <f>IFERROR((Data_Entry!F126/Data_Entry!$V126/C$2),"")</f>
        <v>1.00629654539944</v>
      </c>
      <c r="D128" s="99">
        <f>IFERROR((Data_Entry!G126/Data_Entry!$V126/D$2),"")</f>
        <v>0.999398055848464</v>
      </c>
      <c r="E128" s="99">
        <f>IFERROR((Data_Entry!H126/Data_Entry!$V126/E$2),"")</f>
        <v>0.998398696602683</v>
      </c>
      <c r="F128" s="99">
        <f>IFERROR((Data_Entry!I126/Data_Entry!$V126/F$2),"")</f>
        <v>0.998367901657583</v>
      </c>
      <c r="G128" s="99">
        <f>IFERROR((Data_Entry!J126/Data_Entry!$V126/G$2),"")</f>
        <v>0.994627792297899</v>
      </c>
      <c r="H128" s="99">
        <f>IFERROR((Data_Entry!K126/Data_Entry!$V126/H$2),"")</f>
        <v>0.99555585913653</v>
      </c>
      <c r="I128" s="99">
        <f>IFERROR((Data_Entry!L126/Data_Entry!$V126/I$2),"")</f>
        <v>1.00587596238211</v>
      </c>
    </row>
    <row r="129" ht="15" spans="1:9">
      <c r="A129" s="98">
        <v>45872</v>
      </c>
      <c r="B129" s="25">
        <v>45872</v>
      </c>
      <c r="C129" s="99">
        <f>IFERROR((Data_Entry!F127/Data_Entry!$V127/C$2),"")</f>
        <v>1.0213158191022</v>
      </c>
      <c r="D129" s="99">
        <f>IFERROR((Data_Entry!G127/Data_Entry!$V127/D$2),"")</f>
        <v>1.01063085555132</v>
      </c>
      <c r="E129" s="99">
        <f>IFERROR((Data_Entry!H127/Data_Entry!$V127/E$2),"")</f>
        <v>1.00847200102313</v>
      </c>
      <c r="F129" s="99">
        <f>IFERROR((Data_Entry!I127/Data_Entry!$V127/F$2),"")</f>
        <v>1.00636958325339</v>
      </c>
      <c r="G129" s="99">
        <f>IFERROR((Data_Entry!J127/Data_Entry!$V127/G$2),"")</f>
        <v>0.99871081809727</v>
      </c>
      <c r="H129" s="99">
        <f>IFERROR((Data_Entry!K127/Data_Entry!$V127/H$2),"")</f>
        <v>0.994620044216953</v>
      </c>
      <c r="I129" s="99">
        <f>IFERROR((Data_Entry!L127/Data_Entry!$V127/I$2),"")</f>
        <v>1.00199127894059</v>
      </c>
    </row>
    <row r="130" ht="15" spans="1:9">
      <c r="A130" s="98">
        <v>45873</v>
      </c>
      <c r="B130" s="25">
        <v>45873</v>
      </c>
      <c r="C130" s="99">
        <f>IFERROR((Data_Entry!F128/Data_Entry!$V128/C$2),"")</f>
        <v>1.11119689148148</v>
      </c>
      <c r="D130" s="99">
        <f>IFERROR((Data_Entry!G128/Data_Entry!$V128/D$2),"")</f>
        <v>1.10183534869923</v>
      </c>
      <c r="E130" s="99">
        <f>IFERROR((Data_Entry!H128/Data_Entry!$V128/E$2),"")</f>
        <v>1.10095390473597</v>
      </c>
      <c r="F130" s="99">
        <f>IFERROR((Data_Entry!I128/Data_Entry!$V128/F$2),"")</f>
        <v>1.09980683822905</v>
      </c>
      <c r="G130" s="99">
        <f>IFERROR((Data_Entry!J128/Data_Entry!$V128/G$2),"")</f>
        <v>1.09096861150295</v>
      </c>
      <c r="H130" s="99">
        <f>IFERROR((Data_Entry!K128/Data_Entry!$V128/H$2),"")</f>
        <v>1.08782871516605</v>
      </c>
      <c r="I130" s="99">
        <f>IFERROR((Data_Entry!L128/Data_Entry!$V128/I$2),"")</f>
        <v>1.09393406915447</v>
      </c>
    </row>
    <row r="131" ht="15" spans="1:9">
      <c r="A131" s="98">
        <v>45874</v>
      </c>
      <c r="B131" s="25">
        <v>45874</v>
      </c>
      <c r="C131" s="99">
        <f>IFERROR((Data_Entry!F129/Data_Entry!$V129/C$2),"")</f>
        <v>0.99388379204893</v>
      </c>
      <c r="D131" s="99">
        <f>IFERROR((Data_Entry!G129/Data_Entry!$V129/D$2),"")</f>
        <v>0.987330712101354</v>
      </c>
      <c r="E131" s="99">
        <f>IFERROR((Data_Entry!H129/Data_Entry!$V129/E$2),"")</f>
        <v>0.986883911195838</v>
      </c>
      <c r="F131" s="99">
        <f>IFERROR((Data_Entry!I129/Data_Entry!$V129/F$2),"")</f>
        <v>0.987520656447661</v>
      </c>
      <c r="G131" s="99">
        <f>IFERROR((Data_Entry!J129/Data_Entry!$V129/G$2),"")</f>
        <v>0.98443406082018</v>
      </c>
      <c r="H131" s="99">
        <f>IFERROR((Data_Entry!K129/Data_Entry!$V129/H$2),"")</f>
        <v>0.979647463293255</v>
      </c>
      <c r="I131" s="99">
        <f>IFERROR((Data_Entry!L129/Data_Entry!$V129/I$2),"")</f>
        <v>0.986665906889281</v>
      </c>
    </row>
    <row r="132" ht="15" spans="1:9">
      <c r="A132" s="98">
        <v>45875</v>
      </c>
      <c r="B132" s="25">
        <v>45875</v>
      </c>
      <c r="C132" s="99">
        <f>IFERROR((Data_Entry!F130/Data_Entry!$V130/C$2),"")</f>
        <v>1.03154256172456</v>
      </c>
      <c r="D132" s="99">
        <f>IFERROR((Data_Entry!G130/Data_Entry!$V130/D$2),"")</f>
        <v>1.02821305228238</v>
      </c>
      <c r="E132" s="99">
        <f>IFERROR((Data_Entry!H130/Data_Entry!$V130/E$2),"")</f>
        <v>1.02647950604389</v>
      </c>
      <c r="F132" s="99">
        <f>IFERROR((Data_Entry!I130/Data_Entry!$V130/F$2),"")</f>
        <v>1.02619297441923</v>
      </c>
      <c r="G132" s="99">
        <f>IFERROR((Data_Entry!J130/Data_Entry!$V130/G$2),"")</f>
        <v>1.02265290311509</v>
      </c>
      <c r="H132" s="99">
        <f>IFERROR((Data_Entry!K130/Data_Entry!$V130/H$2),"")</f>
        <v>1.0223633805549</v>
      </c>
      <c r="I132" s="99">
        <f>IFERROR((Data_Entry!L130/Data_Entry!$V130/I$2),"")</f>
        <v>1.02997650787626</v>
      </c>
    </row>
    <row r="133" ht="15" spans="1:9">
      <c r="A133" s="98">
        <v>45876</v>
      </c>
      <c r="B133" s="25">
        <v>45876</v>
      </c>
      <c r="C133" s="99">
        <f>IFERROR((Data_Entry!F131/Data_Entry!$V131/C$2),"")</f>
        <v>1.0259742600544</v>
      </c>
      <c r="D133" s="99">
        <f>IFERROR((Data_Entry!G131/Data_Entry!$V131/D$2),"")</f>
        <v>1.02084204795043</v>
      </c>
      <c r="E133" s="99">
        <f>IFERROR((Data_Entry!H131/Data_Entry!$V131/E$2),"")</f>
        <v>1.01916837330763</v>
      </c>
      <c r="F133" s="99">
        <f>IFERROR((Data_Entry!I131/Data_Entry!$V131/F$2),"")</f>
        <v>1.01607724025269</v>
      </c>
      <c r="G133" s="99">
        <f>IFERROR((Data_Entry!J131/Data_Entry!$V131/G$2),"")</f>
        <v>1.00986953062438</v>
      </c>
      <c r="H133" s="99">
        <f>IFERROR((Data_Entry!K131/Data_Entry!$V131/H$2),"")</f>
        <v>1.00665092554208</v>
      </c>
      <c r="I133" s="99">
        <f>IFERROR((Data_Entry!L131/Data_Entry!$V131/I$2),"")</f>
        <v>1.00801113603773</v>
      </c>
    </row>
    <row r="134" ht="15" spans="1:9">
      <c r="A134" s="98">
        <v>45877</v>
      </c>
      <c r="B134" s="25">
        <v>45877</v>
      </c>
      <c r="C134" s="99">
        <f>IFERROR((Data_Entry!F132/Data_Entry!$V132/C$2),"")</f>
        <v>1.01569291649567</v>
      </c>
      <c r="D134" s="99">
        <f>IFERROR((Data_Entry!G132/Data_Entry!$V132/D$2),"")</f>
        <v>1.0120798968276</v>
      </c>
      <c r="E134" s="99">
        <f>IFERROR((Data_Entry!H132/Data_Entry!$V132/E$2),"")</f>
        <v>1.00974246616448</v>
      </c>
      <c r="F134" s="99">
        <f>IFERROR((Data_Entry!I132/Data_Entry!$V132/F$2),"")</f>
        <v>1.01010820496261</v>
      </c>
      <c r="G134" s="99">
        <f>IFERROR((Data_Entry!J132/Data_Entry!$V132/G$2),"")</f>
        <v>1.00098032387622</v>
      </c>
      <c r="H134" s="99">
        <f>IFERROR((Data_Entry!K132/Data_Entry!$V132/H$2),"")</f>
        <v>0.996093214132703</v>
      </c>
      <c r="I134" s="99">
        <f>IFERROR((Data_Entry!L132/Data_Entry!$V132/I$2),"")</f>
        <v>1.00101330032523</v>
      </c>
    </row>
    <row r="135" ht="15" spans="1:9">
      <c r="A135" s="98">
        <v>45878</v>
      </c>
      <c r="B135" s="25">
        <v>45878</v>
      </c>
      <c r="C135" s="99">
        <f>IFERROR((Data_Entry!F133/Data_Entry!$V133/C$2),"")</f>
        <v>1.04103183506414</v>
      </c>
      <c r="D135" s="99">
        <f>IFERROR((Data_Entry!G133/Data_Entry!$V133/D$2),"")</f>
        <v>1.03744410468331</v>
      </c>
      <c r="E135" s="99">
        <f>IFERROR((Data_Entry!H133/Data_Entry!$V133/E$2),"")</f>
        <v>1.03549321681045</v>
      </c>
      <c r="F135" s="99">
        <f>IFERROR((Data_Entry!I133/Data_Entry!$V133/F$2),"")</f>
        <v>1.03793358514007</v>
      </c>
      <c r="G135" s="99">
        <f>IFERROR((Data_Entry!J133/Data_Entry!$V133/G$2),"")</f>
        <v>1.03104279264067</v>
      </c>
      <c r="H135" s="99">
        <f>IFERROR((Data_Entry!K133/Data_Entry!$V133/H$2),"")</f>
        <v>1.02733796761127</v>
      </c>
      <c r="I135" s="99">
        <f>IFERROR((Data_Entry!L133/Data_Entry!$V133/I$2),"")</f>
        <v>1.03652265668907</v>
      </c>
    </row>
    <row r="136" ht="15" spans="1:9">
      <c r="A136" s="98">
        <v>45879</v>
      </c>
      <c r="B136" s="25">
        <v>45879</v>
      </c>
      <c r="C136" s="99">
        <f>IFERROR((Data_Entry!F134/Data_Entry!$V134/C$2),"")</f>
        <v>1.10161973408227</v>
      </c>
      <c r="D136" s="99">
        <f>IFERROR((Data_Entry!G134/Data_Entry!$V134/D$2),"")</f>
        <v>1.09812568985536</v>
      </c>
      <c r="E136" s="99">
        <f>IFERROR((Data_Entry!H134/Data_Entry!$V134/E$2),"")</f>
        <v>1.09699886059218</v>
      </c>
      <c r="F136" s="99">
        <f>IFERROR((Data_Entry!I134/Data_Entry!$V134/F$2),"")</f>
        <v>1.09767222368069</v>
      </c>
      <c r="G136" s="99">
        <f>IFERROR((Data_Entry!J134/Data_Entry!$V134/G$2),"")</f>
        <v>1.09194047199889</v>
      </c>
      <c r="H136" s="99">
        <f>IFERROR((Data_Entry!K134/Data_Entry!$V134/H$2),"")</f>
        <v>1.0894505856998</v>
      </c>
      <c r="I136" s="99">
        <f>IFERROR((Data_Entry!L134/Data_Entry!$V134/I$2),"")</f>
        <v>1.10006184610197</v>
      </c>
    </row>
    <row r="137" ht="15" spans="1:9">
      <c r="A137" s="98">
        <v>45880</v>
      </c>
      <c r="B137" s="25">
        <v>45880</v>
      </c>
      <c r="C137" s="99">
        <f>IFERROR((Data_Entry!F135/Data_Entry!$V135/C$2),"")</f>
        <v>1.12103605216622</v>
      </c>
      <c r="D137" s="99">
        <f>IFERROR((Data_Entry!G135/Data_Entry!$V135/D$2),"")</f>
        <v>1.12024877354978</v>
      </c>
      <c r="E137" s="99">
        <f>IFERROR((Data_Entry!H135/Data_Entry!$V135/E$2),"")</f>
        <v>1.12423386427836</v>
      </c>
      <c r="F137" s="99">
        <f>IFERROR((Data_Entry!I135/Data_Entry!$V135/F$2),"")</f>
        <v>1.12615777419178</v>
      </c>
      <c r="G137" s="99">
        <f>IFERROR((Data_Entry!J135/Data_Entry!$V135/G$2),"")</f>
        <v>1.11983837237052</v>
      </c>
      <c r="H137" s="99">
        <f>IFERROR((Data_Entry!K135/Data_Entry!$V135/H$2),"")</f>
        <v>1.11444281430446</v>
      </c>
      <c r="I137" s="99">
        <f>IFERROR((Data_Entry!L135/Data_Entry!$V135/I$2),"")</f>
        <v>1.12219844381237</v>
      </c>
    </row>
    <row r="138" ht="15" spans="1:9">
      <c r="A138" s="98">
        <v>45881</v>
      </c>
      <c r="B138" s="25">
        <v>45881</v>
      </c>
      <c r="C138" s="99">
        <f>IFERROR((Data_Entry!F136/Data_Entry!$V136/C$2),"")</f>
        <v>1.14211835097437</v>
      </c>
      <c r="D138" s="99">
        <f>IFERROR((Data_Entry!G136/Data_Entry!$V136/D$2),"")</f>
        <v>1.13451969611865</v>
      </c>
      <c r="E138" s="99">
        <f>IFERROR((Data_Entry!H136/Data_Entry!$V136/E$2),"")</f>
        <v>1.13535048238287</v>
      </c>
      <c r="F138" s="99">
        <f>IFERROR((Data_Entry!I136/Data_Entry!$V136/F$2),"")</f>
        <v>1.13194232049193</v>
      </c>
      <c r="G138" s="99">
        <f>IFERROR((Data_Entry!J136/Data_Entry!$V136/G$2),"")</f>
        <v>1.12295872819468</v>
      </c>
      <c r="H138" s="99">
        <f>IFERROR((Data_Entry!K136/Data_Entry!$V136/H$2),"")</f>
        <v>1.12212529892007</v>
      </c>
      <c r="I138" s="99">
        <f>IFERROR((Data_Entry!L136/Data_Entry!$V136/I$2),"")</f>
        <v>1.13300833468039</v>
      </c>
    </row>
    <row r="139" ht="15" spans="1:9">
      <c r="A139" s="98">
        <v>45882</v>
      </c>
      <c r="B139" s="25">
        <v>45882</v>
      </c>
      <c r="C139" s="99">
        <f>IFERROR((Data_Entry!F137/Data_Entry!$V137/C$2),"")</f>
        <v>1.04293906039263</v>
      </c>
      <c r="D139" s="99">
        <f>IFERROR((Data_Entry!G137/Data_Entry!$V137/D$2),"")</f>
        <v>1.03593231809835</v>
      </c>
      <c r="E139" s="99">
        <f>IFERROR((Data_Entry!H137/Data_Entry!$V137/E$2),"")</f>
        <v>1.03231593497872</v>
      </c>
      <c r="F139" s="99">
        <f>IFERROR((Data_Entry!I137/Data_Entry!$V137/F$2),"")</f>
        <v>1.02883432390082</v>
      </c>
      <c r="G139" s="99">
        <f>IFERROR((Data_Entry!J137/Data_Entry!$V137/G$2),"")</f>
        <v>1.0194915328833</v>
      </c>
      <c r="H139" s="99">
        <f>IFERROR((Data_Entry!K137/Data_Entry!$V137/H$2),"")</f>
        <v>1.01544556388068</v>
      </c>
      <c r="I139" s="99">
        <f>IFERROR((Data_Entry!L137/Data_Entry!$V137/I$2),"")</f>
        <v>1.01964595918111</v>
      </c>
    </row>
    <row r="140" ht="15" spans="1:9">
      <c r="A140" s="98">
        <v>45883</v>
      </c>
      <c r="B140" s="25">
        <v>45883</v>
      </c>
      <c r="C140" s="99">
        <f>IFERROR((Data_Entry!F138/Data_Entry!$V138/C$2),"")</f>
        <v>1.08098238832184</v>
      </c>
      <c r="D140" s="99">
        <f>IFERROR((Data_Entry!G138/Data_Entry!$V138/D$2),"")</f>
        <v>1.07541116715429</v>
      </c>
      <c r="E140" s="99">
        <f>IFERROR((Data_Entry!H138/Data_Entry!$V138/E$2),"")</f>
        <v>1.07762862350018</v>
      </c>
      <c r="F140" s="99">
        <f>IFERROR((Data_Entry!I138/Data_Entry!$V138/F$2),"")</f>
        <v>1.08004465802631</v>
      </c>
      <c r="G140" s="99">
        <f>IFERROR((Data_Entry!J138/Data_Entry!$V138/G$2),"")</f>
        <v>1.0759080922623</v>
      </c>
      <c r="H140" s="99">
        <f>IFERROR((Data_Entry!K138/Data_Entry!$V138/H$2),"")</f>
        <v>1.07562317574284</v>
      </c>
      <c r="I140" s="99">
        <f>IFERROR((Data_Entry!L138/Data_Entry!$V138/I$2),"")</f>
        <v>1.08551083421446</v>
      </c>
    </row>
    <row r="141" ht="15" spans="1:9">
      <c r="A141" s="98">
        <v>45884</v>
      </c>
      <c r="B141" s="25">
        <v>45884</v>
      </c>
      <c r="C141" s="99">
        <f>IFERROR((Data_Entry!F139/Data_Entry!$V139/C$2),"")</f>
        <v>0.925957032890406</v>
      </c>
      <c r="D141" s="99">
        <f>IFERROR((Data_Entry!G139/Data_Entry!$V139/D$2),"")</f>
        <v>0.920487994484084</v>
      </c>
      <c r="E141" s="99">
        <f>IFERROR((Data_Entry!H139/Data_Entry!$V139/E$2),"")</f>
        <v>0.920390333083971</v>
      </c>
      <c r="F141" s="99">
        <f>IFERROR((Data_Entry!I139/Data_Entry!$V139/F$2),"")</f>
        <v>0.917823536720134</v>
      </c>
      <c r="G141" s="99">
        <f>IFERROR((Data_Entry!J139/Data_Entry!$V139/G$2),"")</f>
        <v>0.910340975012354</v>
      </c>
      <c r="H141" s="99">
        <f>IFERROR((Data_Entry!K139/Data_Entry!$V139/H$2),"")</f>
        <v>0.908977112329038</v>
      </c>
      <c r="I141" s="99">
        <f>IFERROR((Data_Entry!L139/Data_Entry!$V139/I$2),"")</f>
        <v>0.91485293169757</v>
      </c>
    </row>
    <row r="142" ht="15" spans="1:9">
      <c r="A142" s="98">
        <v>45885</v>
      </c>
      <c r="B142" s="25">
        <v>45885</v>
      </c>
      <c r="C142" s="99">
        <f>IFERROR((Data_Entry!F140/Data_Entry!$V140/C$2),"")</f>
        <v>1.09996560603417</v>
      </c>
      <c r="D142" s="99">
        <f>IFERROR((Data_Entry!G140/Data_Entry!$V140/D$2),"")</f>
        <v>1.09437110177812</v>
      </c>
      <c r="E142" s="99">
        <f>IFERROR((Data_Entry!H140/Data_Entry!$V140/E$2),"")</f>
        <v>1.09464956126598</v>
      </c>
      <c r="F142" s="99">
        <f>IFERROR((Data_Entry!I140/Data_Entry!$V140/F$2),"")</f>
        <v>1.09568562133674</v>
      </c>
      <c r="G142" s="99">
        <f>IFERROR((Data_Entry!J140/Data_Entry!$V140/G$2),"")</f>
        <v>1.08787261309773</v>
      </c>
      <c r="H142" s="99">
        <f>IFERROR((Data_Entry!K140/Data_Entry!$V140/H$2),"")</f>
        <v>1.08710584059494</v>
      </c>
      <c r="I142" s="99">
        <f>IFERROR((Data_Entry!L140/Data_Entry!$V140/I$2),"")</f>
        <v>1.09970512350929</v>
      </c>
    </row>
    <row r="143" ht="15" spans="1:9">
      <c r="A143" s="98">
        <v>45886</v>
      </c>
      <c r="B143" s="25">
        <v>45886</v>
      </c>
      <c r="C143" s="99">
        <f>IFERROR((Data_Entry!F141/Data_Entry!$V141/C$2),"")</f>
        <v>1.131485449428</v>
      </c>
      <c r="D143" s="99">
        <f>IFERROR((Data_Entry!G141/Data_Entry!$V141/D$2),"")</f>
        <v>1.1260359433017</v>
      </c>
      <c r="E143" s="99">
        <f>IFERROR((Data_Entry!H141/Data_Entry!$V141/E$2),"")</f>
        <v>1.12819426024419</v>
      </c>
      <c r="F143" s="99">
        <f>IFERROR((Data_Entry!I141/Data_Entry!$V141/F$2),"")</f>
        <v>1.12677477302429</v>
      </c>
      <c r="G143" s="99">
        <f>IFERROR((Data_Entry!J141/Data_Entry!$V141/G$2),"")</f>
        <v>1.1223375485409</v>
      </c>
      <c r="H143" s="99">
        <f>IFERROR((Data_Entry!K141/Data_Entry!$V141/H$2),"")</f>
        <v>1.12391626630446</v>
      </c>
      <c r="I143" s="99">
        <f>IFERROR((Data_Entry!L141/Data_Entry!$V141/I$2),"")</f>
        <v>1.13195931952594</v>
      </c>
    </row>
    <row r="144" ht="15" spans="1:9">
      <c r="A144" s="98">
        <v>45887</v>
      </c>
      <c r="B144" s="25">
        <v>45887</v>
      </c>
      <c r="C144" s="99">
        <f>IFERROR((Data_Entry!F142/Data_Entry!$V142/C$2),"")</f>
        <v>1.07048213689069</v>
      </c>
      <c r="D144" s="99">
        <f>IFERROR((Data_Entry!G142/Data_Entry!$V142/D$2),"")</f>
        <v>1.06313110058586</v>
      </c>
      <c r="E144" s="99">
        <f>IFERROR((Data_Entry!H142/Data_Entry!$V142/E$2),"")</f>
        <v>1.06063520969674</v>
      </c>
      <c r="F144" s="99">
        <f>IFERROR((Data_Entry!I142/Data_Entry!$V142/F$2),"")</f>
        <v>1.05168176549959</v>
      </c>
      <c r="G144" s="99">
        <f>IFERROR((Data_Entry!J142/Data_Entry!$V142/G$2),"")</f>
        <v>1.04086887862957</v>
      </c>
      <c r="H144" s="99">
        <f>IFERROR((Data_Entry!K142/Data_Entry!$V142/H$2),"")</f>
        <v>1.04556520902678</v>
      </c>
      <c r="I144" s="99">
        <f>IFERROR((Data_Entry!L142/Data_Entry!$V142/I$2),"")</f>
        <v>1.04805713944163</v>
      </c>
    </row>
    <row r="145" ht="15" spans="1:9">
      <c r="A145" s="98">
        <v>45888</v>
      </c>
      <c r="B145" s="25">
        <v>45888</v>
      </c>
      <c r="C145" s="99" t="str">
        <f>IFERROR((Data_Entry!F143/Data_Entry!$V143/C$2),"")</f>
        <v/>
      </c>
      <c r="D145" s="99" t="str">
        <f>IFERROR((Data_Entry!G143/Data_Entry!$V143/D$2),"")</f>
        <v/>
      </c>
      <c r="E145" s="99" t="str">
        <f>IFERROR((Data_Entry!H143/Data_Entry!$V143/E$2),"")</f>
        <v/>
      </c>
      <c r="F145" s="99" t="str">
        <f>IFERROR((Data_Entry!I143/Data_Entry!$V143/F$2),"")</f>
        <v/>
      </c>
      <c r="G145" s="99" t="str">
        <f>IFERROR((Data_Entry!J143/Data_Entry!$V143/G$2),"")</f>
        <v/>
      </c>
      <c r="H145" s="99" t="str">
        <f>IFERROR((Data_Entry!K143/Data_Entry!$V143/H$2),"")</f>
        <v/>
      </c>
      <c r="I145" s="99" t="str">
        <f>IFERROR((Data_Entry!L143/Data_Entry!$V143/I$2),"")</f>
        <v/>
      </c>
    </row>
    <row r="146" ht="15" spans="1:9">
      <c r="A146" s="98">
        <v>45889</v>
      </c>
      <c r="B146" s="25">
        <v>45889</v>
      </c>
      <c r="C146" s="99" t="str">
        <f>IFERROR((Data_Entry!F144/Data_Entry!$V144/C$2),"")</f>
        <v/>
      </c>
      <c r="D146" s="99" t="str">
        <f>IFERROR((Data_Entry!G144/Data_Entry!$V144/D$2),"")</f>
        <v/>
      </c>
      <c r="E146" s="99" t="str">
        <f>IFERROR((Data_Entry!H144/Data_Entry!$V144/E$2),"")</f>
        <v/>
      </c>
      <c r="F146" s="99" t="str">
        <f>IFERROR((Data_Entry!I144/Data_Entry!$V144/F$2),"")</f>
        <v/>
      </c>
      <c r="G146" s="99" t="str">
        <f>IFERROR((Data_Entry!J144/Data_Entry!$V144/G$2),"")</f>
        <v/>
      </c>
      <c r="H146" s="99" t="str">
        <f>IFERROR((Data_Entry!K144/Data_Entry!$V144/H$2),"")</f>
        <v/>
      </c>
      <c r="I146" s="99" t="str">
        <f>IFERROR((Data_Entry!L144/Data_Entry!$V144/I$2),"")</f>
        <v/>
      </c>
    </row>
    <row r="147" ht="15" spans="1:9">
      <c r="A147" s="98">
        <v>45890</v>
      </c>
      <c r="B147" s="25">
        <v>45890</v>
      </c>
      <c r="C147" s="99" t="str">
        <f>IFERROR((Data_Entry!F145/Data_Entry!$V145/C$2),"")</f>
        <v/>
      </c>
      <c r="D147" s="99" t="str">
        <f>IFERROR((Data_Entry!G145/Data_Entry!$V145/D$2),"")</f>
        <v/>
      </c>
      <c r="E147" s="99" t="str">
        <f>IFERROR((Data_Entry!H145/Data_Entry!$V145/E$2),"")</f>
        <v/>
      </c>
      <c r="F147" s="99" t="str">
        <f>IFERROR((Data_Entry!I145/Data_Entry!$V145/F$2),"")</f>
        <v/>
      </c>
      <c r="G147" s="99" t="str">
        <f>IFERROR((Data_Entry!J145/Data_Entry!$V145/G$2),"")</f>
        <v/>
      </c>
      <c r="H147" s="99" t="str">
        <f>IFERROR((Data_Entry!K145/Data_Entry!$V145/H$2),"")</f>
        <v/>
      </c>
      <c r="I147" s="99" t="str">
        <f>IFERROR((Data_Entry!L145/Data_Entry!$V145/I$2),"")</f>
        <v/>
      </c>
    </row>
    <row r="148" ht="15" spans="1:9">
      <c r="A148" s="98">
        <v>45891</v>
      </c>
      <c r="B148" s="25">
        <v>45891</v>
      </c>
      <c r="C148" s="99" t="str">
        <f>IFERROR((Data_Entry!F146/Data_Entry!$V146/C$2),"")</f>
        <v/>
      </c>
      <c r="D148" s="99" t="str">
        <f>IFERROR((Data_Entry!G146/Data_Entry!$V146/D$2),"")</f>
        <v/>
      </c>
      <c r="E148" s="99" t="str">
        <f>IFERROR((Data_Entry!H146/Data_Entry!$V146/E$2),"")</f>
        <v/>
      </c>
      <c r="F148" s="99" t="str">
        <f>IFERROR((Data_Entry!I146/Data_Entry!$V146/F$2),"")</f>
        <v/>
      </c>
      <c r="G148" s="99" t="str">
        <f>IFERROR((Data_Entry!J146/Data_Entry!$V146/G$2),"")</f>
        <v/>
      </c>
      <c r="H148" s="99" t="str">
        <f>IFERROR((Data_Entry!K146/Data_Entry!$V146/H$2),"")</f>
        <v/>
      </c>
      <c r="I148" s="99" t="str">
        <f>IFERROR((Data_Entry!L146/Data_Entry!$V146/I$2),"")</f>
        <v/>
      </c>
    </row>
    <row r="149" ht="15" spans="1:9">
      <c r="A149" s="98">
        <v>45892</v>
      </c>
      <c r="B149" s="25">
        <v>45892</v>
      </c>
      <c r="C149" s="99" t="str">
        <f>IFERROR((Data_Entry!F147/Data_Entry!$V147/C$2),"")</f>
        <v/>
      </c>
      <c r="D149" s="99" t="str">
        <f>IFERROR((Data_Entry!G147/Data_Entry!$V147/D$2),"")</f>
        <v/>
      </c>
      <c r="E149" s="99" t="str">
        <f>IFERROR((Data_Entry!H147/Data_Entry!$V147/E$2),"")</f>
        <v/>
      </c>
      <c r="F149" s="99" t="str">
        <f>IFERROR((Data_Entry!I147/Data_Entry!$V147/F$2),"")</f>
        <v/>
      </c>
      <c r="G149" s="99" t="str">
        <f>IFERROR((Data_Entry!J147/Data_Entry!$V147/G$2),"")</f>
        <v/>
      </c>
      <c r="H149" s="99" t="str">
        <f>IFERROR((Data_Entry!K147/Data_Entry!$V147/H$2),"")</f>
        <v/>
      </c>
      <c r="I149" s="99" t="str">
        <f>IFERROR((Data_Entry!L147/Data_Entry!$V147/I$2),"")</f>
        <v/>
      </c>
    </row>
    <row r="150" ht="15" spans="1:9">
      <c r="A150" s="98">
        <v>45893</v>
      </c>
      <c r="B150" s="25">
        <v>45893</v>
      </c>
      <c r="C150" s="99" t="str">
        <f>IFERROR((Data_Entry!F148/Data_Entry!$V148/C$2),"")</f>
        <v/>
      </c>
      <c r="D150" s="99" t="str">
        <f>IFERROR((Data_Entry!G148/Data_Entry!$V148/D$2),"")</f>
        <v/>
      </c>
      <c r="E150" s="99" t="str">
        <f>IFERROR((Data_Entry!H148/Data_Entry!$V148/E$2),"")</f>
        <v/>
      </c>
      <c r="F150" s="99" t="str">
        <f>IFERROR((Data_Entry!I148/Data_Entry!$V148/F$2),"")</f>
        <v/>
      </c>
      <c r="G150" s="99" t="str">
        <f>IFERROR((Data_Entry!J148/Data_Entry!$V148/G$2),"")</f>
        <v/>
      </c>
      <c r="H150" s="99" t="str">
        <f>IFERROR((Data_Entry!K148/Data_Entry!$V148/H$2),"")</f>
        <v/>
      </c>
      <c r="I150" s="99" t="str">
        <f>IFERROR((Data_Entry!L148/Data_Entry!$V148/I$2),"")</f>
        <v/>
      </c>
    </row>
    <row r="151" ht="15" spans="1:9">
      <c r="A151" s="98">
        <v>45894</v>
      </c>
      <c r="B151" s="25">
        <v>45894</v>
      </c>
      <c r="C151" s="99" t="str">
        <f>IFERROR((Data_Entry!F149/Data_Entry!$V149/C$2),"")</f>
        <v/>
      </c>
      <c r="D151" s="99" t="str">
        <f>IFERROR((Data_Entry!G149/Data_Entry!$V149/D$2),"")</f>
        <v/>
      </c>
      <c r="E151" s="99" t="str">
        <f>IFERROR((Data_Entry!H149/Data_Entry!$V149/E$2),"")</f>
        <v/>
      </c>
      <c r="F151" s="99" t="str">
        <f>IFERROR((Data_Entry!I149/Data_Entry!$V149/F$2),"")</f>
        <v/>
      </c>
      <c r="G151" s="99" t="str">
        <f>IFERROR((Data_Entry!J149/Data_Entry!$V149/G$2),"")</f>
        <v/>
      </c>
      <c r="H151" s="99" t="str">
        <f>IFERROR((Data_Entry!K149/Data_Entry!$V149/H$2),"")</f>
        <v/>
      </c>
      <c r="I151" s="99" t="str">
        <f>IFERROR((Data_Entry!L149/Data_Entry!$V149/I$2),"")</f>
        <v/>
      </c>
    </row>
    <row r="152" ht="15" spans="1:9">
      <c r="A152" s="98">
        <v>45895</v>
      </c>
      <c r="B152" s="25">
        <v>45895</v>
      </c>
      <c r="C152" s="99" t="str">
        <f>IFERROR((Data_Entry!F150/Data_Entry!$V150/C$2),"")</f>
        <v/>
      </c>
      <c r="D152" s="99" t="str">
        <f>IFERROR((Data_Entry!G150/Data_Entry!$V150/D$2),"")</f>
        <v/>
      </c>
      <c r="E152" s="99" t="str">
        <f>IFERROR((Data_Entry!H150/Data_Entry!$V150/E$2),"")</f>
        <v/>
      </c>
      <c r="F152" s="99" t="str">
        <f>IFERROR((Data_Entry!I150/Data_Entry!$V150/F$2),"")</f>
        <v/>
      </c>
      <c r="G152" s="99" t="str">
        <f>IFERROR((Data_Entry!J150/Data_Entry!$V150/G$2),"")</f>
        <v/>
      </c>
      <c r="H152" s="99" t="str">
        <f>IFERROR((Data_Entry!K150/Data_Entry!$V150/H$2),"")</f>
        <v/>
      </c>
      <c r="I152" s="99" t="str">
        <f>IFERROR((Data_Entry!L150/Data_Entry!$V150/I$2),"")</f>
        <v/>
      </c>
    </row>
    <row r="153" ht="15" spans="1:9">
      <c r="A153" s="98">
        <v>45896</v>
      </c>
      <c r="B153" s="25">
        <v>45896</v>
      </c>
      <c r="C153" s="99" t="str">
        <f>IFERROR((Data_Entry!F151/Data_Entry!$V151/C$2),"")</f>
        <v/>
      </c>
      <c r="D153" s="99" t="str">
        <f>IFERROR((Data_Entry!G151/Data_Entry!$V151/D$2),"")</f>
        <v/>
      </c>
      <c r="E153" s="99" t="str">
        <f>IFERROR((Data_Entry!H151/Data_Entry!$V151/E$2),"")</f>
        <v/>
      </c>
      <c r="F153" s="99" t="str">
        <f>IFERROR((Data_Entry!I151/Data_Entry!$V151/F$2),"")</f>
        <v/>
      </c>
      <c r="G153" s="99" t="str">
        <f>IFERROR((Data_Entry!J151/Data_Entry!$V151/G$2),"")</f>
        <v/>
      </c>
      <c r="H153" s="99" t="str">
        <f>IFERROR((Data_Entry!K151/Data_Entry!$V151/H$2),"")</f>
        <v/>
      </c>
      <c r="I153" s="99" t="str">
        <f>IFERROR((Data_Entry!L151/Data_Entry!$V151/I$2),"")</f>
        <v/>
      </c>
    </row>
    <row r="154" ht="15" spans="1:9">
      <c r="A154" s="98">
        <v>45897</v>
      </c>
      <c r="B154" s="25">
        <v>45897</v>
      </c>
      <c r="C154" s="99" t="str">
        <f>IFERROR((Data_Entry!F152/Data_Entry!$V152/C$2),"")</f>
        <v/>
      </c>
      <c r="D154" s="99" t="str">
        <f>IFERROR((Data_Entry!G152/Data_Entry!$V152/D$2),"")</f>
        <v/>
      </c>
      <c r="E154" s="99" t="str">
        <f>IFERROR((Data_Entry!H152/Data_Entry!$V152/E$2),"")</f>
        <v/>
      </c>
      <c r="F154" s="99" t="str">
        <f>IFERROR((Data_Entry!I152/Data_Entry!$V152/F$2),"")</f>
        <v/>
      </c>
      <c r="G154" s="99" t="str">
        <f>IFERROR((Data_Entry!J152/Data_Entry!$V152/G$2),"")</f>
        <v/>
      </c>
      <c r="H154" s="99" t="str">
        <f>IFERROR((Data_Entry!K152/Data_Entry!$V152/H$2),"")</f>
        <v/>
      </c>
      <c r="I154" s="99" t="str">
        <f>IFERROR((Data_Entry!L152/Data_Entry!$V152/I$2),"")</f>
        <v/>
      </c>
    </row>
    <row r="155" ht="15" spans="1:9">
      <c r="A155" s="98">
        <v>45898</v>
      </c>
      <c r="B155" s="25">
        <v>45898</v>
      </c>
      <c r="C155" s="99" t="str">
        <f>IFERROR((Data_Entry!F153/Data_Entry!$V153/C$2),"")</f>
        <v/>
      </c>
      <c r="D155" s="99" t="str">
        <f>IFERROR((Data_Entry!G153/Data_Entry!$V153/D$2),"")</f>
        <v/>
      </c>
      <c r="E155" s="99" t="str">
        <f>IFERROR((Data_Entry!H153/Data_Entry!$V153/E$2),"")</f>
        <v/>
      </c>
      <c r="F155" s="99" t="str">
        <f>IFERROR((Data_Entry!I153/Data_Entry!$V153/F$2),"")</f>
        <v/>
      </c>
      <c r="G155" s="99" t="str">
        <f>IFERROR((Data_Entry!J153/Data_Entry!$V153/G$2),"")</f>
        <v/>
      </c>
      <c r="H155" s="99" t="str">
        <f>IFERROR((Data_Entry!K153/Data_Entry!$V153/H$2),"")</f>
        <v/>
      </c>
      <c r="I155" s="99" t="str">
        <f>IFERROR((Data_Entry!L153/Data_Entry!$V153/I$2),"")</f>
        <v/>
      </c>
    </row>
    <row r="156" ht="15" spans="1:9">
      <c r="A156" s="98">
        <v>45899</v>
      </c>
      <c r="B156" s="25">
        <v>45899</v>
      </c>
      <c r="C156" s="99" t="str">
        <f>IFERROR((Data_Entry!F154/Data_Entry!$V154/C$2),"")</f>
        <v/>
      </c>
      <c r="D156" s="99" t="str">
        <f>IFERROR((Data_Entry!G154/Data_Entry!$V154/D$2),"")</f>
        <v/>
      </c>
      <c r="E156" s="99" t="str">
        <f>IFERROR((Data_Entry!H154/Data_Entry!$V154/E$2),"")</f>
        <v/>
      </c>
      <c r="F156" s="99" t="str">
        <f>IFERROR((Data_Entry!I154/Data_Entry!$V154/F$2),"")</f>
        <v/>
      </c>
      <c r="G156" s="99" t="str">
        <f>IFERROR((Data_Entry!J154/Data_Entry!$V154/G$2),"")</f>
        <v/>
      </c>
      <c r="H156" s="99" t="str">
        <f>IFERROR((Data_Entry!K154/Data_Entry!$V154/H$2),"")</f>
        <v/>
      </c>
      <c r="I156" s="99" t="str">
        <f>IFERROR((Data_Entry!L154/Data_Entry!$V154/I$2),"")</f>
        <v/>
      </c>
    </row>
    <row r="157" ht="15" spans="1:9">
      <c r="A157" s="98">
        <v>45900</v>
      </c>
      <c r="B157" s="25">
        <v>45900</v>
      </c>
      <c r="C157" s="99" t="str">
        <f>IFERROR((Data_Entry!F155/Data_Entry!$V155/C$2),"")</f>
        <v/>
      </c>
      <c r="D157" s="99" t="str">
        <f>IFERROR((Data_Entry!G155/Data_Entry!$V155/D$2),"")</f>
        <v/>
      </c>
      <c r="E157" s="99" t="str">
        <f>IFERROR((Data_Entry!H155/Data_Entry!$V155/E$2),"")</f>
        <v/>
      </c>
      <c r="F157" s="99" t="str">
        <f>IFERROR((Data_Entry!I155/Data_Entry!$V155/F$2),"")</f>
        <v/>
      </c>
      <c r="G157" s="99" t="str">
        <f>IFERROR((Data_Entry!J155/Data_Entry!$V155/G$2),"")</f>
        <v/>
      </c>
      <c r="H157" s="99" t="str">
        <f>IFERROR((Data_Entry!K155/Data_Entry!$V155/H$2),"")</f>
        <v/>
      </c>
      <c r="I157" s="99" t="str">
        <f>IFERROR((Data_Entry!L155/Data_Entry!$V155/I$2),"")</f>
        <v/>
      </c>
    </row>
    <row r="158" ht="15" spans="1:9">
      <c r="A158" s="98">
        <v>45901</v>
      </c>
      <c r="B158" s="25">
        <v>45901</v>
      </c>
      <c r="C158" s="99" t="str">
        <f>IFERROR((Data_Entry!F156/Data_Entry!$V156/C$2),"")</f>
        <v/>
      </c>
      <c r="D158" s="99" t="str">
        <f>IFERROR((Data_Entry!G156/Data_Entry!$V156/D$2),"")</f>
        <v/>
      </c>
      <c r="E158" s="99" t="str">
        <f>IFERROR((Data_Entry!H156/Data_Entry!$V156/E$2),"")</f>
        <v/>
      </c>
      <c r="F158" s="99" t="str">
        <f>IFERROR((Data_Entry!I156/Data_Entry!$V156/F$2),"")</f>
        <v/>
      </c>
      <c r="G158" s="99" t="str">
        <f>IFERROR((Data_Entry!J156/Data_Entry!$V156/G$2),"")</f>
        <v/>
      </c>
      <c r="H158" s="99" t="str">
        <f>IFERROR((Data_Entry!K156/Data_Entry!$V156/H$2),"")</f>
        <v/>
      </c>
      <c r="I158" s="99" t="str">
        <f>IFERROR((Data_Entry!L156/Data_Entry!$V156/I$2),"")</f>
        <v/>
      </c>
    </row>
    <row r="159" ht="15" spans="1:9">
      <c r="A159" s="98">
        <v>45902</v>
      </c>
      <c r="B159" s="25">
        <v>45902</v>
      </c>
      <c r="C159" s="99" t="str">
        <f>IFERROR((Data_Entry!F157/Data_Entry!$V157/C$2),"")</f>
        <v/>
      </c>
      <c r="D159" s="99" t="str">
        <f>IFERROR((Data_Entry!G157/Data_Entry!$V157/D$2),"")</f>
        <v/>
      </c>
      <c r="E159" s="99" t="str">
        <f>IFERROR((Data_Entry!H157/Data_Entry!$V157/E$2),"")</f>
        <v/>
      </c>
      <c r="F159" s="99" t="str">
        <f>IFERROR((Data_Entry!I157/Data_Entry!$V157/F$2),"")</f>
        <v/>
      </c>
      <c r="G159" s="99" t="str">
        <f>IFERROR((Data_Entry!J157/Data_Entry!$V157/G$2),"")</f>
        <v/>
      </c>
      <c r="H159" s="99" t="str">
        <f>IFERROR((Data_Entry!K157/Data_Entry!$V157/H$2),"")</f>
        <v/>
      </c>
      <c r="I159" s="99" t="str">
        <f>IFERROR((Data_Entry!L157/Data_Entry!$V157/I$2),"")</f>
        <v/>
      </c>
    </row>
    <row r="160" ht="15" spans="1:9">
      <c r="A160" s="98">
        <v>45903</v>
      </c>
      <c r="B160" s="25">
        <v>45903</v>
      </c>
      <c r="C160" s="99" t="str">
        <f>IFERROR((Data_Entry!F158/Data_Entry!$V158/C$2),"")</f>
        <v/>
      </c>
      <c r="D160" s="99" t="str">
        <f>IFERROR((Data_Entry!G158/Data_Entry!$V158/D$2),"")</f>
        <v/>
      </c>
      <c r="E160" s="99" t="str">
        <f>IFERROR((Data_Entry!H158/Data_Entry!$V158/E$2),"")</f>
        <v/>
      </c>
      <c r="F160" s="99" t="str">
        <f>IFERROR((Data_Entry!I158/Data_Entry!$V158/F$2),"")</f>
        <v/>
      </c>
      <c r="G160" s="99" t="str">
        <f>IFERROR((Data_Entry!J158/Data_Entry!$V158/G$2),"")</f>
        <v/>
      </c>
      <c r="H160" s="99" t="str">
        <f>IFERROR((Data_Entry!K158/Data_Entry!$V158/H$2),"")</f>
        <v/>
      </c>
      <c r="I160" s="99" t="str">
        <f>IFERROR((Data_Entry!L158/Data_Entry!$V158/I$2),"")</f>
        <v/>
      </c>
    </row>
    <row r="161" ht="15" spans="1:9">
      <c r="A161" s="98">
        <v>45904</v>
      </c>
      <c r="B161" s="25">
        <v>45904</v>
      </c>
      <c r="C161" s="99" t="str">
        <f>IFERROR((Data_Entry!F159/Data_Entry!$V159/C$2),"")</f>
        <v/>
      </c>
      <c r="D161" s="99" t="str">
        <f>IFERROR((Data_Entry!G159/Data_Entry!$V159/D$2),"")</f>
        <v/>
      </c>
      <c r="E161" s="99" t="str">
        <f>IFERROR((Data_Entry!H159/Data_Entry!$V159/E$2),"")</f>
        <v/>
      </c>
      <c r="F161" s="99" t="str">
        <f>IFERROR((Data_Entry!I159/Data_Entry!$V159/F$2),"")</f>
        <v/>
      </c>
      <c r="G161" s="99" t="str">
        <f>IFERROR((Data_Entry!J159/Data_Entry!$V159/G$2),"")</f>
        <v/>
      </c>
      <c r="H161" s="99" t="str">
        <f>IFERROR((Data_Entry!K159/Data_Entry!$V159/H$2),"")</f>
        <v/>
      </c>
      <c r="I161" s="99" t="str">
        <f>IFERROR((Data_Entry!L159/Data_Entry!$V159/I$2),"")</f>
        <v/>
      </c>
    </row>
    <row r="162" ht="15" spans="1:9">
      <c r="A162" s="98">
        <v>45905</v>
      </c>
      <c r="B162" s="25">
        <v>45905</v>
      </c>
      <c r="C162" s="99" t="str">
        <f>IFERROR((Data_Entry!F160/Data_Entry!$V160/C$2),"")</f>
        <v/>
      </c>
      <c r="D162" s="99" t="str">
        <f>IFERROR((Data_Entry!G160/Data_Entry!$V160/D$2),"")</f>
        <v/>
      </c>
      <c r="E162" s="99" t="str">
        <f>IFERROR((Data_Entry!H160/Data_Entry!$V160/E$2),"")</f>
        <v/>
      </c>
      <c r="F162" s="99" t="str">
        <f>IFERROR((Data_Entry!I160/Data_Entry!$V160/F$2),"")</f>
        <v/>
      </c>
      <c r="G162" s="99" t="str">
        <f>IFERROR((Data_Entry!J160/Data_Entry!$V160/G$2),"")</f>
        <v/>
      </c>
      <c r="H162" s="99" t="str">
        <f>IFERROR((Data_Entry!K160/Data_Entry!$V160/H$2),"")</f>
        <v/>
      </c>
      <c r="I162" s="99" t="str">
        <f>IFERROR((Data_Entry!L160/Data_Entry!$V160/I$2),"")</f>
        <v/>
      </c>
    </row>
    <row r="163" ht="15" spans="1:9">
      <c r="A163" s="98">
        <v>45906</v>
      </c>
      <c r="B163" s="25">
        <v>45906</v>
      </c>
      <c r="C163" s="99" t="str">
        <f>IFERROR((Data_Entry!F161/Data_Entry!$V161/C$2),"")</f>
        <v/>
      </c>
      <c r="D163" s="99" t="str">
        <f>IFERROR((Data_Entry!G161/Data_Entry!$V161/D$2),"")</f>
        <v/>
      </c>
      <c r="E163" s="99" t="str">
        <f>IFERROR((Data_Entry!H161/Data_Entry!$V161/E$2),"")</f>
        <v/>
      </c>
      <c r="F163" s="99" t="str">
        <f>IFERROR((Data_Entry!I161/Data_Entry!$V161/F$2),"")</f>
        <v/>
      </c>
      <c r="G163" s="99" t="str">
        <f>IFERROR((Data_Entry!J161/Data_Entry!$V161/G$2),"")</f>
        <v/>
      </c>
      <c r="H163" s="99" t="str">
        <f>IFERROR((Data_Entry!K161/Data_Entry!$V161/H$2),"")</f>
        <v/>
      </c>
      <c r="I163" s="99" t="str">
        <f>IFERROR((Data_Entry!L161/Data_Entry!$V161/I$2),"")</f>
        <v/>
      </c>
    </row>
    <row r="164" ht="15" spans="1:9">
      <c r="A164" s="98">
        <v>45907</v>
      </c>
      <c r="B164" s="25">
        <v>45907</v>
      </c>
      <c r="C164" s="99" t="str">
        <f>IFERROR((Data_Entry!F162/Data_Entry!$V162/C$2),"")</f>
        <v/>
      </c>
      <c r="D164" s="99" t="str">
        <f>IFERROR((Data_Entry!G162/Data_Entry!$V162/D$2),"")</f>
        <v/>
      </c>
      <c r="E164" s="99" t="str">
        <f>IFERROR((Data_Entry!H162/Data_Entry!$V162/E$2),"")</f>
        <v/>
      </c>
      <c r="F164" s="99" t="str">
        <f>IFERROR((Data_Entry!I162/Data_Entry!$V162/F$2),"")</f>
        <v/>
      </c>
      <c r="G164" s="99" t="str">
        <f>IFERROR((Data_Entry!J162/Data_Entry!$V162/G$2),"")</f>
        <v/>
      </c>
      <c r="H164" s="99" t="str">
        <f>IFERROR((Data_Entry!K162/Data_Entry!$V162/H$2),"")</f>
        <v/>
      </c>
      <c r="I164" s="99" t="str">
        <f>IFERROR((Data_Entry!L162/Data_Entry!$V162/I$2),"")</f>
        <v/>
      </c>
    </row>
    <row r="165" ht="15" spans="1:9">
      <c r="A165" s="98">
        <v>45908</v>
      </c>
      <c r="B165" s="25">
        <v>45908</v>
      </c>
      <c r="C165" s="99" t="str">
        <f>IFERROR((Data_Entry!F163/Data_Entry!$V163/C$2),"")</f>
        <v/>
      </c>
      <c r="D165" s="99" t="str">
        <f>IFERROR((Data_Entry!G163/Data_Entry!$V163/D$2),"")</f>
        <v/>
      </c>
      <c r="E165" s="99" t="str">
        <f>IFERROR((Data_Entry!H163/Data_Entry!$V163/E$2),"")</f>
        <v/>
      </c>
      <c r="F165" s="99" t="str">
        <f>IFERROR((Data_Entry!I163/Data_Entry!$V163/F$2),"")</f>
        <v/>
      </c>
      <c r="G165" s="99" t="str">
        <f>IFERROR((Data_Entry!J163/Data_Entry!$V163/G$2),"")</f>
        <v/>
      </c>
      <c r="H165" s="99" t="str">
        <f>IFERROR((Data_Entry!K163/Data_Entry!$V163/H$2),"")</f>
        <v/>
      </c>
      <c r="I165" s="99" t="str">
        <f>IFERROR((Data_Entry!L163/Data_Entry!$V163/I$2),"")</f>
        <v/>
      </c>
    </row>
    <row r="166" ht="15" spans="1:9">
      <c r="A166" s="98">
        <v>45909</v>
      </c>
      <c r="B166" s="25">
        <v>45909</v>
      </c>
      <c r="C166" s="99" t="str">
        <f>IFERROR((Data_Entry!F164/Data_Entry!$V164/C$2),"")</f>
        <v/>
      </c>
      <c r="D166" s="99" t="str">
        <f>IFERROR((Data_Entry!G164/Data_Entry!$V164/D$2),"")</f>
        <v/>
      </c>
      <c r="E166" s="99" t="str">
        <f>IFERROR((Data_Entry!H164/Data_Entry!$V164/E$2),"")</f>
        <v/>
      </c>
      <c r="F166" s="99" t="str">
        <f>IFERROR((Data_Entry!I164/Data_Entry!$V164/F$2),"")</f>
        <v/>
      </c>
      <c r="G166" s="99" t="str">
        <f>IFERROR((Data_Entry!J164/Data_Entry!$V164/G$2),"")</f>
        <v/>
      </c>
      <c r="H166" s="99" t="str">
        <f>IFERROR((Data_Entry!K164/Data_Entry!$V164/H$2),"")</f>
        <v/>
      </c>
      <c r="I166" s="99" t="str">
        <f>IFERROR((Data_Entry!L164/Data_Entry!$V164/I$2),"")</f>
        <v/>
      </c>
    </row>
    <row r="167" ht="15" spans="1:9">
      <c r="A167" s="98">
        <v>45910</v>
      </c>
      <c r="B167" s="25">
        <v>45910</v>
      </c>
      <c r="C167" s="99" t="str">
        <f>IFERROR((Data_Entry!F165/Data_Entry!$V165/C$2),"")</f>
        <v/>
      </c>
      <c r="D167" s="99" t="str">
        <f>IFERROR((Data_Entry!G165/Data_Entry!$V165/D$2),"")</f>
        <v/>
      </c>
      <c r="E167" s="99" t="str">
        <f>IFERROR((Data_Entry!H165/Data_Entry!$V165/E$2),"")</f>
        <v/>
      </c>
      <c r="F167" s="99" t="str">
        <f>IFERROR((Data_Entry!I165/Data_Entry!$V165/F$2),"")</f>
        <v/>
      </c>
      <c r="G167" s="99" t="str">
        <f>IFERROR((Data_Entry!J165/Data_Entry!$V165/G$2),"")</f>
        <v/>
      </c>
      <c r="H167" s="99" t="str">
        <f>IFERROR((Data_Entry!K165/Data_Entry!$V165/H$2),"")</f>
        <v/>
      </c>
      <c r="I167" s="99" t="str">
        <f>IFERROR((Data_Entry!L165/Data_Entry!$V165/I$2),"")</f>
        <v/>
      </c>
    </row>
    <row r="168" ht="15" spans="1:9">
      <c r="A168" s="98">
        <v>45911</v>
      </c>
      <c r="B168" s="25">
        <v>45911</v>
      </c>
      <c r="C168" s="99" t="str">
        <f>IFERROR((Data_Entry!F166/Data_Entry!$V166/C$2),"")</f>
        <v/>
      </c>
      <c r="D168" s="99" t="str">
        <f>IFERROR((Data_Entry!G166/Data_Entry!$V166/D$2),"")</f>
        <v/>
      </c>
      <c r="E168" s="99" t="str">
        <f>IFERROR((Data_Entry!H166/Data_Entry!$V166/E$2),"")</f>
        <v/>
      </c>
      <c r="F168" s="99" t="str">
        <f>IFERROR((Data_Entry!I166/Data_Entry!$V166/F$2),"")</f>
        <v/>
      </c>
      <c r="G168" s="99" t="str">
        <f>IFERROR((Data_Entry!J166/Data_Entry!$V166/G$2),"")</f>
        <v/>
      </c>
      <c r="H168" s="99" t="str">
        <f>IFERROR((Data_Entry!K166/Data_Entry!$V166/H$2),"")</f>
        <v/>
      </c>
      <c r="I168" s="99" t="str">
        <f>IFERROR((Data_Entry!L166/Data_Entry!$V166/I$2),"")</f>
        <v/>
      </c>
    </row>
    <row r="169" ht="15" spans="1:9">
      <c r="A169" s="98">
        <v>45912</v>
      </c>
      <c r="B169" s="25">
        <v>45912</v>
      </c>
      <c r="C169" s="99" t="str">
        <f>IFERROR((Data_Entry!F167/Data_Entry!$V167/C$2),"")</f>
        <v/>
      </c>
      <c r="D169" s="99" t="str">
        <f>IFERROR((Data_Entry!G167/Data_Entry!$V167/D$2),"")</f>
        <v/>
      </c>
      <c r="E169" s="99" t="str">
        <f>IFERROR((Data_Entry!H167/Data_Entry!$V167/E$2),"")</f>
        <v/>
      </c>
      <c r="F169" s="99" t="str">
        <f>IFERROR((Data_Entry!I167/Data_Entry!$V167/F$2),"")</f>
        <v/>
      </c>
      <c r="G169" s="99" t="str">
        <f>IFERROR((Data_Entry!J167/Data_Entry!$V167/G$2),"")</f>
        <v/>
      </c>
      <c r="H169" s="99" t="str">
        <f>IFERROR((Data_Entry!K167/Data_Entry!$V167/H$2),"")</f>
        <v/>
      </c>
      <c r="I169" s="99" t="str">
        <f>IFERROR((Data_Entry!L167/Data_Entry!$V167/I$2),"")</f>
        <v/>
      </c>
    </row>
    <row r="170" ht="15" spans="1:9">
      <c r="A170" s="98">
        <v>45913</v>
      </c>
      <c r="B170" s="25">
        <v>45913</v>
      </c>
      <c r="C170" s="99" t="str">
        <f>IFERROR((Data_Entry!F168/Data_Entry!$V168/C$2),"")</f>
        <v/>
      </c>
      <c r="D170" s="99" t="str">
        <f>IFERROR((Data_Entry!G168/Data_Entry!$V168/D$2),"")</f>
        <v/>
      </c>
      <c r="E170" s="99" t="str">
        <f>IFERROR((Data_Entry!H168/Data_Entry!$V168/E$2),"")</f>
        <v/>
      </c>
      <c r="F170" s="99" t="str">
        <f>IFERROR((Data_Entry!I168/Data_Entry!$V168/F$2),"")</f>
        <v/>
      </c>
      <c r="G170" s="99" t="str">
        <f>IFERROR((Data_Entry!J168/Data_Entry!$V168/G$2),"")</f>
        <v/>
      </c>
      <c r="H170" s="99" t="str">
        <f>IFERROR((Data_Entry!K168/Data_Entry!$V168/H$2),"")</f>
        <v/>
      </c>
      <c r="I170" s="99" t="str">
        <f>IFERROR((Data_Entry!L168/Data_Entry!$V168/I$2),"")</f>
        <v/>
      </c>
    </row>
    <row r="171" ht="15" spans="1:9">
      <c r="A171" s="98">
        <v>45914</v>
      </c>
      <c r="B171" s="25">
        <v>45914</v>
      </c>
      <c r="C171" s="99" t="str">
        <f>IFERROR((Data_Entry!F169/Data_Entry!$V169/C$2),"")</f>
        <v/>
      </c>
      <c r="D171" s="99" t="str">
        <f>IFERROR((Data_Entry!G169/Data_Entry!$V169/D$2),"")</f>
        <v/>
      </c>
      <c r="E171" s="99" t="str">
        <f>IFERROR((Data_Entry!H169/Data_Entry!$V169/E$2),"")</f>
        <v/>
      </c>
      <c r="F171" s="99" t="str">
        <f>IFERROR((Data_Entry!I169/Data_Entry!$V169/F$2),"")</f>
        <v/>
      </c>
      <c r="G171" s="99" t="str">
        <f>IFERROR((Data_Entry!J169/Data_Entry!$V169/G$2),"")</f>
        <v/>
      </c>
      <c r="H171" s="99" t="str">
        <f>IFERROR((Data_Entry!K169/Data_Entry!$V169/H$2),"")</f>
        <v/>
      </c>
      <c r="I171" s="99" t="str">
        <f>IFERROR((Data_Entry!L169/Data_Entry!$V169/I$2),"")</f>
        <v/>
      </c>
    </row>
    <row r="172" ht="15" spans="1:9">
      <c r="A172" s="98">
        <v>45915</v>
      </c>
      <c r="B172" s="25">
        <v>45915</v>
      </c>
      <c r="C172" s="99" t="str">
        <f>IFERROR((Data_Entry!F170/Data_Entry!$V170/C$2),"")</f>
        <v/>
      </c>
      <c r="D172" s="99" t="str">
        <f>IFERROR((Data_Entry!G170/Data_Entry!$V170/D$2),"")</f>
        <v/>
      </c>
      <c r="E172" s="99" t="str">
        <f>IFERROR((Data_Entry!H170/Data_Entry!$V170/E$2),"")</f>
        <v/>
      </c>
      <c r="F172" s="99" t="str">
        <f>IFERROR((Data_Entry!I170/Data_Entry!$V170/F$2),"")</f>
        <v/>
      </c>
      <c r="G172" s="99" t="str">
        <f>IFERROR((Data_Entry!J170/Data_Entry!$V170/G$2),"")</f>
        <v/>
      </c>
      <c r="H172" s="99" t="str">
        <f>IFERROR((Data_Entry!K170/Data_Entry!$V170/H$2),"")</f>
        <v/>
      </c>
      <c r="I172" s="99" t="str">
        <f>IFERROR((Data_Entry!L170/Data_Entry!$V170/I$2),"")</f>
        <v/>
      </c>
    </row>
    <row r="173" ht="15" spans="1:9">
      <c r="A173" s="98">
        <v>45916</v>
      </c>
      <c r="B173" s="25">
        <v>45916</v>
      </c>
      <c r="C173" s="99" t="str">
        <f>IFERROR((Data_Entry!F171/Data_Entry!$V171/C$2),"")</f>
        <v/>
      </c>
      <c r="D173" s="99" t="str">
        <f>IFERROR((Data_Entry!G171/Data_Entry!$V171/D$2),"")</f>
        <v/>
      </c>
      <c r="E173" s="99" t="str">
        <f>IFERROR((Data_Entry!H171/Data_Entry!$V171/E$2),"")</f>
        <v/>
      </c>
      <c r="F173" s="99" t="str">
        <f>IFERROR((Data_Entry!I171/Data_Entry!$V171/F$2),"")</f>
        <v/>
      </c>
      <c r="G173" s="99" t="str">
        <f>IFERROR((Data_Entry!J171/Data_Entry!$V171/G$2),"")</f>
        <v/>
      </c>
      <c r="H173" s="99" t="str">
        <f>IFERROR((Data_Entry!K171/Data_Entry!$V171/H$2),"")</f>
        <v/>
      </c>
      <c r="I173" s="99" t="str">
        <f>IFERROR((Data_Entry!L171/Data_Entry!$V171/I$2),"")</f>
        <v/>
      </c>
    </row>
    <row r="174" ht="15" spans="1:9">
      <c r="A174" s="98">
        <v>45917</v>
      </c>
      <c r="B174" s="25">
        <v>45917</v>
      </c>
      <c r="C174" s="99" t="str">
        <f>IFERROR((Data_Entry!F172/Data_Entry!$V172/C$2),"")</f>
        <v/>
      </c>
      <c r="D174" s="99" t="str">
        <f>IFERROR((Data_Entry!G172/Data_Entry!$V172/D$2),"")</f>
        <v/>
      </c>
      <c r="E174" s="99" t="str">
        <f>IFERROR((Data_Entry!H172/Data_Entry!$V172/E$2),"")</f>
        <v/>
      </c>
      <c r="F174" s="99" t="str">
        <f>IFERROR((Data_Entry!I172/Data_Entry!$V172/F$2),"")</f>
        <v/>
      </c>
      <c r="G174" s="99" t="str">
        <f>IFERROR((Data_Entry!J172/Data_Entry!$V172/G$2),"")</f>
        <v/>
      </c>
      <c r="H174" s="99" t="str">
        <f>IFERROR((Data_Entry!K172/Data_Entry!$V172/H$2),"")</f>
        <v/>
      </c>
      <c r="I174" s="99" t="str">
        <f>IFERROR((Data_Entry!L172/Data_Entry!$V172/I$2),"")</f>
        <v/>
      </c>
    </row>
    <row r="175" ht="15" spans="1:9">
      <c r="A175" s="98">
        <v>45918</v>
      </c>
      <c r="B175" s="25">
        <v>45918</v>
      </c>
      <c r="C175" s="99" t="str">
        <f>IFERROR((Data_Entry!F173/Data_Entry!$V173/C$2),"")</f>
        <v/>
      </c>
      <c r="D175" s="99" t="str">
        <f>IFERROR((Data_Entry!G173/Data_Entry!$V173/D$2),"")</f>
        <v/>
      </c>
      <c r="E175" s="99" t="str">
        <f>IFERROR((Data_Entry!H173/Data_Entry!$V173/E$2),"")</f>
        <v/>
      </c>
      <c r="F175" s="99" t="str">
        <f>IFERROR((Data_Entry!I173/Data_Entry!$V173/F$2),"")</f>
        <v/>
      </c>
      <c r="G175" s="99" t="str">
        <f>IFERROR((Data_Entry!J173/Data_Entry!$V173/G$2),"")</f>
        <v/>
      </c>
      <c r="H175" s="99" t="str">
        <f>IFERROR((Data_Entry!K173/Data_Entry!$V173/H$2),"")</f>
        <v/>
      </c>
      <c r="I175" s="99" t="str">
        <f>IFERROR((Data_Entry!L173/Data_Entry!$V173/I$2),"")</f>
        <v/>
      </c>
    </row>
    <row r="176" ht="15" spans="1:9">
      <c r="A176" s="98">
        <v>45919</v>
      </c>
      <c r="B176" s="25">
        <v>45919</v>
      </c>
      <c r="C176" s="99" t="str">
        <f>IFERROR((Data_Entry!F174/Data_Entry!$V174/C$2),"")</f>
        <v/>
      </c>
      <c r="D176" s="99" t="str">
        <f>IFERROR((Data_Entry!G174/Data_Entry!$V174/D$2),"")</f>
        <v/>
      </c>
      <c r="E176" s="99" t="str">
        <f>IFERROR((Data_Entry!H174/Data_Entry!$V174/E$2),"")</f>
        <v/>
      </c>
      <c r="F176" s="99" t="str">
        <f>IFERROR((Data_Entry!I174/Data_Entry!$V174/F$2),"")</f>
        <v/>
      </c>
      <c r="G176" s="99" t="str">
        <f>IFERROR((Data_Entry!J174/Data_Entry!$V174/G$2),"")</f>
        <v/>
      </c>
      <c r="H176" s="99" t="str">
        <f>IFERROR((Data_Entry!K174/Data_Entry!$V174/H$2),"")</f>
        <v/>
      </c>
      <c r="I176" s="99" t="str">
        <f>IFERROR((Data_Entry!L174/Data_Entry!$V174/I$2),"")</f>
        <v/>
      </c>
    </row>
    <row r="177" ht="15" spans="1:9">
      <c r="A177" s="98">
        <v>45920</v>
      </c>
      <c r="B177" s="25">
        <v>45920</v>
      </c>
      <c r="C177" s="99" t="str">
        <f>IFERROR((Data_Entry!F175/Data_Entry!$V175/C$2),"")</f>
        <v/>
      </c>
      <c r="D177" s="99" t="str">
        <f>IFERROR((Data_Entry!G175/Data_Entry!$V175/D$2),"")</f>
        <v/>
      </c>
      <c r="E177" s="99" t="str">
        <f>IFERROR((Data_Entry!H175/Data_Entry!$V175/E$2),"")</f>
        <v/>
      </c>
      <c r="F177" s="99" t="str">
        <f>IFERROR((Data_Entry!I175/Data_Entry!$V175/F$2),"")</f>
        <v/>
      </c>
      <c r="G177" s="99" t="str">
        <f>IFERROR((Data_Entry!J175/Data_Entry!$V175/G$2),"")</f>
        <v/>
      </c>
      <c r="H177" s="99" t="str">
        <f>IFERROR((Data_Entry!K175/Data_Entry!$V175/H$2),"")</f>
        <v/>
      </c>
      <c r="I177" s="99" t="str">
        <f>IFERROR((Data_Entry!L175/Data_Entry!$V175/I$2),"")</f>
        <v/>
      </c>
    </row>
    <row r="178" ht="15" spans="1:9">
      <c r="A178" s="98">
        <v>45921</v>
      </c>
      <c r="B178" s="25">
        <v>45921</v>
      </c>
      <c r="C178" s="99">
        <f>IFERROR((Data_Entry!F176/Data_Entry!$V176/C$2),"")</f>
        <v>1.2020731562016</v>
      </c>
      <c r="D178" s="99">
        <f>IFERROR((Data_Entry!G176/Data_Entry!$V176/D$2),"")</f>
        <v>1.19817308074189</v>
      </c>
      <c r="E178" s="99">
        <f>IFERROR((Data_Entry!H176/Data_Entry!$V176/E$2),"")</f>
        <v>1.20054013265022</v>
      </c>
      <c r="F178" s="99">
        <f>IFERROR((Data_Entry!I176/Data_Entry!$V176/F$2),"")</f>
        <v>1.19955932911657</v>
      </c>
      <c r="G178" s="99">
        <f>IFERROR((Data_Entry!J176/Data_Entry!$V176/G$2),"")</f>
        <v>1.19761429901039</v>
      </c>
      <c r="H178" s="99">
        <f>IFERROR((Data_Entry!K176/Data_Entry!$V176/H$2),"")</f>
        <v>1.19541854236709</v>
      </c>
      <c r="I178" s="99">
        <f>IFERROR((Data_Entry!L176/Data_Entry!$V176/I$2),"")</f>
        <v>1.20071419074211</v>
      </c>
    </row>
    <row r="179" ht="15" spans="1:9">
      <c r="A179" s="98">
        <v>45922</v>
      </c>
      <c r="B179" s="25">
        <v>45922</v>
      </c>
      <c r="C179" s="99">
        <f>IFERROR((Data_Entry!F177/Data_Entry!$V177/C$2),"")</f>
        <v>1.03449119121902</v>
      </c>
      <c r="D179" s="99">
        <f>IFERROR((Data_Entry!G177/Data_Entry!$V177/D$2),"")</f>
        <v>1.02984850691273</v>
      </c>
      <c r="E179" s="99">
        <f>IFERROR((Data_Entry!H177/Data_Entry!$V177/E$2),"")</f>
        <v>1.03053801448297</v>
      </c>
      <c r="F179" s="99">
        <f>IFERROR((Data_Entry!I177/Data_Entry!$V177/F$2),"")</f>
        <v>1.02974458113402</v>
      </c>
      <c r="G179" s="99">
        <f>IFERROR((Data_Entry!J177/Data_Entry!$V177/G$2),"")</f>
        <v>1.03012271108269</v>
      </c>
      <c r="H179" s="99">
        <f>IFERROR((Data_Entry!K177/Data_Entry!$V177/H$2),"")</f>
        <v>1.02754615119992</v>
      </c>
      <c r="I179" s="99">
        <f>IFERROR((Data_Entry!L177/Data_Entry!$V177/I$2),"")</f>
        <v>1.03443163375353</v>
      </c>
    </row>
    <row r="180" ht="15" spans="1:9">
      <c r="A180" s="98">
        <v>45923</v>
      </c>
      <c r="B180" s="25">
        <v>45923</v>
      </c>
      <c r="C180" s="99">
        <f>IFERROR((Data_Entry!F178/Data_Entry!$V178/C$2),"")</f>
        <v>1.45734171365369</v>
      </c>
      <c r="D180" s="99">
        <f>IFERROR((Data_Entry!G178/Data_Entry!$V178/D$2),"")</f>
        <v>1.45491702590048</v>
      </c>
      <c r="E180" s="99">
        <f>IFERROR((Data_Entry!H178/Data_Entry!$V178/E$2),"")</f>
        <v>1.46058533568116</v>
      </c>
      <c r="F180" s="99">
        <f>IFERROR((Data_Entry!I178/Data_Entry!$V178/F$2),"")</f>
        <v>1.46900192744873</v>
      </c>
      <c r="G180" s="99">
        <f>IFERROR((Data_Entry!J178/Data_Entry!$V178/G$2),"")</f>
        <v>1.4685488257062</v>
      </c>
      <c r="H180" s="99">
        <f>IFERROR((Data_Entry!K178/Data_Entry!$V178/H$2),"")</f>
        <v>1.46585325432263</v>
      </c>
      <c r="I180" s="99">
        <f>IFERROR((Data_Entry!L178/Data_Entry!$V178/I$2),"")</f>
        <v>1.47490760948282</v>
      </c>
    </row>
    <row r="181" ht="15" spans="1:9">
      <c r="A181" s="98">
        <v>45924</v>
      </c>
      <c r="B181" s="25">
        <v>45924</v>
      </c>
      <c r="C181" s="99">
        <f>IFERROR((Data_Entry!F179/Data_Entry!$V179/C$2),"")</f>
        <v>2.17960067076755</v>
      </c>
      <c r="D181" s="99">
        <f>IFERROR((Data_Entry!G179/Data_Entry!$V179/D$2),"")</f>
        <v>2.17077542974123</v>
      </c>
      <c r="E181" s="99">
        <f>IFERROR((Data_Entry!H179/Data_Entry!$V179/E$2),"")</f>
        <v>2.16455960447165</v>
      </c>
      <c r="F181" s="99">
        <f>IFERROR((Data_Entry!I179/Data_Entry!$V179/F$2),"")</f>
        <v>2.16823825990885</v>
      </c>
      <c r="G181" s="99">
        <f>IFERROR((Data_Entry!J179/Data_Entry!$V179/G$2),"")</f>
        <v>2.16359953641021</v>
      </c>
      <c r="H181" s="99">
        <f>IFERROR((Data_Entry!K179/Data_Entry!$V179/H$2),"")</f>
        <v>2.14885922722163</v>
      </c>
      <c r="I181" s="99">
        <f>IFERROR((Data_Entry!L179/Data_Entry!$V179/I$2),"")</f>
        <v>2.16042071573855</v>
      </c>
    </row>
    <row r="182" ht="15" spans="1:9">
      <c r="A182" s="98">
        <v>45925</v>
      </c>
      <c r="B182" s="25">
        <v>45925</v>
      </c>
      <c r="C182" s="99">
        <f>IFERROR((Data_Entry!F180/Data_Entry!$V180/C$2),"")</f>
        <v>1.16871755686497</v>
      </c>
      <c r="D182" s="99">
        <f>IFERROR((Data_Entry!G180/Data_Entry!$V180/D$2),"")</f>
        <v>1.16670749900153</v>
      </c>
      <c r="E182" s="99">
        <f>IFERROR((Data_Entry!H180/Data_Entry!$V180/E$2),"")</f>
        <v>1.16817134548904</v>
      </c>
      <c r="F182" s="99">
        <f>IFERROR((Data_Entry!I180/Data_Entry!$V180/F$2),"")</f>
        <v>1.17279720171574</v>
      </c>
      <c r="G182" s="99">
        <f>IFERROR((Data_Entry!J180/Data_Entry!$V180/G$2),"")</f>
        <v>1.17592501387314</v>
      </c>
      <c r="H182" s="99">
        <f>IFERROR((Data_Entry!K180/Data_Entry!$V180/H$2),"")</f>
        <v>1.17667736067269</v>
      </c>
      <c r="I182" s="99">
        <f>IFERROR((Data_Entry!L180/Data_Entry!$V180/I$2),"")</f>
        <v>1.1836226362204</v>
      </c>
    </row>
    <row r="183" ht="15" spans="1:9">
      <c r="A183" s="98">
        <v>45926</v>
      </c>
      <c r="B183" s="25">
        <v>45926</v>
      </c>
      <c r="C183" s="99">
        <f>IFERROR((Data_Entry!F181/Data_Entry!$V181/C$2),"")</f>
        <v>2.98809174955964</v>
      </c>
      <c r="D183" s="99">
        <f>IFERROR((Data_Entry!G181/Data_Entry!$V181/D$2),"")</f>
        <v>2.96659700329425</v>
      </c>
      <c r="E183" s="99">
        <f>IFERROR((Data_Entry!H181/Data_Entry!$V181/E$2),"")</f>
        <v>2.97070274134494</v>
      </c>
      <c r="F183" s="99">
        <f>IFERROR((Data_Entry!I181/Data_Entry!$V181/F$2),"")</f>
        <v>2.98792724002138</v>
      </c>
      <c r="G183" s="99">
        <f>IFERROR((Data_Entry!J181/Data_Entry!$V181/G$2),"")</f>
        <v>2.97714661496074</v>
      </c>
      <c r="H183" s="99">
        <f>IFERROR((Data_Entry!K181/Data_Entry!$V181/H$2),"")</f>
        <v>2.96929215955941</v>
      </c>
      <c r="I183" s="99">
        <f>IFERROR((Data_Entry!L181/Data_Entry!$V181/I$2),"")</f>
        <v>2.99354856594585</v>
      </c>
    </row>
    <row r="184" ht="15" spans="1:9">
      <c r="A184" s="98">
        <v>45927</v>
      </c>
      <c r="B184" s="25">
        <v>45927</v>
      </c>
      <c r="C184" s="99">
        <f>IFERROR((Data_Entry!F182/Data_Entry!$V182/C$2),"")</f>
        <v>1.10484956765251</v>
      </c>
      <c r="D184" s="99">
        <f>IFERROR((Data_Entry!G182/Data_Entry!$V182/D$2),"")</f>
        <v>1.10210890027404</v>
      </c>
      <c r="E184" s="99">
        <f>IFERROR((Data_Entry!H182/Data_Entry!$V182/E$2),"")</f>
        <v>1.10150306853774</v>
      </c>
      <c r="F184" s="99">
        <f>IFERROR((Data_Entry!I182/Data_Entry!$V182/F$2),"")</f>
        <v>1.10624875047204</v>
      </c>
      <c r="G184" s="99">
        <f>IFERROR((Data_Entry!J182/Data_Entry!$V182/G$2),"")</f>
        <v>1.10348926844338</v>
      </c>
      <c r="H184" s="99">
        <f>IFERROR((Data_Entry!K182/Data_Entry!$V182/H$2),"")</f>
        <v>1.10084706440093</v>
      </c>
      <c r="I184" s="99">
        <f>IFERROR((Data_Entry!L182/Data_Entry!$V182/I$2),"")</f>
        <v>1.10938076257458</v>
      </c>
    </row>
    <row r="185" ht="15" spans="1:9">
      <c r="A185" s="98">
        <v>45928</v>
      </c>
      <c r="B185" s="25">
        <v>45928</v>
      </c>
      <c r="C185" s="99">
        <f>IFERROR((Data_Entry!F183/Data_Entry!$V183/C$2),"")</f>
        <v>0.890761681245999</v>
      </c>
      <c r="D185" s="99">
        <f>IFERROR((Data_Entry!G183/Data_Entry!$V183/D$2),"")</f>
        <v>0.886189765003505</v>
      </c>
      <c r="E185" s="99">
        <f>IFERROR((Data_Entry!H183/Data_Entry!$V183/E$2),"")</f>
        <v>0.88433675349613</v>
      </c>
      <c r="F185" s="99">
        <f>IFERROR((Data_Entry!I183/Data_Entry!$V183/F$2),"")</f>
        <v>0.888442593296908</v>
      </c>
      <c r="G185" s="99">
        <f>IFERROR((Data_Entry!J183/Data_Entry!$V183/G$2),"")</f>
        <v>0.886289154487037</v>
      </c>
      <c r="H185" s="99">
        <f>IFERROR((Data_Entry!K183/Data_Entry!$V183/H$2),"")</f>
        <v>0.88519587016818</v>
      </c>
      <c r="I185" s="99">
        <f>IFERROR((Data_Entry!L183/Data_Entry!$V183/I$2),"")</f>
        <v>0.893892449977273</v>
      </c>
    </row>
    <row r="186" ht="15" spans="1:9">
      <c r="A186" s="98">
        <v>45929</v>
      </c>
      <c r="B186" s="25">
        <v>45929</v>
      </c>
      <c r="C186" s="99">
        <f>IFERROR((Data_Entry!F184/Data_Entry!$V184/C$2),"")</f>
        <v>1.20174036656163</v>
      </c>
      <c r="D186" s="99">
        <f>IFERROR((Data_Entry!G184/Data_Entry!$V184/D$2),"")</f>
        <v>1.19683069224354</v>
      </c>
      <c r="E186" s="99">
        <f>IFERROR((Data_Entry!H184/Data_Entry!$V184/E$2),"")</f>
        <v>1.19968610952477</v>
      </c>
      <c r="F186" s="99">
        <f>IFERROR((Data_Entry!I184/Data_Entry!$V184/F$2),"")</f>
        <v>1.20904816268144</v>
      </c>
      <c r="G186" s="99">
        <f>IFERROR((Data_Entry!J184/Data_Entry!$V184/G$2),"")</f>
        <v>1.207240416489</v>
      </c>
      <c r="H186" s="99">
        <f>IFERROR((Data_Entry!K184/Data_Entry!$V184/H$2),"")</f>
        <v>1.20836043315171</v>
      </c>
      <c r="I186" s="99">
        <f>IFERROR((Data_Entry!L184/Data_Entry!$V184/I$2),"")</f>
        <v>1.21867637609767</v>
      </c>
    </row>
    <row r="187" ht="15" spans="1:9">
      <c r="A187" s="98">
        <v>45930</v>
      </c>
      <c r="B187" s="25">
        <v>45930</v>
      </c>
      <c r="C187" s="99">
        <f>IFERROR((Data_Entry!F185/Data_Entry!$V185/C$2),"")</f>
        <v>1.27013533916828</v>
      </c>
      <c r="D187" s="99">
        <f>IFERROR((Data_Entry!G185/Data_Entry!$V185/D$2),"")</f>
        <v>1.26364085606077</v>
      </c>
      <c r="E187" s="99">
        <f>IFERROR((Data_Entry!H185/Data_Entry!$V185/E$2),"")</f>
        <v>1.26735198926506</v>
      </c>
      <c r="F187" s="99">
        <f>IFERROR((Data_Entry!I185/Data_Entry!$V185/F$2),"")</f>
        <v>1.27371696486372</v>
      </c>
      <c r="G187" s="99">
        <f>IFERROR((Data_Entry!J185/Data_Entry!$V185/G$2),"")</f>
        <v>1.27430081019048</v>
      </c>
      <c r="H187" s="99">
        <f>IFERROR((Data_Entry!K185/Data_Entry!$V185/H$2),"")</f>
        <v>1.27738351351579</v>
      </c>
      <c r="I187" s="99">
        <f>IFERROR((Data_Entry!L185/Data_Entry!$V185/I$2),"")</f>
        <v>1.29218983100247</v>
      </c>
    </row>
    <row r="188" ht="15" spans="1:9">
      <c r="A188" s="98">
        <v>45931</v>
      </c>
      <c r="B188" s="25">
        <v>45931</v>
      </c>
      <c r="C188" s="99">
        <f>IFERROR((Data_Entry!F186/Data_Entry!$V186/C$2),"")</f>
        <v>1.45048409906806</v>
      </c>
      <c r="D188" s="99">
        <f>IFERROR((Data_Entry!G186/Data_Entry!$V186/D$2),"")</f>
        <v>1.44099304877697</v>
      </c>
      <c r="E188" s="99">
        <f>IFERROR((Data_Entry!H186/Data_Entry!$V186/E$2),"")</f>
        <v>1.44576632553155</v>
      </c>
      <c r="F188" s="99">
        <f>IFERROR((Data_Entry!I186/Data_Entry!$V186/F$2),"")</f>
        <v>1.4439604599579</v>
      </c>
      <c r="G188" s="99">
        <f>IFERROR((Data_Entry!J186/Data_Entry!$V186/G$2),"")</f>
        <v>1.44378349317563</v>
      </c>
      <c r="H188" s="99">
        <f>IFERROR((Data_Entry!K186/Data_Entry!$V186/H$2),"")</f>
        <v>1.4425978157344</v>
      </c>
      <c r="I188" s="99">
        <f>IFERROR((Data_Entry!L186/Data_Entry!$V186/I$2),"")</f>
        <v>1.45385290308697</v>
      </c>
    </row>
    <row r="189" ht="15" spans="1:9">
      <c r="A189" s="98">
        <v>45932</v>
      </c>
      <c r="B189" s="25">
        <v>45932</v>
      </c>
      <c r="C189" s="99">
        <f>IFERROR((Data_Entry!F187/Data_Entry!$V187/C$2),"")</f>
        <v>1.47049588004078</v>
      </c>
      <c r="D189" s="99">
        <f>IFERROR((Data_Entry!G187/Data_Entry!$V187/D$2),"")</f>
        <v>1.46377552487735</v>
      </c>
      <c r="E189" s="99">
        <f>IFERROR((Data_Entry!H187/Data_Entry!$V187/E$2),"")</f>
        <v>1.46679821737444</v>
      </c>
      <c r="F189" s="99">
        <f>IFERROR((Data_Entry!I187/Data_Entry!$V187/F$2),"")</f>
        <v>1.46892009902182</v>
      </c>
      <c r="G189" s="99">
        <f>IFERROR((Data_Entry!J187/Data_Entry!$V187/G$2),"")</f>
        <v>1.46548145137317</v>
      </c>
      <c r="H189" s="99">
        <f>IFERROR((Data_Entry!K187/Data_Entry!$V187/H$2),"")</f>
        <v>1.46567794552452</v>
      </c>
      <c r="I189" s="99">
        <f>IFERROR((Data_Entry!L187/Data_Entry!$V187/I$2),"")</f>
        <v>1.4747728176728</v>
      </c>
    </row>
    <row r="190" ht="15" spans="1:9">
      <c r="A190" s="98">
        <v>45933</v>
      </c>
      <c r="B190" s="25">
        <v>45933</v>
      </c>
      <c r="C190" s="99">
        <f>IFERROR((Data_Entry!F188/Data_Entry!$V188/C$2),"")</f>
        <v>0.864437593125357</v>
      </c>
      <c r="D190" s="99">
        <f>IFERROR((Data_Entry!G188/Data_Entry!$V188/D$2),"")</f>
        <v>0.862583453038045</v>
      </c>
      <c r="E190" s="99">
        <f>IFERROR((Data_Entry!H188/Data_Entry!$V188/E$2),"")</f>
        <v>0.862235383418767</v>
      </c>
      <c r="F190" s="99">
        <f>IFERROR((Data_Entry!I188/Data_Entry!$V188/F$2),"")</f>
        <v>0.865365099711178</v>
      </c>
      <c r="G190" s="99">
        <f>IFERROR((Data_Entry!J188/Data_Entry!$V188/G$2),"")</f>
        <v>0.864769656198599</v>
      </c>
      <c r="H190" s="99">
        <f>IFERROR((Data_Entry!K188/Data_Entry!$V188/H$2),"")</f>
        <v>0.865582788737282</v>
      </c>
      <c r="I190" s="99">
        <f>IFERROR((Data_Entry!L188/Data_Entry!$V188/I$2),"")</f>
        <v>0.872952202532748</v>
      </c>
    </row>
    <row r="191" ht="15" spans="1:9">
      <c r="A191" s="98">
        <v>45934</v>
      </c>
      <c r="B191" s="25">
        <v>45934</v>
      </c>
      <c r="C191" s="99">
        <f>IFERROR((Data_Entry!F189/Data_Entry!$V189/C$2),"")</f>
        <v>1.23285112294006</v>
      </c>
      <c r="D191" s="99">
        <f>IFERROR((Data_Entry!G189/Data_Entry!$V189/D$2),"")</f>
        <v>1.23032870207303</v>
      </c>
      <c r="E191" s="99">
        <f>IFERROR((Data_Entry!H189/Data_Entry!$V189/E$2),"")</f>
        <v>1.23141718859704</v>
      </c>
      <c r="F191" s="99">
        <f>IFERROR((Data_Entry!I189/Data_Entry!$V189/F$2),"")</f>
        <v>1.23631325255836</v>
      </c>
      <c r="G191" s="99">
        <f>IFERROR((Data_Entry!J189/Data_Entry!$V189/G$2),"")</f>
        <v>1.23336433540946</v>
      </c>
      <c r="H191" s="99">
        <f>IFERROR((Data_Entry!K189/Data_Entry!$V189/H$2),"")</f>
        <v>1.23211120148361</v>
      </c>
      <c r="I191" s="99">
        <f>IFERROR((Data_Entry!L189/Data_Entry!$V189/I$2),"")</f>
        <v>1.23944297012441</v>
      </c>
    </row>
    <row r="192" ht="15" spans="1:9">
      <c r="A192" s="98">
        <v>45935</v>
      </c>
      <c r="B192" s="25">
        <v>45935</v>
      </c>
      <c r="C192" s="99">
        <f>IFERROR((Data_Entry!F190/Data_Entry!$V190/C$2),"")</f>
        <v>0.877073097796249</v>
      </c>
      <c r="D192" s="99">
        <f>IFERROR((Data_Entry!G190/Data_Entry!$V190/D$2),"")</f>
        <v>0.874237193719115</v>
      </c>
      <c r="E192" s="99">
        <f>IFERROR((Data_Entry!H190/Data_Entry!$V190/E$2),"")</f>
        <v>0.872926318150279</v>
      </c>
      <c r="F192" s="99">
        <f>IFERROR((Data_Entry!I190/Data_Entry!$V190/F$2),"")</f>
        <v>0.873880554304778</v>
      </c>
      <c r="G192" s="99">
        <f>IFERROR((Data_Entry!J190/Data_Entry!$V190/G$2),"")</f>
        <v>0.872477697368005</v>
      </c>
      <c r="H192" s="99">
        <f>IFERROR((Data_Entry!K190/Data_Entry!$V190/H$2),"")</f>
        <v>0.871770061568039</v>
      </c>
      <c r="I192" s="99">
        <f>IFERROR((Data_Entry!L190/Data_Entry!$V190/I$2),"")</f>
        <v>0.8781760277572</v>
      </c>
    </row>
    <row r="193" ht="15" spans="1:9">
      <c r="A193" s="98">
        <v>45936</v>
      </c>
      <c r="B193" s="25">
        <v>45936</v>
      </c>
      <c r="C193" s="99">
        <f>IFERROR((Data_Entry!F191/Data_Entry!$V191/C$2),"")</f>
        <v>1.02866813904718</v>
      </c>
      <c r="D193" s="99">
        <f>IFERROR((Data_Entry!G191/Data_Entry!$V191/D$2),"")</f>
        <v>1.02637350391655</v>
      </c>
      <c r="E193" s="99">
        <f>IFERROR((Data_Entry!H191/Data_Entry!$V191/E$2),"")</f>
        <v>1.0262864445891</v>
      </c>
      <c r="F193" s="99">
        <f>IFERROR((Data_Entry!I191/Data_Entry!$V191/F$2),"")</f>
        <v>1.02548533655422</v>
      </c>
      <c r="G193" s="99">
        <f>IFERROR((Data_Entry!J191/Data_Entry!$V191/G$2),"")</f>
        <v>1.02280271963822</v>
      </c>
      <c r="H193" s="99">
        <f>IFERROR((Data_Entry!K191/Data_Entry!$V191/H$2),"")</f>
        <v>1.02031639176485</v>
      </c>
      <c r="I193" s="99">
        <f>IFERROR((Data_Entry!L191/Data_Entry!$V191/I$2),"")</f>
        <v>1.0275671900367</v>
      </c>
    </row>
    <row r="194" ht="15" spans="1:9">
      <c r="A194" s="98">
        <v>45937</v>
      </c>
      <c r="B194" s="25">
        <v>45937</v>
      </c>
      <c r="C194" s="99">
        <f>IFERROR((Data_Entry!F192/Data_Entry!$V192/C$2),"")</f>
        <v>1.03337218914633</v>
      </c>
      <c r="D194" s="99">
        <f>IFERROR((Data_Entry!G192/Data_Entry!$V192/D$2),"")</f>
        <v>1.04084036648115</v>
      </c>
      <c r="E194" s="99">
        <f>IFERROR((Data_Entry!H192/Data_Entry!$V192/E$2),"")</f>
        <v>1.05062392445349</v>
      </c>
      <c r="F194" s="99">
        <f>IFERROR((Data_Entry!I192/Data_Entry!$V192/F$2),"")</f>
        <v>1.05984245585116</v>
      </c>
      <c r="G194" s="99">
        <f>IFERROR((Data_Entry!J192/Data_Entry!$V192/G$2),"")</f>
        <v>1.06619873779045</v>
      </c>
      <c r="H194" s="99">
        <f>IFERROR((Data_Entry!K192/Data_Entry!$V192/H$2),"")</f>
        <v>1.07146235019119</v>
      </c>
      <c r="I194" s="99">
        <f>IFERROR((Data_Entry!L192/Data_Entry!$V192/I$2),"")</f>
        <v>1.08701820469695</v>
      </c>
    </row>
    <row r="195" ht="15" spans="1:9">
      <c r="A195" s="98">
        <v>45938</v>
      </c>
      <c r="B195" s="25">
        <v>45938</v>
      </c>
      <c r="C195" s="99">
        <f>IFERROR((Data_Entry!F193/Data_Entry!$V193/C$2),"")</f>
        <v>1.21580869860686</v>
      </c>
      <c r="D195" s="99">
        <f>IFERROR((Data_Entry!G193/Data_Entry!$V193/D$2),"")</f>
        <v>1.20781041079206</v>
      </c>
      <c r="E195" s="99">
        <f>IFERROR((Data_Entry!H193/Data_Entry!$V193/E$2),"")</f>
        <v>1.2073415456443</v>
      </c>
      <c r="F195" s="99">
        <f>IFERROR((Data_Entry!I193/Data_Entry!$V193/F$2),"")</f>
        <v>1.20667422223066</v>
      </c>
      <c r="G195" s="99">
        <f>IFERROR((Data_Entry!J193/Data_Entry!$V193/G$2),"")</f>
        <v>1.20374591355844</v>
      </c>
      <c r="H195" s="99">
        <f>IFERROR((Data_Entry!K193/Data_Entry!$V193/H$2),"")</f>
        <v>1.20044167336748</v>
      </c>
      <c r="I195" s="99">
        <f>IFERROR((Data_Entry!L193/Data_Entry!$V193/I$2),"")</f>
        <v>1.2102092975647</v>
      </c>
    </row>
    <row r="196" ht="15" spans="1:9">
      <c r="A196" s="98">
        <v>45939</v>
      </c>
      <c r="B196" s="25">
        <v>45939</v>
      </c>
      <c r="C196" s="99">
        <f>IFERROR((Data_Entry!F194/Data_Entry!$V194/C$2),"")</f>
        <v>0.827931287038112</v>
      </c>
      <c r="D196" s="99">
        <f>IFERROR((Data_Entry!G194/Data_Entry!$V194/D$2),"")</f>
        <v>0.825009774365225</v>
      </c>
      <c r="E196" s="99">
        <f>IFERROR((Data_Entry!H194/Data_Entry!$V194/E$2),"")</f>
        <v>0.827359686732547</v>
      </c>
      <c r="F196" s="99">
        <f>IFERROR((Data_Entry!I194/Data_Entry!$V194/F$2),"")</f>
        <v>0.828578548446925</v>
      </c>
      <c r="G196" s="99">
        <f>IFERROR((Data_Entry!J194/Data_Entry!$V194/G$2),"")</f>
        <v>0.827855625934863</v>
      </c>
      <c r="H196" s="99">
        <f>IFERROR((Data_Entry!K194/Data_Entry!$V194/H$2),"")</f>
        <v>0.827989275474908</v>
      </c>
      <c r="I196" s="99">
        <f>IFERROR((Data_Entry!L194/Data_Entry!$V194/I$2),"")</f>
        <v>0.836567145954167</v>
      </c>
    </row>
    <row r="197" ht="15" spans="1:9">
      <c r="A197" s="98">
        <v>45940</v>
      </c>
      <c r="B197" s="25">
        <v>45940</v>
      </c>
      <c r="C197" s="99">
        <f>IFERROR((Data_Entry!F195/Data_Entry!$V195/C$2),"")</f>
        <v>1.32803855849915</v>
      </c>
      <c r="D197" s="99">
        <f>IFERROR((Data_Entry!G195/Data_Entry!$V195/D$2),"")</f>
        <v>1.32659873972434</v>
      </c>
      <c r="E197" s="99">
        <f>IFERROR((Data_Entry!H195/Data_Entry!$V195/E$2),"")</f>
        <v>1.33025542232703</v>
      </c>
      <c r="F197" s="99">
        <f>IFERROR((Data_Entry!I195/Data_Entry!$V195/F$2),"")</f>
        <v>1.33356962215697</v>
      </c>
      <c r="G197" s="99">
        <f>IFERROR((Data_Entry!J195/Data_Entry!$V195/G$2),"")</f>
        <v>1.33404326854482</v>
      </c>
      <c r="H197" s="99">
        <f>IFERROR((Data_Entry!K195/Data_Entry!$V195/H$2),"")</f>
        <v>1.33218511733095</v>
      </c>
      <c r="I197" s="99">
        <f>IFERROR((Data_Entry!L195/Data_Entry!$V195/I$2),"")</f>
        <v>1.34253975605608</v>
      </c>
    </row>
    <row r="198" ht="15" spans="1:9">
      <c r="A198" s="98">
        <v>45941</v>
      </c>
      <c r="B198" s="25">
        <v>45941</v>
      </c>
      <c r="C198" s="99">
        <f>IFERROR((Data_Entry!F196/Data_Entry!$V196/C$2),"")</f>
        <v>1.47521333459328</v>
      </c>
      <c r="D198" s="99">
        <f>IFERROR((Data_Entry!G196/Data_Entry!$V196/D$2),"")</f>
        <v>1.47146431550101</v>
      </c>
      <c r="E198" s="99">
        <f>IFERROR((Data_Entry!H196/Data_Entry!$V196/E$2),"")</f>
        <v>1.47811497265784</v>
      </c>
      <c r="F198" s="99">
        <f>IFERROR((Data_Entry!I196/Data_Entry!$V196/F$2),"")</f>
        <v>1.47845474379455</v>
      </c>
      <c r="G198" s="99">
        <f>IFERROR((Data_Entry!J196/Data_Entry!$V196/G$2),"")</f>
        <v>1.47828281141212</v>
      </c>
      <c r="H198" s="99">
        <f>IFERROR((Data_Entry!K196/Data_Entry!$V196/H$2),"")</f>
        <v>1.47653073856257</v>
      </c>
      <c r="I198" s="99">
        <f>IFERROR((Data_Entry!L196/Data_Entry!$V196/I$2),"")</f>
        <v>1.48752622378195</v>
      </c>
    </row>
    <row r="199" ht="15" spans="1:9">
      <c r="A199" s="98">
        <v>45942</v>
      </c>
      <c r="B199" s="25">
        <v>45942</v>
      </c>
      <c r="C199" s="99">
        <f>IFERROR((Data_Entry!F197/Data_Entry!$V197/C$2),"")</f>
        <v>1.55081447819528</v>
      </c>
      <c r="D199" s="99">
        <f>IFERROR((Data_Entry!G197/Data_Entry!$V197/D$2),"")</f>
        <v>1.54768477419983</v>
      </c>
      <c r="E199" s="99">
        <f>IFERROR((Data_Entry!H197/Data_Entry!$V197/E$2),"")</f>
        <v>1.55252616617134</v>
      </c>
      <c r="F199" s="99">
        <f>IFERROR((Data_Entry!I197/Data_Entry!$V197/F$2),"")</f>
        <v>1.55394272295119</v>
      </c>
      <c r="G199" s="99">
        <f>IFERROR((Data_Entry!J197/Data_Entry!$V197/G$2),"")</f>
        <v>1.55411126511763</v>
      </c>
      <c r="H199" s="99">
        <f>IFERROR((Data_Entry!K197/Data_Entry!$V197/H$2),"")</f>
        <v>1.54996994331365</v>
      </c>
      <c r="I199" s="99">
        <f>IFERROR((Data_Entry!L197/Data_Entry!$V197/I$2),"")</f>
        <v>1.56001826676052</v>
      </c>
    </row>
    <row r="200" ht="15" spans="1:9">
      <c r="A200" s="98">
        <v>45943</v>
      </c>
      <c r="B200" s="25">
        <v>45943</v>
      </c>
      <c r="C200" s="99">
        <f>IFERROR((Data_Entry!F198/Data_Entry!$V198/C$2),"")</f>
        <v>1.49855004271114</v>
      </c>
      <c r="D200" s="99">
        <f>IFERROR((Data_Entry!G198/Data_Entry!$V198/D$2),"")</f>
        <v>1.49626134504069</v>
      </c>
      <c r="E200" s="99">
        <f>IFERROR((Data_Entry!H198/Data_Entry!$V198/E$2),"")</f>
        <v>1.50079666873323</v>
      </c>
      <c r="F200" s="99">
        <f>IFERROR((Data_Entry!I198/Data_Entry!$V198/F$2),"")</f>
        <v>1.4989747834393</v>
      </c>
      <c r="G200" s="99">
        <f>IFERROR((Data_Entry!J198/Data_Entry!$V198/G$2),"")</f>
        <v>1.4974053280355</v>
      </c>
      <c r="H200" s="99">
        <f>IFERROR((Data_Entry!K198/Data_Entry!$V198/H$2),"")</f>
        <v>1.49086190627502</v>
      </c>
      <c r="I200" s="99">
        <f>IFERROR((Data_Entry!L198/Data_Entry!$V198/I$2),"")</f>
        <v>1.49882186214354</v>
      </c>
    </row>
    <row r="201" ht="15" spans="1:9">
      <c r="A201" s="98">
        <v>45944</v>
      </c>
      <c r="B201" s="25">
        <v>45944</v>
      </c>
      <c r="C201" s="99">
        <f>IFERROR((Data_Entry!F199/Data_Entry!$V199/C$2),"")</f>
        <v>1.53848445132849</v>
      </c>
      <c r="D201" s="99">
        <f>IFERROR((Data_Entry!G199/Data_Entry!$V199/D$2),"")</f>
        <v>1.5342155977157</v>
      </c>
      <c r="E201" s="99">
        <f>IFERROR((Data_Entry!H199/Data_Entry!$V199/E$2),"")</f>
        <v>1.53938498028534</v>
      </c>
      <c r="F201" s="99">
        <f>IFERROR((Data_Entry!I199/Data_Entry!$V199/F$2),"")</f>
        <v>1.5373399663666</v>
      </c>
      <c r="G201" s="99">
        <f>IFERROR((Data_Entry!J199/Data_Entry!$V199/G$2),"")</f>
        <v>1.53965905431569</v>
      </c>
      <c r="H201" s="99">
        <f>IFERROR((Data_Entry!K199/Data_Entry!$V199/H$2),"")</f>
        <v>1.53487179419221</v>
      </c>
      <c r="I201" s="99">
        <f>IFERROR((Data_Entry!L199/Data_Entry!$V199/I$2),"")</f>
        <v>1.54525799522135</v>
      </c>
    </row>
    <row r="202" ht="15" spans="1:9">
      <c r="A202" s="98">
        <v>45945</v>
      </c>
      <c r="B202" s="25">
        <v>45945</v>
      </c>
      <c r="C202" s="99">
        <f>IFERROR((Data_Entry!F200/Data_Entry!$V200/C$2),"")</f>
        <v>1.5351072238267</v>
      </c>
      <c r="D202" s="99">
        <f>IFERROR((Data_Entry!G200/Data_Entry!$V200/D$2),"")</f>
        <v>1.53271589503661</v>
      </c>
      <c r="E202" s="99">
        <f>IFERROR((Data_Entry!H200/Data_Entry!$V200/E$2),"")</f>
        <v>1.5380019902568</v>
      </c>
      <c r="F202" s="99">
        <f>IFERROR((Data_Entry!I200/Data_Entry!$V200/F$2),"")</f>
        <v>1.53829237892452</v>
      </c>
      <c r="G202" s="99">
        <f>IFERROR((Data_Entry!J200/Data_Entry!$V200/G$2),"")</f>
        <v>1.53898259922519</v>
      </c>
      <c r="H202" s="99">
        <f>IFERROR((Data_Entry!K200/Data_Entry!$V200/H$2),"")</f>
        <v>1.53382199860511</v>
      </c>
      <c r="I202" s="99">
        <f>IFERROR((Data_Entry!L200/Data_Entry!$V200/I$2),"")</f>
        <v>1.54395860604392</v>
      </c>
    </row>
    <row r="203" ht="15" spans="1:9">
      <c r="A203" s="98">
        <v>45946</v>
      </c>
      <c r="B203" s="25">
        <v>45946</v>
      </c>
      <c r="C203" s="99">
        <f>IFERROR((Data_Entry!F201/Data_Entry!$V201/C$2),"")</f>
        <v>1.34171475095459</v>
      </c>
      <c r="D203" s="99">
        <f>IFERROR((Data_Entry!G201/Data_Entry!$V201/D$2),"")</f>
        <v>1.33981762012561</v>
      </c>
      <c r="E203" s="99">
        <f>IFERROR((Data_Entry!H201/Data_Entry!$V201/E$2),"")</f>
        <v>1.34574837024051</v>
      </c>
      <c r="F203" s="99">
        <f>IFERROR((Data_Entry!I201/Data_Entry!$V201/F$2),"")</f>
        <v>1.34735834900374</v>
      </c>
      <c r="G203" s="99">
        <f>IFERROR((Data_Entry!J201/Data_Entry!$V201/G$2),"")</f>
        <v>1.34764665738653</v>
      </c>
      <c r="H203" s="99">
        <f>IFERROR((Data_Entry!K201/Data_Entry!$V201/H$2),"")</f>
        <v>1.34315243847838</v>
      </c>
      <c r="I203" s="99">
        <f>IFERROR((Data_Entry!L201/Data_Entry!$V201/I$2),"")</f>
        <v>1.35179321030367</v>
      </c>
    </row>
    <row r="204" ht="15" spans="1:9">
      <c r="A204" s="98">
        <v>45947</v>
      </c>
      <c r="B204" s="25">
        <v>45947</v>
      </c>
      <c r="C204" s="99">
        <f>IFERROR((Data_Entry!F202/Data_Entry!$V202/C$2),"")</f>
        <v>1.4243588660608</v>
      </c>
      <c r="D204" s="99">
        <f>IFERROR((Data_Entry!G202/Data_Entry!$V202/D$2),"")</f>
        <v>1.42112198024375</v>
      </c>
      <c r="E204" s="99">
        <f>IFERROR((Data_Entry!H202/Data_Entry!$V202/E$2),"")</f>
        <v>1.44705395436784</v>
      </c>
      <c r="F204" s="99">
        <f>IFERROR((Data_Entry!I202/Data_Entry!$V202/F$2),"")</f>
        <v>1.4450471894088</v>
      </c>
      <c r="G204" s="99">
        <f>IFERROR((Data_Entry!J202/Data_Entry!$V202/G$2),"")</f>
        <v>1.42426504328349</v>
      </c>
      <c r="H204" s="99">
        <f>IFERROR((Data_Entry!K202/Data_Entry!$V202/H$2),"")</f>
        <v>1.42050732076678</v>
      </c>
      <c r="I204" s="99">
        <f>IFERROR((Data_Entry!L202/Data_Entry!$V202/I$2),"")</f>
        <v>1.43626152831338</v>
      </c>
    </row>
    <row r="205" ht="15" spans="1:9">
      <c r="A205" s="98">
        <v>45948</v>
      </c>
      <c r="B205" s="25">
        <v>45948</v>
      </c>
      <c r="C205" s="99">
        <f>IFERROR((Data_Entry!F203/Data_Entry!$V203/C$2),"")</f>
        <v>1.36902980764596</v>
      </c>
      <c r="D205" s="99">
        <f>IFERROR((Data_Entry!G203/Data_Entry!$V203/D$2),"")</f>
        <v>1.37871617842204</v>
      </c>
      <c r="E205" s="99">
        <f>IFERROR((Data_Entry!H203/Data_Entry!$V203/E$2),"")</f>
        <v>1.38731112713885</v>
      </c>
      <c r="F205" s="99">
        <f>IFERROR((Data_Entry!I203/Data_Entry!$V203/F$2),"")</f>
        <v>1.3821133613958</v>
      </c>
      <c r="G205" s="99">
        <f>IFERROR((Data_Entry!J203/Data_Entry!$V203/G$2),"")</f>
        <v>1.35969702861794</v>
      </c>
      <c r="H205" s="99">
        <f>IFERROR((Data_Entry!K203/Data_Entry!$V203/H$2),"")</f>
        <v>1.35112778368152</v>
      </c>
      <c r="I205" s="99">
        <f>IFERROR((Data_Entry!L203/Data_Entry!$V203/I$2),"")</f>
        <v>1.36429339180719</v>
      </c>
    </row>
    <row r="206" ht="15" spans="1:9">
      <c r="A206" s="98">
        <v>45949</v>
      </c>
      <c r="B206" s="25">
        <v>45949</v>
      </c>
      <c r="C206" s="99">
        <f>IFERROR((Data_Entry!F204/Data_Entry!$V204/C$2),"")</f>
        <v>1.11409705610965</v>
      </c>
      <c r="D206" s="99">
        <f>IFERROR((Data_Entry!G204/Data_Entry!$V204/D$2),"")</f>
        <v>1.12029483249708</v>
      </c>
      <c r="E206" s="99">
        <f>IFERROR((Data_Entry!H204/Data_Entry!$V204/E$2),"")</f>
        <v>1.12668628939662</v>
      </c>
      <c r="F206" s="99">
        <f>IFERROR((Data_Entry!I204/Data_Entry!$V204/F$2),"")</f>
        <v>1.13288174277941</v>
      </c>
      <c r="G206" s="99">
        <f>IFERROR((Data_Entry!J204/Data_Entry!$V204/G$2),"")</f>
        <v>1.13971079567857</v>
      </c>
      <c r="H206" s="99">
        <f>IFERROR((Data_Entry!K204/Data_Entry!$V204/H$2),"")</f>
        <v>1.1221302965406</v>
      </c>
      <c r="I206" s="99">
        <f>IFERROR((Data_Entry!L204/Data_Entry!$V204/I$2),"")</f>
        <v>1.13590977933152</v>
      </c>
    </row>
    <row r="207" ht="15" spans="1:9">
      <c r="A207" s="98">
        <v>45950</v>
      </c>
      <c r="B207" s="25">
        <v>45950</v>
      </c>
      <c r="C207" s="99">
        <f>IFERROR((Data_Entry!F205/Data_Entry!$V205/C$2),"")</f>
        <v>1.22830382942977</v>
      </c>
      <c r="D207" s="99">
        <f>IFERROR((Data_Entry!G205/Data_Entry!$V205/D$2),"")</f>
        <v>1.23587086160064</v>
      </c>
      <c r="E207" s="99">
        <f>IFERROR((Data_Entry!H205/Data_Entry!$V205/E$2),"")</f>
        <v>1.24332506526001</v>
      </c>
      <c r="F207" s="99">
        <f>IFERROR((Data_Entry!I205/Data_Entry!$V205/F$2),"")</f>
        <v>1.24552407659707</v>
      </c>
      <c r="G207" s="99">
        <f>IFERROR((Data_Entry!J205/Data_Entry!$V205/G$2),"")</f>
        <v>1.25315062989574</v>
      </c>
      <c r="H207" s="99">
        <f>IFERROR((Data_Entry!K205/Data_Entry!$V205/H$2),"")</f>
        <v>1.24177555370216</v>
      </c>
      <c r="I207" s="99">
        <f>IFERROR((Data_Entry!L205/Data_Entry!$V205/I$2),"")</f>
        <v>1.27212347994159</v>
      </c>
    </row>
    <row r="208" ht="15" spans="1:9">
      <c r="A208" s="98">
        <v>45951</v>
      </c>
      <c r="B208" s="25">
        <v>45951</v>
      </c>
      <c r="C208" s="99">
        <f>IFERROR((Data_Entry!F206/Data_Entry!$V206/C$2),"")</f>
        <v>1.07790139698206</v>
      </c>
      <c r="D208" s="99">
        <f>IFERROR((Data_Entry!G206/Data_Entry!$V206/D$2),"")</f>
        <v>1.08399764422486</v>
      </c>
      <c r="E208" s="99">
        <f>IFERROR((Data_Entry!H206/Data_Entry!$V206/E$2),"")</f>
        <v>1.090610914968</v>
      </c>
      <c r="F208" s="99">
        <f>IFERROR((Data_Entry!I206/Data_Entry!$V206/F$2),"")</f>
        <v>1.0915476635812</v>
      </c>
      <c r="G208" s="99">
        <f>IFERROR((Data_Entry!J206/Data_Entry!$V206/G$2),"")</f>
        <v>1.09881820170731</v>
      </c>
      <c r="H208" s="99">
        <f>IFERROR((Data_Entry!K206/Data_Entry!$V206/H$2),"")</f>
        <v>1.08894207986697</v>
      </c>
      <c r="I208" s="99">
        <f>IFERROR((Data_Entry!L206/Data_Entry!$V206/I$2),"")</f>
        <v>1.11159515754112</v>
      </c>
    </row>
    <row r="209" ht="15" spans="1:9">
      <c r="A209" s="98">
        <v>45952</v>
      </c>
      <c r="B209" s="25">
        <v>45952</v>
      </c>
      <c r="C209" s="99">
        <f>IFERROR((Data_Entry!F207/Data_Entry!$V207/C$2),"")</f>
        <v>1.06881908632781</v>
      </c>
      <c r="D209" s="99">
        <f>IFERROR((Data_Entry!G207/Data_Entry!$V207/D$2),"")</f>
        <v>1.07244104046016</v>
      </c>
      <c r="E209" s="99">
        <f>IFERROR((Data_Entry!H207/Data_Entry!$V207/E$2),"")</f>
        <v>1.07373459550743</v>
      </c>
      <c r="F209" s="99">
        <f>IFERROR((Data_Entry!I207/Data_Entry!$V207/F$2),"")</f>
        <v>1.07497798919564</v>
      </c>
      <c r="G209" s="99">
        <f>IFERROR((Data_Entry!J207/Data_Entry!$V207/G$2),"")</f>
        <v>1.0818133103902</v>
      </c>
      <c r="H209" s="99">
        <f>IFERROR((Data_Entry!K207/Data_Entry!$V207/H$2),"")</f>
        <v>1.07226927580641</v>
      </c>
      <c r="I209" s="99">
        <f>IFERROR((Data_Entry!L207/Data_Entry!$V207/I$2),"")</f>
        <v>1.09460111285985</v>
      </c>
    </row>
    <row r="210" ht="15" spans="1:9">
      <c r="A210" s="98">
        <v>45953</v>
      </c>
      <c r="B210" s="25">
        <v>45953</v>
      </c>
      <c r="C210" s="99">
        <f>IFERROR((Data_Entry!F208/Data_Entry!$V208/C$2),"")</f>
        <v>1.18630762470867</v>
      </c>
      <c r="D210" s="99">
        <f>IFERROR((Data_Entry!G208/Data_Entry!$V208/D$2),"")</f>
        <v>1.19168972379982</v>
      </c>
      <c r="E210" s="99">
        <f>IFERROR((Data_Entry!H208/Data_Entry!$V208/E$2),"")</f>
        <v>1.17166642396</v>
      </c>
      <c r="F210" s="99">
        <f>IFERROR((Data_Entry!I208/Data_Entry!$V208/F$2),"")</f>
        <v>1.18742351348198</v>
      </c>
      <c r="G210" s="99">
        <f>IFERROR((Data_Entry!J208/Data_Entry!$V208/G$2),"")</f>
        <v>1.2052797895296</v>
      </c>
      <c r="H210" s="99">
        <f>IFERROR((Data_Entry!K208/Data_Entry!$V208/H$2),"")</f>
        <v>1.19636295771688</v>
      </c>
      <c r="I210" s="99">
        <f>IFERROR((Data_Entry!L208/Data_Entry!$V208/I$2),"")</f>
        <v>1.22224664363818</v>
      </c>
    </row>
    <row r="211" ht="15" spans="1:9">
      <c r="A211" s="98">
        <v>45954</v>
      </c>
      <c r="B211" s="25">
        <v>45954</v>
      </c>
      <c r="C211" s="99">
        <f>IFERROR((Data_Entry!F209/Data_Entry!$V209/C$2),"")</f>
        <v>1.10302135444395</v>
      </c>
      <c r="D211" s="99">
        <f>IFERROR((Data_Entry!G209/Data_Entry!$V209/D$2),"")</f>
        <v>1.1070105135835</v>
      </c>
      <c r="E211" s="99">
        <f>IFERROR((Data_Entry!H209/Data_Entry!$V209/E$2),"")</f>
        <v>1.12190387710072</v>
      </c>
      <c r="F211" s="99">
        <f>IFERROR((Data_Entry!I209/Data_Entry!$V209/F$2),"")</f>
        <v>1.12331403354513</v>
      </c>
      <c r="G211" s="99">
        <f>IFERROR((Data_Entry!J209/Data_Entry!$V209/G$2),"")</f>
        <v>1.12092650524282</v>
      </c>
      <c r="H211" s="99">
        <f>IFERROR((Data_Entry!K209/Data_Entry!$V209/H$2),"")</f>
        <v>1.1138504772532</v>
      </c>
      <c r="I211" s="99">
        <f>IFERROR((Data_Entry!L209/Data_Entry!$V209/I$2),"")</f>
        <v>1.13761035105322</v>
      </c>
    </row>
    <row r="212" ht="15" spans="1:9">
      <c r="A212" s="98">
        <v>45955</v>
      </c>
      <c r="B212" s="25">
        <v>45955</v>
      </c>
      <c r="C212" s="99">
        <f>IFERROR((Data_Entry!F210/Data_Entry!$V210/C$2),"")</f>
        <v>1.20817403531068</v>
      </c>
      <c r="D212" s="99">
        <f>IFERROR((Data_Entry!G210/Data_Entry!$V210/D$2),"")</f>
        <v>1.2121717276232</v>
      </c>
      <c r="E212" s="99">
        <f>IFERROR((Data_Entry!H210/Data_Entry!$V210/E$2),"")</f>
        <v>1.22920764519026</v>
      </c>
      <c r="F212" s="99">
        <f>IFERROR((Data_Entry!I210/Data_Entry!$V210/F$2),"")</f>
        <v>1.23510478096584</v>
      </c>
      <c r="G212" s="99">
        <f>IFERROR((Data_Entry!J210/Data_Entry!$V210/G$2),"")</f>
        <v>1.2327804619913</v>
      </c>
      <c r="H212" s="99">
        <f>IFERROR((Data_Entry!K210/Data_Entry!$V210/H$2),"")</f>
        <v>1.22410800302178</v>
      </c>
      <c r="I212" s="99">
        <f>IFERROR((Data_Entry!L210/Data_Entry!$V210/I$2),"")</f>
        <v>1.24997542386747</v>
      </c>
    </row>
    <row r="213" ht="15" spans="1:9">
      <c r="A213" s="98">
        <v>45956</v>
      </c>
      <c r="B213" s="25">
        <v>45956</v>
      </c>
      <c r="C213" s="99">
        <f>IFERROR((Data_Entry!F211/Data_Entry!$V211/C$2),"")</f>
        <v>1.47806919845213</v>
      </c>
      <c r="D213" s="99">
        <f>IFERROR((Data_Entry!G211/Data_Entry!$V211/D$2),"")</f>
        <v>1.46839930445834</v>
      </c>
      <c r="E213" s="99">
        <f>IFERROR((Data_Entry!H211/Data_Entry!$V211/E$2),"")</f>
        <v>1.47815553679136</v>
      </c>
      <c r="F213" s="99">
        <f>IFERROR((Data_Entry!I211/Data_Entry!$V211/F$2),"")</f>
        <v>1.48301112991285</v>
      </c>
      <c r="G213" s="99">
        <f>IFERROR((Data_Entry!J211/Data_Entry!$V211/G$2),"")</f>
        <v>1.47619790879533</v>
      </c>
      <c r="H213" s="99">
        <f>IFERROR((Data_Entry!K211/Data_Entry!$V211/H$2),"")</f>
        <v>1.46971502567139</v>
      </c>
      <c r="I213" s="99">
        <f>IFERROR((Data_Entry!L211/Data_Entry!$V211/I$2),"")</f>
        <v>1.5020468567927</v>
      </c>
    </row>
    <row r="214" ht="15" spans="1:9">
      <c r="A214" s="98">
        <v>45957</v>
      </c>
      <c r="B214" s="25">
        <v>45957</v>
      </c>
      <c r="C214" s="99">
        <f>IFERROR((Data_Entry!F212/Data_Entry!$V212/C$2),"")</f>
        <v>0.844410542256573</v>
      </c>
      <c r="D214" s="99">
        <f>IFERROR((Data_Entry!G212/Data_Entry!$V212/D$2),"")</f>
        <v>0.834524802414711</v>
      </c>
      <c r="E214" s="99">
        <f>IFERROR((Data_Entry!H212/Data_Entry!$V212/E$2),"")</f>
        <v>0.834481633245095</v>
      </c>
      <c r="F214" s="99">
        <f>IFERROR((Data_Entry!I212/Data_Entry!$V212/F$2),"")</f>
        <v>0.835238970633778</v>
      </c>
      <c r="G214" s="99">
        <f>IFERROR((Data_Entry!J212/Data_Entry!$V212/G$2),"")</f>
        <v>0.831605252704436</v>
      </c>
      <c r="H214" s="99">
        <f>IFERROR((Data_Entry!K212/Data_Entry!$V212/H$2),"")</f>
        <v>0.829065779378816</v>
      </c>
      <c r="I214" s="99">
        <f>IFERROR((Data_Entry!L212/Data_Entry!$V212/I$2),"")</f>
        <v>0.836250630739107</v>
      </c>
    </row>
    <row r="215" ht="15" spans="1:9">
      <c r="A215" s="98">
        <v>45958</v>
      </c>
      <c r="B215" s="25">
        <v>45958</v>
      </c>
      <c r="C215" s="99">
        <f>IFERROR((Data_Entry!F213/Data_Entry!$V213/C$2),"")</f>
        <v>1.08774744259672</v>
      </c>
      <c r="D215" s="99">
        <f>IFERROR((Data_Entry!G213/Data_Entry!$V213/D$2),"")</f>
        <v>1.0685988323603</v>
      </c>
      <c r="E215" s="99">
        <f>IFERROR((Data_Entry!H213/Data_Entry!$V213/E$2),"")</f>
        <v>1.0691307382002</v>
      </c>
      <c r="F215" s="99">
        <f>IFERROR((Data_Entry!I213/Data_Entry!$V213/F$2),"")</f>
        <v>1.07805288050601</v>
      </c>
      <c r="G215" s="99">
        <f>IFERROR((Data_Entry!J213/Data_Entry!$V213/G$2),"")</f>
        <v>1.06848782592415</v>
      </c>
      <c r="H215" s="99">
        <f>IFERROR((Data_Entry!K213/Data_Entry!$V213/H$2),"")</f>
        <v>1.06472285763129</v>
      </c>
      <c r="I215" s="99">
        <f>IFERROR((Data_Entry!L213/Data_Entry!$V213/I$2),"")</f>
        <v>1.07886692770447</v>
      </c>
    </row>
    <row r="216" ht="15" spans="1:9">
      <c r="A216" s="98">
        <v>45959</v>
      </c>
      <c r="B216" s="25">
        <v>45959</v>
      </c>
      <c r="C216" s="99">
        <f>IFERROR((Data_Entry!F214/Data_Entry!$V214/C$2),"")</f>
        <v>0.957643274157036</v>
      </c>
      <c r="D216" s="99">
        <f>IFERROR((Data_Entry!G214/Data_Entry!$V214/D$2),"")</f>
        <v>0.945614019008514</v>
      </c>
      <c r="E216" s="99">
        <f>IFERROR((Data_Entry!H214/Data_Entry!$V214/E$2),"")</f>
        <v>0.946530533686497</v>
      </c>
      <c r="F216" s="99">
        <f>IFERROR((Data_Entry!I214/Data_Entry!$V214/F$2),"")</f>
        <v>0.948552843247698</v>
      </c>
      <c r="G216" s="99">
        <f>IFERROR((Data_Entry!J214/Data_Entry!$V214/G$2),"")</f>
        <v>0.942936700316038</v>
      </c>
      <c r="H216" s="99">
        <f>IFERROR((Data_Entry!K214/Data_Entry!$V214/H$2),"")</f>
        <v>0.941128576250235</v>
      </c>
      <c r="I216" s="99">
        <f>IFERROR((Data_Entry!L214/Data_Entry!$V214/I$2),"")</f>
        <v>0.950908883697077</v>
      </c>
    </row>
    <row r="217" ht="15" spans="1:9">
      <c r="A217" s="98">
        <v>45960</v>
      </c>
      <c r="B217" s="25">
        <v>45960</v>
      </c>
      <c r="C217" s="99">
        <f>IFERROR((Data_Entry!F215/Data_Entry!$V215/C$2),"")</f>
        <v>0.576845396715614</v>
      </c>
      <c r="D217" s="99">
        <f>IFERROR((Data_Entry!G215/Data_Entry!$V215/D$2),"")</f>
        <v>0.569761967725718</v>
      </c>
      <c r="E217" s="99">
        <f>IFERROR((Data_Entry!H215/Data_Entry!$V215/E$2),"")</f>
        <v>0.571214978800568</v>
      </c>
      <c r="F217" s="99">
        <f>IFERROR((Data_Entry!I215/Data_Entry!$V215/F$2),"")</f>
        <v>0.573880938250946</v>
      </c>
      <c r="G217" s="99">
        <f>IFERROR((Data_Entry!J215/Data_Entry!$V215/G$2),"")</f>
        <v>0.571014400097845</v>
      </c>
      <c r="H217" s="99">
        <f>IFERROR((Data_Entry!K215/Data_Entry!$V215/H$2),"")</f>
        <v>0.569224985371969</v>
      </c>
      <c r="I217" s="99">
        <f>IFERROR((Data_Entry!L215/Data_Entry!$V215/I$2),"")</f>
        <v>0.575253401972734</v>
      </c>
    </row>
    <row r="218" ht="15" spans="1:9">
      <c r="A218" s="98">
        <v>45961</v>
      </c>
      <c r="B218" s="25">
        <v>45961</v>
      </c>
      <c r="C218" s="99">
        <f>IFERROR((Data_Entry!F216/Data_Entry!$V216/C$2),"")</f>
        <v>0.772995961162971</v>
      </c>
      <c r="D218" s="99">
        <f>IFERROR((Data_Entry!G216/Data_Entry!$V216/D$2),"")</f>
        <v>0.765032570874174</v>
      </c>
      <c r="E218" s="99">
        <f>IFERROR((Data_Entry!H216/Data_Entry!$V216/E$2),"")</f>
        <v>0.76517441243148</v>
      </c>
      <c r="F218" s="99">
        <f>IFERROR((Data_Entry!I216/Data_Entry!$V216/F$2),"")</f>
        <v>0.767820946829926</v>
      </c>
      <c r="G218" s="99">
        <f>IFERROR((Data_Entry!J216/Data_Entry!$V216/G$2),"")</f>
        <v>0.763983295751488</v>
      </c>
      <c r="H218" s="99">
        <f>IFERROR((Data_Entry!K216/Data_Entry!$V216/H$2),"")</f>
        <v>0.76378947498995</v>
      </c>
      <c r="I218" s="99">
        <f>IFERROR((Data_Entry!L216/Data_Entry!$V216/I$2),"")</f>
        <v>0.76997235728299</v>
      </c>
    </row>
    <row r="219" ht="15" spans="1:9">
      <c r="A219" s="98">
        <v>45962</v>
      </c>
      <c r="B219" s="25">
        <v>45962</v>
      </c>
      <c r="C219" s="99">
        <f>IFERROR((Data_Entry!F217/Data_Entry!$V217/C$2),"")</f>
        <v>0.90528379304182</v>
      </c>
      <c r="D219" s="99">
        <f>IFERROR((Data_Entry!G217/Data_Entry!$V217/D$2),"")</f>
        <v>0.899605698200882</v>
      </c>
      <c r="E219" s="99">
        <f>IFERROR((Data_Entry!H217/Data_Entry!$V217/E$2),"")</f>
        <v>0.902723996187299</v>
      </c>
      <c r="F219" s="99">
        <f>IFERROR((Data_Entry!I217/Data_Entry!$V217/F$2),"")</f>
        <v>0.902506464043535</v>
      </c>
      <c r="G219" s="99">
        <f>IFERROR((Data_Entry!J217/Data_Entry!$V217/G$2),"")</f>
        <v>0.899178728132657</v>
      </c>
      <c r="H219" s="99">
        <f>IFERROR((Data_Entry!K217/Data_Entry!$V217/H$2),"")</f>
        <v>0.897286704370619</v>
      </c>
      <c r="I219" s="99">
        <f>IFERROR((Data_Entry!L217/Data_Entry!$V217/I$2),"")</f>
        <v>0.902339520770414</v>
      </c>
    </row>
    <row r="220" ht="15" spans="1:9">
      <c r="A220" s="98">
        <v>45963</v>
      </c>
      <c r="B220" s="25">
        <v>45963</v>
      </c>
      <c r="C220" s="99">
        <f>IFERROR((Data_Entry!F218/Data_Entry!$V218/C$2),"")</f>
        <v>1.4770340254191</v>
      </c>
      <c r="D220" s="99">
        <f>IFERROR((Data_Entry!G218/Data_Entry!$V218/D$2),"")</f>
        <v>1.47264762383526</v>
      </c>
      <c r="E220" s="99">
        <f>IFERROR((Data_Entry!H218/Data_Entry!$V218/E$2),"")</f>
        <v>1.47954345516241</v>
      </c>
      <c r="F220" s="99">
        <f>IFERROR((Data_Entry!I218/Data_Entry!$V218/F$2),"")</f>
        <v>1.4791363048435</v>
      </c>
      <c r="G220" s="99">
        <f>IFERROR((Data_Entry!J218/Data_Entry!$V218/G$2),"")</f>
        <v>1.47543824453956</v>
      </c>
      <c r="H220" s="99">
        <f>IFERROR((Data_Entry!K218/Data_Entry!$V218/H$2),"")</f>
        <v>1.47216951049781</v>
      </c>
      <c r="I220" s="99">
        <f>IFERROR((Data_Entry!L218/Data_Entry!$V218/I$2),"")</f>
        <v>1.4793119383144</v>
      </c>
    </row>
    <row r="221" ht="15" spans="1:9">
      <c r="A221" s="98">
        <v>45964</v>
      </c>
      <c r="B221" s="25">
        <v>45964</v>
      </c>
      <c r="C221" s="99">
        <f>IFERROR((Data_Entry!F219/Data_Entry!$V219/C$2),"")</f>
        <v>1.19721110104663</v>
      </c>
      <c r="D221" s="99">
        <f>IFERROR((Data_Entry!G219/Data_Entry!$V219/D$2),"")</f>
        <v>1.19302660421263</v>
      </c>
      <c r="E221" s="99">
        <f>IFERROR((Data_Entry!H219/Data_Entry!$V219/E$2),"")</f>
        <v>1.1983523274559</v>
      </c>
      <c r="F221" s="99">
        <f>IFERROR((Data_Entry!I219/Data_Entry!$V219/F$2),"")</f>
        <v>1.20078238762789</v>
      </c>
      <c r="G221" s="99">
        <f>IFERROR((Data_Entry!J219/Data_Entry!$V219/G$2),"")</f>
        <v>1.20018509275577</v>
      </c>
      <c r="H221" s="99">
        <f>IFERROR((Data_Entry!K219/Data_Entry!$V219/H$2),"")</f>
        <v>1.19660132352305</v>
      </c>
      <c r="I221" s="99">
        <f>IFERROR((Data_Entry!L219/Data_Entry!$V219/I$2),"")</f>
        <v>1.20211428653814</v>
      </c>
    </row>
    <row r="222" ht="15" spans="1:9">
      <c r="A222" s="98">
        <v>45965</v>
      </c>
      <c r="B222" s="25">
        <v>45965</v>
      </c>
      <c r="C222" s="99">
        <f>IFERROR((Data_Entry!F220/Data_Entry!$V220/C$2),"")</f>
        <v>1.34777493149053</v>
      </c>
      <c r="D222" s="99">
        <f>IFERROR((Data_Entry!G220/Data_Entry!$V220/D$2),"")</f>
        <v>1.34787173835339</v>
      </c>
      <c r="E222" s="99">
        <f>IFERROR((Data_Entry!H220/Data_Entry!$V220/E$2),"")</f>
        <v>1.35178124627666</v>
      </c>
      <c r="F222" s="99">
        <f>IFERROR((Data_Entry!I220/Data_Entry!$V220/F$2),"")</f>
        <v>1.3546427146846</v>
      </c>
      <c r="G222" s="99">
        <f>IFERROR((Data_Entry!J220/Data_Entry!$V220/G$2),"")</f>
        <v>1.35271240526526</v>
      </c>
      <c r="H222" s="99">
        <f>IFERROR((Data_Entry!K220/Data_Entry!$V220/H$2),"")</f>
        <v>1.34865946777594</v>
      </c>
      <c r="I222" s="99">
        <f>IFERROR((Data_Entry!L220/Data_Entry!$V220/I$2),"")</f>
        <v>1.35606017436891</v>
      </c>
    </row>
    <row r="223" ht="15" spans="1:9">
      <c r="A223" s="98">
        <v>45966</v>
      </c>
      <c r="B223" s="25">
        <v>45966</v>
      </c>
      <c r="C223" s="99">
        <f>IFERROR((Data_Entry!F221/Data_Entry!$V221/C$2),"")</f>
        <v>1.22471622544766</v>
      </c>
      <c r="D223" s="99">
        <f>IFERROR((Data_Entry!G221/Data_Entry!$V221/D$2),"")</f>
        <v>1.22115403144013</v>
      </c>
      <c r="E223" s="99">
        <f>IFERROR((Data_Entry!H221/Data_Entry!$V221/E$2),"")</f>
        <v>1.22772203867688</v>
      </c>
      <c r="F223" s="99">
        <f>IFERROR((Data_Entry!I221/Data_Entry!$V221/F$2),"")</f>
        <v>1.22726330479019</v>
      </c>
      <c r="G223" s="99">
        <f>IFERROR((Data_Entry!J221/Data_Entry!$V221/G$2),"")</f>
        <v>1.09842132883767</v>
      </c>
      <c r="H223" s="99">
        <f>IFERROR((Data_Entry!K221/Data_Entry!$V221/H$2),"")</f>
        <v>1.22600422039896</v>
      </c>
      <c r="I223" s="99">
        <f>IFERROR((Data_Entry!L221/Data_Entry!$V221/I$2),"")</f>
        <v>1.23202705707456</v>
      </c>
    </row>
    <row r="224" ht="15" spans="1:9">
      <c r="A224" s="98">
        <v>45967</v>
      </c>
      <c r="B224" s="25">
        <v>45967</v>
      </c>
      <c r="C224" s="99">
        <f>IFERROR((Data_Entry!F222/Data_Entry!$V222/C$2),"")</f>
        <v>1.20904257181451</v>
      </c>
      <c r="D224" s="99">
        <f>IFERROR((Data_Entry!G222/Data_Entry!$V222/D$2),"")</f>
        <v>1.20588748569355</v>
      </c>
      <c r="E224" s="99">
        <f>IFERROR((Data_Entry!H222/Data_Entry!$V222/E$2),"")</f>
        <v>1.21314079120604</v>
      </c>
      <c r="F224" s="99">
        <f>IFERROR((Data_Entry!I222/Data_Entry!$V222/F$2),"")</f>
        <v>1.21376384327592</v>
      </c>
      <c r="G224" s="99">
        <f>IFERROR((Data_Entry!J222/Data_Entry!$V222/G$2),"")</f>
        <v>1.21223866372984</v>
      </c>
      <c r="H224" s="99">
        <f>IFERROR((Data_Entry!K222/Data_Entry!$V222/H$2),"")</f>
        <v>1.20850035131051</v>
      </c>
      <c r="I224" s="99">
        <f>IFERROR((Data_Entry!L222/Data_Entry!$V222/I$2),"")</f>
        <v>1.21391311616767</v>
      </c>
    </row>
    <row r="225" ht="15" spans="1:9">
      <c r="A225" s="98">
        <v>45968</v>
      </c>
      <c r="B225" s="25">
        <v>45968</v>
      </c>
      <c r="C225" s="99">
        <f>IFERROR((Data_Entry!F223/Data_Entry!$V223/C$2),"")</f>
        <v>1.21692708980677</v>
      </c>
      <c r="D225" s="99">
        <f>IFERROR((Data_Entry!G223/Data_Entry!$V223/D$2),"")</f>
        <v>1.21404127740343</v>
      </c>
      <c r="E225" s="99">
        <f>IFERROR((Data_Entry!H223/Data_Entry!$V223/E$2),"")</f>
        <v>1.21950574890975</v>
      </c>
      <c r="F225" s="99">
        <f>IFERROR((Data_Entry!I223/Data_Entry!$V223/F$2),"")</f>
        <v>1.2209731901071</v>
      </c>
      <c r="G225" s="99">
        <f>IFERROR((Data_Entry!J223/Data_Entry!$V223/G$2),"")</f>
        <v>1.21893709603518</v>
      </c>
      <c r="H225" s="99">
        <f>IFERROR((Data_Entry!K223/Data_Entry!$V223/H$2),"")</f>
        <v>1.21610159590147</v>
      </c>
      <c r="I225" s="99">
        <f>IFERROR((Data_Entry!L223/Data_Entry!$V223/I$2),"")</f>
        <v>1.22247634680449</v>
      </c>
    </row>
    <row r="226" ht="15" spans="1:9">
      <c r="A226" s="98">
        <v>45969</v>
      </c>
      <c r="B226" s="25">
        <v>45969</v>
      </c>
      <c r="C226" s="99">
        <f>IFERROR((Data_Entry!F224/Data_Entry!$V224/C$2),"")</f>
        <v>1.15625144102455</v>
      </c>
      <c r="D226" s="99">
        <f>IFERROR((Data_Entry!G224/Data_Entry!$V224/D$2),"")</f>
        <v>1.15394580175074</v>
      </c>
      <c r="E226" s="99">
        <f>IFERROR((Data_Entry!H224/Data_Entry!$V224/E$2),"")</f>
        <v>1.1608760469668</v>
      </c>
      <c r="F226" s="99">
        <f>IFERROR((Data_Entry!I224/Data_Entry!$V224/F$2),"")</f>
        <v>1.16075117507349</v>
      </c>
      <c r="G226" s="99">
        <f>IFERROR((Data_Entry!J224/Data_Entry!$V224/G$2),"")</f>
        <v>1.16025400530799</v>
      </c>
      <c r="H226" s="99">
        <f>IFERROR((Data_Entry!K224/Data_Entry!$V224/H$2),"")</f>
        <v>1.15871787821202</v>
      </c>
      <c r="I226" s="99">
        <f>IFERROR((Data_Entry!L224/Data_Entry!$V224/I$2),"")</f>
        <v>1.16328801567181</v>
      </c>
    </row>
    <row r="227" ht="15" spans="1:9">
      <c r="A227" s="98">
        <v>45970</v>
      </c>
      <c r="B227" s="25">
        <v>45970</v>
      </c>
      <c r="C227" s="99">
        <f>IFERROR((Data_Entry!F225/Data_Entry!$V225/C$2),"")</f>
        <v>1.18250634871361</v>
      </c>
      <c r="D227" s="99">
        <f>IFERROR((Data_Entry!G225/Data_Entry!$V225/D$2),"")</f>
        <v>1.18263992148058</v>
      </c>
      <c r="E227" s="99">
        <f>IFERROR((Data_Entry!H225/Data_Entry!$V225/E$2),"")</f>
        <v>1.19995095207997</v>
      </c>
      <c r="F227" s="99">
        <f>IFERROR((Data_Entry!I225/Data_Entry!$V225/F$2),"")</f>
        <v>1.19004391802888</v>
      </c>
      <c r="G227" s="99">
        <f>IFERROR((Data_Entry!J225/Data_Entry!$V225/G$2),"")</f>
        <v>1.18759721338867</v>
      </c>
      <c r="H227" s="99">
        <f>IFERROR((Data_Entry!K225/Data_Entry!$V225/H$2),"")</f>
        <v>1.1864281613021</v>
      </c>
      <c r="I227" s="99">
        <f>IFERROR((Data_Entry!L225/Data_Entry!$V225/I$2),"")</f>
        <v>1.19135990015912</v>
      </c>
    </row>
    <row r="228" ht="15" spans="1:9">
      <c r="A228" s="98">
        <v>45971</v>
      </c>
      <c r="B228" s="25">
        <v>45971</v>
      </c>
      <c r="C228" s="99">
        <f>IFERROR((Data_Entry!F226/Data_Entry!$V226/C$2),"")</f>
        <v>1.1490128867355</v>
      </c>
      <c r="D228" s="99">
        <f>IFERROR((Data_Entry!G226/Data_Entry!$V226/D$2),"")</f>
        <v>1.15568457446493</v>
      </c>
      <c r="E228" s="99">
        <f>IFERROR((Data_Entry!H226/Data_Entry!$V226/E$2),"")</f>
        <v>1.16535515213335</v>
      </c>
      <c r="F228" s="99">
        <f>IFERROR((Data_Entry!I226/Data_Entry!$V226/F$2),"")</f>
        <v>1.1633296195346</v>
      </c>
      <c r="G228" s="99">
        <f>IFERROR((Data_Entry!J226/Data_Entry!$V226/G$2),"")</f>
        <v>1.14950923451827</v>
      </c>
      <c r="H228" s="99">
        <f>IFERROR((Data_Entry!K226/Data_Entry!$V226/H$2),"")</f>
        <v>1.14557712870672</v>
      </c>
      <c r="I228" s="99">
        <f>IFERROR((Data_Entry!L226/Data_Entry!$V226/I$2),"")</f>
        <v>1.1504245771826</v>
      </c>
    </row>
    <row r="229" ht="15" spans="1:9">
      <c r="A229" s="98">
        <v>45972</v>
      </c>
      <c r="B229" s="25">
        <v>45972</v>
      </c>
      <c r="C229" s="99">
        <f>IFERROR((Data_Entry!F227/Data_Entry!$V227/C$2),"")</f>
        <v>1.17082427148804</v>
      </c>
      <c r="D229" s="99">
        <f>IFERROR((Data_Entry!G227/Data_Entry!$V227/D$2),"")</f>
        <v>1.17871020452088</v>
      </c>
      <c r="E229" s="99">
        <f>IFERROR((Data_Entry!H227/Data_Entry!$V227/E$2),"")</f>
        <v>1.18778348865441</v>
      </c>
      <c r="F229" s="99">
        <f>IFERROR((Data_Entry!I227/Data_Entry!$V227/F$2),"")</f>
        <v>1.19179792302422</v>
      </c>
      <c r="G229" s="99">
        <f>IFERROR((Data_Entry!J227/Data_Entry!$V227/G$2),"")</f>
        <v>1.1828434038412</v>
      </c>
      <c r="H229" s="99">
        <f>IFERROR((Data_Entry!K227/Data_Entry!$V227/H$2),"")</f>
        <v>1.18321103805986</v>
      </c>
      <c r="I229" s="99">
        <f>IFERROR((Data_Entry!L227/Data_Entry!$V227/I$2),"")</f>
        <v>1.17891759557768</v>
      </c>
    </row>
    <row r="230" ht="15" spans="1:9">
      <c r="A230" s="98">
        <v>45973</v>
      </c>
      <c r="B230" s="25">
        <v>45973</v>
      </c>
      <c r="C230" s="99">
        <f>IFERROR((Data_Entry!F228/Data_Entry!$V228/C$2),"")</f>
        <v>1.1627446781742</v>
      </c>
      <c r="D230" s="99">
        <f>IFERROR((Data_Entry!G228/Data_Entry!$V228/D$2),"")</f>
        <v>1.16886866261345</v>
      </c>
      <c r="E230" s="99">
        <f>IFERROR((Data_Entry!H228/Data_Entry!$V228/E$2),"")</f>
        <v>1.17918639603377</v>
      </c>
      <c r="F230" s="99">
        <f>IFERROR((Data_Entry!I228/Data_Entry!$V228/F$2),"")</f>
        <v>1.18100885950906</v>
      </c>
      <c r="G230" s="99">
        <f>IFERROR((Data_Entry!J228/Data_Entry!$V228/G$2),"")</f>
        <v>1.17418148929916</v>
      </c>
      <c r="H230" s="99">
        <f>IFERROR((Data_Entry!K228/Data_Entry!$V228/H$2),"")</f>
        <v>1.17952118351001</v>
      </c>
      <c r="I230" s="99">
        <f>IFERROR((Data_Entry!L228/Data_Entry!$V228/I$2),"")</f>
        <v>1.18604969023796</v>
      </c>
    </row>
    <row r="231" ht="15" spans="1:9">
      <c r="A231" s="98">
        <v>45974</v>
      </c>
      <c r="B231" s="25">
        <v>45974</v>
      </c>
      <c r="C231" s="99">
        <f>IFERROR((Data_Entry!F229/Data_Entry!$V229/C$2),"")</f>
        <v>1.16520770109545</v>
      </c>
      <c r="D231" s="99">
        <f>IFERROR((Data_Entry!G229/Data_Entry!$V229/D$2),"")</f>
        <v>1.17256677483337</v>
      </c>
      <c r="E231" s="99">
        <f>IFERROR((Data_Entry!H229/Data_Entry!$V229/E$2),"")</f>
        <v>1.18319187558259</v>
      </c>
      <c r="F231" s="99">
        <f>IFERROR((Data_Entry!I229/Data_Entry!$V229/F$2),"")</f>
        <v>1.18426724499133</v>
      </c>
      <c r="G231" s="99">
        <f>IFERROR((Data_Entry!J229/Data_Entry!$V229/G$2),"")</f>
        <v>1.17658455484308</v>
      </c>
      <c r="H231" s="99">
        <f>IFERROR((Data_Entry!K229/Data_Entry!$V229/H$2),"")</f>
        <v>1.18244377926679</v>
      </c>
      <c r="I231" s="99">
        <f>IFERROR((Data_Entry!L229/Data_Entry!$V229/I$2),"")</f>
        <v>1.1882895958543</v>
      </c>
    </row>
    <row r="232" ht="15" spans="1:9">
      <c r="A232" s="98">
        <v>45975</v>
      </c>
      <c r="B232" s="25">
        <v>45975</v>
      </c>
      <c r="C232" s="99">
        <f>IFERROR((Data_Entry!F230/Data_Entry!$V230/C$2),"")</f>
        <v>1.14758423365518</v>
      </c>
      <c r="D232" s="99">
        <f>IFERROR((Data_Entry!G230/Data_Entry!$V230/D$2),"")</f>
        <v>1.14163386406259</v>
      </c>
      <c r="E232" s="99">
        <f>IFERROR((Data_Entry!H230/Data_Entry!$V230/E$2),"")</f>
        <v>1.15151161710258</v>
      </c>
      <c r="F232" s="99">
        <f>IFERROR((Data_Entry!I230/Data_Entry!$V230/F$2),"")</f>
        <v>1.15538653029463</v>
      </c>
      <c r="G232" s="99">
        <f>IFERROR((Data_Entry!J230/Data_Entry!$V230/G$2),"")</f>
        <v>1.14685237974688</v>
      </c>
      <c r="H232" s="99">
        <f>IFERROR((Data_Entry!K230/Data_Entry!$V230/H$2),"")</f>
        <v>1.15303113143353</v>
      </c>
      <c r="I232" s="99">
        <f>IFERROR((Data_Entry!L230/Data_Entry!$V230/I$2),"")</f>
        <v>1.1596836318996</v>
      </c>
    </row>
    <row r="233" ht="15" spans="1:9">
      <c r="A233" s="98">
        <v>45976</v>
      </c>
      <c r="B233" s="25">
        <v>45976</v>
      </c>
      <c r="C233" s="99">
        <f>IFERROR((Data_Entry!F231/Data_Entry!$V231/C$2),"")</f>
        <v>1.15145343513108</v>
      </c>
      <c r="D233" s="99">
        <f>IFERROR((Data_Entry!G231/Data_Entry!$V231/D$2),"")</f>
        <v>1.15281062413265</v>
      </c>
      <c r="E233" s="99">
        <f>IFERROR((Data_Entry!H231/Data_Entry!$V231/E$2),"")</f>
        <v>1.16510389924686</v>
      </c>
      <c r="F233" s="99">
        <f>IFERROR((Data_Entry!I231/Data_Entry!$V231/F$2),"")</f>
        <v>1.16458431636365</v>
      </c>
      <c r="G233" s="99">
        <f>IFERROR((Data_Entry!J231/Data_Entry!$V231/G$2),"")</f>
        <v>1.15654242803262</v>
      </c>
      <c r="H233" s="99">
        <f>IFERROR((Data_Entry!K231/Data_Entry!$V231/H$2),"")</f>
        <v>1.16268487290059</v>
      </c>
      <c r="I233" s="99">
        <f>IFERROR((Data_Entry!L231/Data_Entry!$V231/I$2),"")</f>
        <v>1.1570685328767</v>
      </c>
    </row>
    <row r="234" ht="15" spans="1:9">
      <c r="A234" s="98">
        <v>45977</v>
      </c>
      <c r="B234" s="25">
        <v>45977</v>
      </c>
      <c r="C234" s="99">
        <f>IFERROR((Data_Entry!F232/Data_Entry!$V232/C$2),"")</f>
        <v>1.15919393699714</v>
      </c>
      <c r="D234" s="99">
        <f>IFERROR((Data_Entry!G232/Data_Entry!$V232/D$2),"")</f>
        <v>1.15318459480989</v>
      </c>
      <c r="E234" s="99">
        <f>IFERROR((Data_Entry!H232/Data_Entry!$V232/E$2),"")</f>
        <v>1.16690431671328</v>
      </c>
      <c r="F234" s="99">
        <f>IFERROR((Data_Entry!I232/Data_Entry!$V232/F$2),"")</f>
        <v>1.16837088428851</v>
      </c>
      <c r="G234" s="99">
        <f>IFERROR((Data_Entry!J232/Data_Entry!$V232/G$2),"")</f>
        <v>1.16174888438486</v>
      </c>
      <c r="H234" s="99">
        <f>IFERROR((Data_Entry!K232/Data_Entry!$V232/H$2),"")</f>
        <v>1.17058769112321</v>
      </c>
      <c r="I234" s="99">
        <f>IFERROR((Data_Entry!L232/Data_Entry!$V232/I$2),"")</f>
        <v>1.18635401922</v>
      </c>
    </row>
    <row r="235" ht="15" spans="1:9">
      <c r="A235" s="98">
        <v>45978</v>
      </c>
      <c r="B235" s="25">
        <v>45978</v>
      </c>
      <c r="C235" s="99">
        <f>IFERROR((Data_Entry!F233/Data_Entry!$V233/C$2),"")</f>
        <v>1.18042464410875</v>
      </c>
      <c r="D235" s="99">
        <f>IFERROR((Data_Entry!G233/Data_Entry!$V233/D$2),"")</f>
        <v>1.17836575157502</v>
      </c>
      <c r="E235" s="99">
        <f>IFERROR((Data_Entry!H233/Data_Entry!$V233/E$2),"")</f>
        <v>1.18914133002477</v>
      </c>
      <c r="F235" s="99">
        <f>IFERROR((Data_Entry!I233/Data_Entry!$V233/F$2),"")</f>
        <v>1.18787855490883</v>
      </c>
      <c r="G235" s="99">
        <f>IFERROR((Data_Entry!J233/Data_Entry!$V233/G$2),"")</f>
        <v>1.17901298150046</v>
      </c>
      <c r="H235" s="99">
        <f>IFERROR((Data_Entry!K233/Data_Entry!$V233/H$2),"")</f>
        <v>1.18140194899142</v>
      </c>
      <c r="I235" s="99">
        <f>IFERROR((Data_Entry!L233/Data_Entry!$V233/I$2),"")</f>
        <v>1.19348213871198</v>
      </c>
    </row>
    <row r="236" ht="15" spans="1:9">
      <c r="A236" s="98">
        <v>45979</v>
      </c>
      <c r="B236" s="25">
        <v>45979</v>
      </c>
      <c r="C236" s="99">
        <f>IFERROR((Data_Entry!F234/Data_Entry!$V234/C$2),"")</f>
        <v>1.18141782561975</v>
      </c>
      <c r="D236" s="99">
        <f>IFERROR((Data_Entry!G234/Data_Entry!$V234/D$2),"")</f>
        <v>1.17836856825509</v>
      </c>
      <c r="E236" s="99">
        <f>IFERROR((Data_Entry!H234/Data_Entry!$V234/E$2),"")</f>
        <v>1.18844805787716</v>
      </c>
      <c r="F236" s="99">
        <f>IFERROR((Data_Entry!I234/Data_Entry!$V234/F$2),"")</f>
        <v>1.18782507151945</v>
      </c>
      <c r="G236" s="99">
        <f>IFERROR((Data_Entry!J234/Data_Entry!$V234/G$2),"")</f>
        <v>1.18149209295894</v>
      </c>
      <c r="H236" s="99">
        <f>IFERROR((Data_Entry!K234/Data_Entry!$V234/H$2),"")</f>
        <v>1.18240355575816</v>
      </c>
      <c r="I236" s="99">
        <f>IFERROR((Data_Entry!L234/Data_Entry!$V234/I$2),"")</f>
        <v>1.18864876382689</v>
      </c>
    </row>
    <row r="237" ht="15" spans="1:9">
      <c r="A237" s="98">
        <v>45980</v>
      </c>
      <c r="B237" s="25">
        <v>45980</v>
      </c>
      <c r="C237" s="99">
        <f>IFERROR((Data_Entry!F235/Data_Entry!$V235/C$2),"")</f>
        <v>1.18234501574785</v>
      </c>
      <c r="D237" s="99">
        <f>IFERROR((Data_Entry!G235/Data_Entry!$V235/D$2),"")</f>
        <v>1.17154356624749</v>
      </c>
      <c r="E237" s="99">
        <f>IFERROR((Data_Entry!H235/Data_Entry!$V235/E$2),"")</f>
        <v>1.17488329018771</v>
      </c>
      <c r="F237" s="99">
        <f>IFERROR((Data_Entry!I235/Data_Entry!$V235/F$2),"")</f>
        <v>1.1847994446718</v>
      </c>
      <c r="G237" s="99">
        <f>IFERROR((Data_Entry!J235/Data_Entry!$V235/G$2),"")</f>
        <v>1.18346120041373</v>
      </c>
      <c r="H237" s="99">
        <f>IFERROR((Data_Entry!K235/Data_Entry!$V235/H$2),"")</f>
        <v>1.18168406959791</v>
      </c>
      <c r="I237" s="99">
        <f>IFERROR((Data_Entry!L235/Data_Entry!$V235/I$2),"")</f>
        <v>1.19104458454279</v>
      </c>
    </row>
    <row r="238" ht="15" spans="1:9">
      <c r="A238" s="98">
        <v>45981</v>
      </c>
      <c r="B238" s="25">
        <v>45981</v>
      </c>
      <c r="C238" s="99">
        <f>IFERROR((Data_Entry!F236/Data_Entry!$V236/C$2),"")</f>
        <v>1.17198391006539</v>
      </c>
      <c r="D238" s="99">
        <f>IFERROR((Data_Entry!G236/Data_Entry!$V236/D$2),"")</f>
        <v>8.67288201364877</v>
      </c>
      <c r="E238" s="99">
        <f>IFERROR((Data_Entry!H236/Data_Entry!$V236/E$2),"")</f>
        <v>1.18013962096878</v>
      </c>
      <c r="F238" s="99">
        <f>IFERROR((Data_Entry!I236/Data_Entry!$V236/F$2),"")</f>
        <v>1.18142034258018</v>
      </c>
      <c r="G238" s="99">
        <f>IFERROR((Data_Entry!J236/Data_Entry!$V236/G$2),"")</f>
        <v>1.18115480325474</v>
      </c>
      <c r="H238" s="99">
        <f>IFERROR((Data_Entry!K236/Data_Entry!$V236/H$2),"")</f>
        <v>1.18095385457602</v>
      </c>
      <c r="I238" s="99">
        <f>IFERROR((Data_Entry!L236/Data_Entry!$V236/I$2),"")</f>
        <v>1.18905639237124</v>
      </c>
    </row>
    <row r="239" ht="15" spans="1:9">
      <c r="A239" s="98">
        <v>45982</v>
      </c>
      <c r="B239" s="25">
        <v>45982</v>
      </c>
      <c r="C239" s="99">
        <f>IFERROR((Data_Entry!F237/Data_Entry!$V237/C$2),"")</f>
        <v>1.15952566509041</v>
      </c>
      <c r="D239" s="99">
        <f>IFERROR((Data_Entry!G237/Data_Entry!$V237/D$2),"")</f>
        <v>1.14843295772759</v>
      </c>
      <c r="E239" s="99">
        <f>IFERROR((Data_Entry!H237/Data_Entry!$V237/E$2),"")</f>
        <v>1.15973726479066</v>
      </c>
      <c r="F239" s="99">
        <f>IFERROR((Data_Entry!I237/Data_Entry!$V237/F$2),"")</f>
        <v>1.16278635277896</v>
      </c>
      <c r="G239" s="99">
        <f>IFERROR((Data_Entry!J237/Data_Entry!$V237/G$2),"")</f>
        <v>1.16164201593851</v>
      </c>
      <c r="H239" s="99">
        <f>IFERROR((Data_Entry!K237/Data_Entry!$V237/H$2),"")</f>
        <v>1.1588317737657</v>
      </c>
      <c r="I239" s="99">
        <f>IFERROR((Data_Entry!L237/Data_Entry!$V237/I$2),"")</f>
        <v>1.16695890071422</v>
      </c>
    </row>
    <row r="240" ht="15" spans="1:9">
      <c r="A240" s="98">
        <v>45983</v>
      </c>
      <c r="B240" s="25">
        <v>45983</v>
      </c>
      <c r="C240" s="99">
        <f>IFERROR((Data_Entry!F238/Data_Entry!$V238/C$2),"")</f>
        <v>1.1840451955833</v>
      </c>
      <c r="D240" s="99">
        <f>IFERROR((Data_Entry!G238/Data_Entry!$V238/D$2),"")</f>
        <v>1.18027626277486</v>
      </c>
      <c r="E240" s="99">
        <f>IFERROR((Data_Entry!H238/Data_Entry!$V238/E$2),"")</f>
        <v>1.18747978757808</v>
      </c>
      <c r="F240" s="99">
        <f>IFERROR((Data_Entry!I238/Data_Entry!$V238/F$2),"")</f>
        <v>1.18494745325334</v>
      </c>
      <c r="G240" s="99">
        <f>IFERROR((Data_Entry!J238/Data_Entry!$V238/G$2),"")</f>
        <v>1.18327574918508</v>
      </c>
      <c r="H240" s="99">
        <f>IFERROR((Data_Entry!K238/Data_Entry!$V238/H$2),"")</f>
        <v>1.18095716832519</v>
      </c>
      <c r="I240" s="99">
        <f>IFERROR((Data_Entry!L238/Data_Entry!$V238/I$2),"")</f>
        <v>1.18873422638187</v>
      </c>
    </row>
    <row r="241" ht="15" spans="1:9">
      <c r="A241" s="98">
        <v>45984</v>
      </c>
      <c r="B241" s="25">
        <v>45984</v>
      </c>
      <c r="C241" s="99">
        <f>IFERROR((Data_Entry!F239/Data_Entry!$V239/C$2),"")</f>
        <v>1.18527462769555</v>
      </c>
      <c r="D241" s="99">
        <f>IFERROR((Data_Entry!G239/Data_Entry!$V239/D$2),"")</f>
        <v>1.18499306161911</v>
      </c>
      <c r="E241" s="99">
        <f>IFERROR((Data_Entry!H239/Data_Entry!$V239/E$2),"")</f>
        <v>1.1944329348136</v>
      </c>
      <c r="F241" s="99">
        <f>IFERROR((Data_Entry!I239/Data_Entry!$V239/F$2),"")</f>
        <v>1.19138338735407</v>
      </c>
      <c r="G241" s="99">
        <f>IFERROR((Data_Entry!J239/Data_Entry!$V239/G$2),"")</f>
        <v>1.18374308864816</v>
      </c>
      <c r="H241" s="99">
        <f>IFERROR((Data_Entry!K239/Data_Entry!$V239/H$2),"")</f>
        <v>1.18375726359938</v>
      </c>
      <c r="I241" s="99">
        <f>IFERROR((Data_Entry!L239/Data_Entry!$V239/I$2),"")</f>
        <v>1.19112115075656</v>
      </c>
    </row>
    <row r="242" ht="15" spans="1:9">
      <c r="A242" s="98">
        <v>45985</v>
      </c>
      <c r="B242" s="25">
        <v>45985</v>
      </c>
      <c r="C242" s="99">
        <f>IFERROR((Data_Entry!F240/Data_Entry!$V240/C$2),"")</f>
        <v>1.22149497191351</v>
      </c>
      <c r="D242" s="99">
        <f>IFERROR((Data_Entry!G240/Data_Entry!$V240/D$2),"")</f>
        <v>1.22282124224132</v>
      </c>
      <c r="E242" s="99">
        <f>IFERROR((Data_Entry!H240/Data_Entry!$V240/E$2),"")</f>
        <v>1.23175726035165</v>
      </c>
      <c r="F242" s="99">
        <f>IFERROR((Data_Entry!I240/Data_Entry!$V240/F$2),"")</f>
        <v>1.22969553862324</v>
      </c>
      <c r="G242" s="99">
        <f>IFERROR((Data_Entry!J240/Data_Entry!$V240/G$2),"")</f>
        <v>1.2211203139378</v>
      </c>
      <c r="H242" s="99">
        <f>IFERROR((Data_Entry!K240/Data_Entry!$V240/H$2),"")</f>
        <v>1.2190960895173</v>
      </c>
      <c r="I242" s="99">
        <f>IFERROR((Data_Entry!L240/Data_Entry!$V240/I$2),"")</f>
        <v>1.22832294809154</v>
      </c>
    </row>
    <row r="243" ht="15" spans="1:9">
      <c r="A243" s="98">
        <v>45986</v>
      </c>
      <c r="B243" s="25">
        <v>45986</v>
      </c>
      <c r="C243" s="99">
        <f>IFERROR((Data_Entry!F241/Data_Entry!$V241/C$2),"")</f>
        <v>1.15055433862773</v>
      </c>
      <c r="D243" s="99">
        <f>IFERROR((Data_Entry!G241/Data_Entry!$V241/D$2),"")</f>
        <v>1.1515090414173</v>
      </c>
      <c r="E243" s="99">
        <f>IFERROR((Data_Entry!H241/Data_Entry!$V241/E$2),"")</f>
        <v>1.16074292679797</v>
      </c>
      <c r="F243" s="99">
        <f>IFERROR((Data_Entry!I241/Data_Entry!$V241/F$2),"")</f>
        <v>1.15844134591642</v>
      </c>
      <c r="G243" s="99">
        <f>IFERROR((Data_Entry!J241/Data_Entry!$V241/G$2),"")</f>
        <v>1.1504782944751</v>
      </c>
      <c r="H243" s="99">
        <f>IFERROR((Data_Entry!K241/Data_Entry!$V241/H$2),"")</f>
        <v>1.1505951833036</v>
      </c>
      <c r="I243" s="99">
        <f>IFERROR((Data_Entry!L241/Data_Entry!$V241/I$2),"")</f>
        <v>1.15885045681615</v>
      </c>
    </row>
    <row r="244" ht="15" spans="1:9">
      <c r="A244" s="98">
        <v>45987</v>
      </c>
      <c r="B244" s="25">
        <v>45987</v>
      </c>
      <c r="C244" s="99">
        <f>IFERROR((Data_Entry!F242/Data_Entry!$V242/C$2),"")</f>
        <v>1.13237865531444</v>
      </c>
      <c r="D244" s="99">
        <f>IFERROR((Data_Entry!G242/Data_Entry!$V242/D$2),"")</f>
        <v>1.13165411330549</v>
      </c>
      <c r="E244" s="99">
        <f>IFERROR((Data_Entry!H242/Data_Entry!$V242/E$2),"")</f>
        <v>1.14364930878692</v>
      </c>
      <c r="F244" s="99">
        <f>IFERROR((Data_Entry!I242/Data_Entry!$V242/F$2),"")</f>
        <v>1.14057473052288</v>
      </c>
      <c r="G244" s="99">
        <f>IFERROR((Data_Entry!J242/Data_Entry!$V242/G$2),"")</f>
        <v>1.13444517513125</v>
      </c>
      <c r="H244" s="99">
        <f>IFERROR((Data_Entry!K242/Data_Entry!$V242/H$2),"")</f>
        <v>1.13443747468478</v>
      </c>
      <c r="I244" s="99">
        <f>IFERROR((Data_Entry!L242/Data_Entry!$V242/I$2),"")</f>
        <v>1.14491008188655</v>
      </c>
    </row>
    <row r="245" ht="15" spans="1:9">
      <c r="A245" s="98">
        <v>45988</v>
      </c>
      <c r="B245" s="25">
        <v>45988</v>
      </c>
      <c r="C245" s="99">
        <f>IFERROR((Data_Entry!F243/Data_Entry!$V243/C$2),"")</f>
        <v>1.15018572285593</v>
      </c>
      <c r="D245" s="99">
        <f>IFERROR((Data_Entry!G243/Data_Entry!$V243/D$2),"")</f>
        <v>1.15053410562826</v>
      </c>
      <c r="E245" s="99">
        <f>IFERROR((Data_Entry!H243/Data_Entry!$V243/E$2),"")</f>
        <v>1.16082881655069</v>
      </c>
      <c r="F245" s="99">
        <f>IFERROR((Data_Entry!I243/Data_Entry!$V243/F$2),"")</f>
        <v>1.15767746716879</v>
      </c>
      <c r="G245" s="99">
        <f>IFERROR((Data_Entry!J243/Data_Entry!$V243/G$2),"")</f>
        <v>1.15136265074333</v>
      </c>
      <c r="H245" s="99">
        <f>IFERROR((Data_Entry!K243/Data_Entry!$V243/H$2),"")</f>
        <v>1.15107106950997</v>
      </c>
      <c r="I245" s="99">
        <f>IFERROR((Data_Entry!L243/Data_Entry!$V243/I$2),"")</f>
        <v>1.16119310375393</v>
      </c>
    </row>
    <row r="246" ht="15" spans="1:9">
      <c r="A246" s="98">
        <v>45989</v>
      </c>
      <c r="B246" s="25">
        <v>45989</v>
      </c>
      <c r="C246" s="99">
        <f>IFERROR((Data_Entry!F244/Data_Entry!$V244/C$2),"")</f>
        <v>1.12580505053466</v>
      </c>
      <c r="D246" s="99">
        <f>IFERROR((Data_Entry!G244/Data_Entry!$V244/D$2),"")</f>
        <v>1.12430143939362</v>
      </c>
      <c r="E246" s="99">
        <f>IFERROR((Data_Entry!H244/Data_Entry!$V244/E$2),"")</f>
        <v>1.13541674200583</v>
      </c>
      <c r="F246" s="99">
        <f>IFERROR((Data_Entry!I244/Data_Entry!$V244/F$2),"")</f>
        <v>1.1326114355842</v>
      </c>
      <c r="G246" s="99">
        <f>IFERROR((Data_Entry!J244/Data_Entry!$V244/G$2),"")</f>
        <v>1.1276686346236</v>
      </c>
      <c r="H246" s="99">
        <f>IFERROR((Data_Entry!K244/Data_Entry!$V244/H$2),"")</f>
        <v>1.1277050456804</v>
      </c>
      <c r="I246" s="99">
        <f>IFERROR((Data_Entry!L244/Data_Entry!$V244/I$2),"")</f>
        <v>1.13883772629699</v>
      </c>
    </row>
    <row r="247" ht="15" spans="1:9">
      <c r="A247" s="98">
        <v>45990</v>
      </c>
      <c r="B247" s="25">
        <v>45990</v>
      </c>
      <c r="C247" s="99">
        <f>IFERROR((Data_Entry!F245/Data_Entry!$V245/C$2),"")</f>
        <v>1.12806972733908</v>
      </c>
      <c r="D247" s="99">
        <f>IFERROR((Data_Entry!G245/Data_Entry!$V245/D$2),"")</f>
        <v>1.12663390007784</v>
      </c>
      <c r="E247" s="99">
        <f>IFERROR((Data_Entry!H245/Data_Entry!$V245/E$2),"")</f>
        <v>1.13795999089632</v>
      </c>
      <c r="F247" s="99">
        <f>IFERROR((Data_Entry!I245/Data_Entry!$V245/F$2),"")</f>
        <v>1.13736286046631</v>
      </c>
      <c r="G247" s="99">
        <f>IFERROR((Data_Entry!J245/Data_Entry!$V245/G$2),"")</f>
        <v>1.13169012138126</v>
      </c>
      <c r="H247" s="99">
        <f>IFERROR((Data_Entry!K245/Data_Entry!$V245/H$2),"")</f>
        <v>1.13359240832257</v>
      </c>
      <c r="I247" s="99">
        <f>IFERROR((Data_Entry!L245/Data_Entry!$V245/I$2),"")</f>
        <v>1.14591035605011</v>
      </c>
    </row>
    <row r="248" ht="15" spans="1:9">
      <c r="A248" s="98">
        <v>45991</v>
      </c>
      <c r="B248" s="25">
        <v>45991</v>
      </c>
      <c r="C248" s="99">
        <f>IFERROR((Data_Entry!F246/Data_Entry!$V246/C$2),"")</f>
        <v>1.2013616310037</v>
      </c>
      <c r="D248" s="99">
        <f>IFERROR((Data_Entry!G246/Data_Entry!$V246/D$2),"")</f>
        <v>1.20176438111572</v>
      </c>
      <c r="E248" s="99">
        <f>IFERROR((Data_Entry!H246/Data_Entry!$V246/E$2),"")</f>
        <v>1.21276449355012</v>
      </c>
      <c r="F248" s="99">
        <f>IFERROR((Data_Entry!I246/Data_Entry!$V246/F$2),"")</f>
        <v>1.20927399257933</v>
      </c>
      <c r="G248" s="99">
        <f>IFERROR((Data_Entry!J246/Data_Entry!$V246/G$2),"")</f>
        <v>1.20276505462773</v>
      </c>
      <c r="H248" s="99">
        <f>IFERROR((Data_Entry!K246/Data_Entry!$V246/H$2),"")</f>
        <v>1.20185011143848</v>
      </c>
      <c r="I248" s="99">
        <f>IFERROR((Data_Entry!L246/Data_Entry!$V246/I$2),"")</f>
        <v>1.21031734884777</v>
      </c>
    </row>
    <row r="249" ht="15" spans="1:9">
      <c r="A249" s="98">
        <v>45992</v>
      </c>
      <c r="B249" s="25">
        <v>45992</v>
      </c>
      <c r="C249" s="99">
        <f>IFERROR((Data_Entry!F247/Data_Entry!$V247/C$2),"")</f>
        <v>1.13940094435652</v>
      </c>
      <c r="D249" s="99">
        <f>IFERROR((Data_Entry!G247/Data_Entry!$V247/D$2),"")</f>
        <v>1.14043292545062</v>
      </c>
      <c r="E249" s="99">
        <f>IFERROR((Data_Entry!H247/Data_Entry!$V247/E$2),"")</f>
        <v>1.15004129487984</v>
      </c>
      <c r="F249" s="99">
        <f>IFERROR((Data_Entry!I247/Data_Entry!$V247/F$2),"")</f>
        <v>1.14976154506415</v>
      </c>
      <c r="G249" s="99">
        <f>IFERROR((Data_Entry!J247/Data_Entry!$V247/G$2),"")</f>
        <v>1.14080275266748</v>
      </c>
      <c r="H249" s="99">
        <f>IFERROR((Data_Entry!K247/Data_Entry!$V247/H$2),"")</f>
        <v>1.14019702463399</v>
      </c>
      <c r="I249" s="99">
        <f>IFERROR((Data_Entry!L247/Data_Entry!$V247/I$2),"")</f>
        <v>1.14998588878026</v>
      </c>
    </row>
    <row r="250" ht="15" spans="1:9">
      <c r="A250" s="98">
        <v>45993</v>
      </c>
      <c r="B250" s="25">
        <v>45993</v>
      </c>
      <c r="C250" s="99">
        <f>IFERROR((Data_Entry!F248/Data_Entry!$V248/C$2),"")</f>
        <v>1.11734268352879</v>
      </c>
      <c r="D250" s="99">
        <f>IFERROR((Data_Entry!G248/Data_Entry!$V248/D$2),"")</f>
        <v>1.11761501931882</v>
      </c>
      <c r="E250" s="99">
        <f>IFERROR((Data_Entry!H248/Data_Entry!$V248/E$2),"")</f>
        <v>1.12737655529268</v>
      </c>
      <c r="F250" s="99">
        <f>IFERROR((Data_Entry!I248/Data_Entry!$V248/F$2),"")</f>
        <v>1.12818801234096</v>
      </c>
      <c r="G250" s="99">
        <f>IFERROR((Data_Entry!J248/Data_Entry!$V248/G$2),"")</f>
        <v>1.11833804123963</v>
      </c>
      <c r="H250" s="99">
        <f>IFERROR((Data_Entry!K248/Data_Entry!$V248/H$2),"")</f>
        <v>1.11876948625481</v>
      </c>
      <c r="I250" s="99">
        <f>IFERROR((Data_Entry!L248/Data_Entry!$V248/I$2),"")</f>
        <v>1.12796821959737</v>
      </c>
    </row>
    <row r="251" ht="15" spans="1:9">
      <c r="A251" s="98">
        <v>45994</v>
      </c>
      <c r="B251" s="25">
        <v>45994</v>
      </c>
      <c r="C251" s="99">
        <f>IFERROR((Data_Entry!F249/Data_Entry!$V249/C$2),"")</f>
        <v>1.15532418490468</v>
      </c>
      <c r="D251" s="99">
        <f>IFERROR((Data_Entry!G249/Data_Entry!$V249/D$2),"")</f>
        <v>1.15651093840922</v>
      </c>
      <c r="E251" s="99">
        <f>IFERROR((Data_Entry!H249/Data_Entry!$V249/E$2),"")</f>
        <v>1.16643722765579</v>
      </c>
      <c r="F251" s="99">
        <f>IFERROR((Data_Entry!I249/Data_Entry!$V249/F$2),"")</f>
        <v>1.16635350908147</v>
      </c>
      <c r="G251" s="99">
        <f>IFERROR((Data_Entry!J249/Data_Entry!$V249/G$2),"")</f>
        <v>1.15918173178425</v>
      </c>
      <c r="H251" s="99">
        <f>IFERROR((Data_Entry!K249/Data_Entry!$V249/H$2),"")</f>
        <v>1.15866301833193</v>
      </c>
      <c r="I251" s="99">
        <f>IFERROR((Data_Entry!L249/Data_Entry!$V249/I$2),"")</f>
        <v>1.16769163943672</v>
      </c>
    </row>
    <row r="252" ht="15" spans="1:9">
      <c r="A252" s="98">
        <v>45995</v>
      </c>
      <c r="B252" s="25">
        <v>45995</v>
      </c>
      <c r="C252" s="99">
        <f>IFERROR((Data_Entry!F250/Data_Entry!$V250/C$2),"")</f>
        <v>1.16084995813537</v>
      </c>
      <c r="D252" s="99">
        <f>IFERROR((Data_Entry!G250/Data_Entry!$V250/D$2),"")</f>
        <v>1.16174764031997</v>
      </c>
      <c r="E252" s="99">
        <f>IFERROR((Data_Entry!H250/Data_Entry!$V250/E$2),"")</f>
        <v>1.17129571446525</v>
      </c>
      <c r="F252" s="99">
        <f>IFERROR((Data_Entry!I250/Data_Entry!$V250/F$2),"")</f>
        <v>1.17206850173721</v>
      </c>
      <c r="G252" s="99">
        <f>IFERROR((Data_Entry!J250/Data_Entry!$V250/G$2),"")</f>
        <v>1.1639659442797</v>
      </c>
      <c r="H252" s="99">
        <f>IFERROR((Data_Entry!K250/Data_Entry!$V250/H$2),"")</f>
        <v>1.1642391519011</v>
      </c>
      <c r="I252" s="99">
        <f>IFERROR((Data_Entry!L250/Data_Entry!$V250/I$2),"")</f>
        <v>1.17305204917425</v>
      </c>
    </row>
    <row r="253" ht="15" spans="1:9">
      <c r="A253" s="98">
        <v>45996</v>
      </c>
      <c r="B253" s="25">
        <v>45996</v>
      </c>
      <c r="C253" s="99">
        <f>IFERROR((Data_Entry!F251/Data_Entry!$V251/C$2),"")</f>
        <v>1.15219235128234</v>
      </c>
      <c r="D253" s="99">
        <f>IFERROR((Data_Entry!G251/Data_Entry!$V251/D$2),"")</f>
        <v>1.15248941567594</v>
      </c>
      <c r="E253" s="99">
        <f>IFERROR((Data_Entry!H251/Data_Entry!$V251/E$2),"")</f>
        <v>1.16271806533682</v>
      </c>
      <c r="F253" s="99">
        <f>IFERROR((Data_Entry!I251/Data_Entry!$V251/F$2),"")</f>
        <v>1.16229044620384</v>
      </c>
      <c r="G253" s="99">
        <f>IFERROR((Data_Entry!J251/Data_Entry!$V251/G$2),"")</f>
        <v>1.15505617770435</v>
      </c>
      <c r="H253" s="99">
        <f>IFERROR((Data_Entry!K251/Data_Entry!$V251/H$2),"")</f>
        <v>1.1646557908937</v>
      </c>
      <c r="I253" s="99">
        <f>IFERROR((Data_Entry!L251/Data_Entry!$V251/I$2),"")</f>
        <v>1.2052352757677</v>
      </c>
    </row>
    <row r="254" ht="15" spans="1:9">
      <c r="A254" s="98">
        <v>45997</v>
      </c>
      <c r="B254" s="25">
        <v>45997</v>
      </c>
      <c r="C254" s="99">
        <f>IFERROR((Data_Entry!F252/Data_Entry!$V252/C$2),"")</f>
        <v>1.21787251831798</v>
      </c>
      <c r="D254" s="99">
        <f>IFERROR((Data_Entry!G252/Data_Entry!$V252/D$2),"")</f>
        <v>1.22052405355688</v>
      </c>
      <c r="E254" s="99">
        <f>IFERROR((Data_Entry!H252/Data_Entry!$V252/E$2),"")</f>
        <v>1.25077566014619</v>
      </c>
      <c r="F254" s="99">
        <f>IFERROR((Data_Entry!I252/Data_Entry!$V252/F$2),"")</f>
        <v>1.26078030235407</v>
      </c>
      <c r="G254" s="99">
        <f>IFERROR((Data_Entry!J252/Data_Entry!$V252/G$2),"")</f>
        <v>1.25735471645536</v>
      </c>
      <c r="H254" s="99">
        <f>IFERROR((Data_Entry!K252/Data_Entry!$V252/H$2),"")</f>
        <v>1.26692330014358</v>
      </c>
      <c r="I254" s="99">
        <f>IFERROR((Data_Entry!L252/Data_Entry!$V252/I$2),"")</f>
        <v>1.29162704460541</v>
      </c>
    </row>
    <row r="255" ht="15" spans="1:9">
      <c r="A255" s="98">
        <v>45998</v>
      </c>
      <c r="B255" s="25">
        <v>45998</v>
      </c>
      <c r="C255" s="99">
        <f>IFERROR((Data_Entry!F253/Data_Entry!$V253/C$2),"")</f>
        <v>1.25743769101423</v>
      </c>
      <c r="D255" s="99">
        <f>IFERROR((Data_Entry!G253/Data_Entry!$V253/D$2),"")</f>
        <v>1.24697715537851</v>
      </c>
      <c r="E255" s="99">
        <f>IFERROR((Data_Entry!H253/Data_Entry!$V253/E$2),"")</f>
        <v>1.2597283763216</v>
      </c>
      <c r="F255" s="99">
        <f>IFERROR((Data_Entry!I253/Data_Entry!$V253/F$2),"")</f>
        <v>1.24654342419403</v>
      </c>
      <c r="G255" s="99">
        <f>IFERROR((Data_Entry!J253/Data_Entry!$V253/G$2),"")</f>
        <v>1.23087675468568</v>
      </c>
      <c r="H255" s="99">
        <f>IFERROR((Data_Entry!K253/Data_Entry!$V253/H$2),"")</f>
        <v>1.24005989079845</v>
      </c>
      <c r="I255" s="99">
        <f>IFERROR((Data_Entry!L253/Data_Entry!$V253/I$2),"")</f>
        <v>1.2621053999682</v>
      </c>
    </row>
    <row r="256" ht="15" spans="1:9">
      <c r="A256" s="98">
        <v>45999</v>
      </c>
      <c r="B256" s="25">
        <v>45999</v>
      </c>
      <c r="C256" s="99">
        <f>IFERROR((Data_Entry!F254/Data_Entry!$V254/C$2),"")</f>
        <v>1.23789259453494</v>
      </c>
      <c r="D256" s="99">
        <f>IFERROR((Data_Entry!G254/Data_Entry!$V254/D$2),"")</f>
        <v>1.23267796279427</v>
      </c>
      <c r="E256" s="99">
        <f>IFERROR((Data_Entry!H254/Data_Entry!$V254/E$2),"")</f>
        <v>1.24198142871841</v>
      </c>
      <c r="F256" s="99">
        <f>IFERROR((Data_Entry!I254/Data_Entry!$V254/F$2),"")</f>
        <v>1.24273705914403</v>
      </c>
      <c r="G256" s="99">
        <f>IFERROR((Data_Entry!J254/Data_Entry!$V254/G$2),"")</f>
        <v>1.23882600035985</v>
      </c>
      <c r="H256" s="99">
        <f>IFERROR((Data_Entry!K254/Data_Entry!$V254/H$2),"")</f>
        <v>1.23538606337949</v>
      </c>
      <c r="I256" s="99">
        <f>IFERROR((Data_Entry!L254/Data_Entry!$V254/I$2),"")</f>
        <v>1.23890825972242</v>
      </c>
    </row>
    <row r="257" ht="15" spans="1:9">
      <c r="A257" s="98">
        <v>46000</v>
      </c>
      <c r="B257" s="25">
        <v>46000</v>
      </c>
      <c r="C257" s="99">
        <f>IFERROR((Data_Entry!F255/Data_Entry!$V255/C$2),"")</f>
        <v>1.24301088543379</v>
      </c>
      <c r="D257" s="99">
        <f>IFERROR((Data_Entry!G255/Data_Entry!$V255/D$2),"")</f>
        <v>1.23558932501123</v>
      </c>
      <c r="E257" s="99">
        <f>IFERROR((Data_Entry!H255/Data_Entry!$V255/E$2),"")</f>
        <v>1.24652069495664</v>
      </c>
      <c r="F257" s="99">
        <f>IFERROR((Data_Entry!I255/Data_Entry!$V255/F$2),"")</f>
        <v>1.2446869934579</v>
      </c>
      <c r="G257" s="99">
        <f>IFERROR((Data_Entry!J255/Data_Entry!$V255/G$2),"")</f>
        <v>1.24286764700834</v>
      </c>
      <c r="H257" s="99">
        <f>IFERROR((Data_Entry!K255/Data_Entry!$V255/H$2),"")</f>
        <v>1.24139843893209</v>
      </c>
      <c r="I257" s="99">
        <f>IFERROR((Data_Entry!L255/Data_Entry!$V255/I$2),"")</f>
        <v>1.24379448387887</v>
      </c>
    </row>
    <row r="258" ht="15" spans="1:9">
      <c r="A258" s="98">
        <v>46001</v>
      </c>
      <c r="B258" s="25">
        <v>46001</v>
      </c>
      <c r="C258" s="99">
        <f>IFERROR((Data_Entry!F256/Data_Entry!$V256/C$2),"")</f>
        <v>1.53023029805389</v>
      </c>
      <c r="D258" s="99">
        <f>IFERROR((Data_Entry!G256/Data_Entry!$V256/D$2),"")</f>
        <v>1.52536752514646</v>
      </c>
      <c r="E258" s="99">
        <f>IFERROR((Data_Entry!H256/Data_Entry!$V256/E$2),"")</f>
        <v>1.53585568294864</v>
      </c>
      <c r="F258" s="99">
        <f>IFERROR((Data_Entry!I256/Data_Entry!$V256/F$2),"")</f>
        <v>1.52607981644511</v>
      </c>
      <c r="G258" s="99">
        <f>IFERROR((Data_Entry!J256/Data_Entry!$V256/G$2),"")</f>
        <v>1.53225872891532</v>
      </c>
      <c r="H258" s="99">
        <f>IFERROR((Data_Entry!K256/Data_Entry!$V256/H$2),"")</f>
        <v>1.52981290939586</v>
      </c>
      <c r="I258" s="99">
        <f>IFERROR((Data_Entry!L256/Data_Entry!$V256/I$2),"")</f>
        <v>1.5324389471957</v>
      </c>
    </row>
    <row r="259" ht="15" spans="1:9">
      <c r="A259" s="98">
        <v>46002</v>
      </c>
      <c r="B259" s="25">
        <v>46002</v>
      </c>
      <c r="C259" s="99">
        <f>IFERROR((Data_Entry!F257/Data_Entry!$V257/C$2),"")</f>
        <v>1.24960030705695</v>
      </c>
      <c r="D259" s="99">
        <f>IFERROR((Data_Entry!G257/Data_Entry!$V257/D$2),"")</f>
        <v>1.24404881486513</v>
      </c>
      <c r="E259" s="99">
        <f>IFERROR((Data_Entry!H257/Data_Entry!$V257/E$2),"")</f>
        <v>1.25591277402702</v>
      </c>
      <c r="F259" s="99">
        <f>IFERROR((Data_Entry!I257/Data_Entry!$V257/F$2),"")</f>
        <v>1.25191348132078</v>
      </c>
      <c r="G259" s="99">
        <f>IFERROR((Data_Entry!J257/Data_Entry!$V257/G$2),"")</f>
        <v>1.25414567400365</v>
      </c>
      <c r="H259" s="99">
        <f>IFERROR((Data_Entry!K257/Data_Entry!$V257/H$2),"")</f>
        <v>1.25101228551713</v>
      </c>
      <c r="I259" s="99">
        <f>IFERROR((Data_Entry!L257/Data_Entry!$V257/I$2),"")</f>
        <v>1.25145595114354</v>
      </c>
    </row>
    <row r="260" ht="15" spans="1:9">
      <c r="A260" s="98">
        <v>46003</v>
      </c>
      <c r="B260" s="25">
        <v>46003</v>
      </c>
      <c r="C260" s="99">
        <f>IFERROR((Data_Entry!F258/Data_Entry!$V258/C$2),"")</f>
        <v>1.22587490956059</v>
      </c>
      <c r="D260" s="99">
        <f>IFERROR((Data_Entry!G258/Data_Entry!$V258/D$2),"")</f>
        <v>1.21583088276347</v>
      </c>
      <c r="E260" s="99">
        <f>IFERROR((Data_Entry!H258/Data_Entry!$V258/E$2),"")</f>
        <v>1.2301774367989</v>
      </c>
      <c r="F260" s="99">
        <f>IFERROR((Data_Entry!I258/Data_Entry!$V258/F$2),"")</f>
        <v>1.2289261565202</v>
      </c>
      <c r="G260" s="99">
        <f>IFERROR((Data_Entry!J258/Data_Entry!$V258/G$2),"")</f>
        <v>1.22450100381458</v>
      </c>
      <c r="H260" s="99">
        <f>IFERROR((Data_Entry!K258/Data_Entry!$V258/H$2),"")</f>
        <v>1.22578794558122</v>
      </c>
      <c r="I260" s="99">
        <f>IFERROR((Data_Entry!L258/Data_Entry!$V258/I$2),"")</f>
        <v>1.22841000340523</v>
      </c>
    </row>
    <row r="261" ht="15" spans="1:9">
      <c r="A261" s="98">
        <v>46004</v>
      </c>
      <c r="B261" s="25">
        <v>46004</v>
      </c>
      <c r="C261" s="99">
        <f>IFERROR((Data_Entry!F259/Data_Entry!$V259/C$2),"")</f>
        <v>1.25935862675023</v>
      </c>
      <c r="D261" s="99">
        <f>IFERROR((Data_Entry!G259/Data_Entry!$V259/D$2),"")</f>
        <v>1.25613047130767</v>
      </c>
      <c r="E261" s="99">
        <f>IFERROR((Data_Entry!H259/Data_Entry!$V259/E$2),"")</f>
        <v>1.26778811929932</v>
      </c>
      <c r="F261" s="99">
        <f>IFERROR((Data_Entry!I259/Data_Entry!$V259/F$2),"")</f>
        <v>1.26447976123706</v>
      </c>
      <c r="G261" s="99">
        <f>IFERROR((Data_Entry!J259/Data_Entry!$V259/G$2),"")</f>
        <v>1.26417604311987</v>
      </c>
      <c r="H261" s="99">
        <f>IFERROR((Data_Entry!K259/Data_Entry!$V259/H$2),"")</f>
        <v>1.26235373441673</v>
      </c>
      <c r="I261" s="99">
        <f>IFERROR((Data_Entry!L259/Data_Entry!$V259/I$2),"")</f>
        <v>1.26445083570209</v>
      </c>
    </row>
    <row r="262" ht="15" spans="1:9">
      <c r="A262" s="98">
        <v>46005</v>
      </c>
      <c r="B262" s="25">
        <v>46005</v>
      </c>
      <c r="C262" s="99">
        <f>IFERROR((Data_Entry!F260/Data_Entry!$V260/C$2),"")</f>
        <v>5.89784550029198</v>
      </c>
      <c r="D262" s="99">
        <f>IFERROR((Data_Entry!G260/Data_Entry!$V260/D$2),"")</f>
        <v>5.87644318531169</v>
      </c>
      <c r="E262" s="99">
        <f>IFERROR((Data_Entry!H260/Data_Entry!$V260/E$2),"")</f>
        <v>5.93388376262994</v>
      </c>
      <c r="F262" s="99">
        <f>IFERROR((Data_Entry!I260/Data_Entry!$V260/F$2),"")</f>
        <v>5.91184190439609</v>
      </c>
      <c r="G262" s="99">
        <f>IFERROR((Data_Entry!J260/Data_Entry!$V260/G$2),"")</f>
        <v>5.91511316813803</v>
      </c>
      <c r="H262" s="99">
        <f>IFERROR((Data_Entry!K260/Data_Entry!$V260/H$2),"")</f>
        <v>5.90874651504887</v>
      </c>
      <c r="I262" s="99">
        <f>IFERROR((Data_Entry!L260/Data_Entry!$V260/I$2),"")</f>
        <v>5.9210225478009</v>
      </c>
    </row>
    <row r="263" ht="15" spans="1:9">
      <c r="A263" s="98">
        <v>46006</v>
      </c>
      <c r="B263" s="25">
        <v>46006</v>
      </c>
      <c r="C263" s="99">
        <f>IFERROR((Data_Entry!F261/Data_Entry!$V261/C$2),"")</f>
        <v>1.24446812485011</v>
      </c>
      <c r="D263" s="99">
        <f>IFERROR((Data_Entry!G261/Data_Entry!$V261/D$2),"")</f>
        <v>1.23947827671519</v>
      </c>
      <c r="E263" s="99">
        <f>IFERROR((Data_Entry!H261/Data_Entry!$V261/E$2),"")</f>
        <v>1.25108824397874</v>
      </c>
      <c r="F263" s="99">
        <f>IFERROR((Data_Entry!I261/Data_Entry!$V261/F$2),"")</f>
        <v>1.24745342197856</v>
      </c>
      <c r="G263" s="99">
        <f>IFERROR((Data_Entry!J261/Data_Entry!$V261/G$2),"")</f>
        <v>1.24917312270983</v>
      </c>
      <c r="H263" s="99">
        <f>IFERROR((Data_Entry!K261/Data_Entry!$V261/H$2),"")</f>
        <v>1.24740241390602</v>
      </c>
      <c r="I263" s="99">
        <f>IFERROR((Data_Entry!L261/Data_Entry!$V261/I$2),"")</f>
        <v>1.25012041548553</v>
      </c>
    </row>
    <row r="264" ht="15" spans="1:9">
      <c r="A264" s="98">
        <v>46007</v>
      </c>
      <c r="B264" s="25">
        <v>46007</v>
      </c>
      <c r="C264" s="99">
        <f>IFERROR((Data_Entry!F262/Data_Entry!$V262/C$2),"")</f>
        <v>1.21853178907417</v>
      </c>
      <c r="D264" s="99">
        <f>IFERROR((Data_Entry!G262/Data_Entry!$V262/D$2),"")</f>
        <v>1.21448048552674</v>
      </c>
      <c r="E264" s="99">
        <f>IFERROR((Data_Entry!H262/Data_Entry!$V262/E$2),"")</f>
        <v>1.2248826896828</v>
      </c>
      <c r="F264" s="99">
        <f>IFERROR((Data_Entry!I262/Data_Entry!$V262/F$2),"")</f>
        <v>1.22170874918105</v>
      </c>
      <c r="G264" s="99">
        <f>IFERROR((Data_Entry!J262/Data_Entry!$V262/G$2),"")</f>
        <v>1.22371645107983</v>
      </c>
      <c r="H264" s="99">
        <f>IFERROR((Data_Entry!K262/Data_Entry!$V262/H$2),"")</f>
        <v>1.22252806870592</v>
      </c>
      <c r="I264" s="99">
        <f>IFERROR((Data_Entry!L262/Data_Entry!$V262/I$2),"")</f>
        <v>1.22571677172164</v>
      </c>
    </row>
    <row r="265" ht="15" spans="1:9">
      <c r="A265" s="98">
        <v>46008</v>
      </c>
      <c r="B265" s="25">
        <v>46008</v>
      </c>
      <c r="C265" s="99">
        <f>IFERROR((Data_Entry!F263/Data_Entry!$V263/C$2),"")</f>
        <v>1.21998040987853</v>
      </c>
      <c r="D265" s="99">
        <f>IFERROR((Data_Entry!G263/Data_Entry!$V263/D$2),"")</f>
        <v>1.21712516283959</v>
      </c>
      <c r="E265" s="99">
        <f>IFERROR((Data_Entry!H263/Data_Entry!$V263/E$2),"")</f>
        <v>1.23164824936329</v>
      </c>
      <c r="F265" s="99">
        <f>IFERROR((Data_Entry!I263/Data_Entry!$V263/F$2),"")</f>
        <v>1.22740777283748</v>
      </c>
      <c r="G265" s="99">
        <f>IFERROR((Data_Entry!J263/Data_Entry!$V263/G$2),"")</f>
        <v>1.2266836756057</v>
      </c>
      <c r="H265" s="99">
        <f>IFERROR((Data_Entry!K263/Data_Entry!$V263/H$2),"")</f>
        <v>1.22489704439251</v>
      </c>
      <c r="I265" s="99">
        <f>IFERROR((Data_Entry!L263/Data_Entry!$V263/I$2),"")</f>
        <v>1.22981618319534</v>
      </c>
    </row>
    <row r="266" ht="15" spans="1:9">
      <c r="A266" s="98">
        <v>46009</v>
      </c>
      <c r="B266" s="25">
        <v>46009</v>
      </c>
      <c r="C266" s="99">
        <f>IFERROR((Data_Entry!F264/Data_Entry!$V264/C$2),"")</f>
        <v>1.16976732310939</v>
      </c>
      <c r="D266" s="99">
        <f>IFERROR((Data_Entry!G264/Data_Entry!$V264/D$2),"")</f>
        <v>1.1665273633267</v>
      </c>
      <c r="E266" s="99">
        <f>IFERROR((Data_Entry!H264/Data_Entry!$V264/E$2),"")</f>
        <v>1.17960664797941</v>
      </c>
      <c r="F266" s="99">
        <f>IFERROR((Data_Entry!I264/Data_Entry!$V264/F$2),"")</f>
        <v>1.17527707238922</v>
      </c>
      <c r="G266" s="99">
        <f>IFERROR((Data_Entry!J264/Data_Entry!$V264/G$2),"")</f>
        <v>1.17682661837225</v>
      </c>
      <c r="H266" s="99">
        <f>IFERROR((Data_Entry!K264/Data_Entry!$V264/H$2),"")</f>
        <v>1.1748343449655</v>
      </c>
      <c r="I266" s="99">
        <f>IFERROR((Data_Entry!L264/Data_Entry!$V264/I$2),"")</f>
        <v>1.17812623758382</v>
      </c>
    </row>
    <row r="267" ht="15" spans="1:9">
      <c r="A267" s="98">
        <v>46010</v>
      </c>
      <c r="B267" s="25">
        <v>46010</v>
      </c>
      <c r="C267" s="99">
        <f>IFERROR((Data_Entry!F265/Data_Entry!$V265/C$2),"")</f>
        <v>1.21804863478861</v>
      </c>
      <c r="D267" s="99">
        <f>IFERROR((Data_Entry!G265/Data_Entry!$V265/D$2),"")</f>
        <v>1.21543719570614</v>
      </c>
      <c r="E267" s="99">
        <f>IFERROR((Data_Entry!H265/Data_Entry!$V265/E$2),"")</f>
        <v>1.22818428272745</v>
      </c>
      <c r="F267" s="99">
        <f>IFERROR((Data_Entry!I265/Data_Entry!$V265/F$2),"")</f>
        <v>1.22489124385185</v>
      </c>
      <c r="G267" s="99">
        <f>IFERROR((Data_Entry!J265/Data_Entry!$V265/G$2),"")</f>
        <v>1.22664757856085</v>
      </c>
      <c r="H267" s="99">
        <f>IFERROR((Data_Entry!K265/Data_Entry!$V265/H$2),"")</f>
        <v>1.22278364220105</v>
      </c>
      <c r="I267" s="99">
        <f>IFERROR((Data_Entry!L265/Data_Entry!$V265/I$2),"")</f>
        <v>1.22367351845361</v>
      </c>
    </row>
    <row r="268" ht="15" spans="1:9">
      <c r="A268" s="98">
        <v>46011</v>
      </c>
      <c r="B268" s="25">
        <v>46011</v>
      </c>
      <c r="C268" s="99">
        <f>IFERROR((Data_Entry!F266/Data_Entry!$V266/C$2),"")</f>
        <v>1.2074231429792</v>
      </c>
      <c r="D268" s="99">
        <f>IFERROR((Data_Entry!G266/Data_Entry!$V266/D$2),"")</f>
        <v>1.20561414419101</v>
      </c>
      <c r="E268" s="99">
        <f>IFERROR((Data_Entry!H266/Data_Entry!$V266/E$2),"")</f>
        <v>1.21686771496572</v>
      </c>
      <c r="F268" s="99">
        <f>IFERROR((Data_Entry!I266/Data_Entry!$V266/F$2),"")</f>
        <v>1.21341081209547</v>
      </c>
      <c r="G268" s="99">
        <f>IFERROR((Data_Entry!J266/Data_Entry!$V266/G$2),"")</f>
        <v>1.22959546023747</v>
      </c>
      <c r="H268" s="99">
        <f>IFERROR((Data_Entry!K266/Data_Entry!$V266/H$2),"")</f>
        <v>1.23660718628954</v>
      </c>
      <c r="I268" s="99">
        <f>IFERROR((Data_Entry!L266/Data_Entry!$V266/I$2),"")</f>
        <v>1.25229844241003</v>
      </c>
    </row>
    <row r="269" ht="15" spans="1:9">
      <c r="A269" s="98">
        <v>46012</v>
      </c>
      <c r="B269" s="25">
        <v>46012</v>
      </c>
      <c r="C269" s="99">
        <f>IFERROR((Data_Entry!F267/Data_Entry!$V267/C$2),"")</f>
        <v>1.3277788179492</v>
      </c>
      <c r="D269" s="99">
        <f>IFERROR((Data_Entry!G267/Data_Entry!$V267/D$2),"")</f>
        <v>1.3250660981657</v>
      </c>
      <c r="E269" s="99">
        <f>IFERROR((Data_Entry!H267/Data_Entry!$V267/E$2),"")</f>
        <v>1.34506575774597</v>
      </c>
      <c r="F269" s="99">
        <f>IFERROR((Data_Entry!I267/Data_Entry!$V267/F$2),"")</f>
        <v>1.34097316629085</v>
      </c>
      <c r="G269" s="99">
        <f>IFERROR((Data_Entry!J267/Data_Entry!$V267/G$2),"")</f>
        <v>1.33887869068649</v>
      </c>
      <c r="H269" s="99">
        <f>IFERROR((Data_Entry!K267/Data_Entry!$V267/H$2),"")</f>
        <v>1.34475509390034</v>
      </c>
      <c r="I269" s="99">
        <f>IFERROR((Data_Entry!L267/Data_Entry!$V267/I$2),"")</f>
        <v>1.35864477422401</v>
      </c>
    </row>
    <row r="270" ht="15" spans="1:9">
      <c r="A270" s="98">
        <v>46013</v>
      </c>
      <c r="B270" s="25">
        <v>46013</v>
      </c>
      <c r="C270" s="99">
        <f>IFERROR((Data_Entry!F268/Data_Entry!$V268/C$2),"")</f>
        <v>1.25176997479537</v>
      </c>
      <c r="D270" s="99">
        <f>IFERROR((Data_Entry!G268/Data_Entry!$V268/D$2),"")</f>
        <v>1.24188445690297</v>
      </c>
      <c r="E270" s="99">
        <f>IFERROR((Data_Entry!H268/Data_Entry!$V268/E$2),"")</f>
        <v>1.24676212917056</v>
      </c>
      <c r="F270" s="99">
        <f>IFERROR((Data_Entry!I268/Data_Entry!$V268/F$2),"")</f>
        <v>1.24033169849358</v>
      </c>
      <c r="G270" s="99">
        <f>IFERROR((Data_Entry!J268/Data_Entry!$V268/G$2),"")</f>
        <v>1.24092496939528</v>
      </c>
      <c r="H270" s="99">
        <f>IFERROR((Data_Entry!K268/Data_Entry!$V268/H$2),"")</f>
        <v>1.24501927105024</v>
      </c>
      <c r="I270" s="99">
        <f>IFERROR((Data_Entry!L268/Data_Entry!$V268/I$2),"")</f>
        <v>1.25818842020162</v>
      </c>
    </row>
    <row r="271" ht="15" spans="1:9">
      <c r="A271" s="98">
        <v>46014</v>
      </c>
      <c r="B271" s="25">
        <v>46014</v>
      </c>
      <c r="C271" s="99">
        <f>IFERROR((Data_Entry!F269/Data_Entry!$V269/C$2),"")</f>
        <v>1.28889102081048</v>
      </c>
      <c r="D271" s="99">
        <f>IFERROR((Data_Entry!G269/Data_Entry!$V269/D$2),"")</f>
        <v>1.28306520121128</v>
      </c>
      <c r="E271" s="99">
        <f>IFERROR((Data_Entry!H269/Data_Entry!$V269/E$2),"")</f>
        <v>1.2912120644755</v>
      </c>
      <c r="F271" s="99">
        <f>IFERROR((Data_Entry!I269/Data_Entry!$V269/F$2),"")</f>
        <v>1.284618282168</v>
      </c>
      <c r="G271" s="99">
        <f>IFERROR((Data_Entry!J269/Data_Entry!$V269/G$2),"")</f>
        <v>1.28654979415707</v>
      </c>
      <c r="H271" s="99">
        <f>IFERROR((Data_Entry!K269/Data_Entry!$V269/H$2),"")</f>
        <v>1.2881704881249</v>
      </c>
      <c r="I271" s="99">
        <f>IFERROR((Data_Entry!L269/Data_Entry!$V269/I$2),"")</f>
        <v>1.29013900225935</v>
      </c>
    </row>
    <row r="272" ht="15" spans="1:9">
      <c r="A272" s="98">
        <v>46015</v>
      </c>
      <c r="B272" s="25">
        <v>46015</v>
      </c>
      <c r="C272" s="99">
        <f>IFERROR((Data_Entry!F270/Data_Entry!$V270/C$2),"")</f>
        <v>1.27319688738556</v>
      </c>
      <c r="D272" s="99">
        <f>IFERROR((Data_Entry!G270/Data_Entry!$V270/D$2),"")</f>
        <v>1.26827790879895</v>
      </c>
      <c r="E272" s="99">
        <f>IFERROR((Data_Entry!H270/Data_Entry!$V270/E$2),"")</f>
        <v>1.27716845099015</v>
      </c>
      <c r="F272" s="99">
        <f>IFERROR((Data_Entry!I270/Data_Entry!$V270/F$2),"")</f>
        <v>1.27291711162217</v>
      </c>
      <c r="G272" s="99">
        <f>IFERROR((Data_Entry!J270/Data_Entry!$V270/G$2),"")</f>
        <v>1.27639700804306</v>
      </c>
      <c r="H272" s="99">
        <f>IFERROR((Data_Entry!K270/Data_Entry!$V270/H$2),"")</f>
        <v>1.27301860860111</v>
      </c>
      <c r="I272" s="99">
        <f>IFERROR((Data_Entry!L270/Data_Entry!$V270/I$2),"")</f>
        <v>1.2759330218536</v>
      </c>
    </row>
    <row r="273" ht="15" spans="1:9">
      <c r="A273" s="98">
        <v>46016</v>
      </c>
      <c r="B273" s="25">
        <v>46016</v>
      </c>
      <c r="C273" s="99">
        <f>IFERROR((Data_Entry!F271/Data_Entry!$V271/C$2),"")</f>
        <v>1.26235687362208</v>
      </c>
      <c r="D273" s="99">
        <f>IFERROR((Data_Entry!G271/Data_Entry!$V271/D$2),"")</f>
        <v>1.25853154976261</v>
      </c>
      <c r="E273" s="99">
        <f>IFERROR((Data_Entry!H271/Data_Entry!$V271/E$2),"")</f>
        <v>1.26696727400802</v>
      </c>
      <c r="F273" s="99">
        <f>IFERROR((Data_Entry!I271/Data_Entry!$V271/F$2),"")</f>
        <v>1.26184888292846</v>
      </c>
      <c r="G273" s="99">
        <f>IFERROR((Data_Entry!J271/Data_Entry!$V271/G$2),"")</f>
        <v>1.26614839836424</v>
      </c>
      <c r="H273" s="99">
        <f>IFERROR((Data_Entry!K271/Data_Entry!$V271/H$2),"")</f>
        <v>1.26290903741948</v>
      </c>
      <c r="I273" s="99">
        <f>IFERROR((Data_Entry!L271/Data_Entry!$V271/I$2),"")</f>
        <v>1.26760611078938</v>
      </c>
    </row>
    <row r="274" ht="15" spans="1:9">
      <c r="A274" s="98">
        <v>46017</v>
      </c>
      <c r="B274" s="25">
        <v>46017</v>
      </c>
      <c r="C274" s="99">
        <f>IFERROR((Data_Entry!F272/Data_Entry!$V272/C$2),"")</f>
        <v>1.25116200092896</v>
      </c>
      <c r="D274" s="99">
        <f>IFERROR((Data_Entry!G272/Data_Entry!$V272/D$2),"")</f>
        <v>1.24983195188759</v>
      </c>
      <c r="E274" s="99">
        <f>IFERROR((Data_Entry!H272/Data_Entry!$V272/E$2),"")</f>
        <v>1.25710341760482</v>
      </c>
      <c r="F274" s="99">
        <f>IFERROR((Data_Entry!I272/Data_Entry!$V272/F$2),"")</f>
        <v>1.25404406241592</v>
      </c>
      <c r="G274" s="99">
        <f>IFERROR((Data_Entry!J272/Data_Entry!$V272/G$2),"")</f>
        <v>1.25731222249207</v>
      </c>
      <c r="H274" s="99">
        <f>IFERROR((Data_Entry!K272/Data_Entry!$V272/H$2),"")</f>
        <v>1.25381551975325</v>
      </c>
      <c r="I274" s="99">
        <f>IFERROR((Data_Entry!L272/Data_Entry!$V272/I$2),"")</f>
        <v>1.25678657436793</v>
      </c>
    </row>
    <row r="275" ht="15" spans="1:9">
      <c r="A275" s="98">
        <v>46018</v>
      </c>
      <c r="B275" s="25">
        <v>46018</v>
      </c>
      <c r="C275" s="99">
        <f>IFERROR((Data_Entry!F273/Data_Entry!$V273/C$2),"")</f>
        <v>1.22692516060147</v>
      </c>
      <c r="D275" s="99">
        <f>IFERROR((Data_Entry!G273/Data_Entry!$V273/D$2),"")</f>
        <v>1.22471995539561</v>
      </c>
      <c r="E275" s="99">
        <f>IFERROR((Data_Entry!H273/Data_Entry!$V273/E$2),"")</f>
        <v>1.23171407638436</v>
      </c>
      <c r="F275" s="99">
        <f>IFERROR((Data_Entry!I273/Data_Entry!$V273/F$2),"")</f>
        <v>1.23083149344424</v>
      </c>
      <c r="G275" s="99">
        <f>IFERROR((Data_Entry!J273/Data_Entry!$V273/G$2),"")</f>
        <v>1.23317693882543</v>
      </c>
      <c r="H275" s="99">
        <f>IFERROR((Data_Entry!K273/Data_Entry!$V273/H$2),"")</f>
        <v>1.2304458329621</v>
      </c>
      <c r="I275" s="99">
        <f>IFERROR((Data_Entry!L273/Data_Entry!$V273/I$2),"")</f>
        <v>1.23480615759693</v>
      </c>
    </row>
    <row r="276" ht="15" spans="1:9">
      <c r="A276" s="98">
        <v>46019</v>
      </c>
      <c r="B276" s="25">
        <v>46019</v>
      </c>
      <c r="C276" s="99">
        <f>IFERROR((Data_Entry!F274/Data_Entry!$V274/C$2),"")</f>
        <v>1.2228932555609</v>
      </c>
      <c r="D276" s="99">
        <f>IFERROR((Data_Entry!G274/Data_Entry!$V274/D$2),"")</f>
        <v>1.20103045618784</v>
      </c>
      <c r="E276" s="99">
        <f>IFERROR((Data_Entry!H274/Data_Entry!$V274/E$2),"")</f>
        <v>1.22815118886891</v>
      </c>
      <c r="F276" s="99">
        <f>IFERROR((Data_Entry!I274/Data_Entry!$V274/F$2),"")</f>
        <v>1.2289740266323</v>
      </c>
      <c r="G276" s="99">
        <f>IFERROR((Data_Entry!J274/Data_Entry!$V274/G$2),"")</f>
        <v>1.23102038837427</v>
      </c>
      <c r="H276" s="99">
        <f>IFERROR((Data_Entry!K274/Data_Entry!$V274/H$2),"")</f>
        <v>1.2263767213444</v>
      </c>
      <c r="I276" s="99">
        <f>IFERROR((Data_Entry!L274/Data_Entry!$V274/I$2),"")</f>
        <v>1.23096529401968</v>
      </c>
    </row>
    <row r="277" ht="15" spans="1:9">
      <c r="A277" s="98">
        <v>46020</v>
      </c>
      <c r="B277" s="25">
        <v>46020</v>
      </c>
      <c r="C277" s="99">
        <f>IFERROR((Data_Entry!F275/Data_Entry!$V275/C$2),"")</f>
        <v>1.20306935673908</v>
      </c>
      <c r="D277" s="99">
        <f>IFERROR((Data_Entry!G275/Data_Entry!$V275/D$2),"")</f>
        <v>1.14501833538531</v>
      </c>
      <c r="E277" s="99">
        <f>IFERROR((Data_Entry!H275/Data_Entry!$V275/E$2),"")</f>
        <v>1.20838132306022</v>
      </c>
      <c r="F277" s="99">
        <f>IFERROR((Data_Entry!I275/Data_Entry!$V275/F$2),"")</f>
        <v>1.20708840643025</v>
      </c>
      <c r="G277" s="99">
        <f>IFERROR((Data_Entry!J275/Data_Entry!$V275/G$2),"")</f>
        <v>1.20950228249789</v>
      </c>
      <c r="H277" s="99">
        <f>IFERROR((Data_Entry!K275/Data_Entry!$V275/H$2),"")</f>
        <v>1.20640777252265</v>
      </c>
      <c r="I277" s="99">
        <f>IFERROR((Data_Entry!L275/Data_Entry!$V275/I$2),"")</f>
        <v>1.21255722073432</v>
      </c>
    </row>
    <row r="278" ht="15" spans="1:9">
      <c r="A278" s="98">
        <v>46021</v>
      </c>
      <c r="B278" s="25">
        <v>46021</v>
      </c>
      <c r="C278" s="99">
        <f>IFERROR((Data_Entry!F276/Data_Entry!$V276/C$2),"")</f>
        <v>1.24983404537795</v>
      </c>
      <c r="D278" s="99">
        <f>IFERROR((Data_Entry!G276/Data_Entry!$V276/D$2),"")</f>
        <v>1.2499106398189</v>
      </c>
      <c r="E278" s="99">
        <f>IFERROR((Data_Entry!H276/Data_Entry!$V276/E$2),"")</f>
        <v>1.25774029378223</v>
      </c>
      <c r="F278" s="99">
        <f>IFERROR((Data_Entry!I276/Data_Entry!$V276/F$2),"")</f>
        <v>1.25740172415197</v>
      </c>
      <c r="G278" s="99">
        <f>IFERROR((Data_Entry!J276/Data_Entry!$V276/G$2),"")</f>
        <v>1.20294196657522</v>
      </c>
      <c r="H278" s="99">
        <f>IFERROR((Data_Entry!K276/Data_Entry!$V276/H$2),"")</f>
        <v>1.2572796170722</v>
      </c>
      <c r="I278" s="99">
        <f>IFERROR((Data_Entry!L276/Data_Entry!$V276/I$2),"")</f>
        <v>1.26121146504074</v>
      </c>
    </row>
    <row r="279" ht="15" spans="1:9">
      <c r="A279" s="98">
        <v>46022</v>
      </c>
      <c r="B279" s="25">
        <v>46022</v>
      </c>
      <c r="C279" s="99">
        <f>IFERROR((Data_Entry!F277/Data_Entry!$V277/C$2),"")</f>
        <v>1.00280379578989</v>
      </c>
      <c r="D279" s="99">
        <f>IFERROR((Data_Entry!G277/Data_Entry!$V277/D$2),"")</f>
        <v>0.997845747031897</v>
      </c>
      <c r="E279" s="99">
        <f>IFERROR((Data_Entry!H277/Data_Entry!$V277/E$2),"")</f>
        <v>1.00285183889801</v>
      </c>
      <c r="F279" s="99">
        <f>IFERROR((Data_Entry!I277/Data_Entry!$V277/F$2),"")</f>
        <v>1.00239146059237</v>
      </c>
      <c r="G279" s="99">
        <f>IFERROR((Data_Entry!J277/Data_Entry!$V277/G$2),"")</f>
        <v>1.00398147858806</v>
      </c>
      <c r="H279" s="99">
        <f>IFERROR((Data_Entry!K277/Data_Entry!$V277/H$2),"")</f>
        <v>1.0025752777017</v>
      </c>
      <c r="I279" s="99">
        <f>IFERROR((Data_Entry!L277/Data_Entry!$V277/I$2),"")</f>
        <v>1.00817250868076</v>
      </c>
    </row>
    <row r="280" ht="15" spans="1:9">
      <c r="A280" s="98">
        <v>46023</v>
      </c>
      <c r="B280" s="25">
        <v>46023</v>
      </c>
      <c r="C280" s="99">
        <f>IFERROR((Data_Entry!F278/Data_Entry!$V278/C$2),"")</f>
        <v>1.33778181738307</v>
      </c>
      <c r="D280" s="99">
        <f>IFERROR((Data_Entry!G278/Data_Entry!$V278/D$2),"")</f>
        <v>1.33499451192035</v>
      </c>
      <c r="E280" s="99">
        <f>IFERROR((Data_Entry!H278/Data_Entry!$V278/E$2),"")</f>
        <v>1.32889572116162</v>
      </c>
      <c r="F280" s="99">
        <f>IFERROR((Data_Entry!I278/Data_Entry!$V278/F$2),"")</f>
        <v>1.3215271780117</v>
      </c>
      <c r="G280" s="99">
        <f>IFERROR((Data_Entry!J278/Data_Entry!$V278/G$2),"")</f>
        <v>1.31896452104896</v>
      </c>
      <c r="H280" s="99">
        <f>IFERROR((Data_Entry!K278/Data_Entry!$V278/H$2),"")</f>
        <v>1.31453956057914</v>
      </c>
      <c r="I280" s="99">
        <f>IFERROR((Data_Entry!L278/Data_Entry!$V278/I$2),"")</f>
        <v>1.31853475870118</v>
      </c>
    </row>
    <row r="281" ht="15" spans="1:9">
      <c r="A281" s="98">
        <v>46024</v>
      </c>
      <c r="B281" s="25">
        <v>46024</v>
      </c>
      <c r="C281" s="99">
        <f>IFERROR((Data_Entry!F279/Data_Entry!$V279/C$2),"")</f>
        <v>1.25777891832938</v>
      </c>
      <c r="D281" s="99">
        <f>IFERROR((Data_Entry!G279/Data_Entry!$V279/D$2),"")</f>
        <v>1.25944391999438</v>
      </c>
      <c r="E281" s="99">
        <f>IFERROR((Data_Entry!H279/Data_Entry!$V279/E$2),"")</f>
        <v>1.26605810092049</v>
      </c>
      <c r="F281" s="99">
        <f>IFERROR((Data_Entry!I279/Data_Entry!$V279/F$2),"")</f>
        <v>1.2673013730054</v>
      </c>
      <c r="G281" s="99">
        <f>IFERROR((Data_Entry!J279/Data_Entry!$V279/G$2),"")</f>
        <v>1.26689226210566</v>
      </c>
      <c r="H281" s="99">
        <f>IFERROR((Data_Entry!K279/Data_Entry!$V279/H$2),"")</f>
        <v>1.25907532169997</v>
      </c>
      <c r="I281" s="99">
        <f>IFERROR((Data_Entry!L279/Data_Entry!$V279/I$2),"")</f>
        <v>1.26147884823593</v>
      </c>
    </row>
    <row r="282" ht="15" spans="1:9">
      <c r="A282" s="98">
        <v>46025</v>
      </c>
      <c r="B282" s="25">
        <v>46025</v>
      </c>
      <c r="C282" s="99">
        <f>IFERROR((Data_Entry!F280/Data_Entry!$V280/C$2),"")</f>
        <v>1.13450580441974</v>
      </c>
      <c r="D282" s="99">
        <f>IFERROR((Data_Entry!G280/Data_Entry!$V280/D$2),"")</f>
        <v>1.13030904906437</v>
      </c>
      <c r="E282" s="99">
        <f>IFERROR((Data_Entry!H280/Data_Entry!$V280/E$2),"")</f>
        <v>1.13830335621691</v>
      </c>
      <c r="F282" s="99">
        <f>IFERROR((Data_Entry!I280/Data_Entry!$V280/F$2),"")</f>
        <v>1.13802119896396</v>
      </c>
      <c r="G282" s="99">
        <f>IFERROR((Data_Entry!J280/Data_Entry!$V280/G$2),"")</f>
        <v>1.13973461445899</v>
      </c>
      <c r="H282" s="99">
        <f>IFERROR((Data_Entry!K280/Data_Entry!$V280/H$2),"")</f>
        <v>1.13978356918742</v>
      </c>
      <c r="I282" s="99">
        <f>IFERROR((Data_Entry!L280/Data_Entry!$V280/I$2),"")</f>
        <v>1.14330830963435</v>
      </c>
    </row>
    <row r="283" ht="15" spans="1:9">
      <c r="A283" s="98">
        <v>46026</v>
      </c>
      <c r="B283" s="25">
        <v>46026</v>
      </c>
      <c r="C283" s="99">
        <f>IFERROR((Data_Entry!F281/Data_Entry!$V281/C$2),"")</f>
        <v>1.2601579916712</v>
      </c>
      <c r="D283" s="99">
        <f>IFERROR((Data_Entry!G281/Data_Entry!$V281/D$2),"")</f>
        <v>1.26243326696516</v>
      </c>
      <c r="E283" s="99">
        <f>IFERROR((Data_Entry!H281/Data_Entry!$V281/E$2),"")</f>
        <v>1.27207986000956</v>
      </c>
      <c r="F283" s="99">
        <f>IFERROR((Data_Entry!I281/Data_Entry!$V281/F$2),"")</f>
        <v>1.27233419403296</v>
      </c>
      <c r="G283" s="99">
        <f>IFERROR((Data_Entry!J281/Data_Entry!$V281/G$2),"")</f>
        <v>1.27159272453653</v>
      </c>
      <c r="H283" s="99">
        <f>IFERROR((Data_Entry!K281/Data_Entry!$V281/H$2),"")</f>
        <v>1.27140049170412</v>
      </c>
      <c r="I283" s="99">
        <f>IFERROR((Data_Entry!L281/Data_Entry!$V281/I$2),"")</f>
        <v>1.27843758646187</v>
      </c>
    </row>
    <row r="284" ht="15" spans="1:9">
      <c r="A284" s="98">
        <v>46027</v>
      </c>
      <c r="B284" s="25">
        <v>46027</v>
      </c>
      <c r="C284" s="99">
        <f>IFERROR((Data_Entry!F282/Data_Entry!$V282/C$2),"")</f>
        <v>1.24382670082211</v>
      </c>
      <c r="D284" s="99">
        <f>IFERROR((Data_Entry!G282/Data_Entry!$V282/D$2),"")</f>
        <v>1.24403520791135</v>
      </c>
      <c r="E284" s="99">
        <f>IFERROR((Data_Entry!H282/Data_Entry!$V282/E$2),"")</f>
        <v>1.2539765280591</v>
      </c>
      <c r="F284" s="99">
        <f>IFERROR((Data_Entry!I282/Data_Entry!$V282/F$2),"")</f>
        <v>1.25452304974642</v>
      </c>
      <c r="G284" s="99">
        <f>IFERROR((Data_Entry!J282/Data_Entry!$V282/G$2),"")</f>
        <v>1.2553777993048</v>
      </c>
      <c r="H284" s="99">
        <f>IFERROR((Data_Entry!K282/Data_Entry!$V282/H$2),"")</f>
        <v>1.2551142515243</v>
      </c>
      <c r="I284" s="99">
        <f>IFERROR((Data_Entry!L282/Data_Entry!$V282/I$2),"")</f>
        <v>1.26183115847057</v>
      </c>
    </row>
    <row r="285" ht="15" spans="1:9">
      <c r="A285" s="98">
        <v>46028</v>
      </c>
      <c r="B285" s="25">
        <v>46028</v>
      </c>
      <c r="C285" s="99">
        <f>IFERROR((Data_Entry!F283/Data_Entry!$V283/C$2),"")</f>
        <v>1.2347117030124</v>
      </c>
      <c r="D285" s="99">
        <f>IFERROR((Data_Entry!G283/Data_Entry!$V283/D$2),"")</f>
        <v>1.23385218551589</v>
      </c>
      <c r="E285" s="99">
        <f>IFERROR((Data_Entry!H283/Data_Entry!$V283/E$2),"")</f>
        <v>1.24509259967291</v>
      </c>
      <c r="F285" s="99">
        <f>IFERROR((Data_Entry!I283/Data_Entry!$V283/F$2),"")</f>
        <v>1.24480877849059</v>
      </c>
      <c r="G285" s="99">
        <f>IFERROR((Data_Entry!J283/Data_Entry!$V283/G$2),"")</f>
        <v>1.24590024973429</v>
      </c>
      <c r="H285" s="99">
        <f>IFERROR((Data_Entry!K283/Data_Entry!$V283/H$2),"")</f>
        <v>1.24546082624657</v>
      </c>
      <c r="I285" s="99">
        <f>IFERROR((Data_Entry!L283/Data_Entry!$V283/I$2),"")</f>
        <v>1.25097488226994</v>
      </c>
    </row>
    <row r="286" ht="15" spans="1:9">
      <c r="A286" s="98">
        <v>46029</v>
      </c>
      <c r="B286" s="25">
        <v>46029</v>
      </c>
      <c r="C286" s="99">
        <f>IFERROR((Data_Entry!F284/Data_Entry!$V284/C$2),"")</f>
        <v>1.23485344930299</v>
      </c>
      <c r="D286" s="99">
        <f>IFERROR((Data_Entry!G284/Data_Entry!$V284/D$2),"")</f>
        <v>1.23185988323603</v>
      </c>
      <c r="E286" s="99">
        <f>IFERROR((Data_Entry!H284/Data_Entry!$V284/E$2),"")</f>
        <v>1.23009501965924</v>
      </c>
      <c r="F286" s="99">
        <f>IFERROR((Data_Entry!I284/Data_Entry!$V284/F$2),"")</f>
        <v>1.22459969229016</v>
      </c>
      <c r="G286" s="99">
        <f>IFERROR((Data_Entry!J284/Data_Entry!$V284/G$2),"")</f>
        <v>1.22947176477292</v>
      </c>
      <c r="H286" s="99">
        <f>IFERROR((Data_Entry!K284/Data_Entry!$V284/H$2),"")</f>
        <v>1.22808279674055</v>
      </c>
      <c r="I286" s="99">
        <f>IFERROR((Data_Entry!L284/Data_Entry!$V284/I$2),"")</f>
        <v>1.23266995270386</v>
      </c>
    </row>
    <row r="287" ht="15" spans="1:9">
      <c r="A287" s="98">
        <v>46030</v>
      </c>
      <c r="B287" s="25">
        <v>46030</v>
      </c>
      <c r="C287" s="99">
        <f>IFERROR((Data_Entry!F285/Data_Entry!$V285/C$2),"")</f>
        <v>1.16109768118626</v>
      </c>
      <c r="D287" s="99">
        <f>IFERROR((Data_Entry!G285/Data_Entry!$V285/D$2),"")</f>
        <v>1.16081324559654</v>
      </c>
      <c r="E287" s="99">
        <f>IFERROR((Data_Entry!H285/Data_Entry!$V285/E$2),"")</f>
        <v>1.16867472925682</v>
      </c>
      <c r="F287" s="99">
        <f>IFERROR((Data_Entry!I285/Data_Entry!$V285/F$2),"")</f>
        <v>1.16740198304921</v>
      </c>
      <c r="G287" s="99">
        <f>IFERROR((Data_Entry!J285/Data_Entry!$V285/G$2),"")</f>
        <v>1.16409181234567</v>
      </c>
      <c r="H287" s="99">
        <f>IFERROR((Data_Entry!K285/Data_Entry!$V285/H$2),"")</f>
        <v>1.16248207179806</v>
      </c>
      <c r="I287" s="99">
        <f>IFERROR((Data_Entry!L285/Data_Entry!$V285/I$2),"")</f>
        <v>1.15867310824878</v>
      </c>
    </row>
    <row r="288" ht="15" spans="1:9">
      <c r="A288" s="98">
        <v>46031</v>
      </c>
      <c r="B288" s="25">
        <v>46031</v>
      </c>
      <c r="C288" s="99">
        <f>IFERROR((Data_Entry!F286/Data_Entry!$V286/C$2),"")</f>
        <v>1.10776134217585</v>
      </c>
      <c r="D288" s="99">
        <f>IFERROR((Data_Entry!G286/Data_Entry!$V286/D$2),"")</f>
        <v>1.10754243709528</v>
      </c>
      <c r="E288" s="99">
        <f>IFERROR((Data_Entry!H286/Data_Entry!$V286/E$2),"")</f>
        <v>1.11529793137826</v>
      </c>
      <c r="F288" s="99">
        <f>IFERROR((Data_Entry!I286/Data_Entry!$V286/F$2),"")</f>
        <v>1.11551173773801</v>
      </c>
      <c r="G288" s="99">
        <f>IFERROR((Data_Entry!J286/Data_Entry!$V286/G$2),"")</f>
        <v>1.11727657497141</v>
      </c>
      <c r="H288" s="99">
        <f>IFERROR((Data_Entry!K286/Data_Entry!$V286/H$2),"")</f>
        <v>1.11599033766571</v>
      </c>
      <c r="I288" s="99">
        <f>IFERROR((Data_Entry!L286/Data_Entry!$V286/I$2),"")</f>
        <v>1.12509869253978</v>
      </c>
    </row>
    <row r="289" ht="15" spans="1:9">
      <c r="A289" s="98">
        <v>46032</v>
      </c>
      <c r="B289" s="25">
        <v>46032</v>
      </c>
      <c r="C289" s="99">
        <f>IFERROR((Data_Entry!F287/Data_Entry!$V287/C$2),"")</f>
        <v>1.20920341740003</v>
      </c>
      <c r="D289" s="99">
        <f>IFERROR((Data_Entry!G287/Data_Entry!$V287/D$2),"")</f>
        <v>1.20628272372731</v>
      </c>
      <c r="E289" s="99">
        <f>IFERROR((Data_Entry!H287/Data_Entry!$V287/E$2),"")</f>
        <v>1.21763936637036</v>
      </c>
      <c r="F289" s="99">
        <f>IFERROR((Data_Entry!I287/Data_Entry!$V287/F$2),"")</f>
        <v>1.21786907676927</v>
      </c>
      <c r="G289" s="99">
        <f>IFERROR((Data_Entry!J287/Data_Entry!$V287/G$2),"")</f>
        <v>1.22213935842346</v>
      </c>
      <c r="H289" s="99">
        <f>IFERROR((Data_Entry!K287/Data_Entry!$V287/H$2),"")</f>
        <v>1.22184127058071</v>
      </c>
      <c r="I289" s="99">
        <f>IFERROR((Data_Entry!L287/Data_Entry!$V287/I$2),"")</f>
        <v>1.23052741167276</v>
      </c>
    </row>
    <row r="290" ht="15" spans="1:9">
      <c r="A290" s="98">
        <v>46033</v>
      </c>
      <c r="B290" s="25">
        <v>46033</v>
      </c>
      <c r="C290" s="99">
        <f>IFERROR((Data_Entry!F288/Data_Entry!$V288/C$2),"")</f>
        <v>1.23547020976864</v>
      </c>
      <c r="D290" s="99">
        <f>IFERROR((Data_Entry!G288/Data_Entry!$V288/D$2),"")</f>
        <v>1.23436780884163</v>
      </c>
      <c r="E290" s="99">
        <f>IFERROR((Data_Entry!H288/Data_Entry!$V288/E$2),"")</f>
        <v>1.24274897615426</v>
      </c>
      <c r="F290" s="99">
        <f>IFERROR((Data_Entry!I288/Data_Entry!$V288/F$2),"")</f>
        <v>1.2433603277769</v>
      </c>
      <c r="G290" s="99">
        <f>IFERROR((Data_Entry!J288/Data_Entry!$V288/G$2),"")</f>
        <v>1.24707541572672</v>
      </c>
      <c r="H290" s="99">
        <f>IFERROR((Data_Entry!K288/Data_Entry!$V288/H$2),"")</f>
        <v>1.24614664373927</v>
      </c>
      <c r="I290" s="99">
        <f>IFERROR((Data_Entry!L288/Data_Entry!$V288/I$2),"")</f>
        <v>1.25345112117444</v>
      </c>
    </row>
    <row r="291" ht="15" spans="1:9">
      <c r="A291" s="98">
        <v>46034</v>
      </c>
      <c r="B291" s="25">
        <v>46034</v>
      </c>
      <c r="C291" s="99">
        <f>IFERROR((Data_Entry!F289/Data_Entry!$V289/C$2),"")</f>
        <v>1.2074907300095</v>
      </c>
      <c r="D291" s="99">
        <f>IFERROR((Data_Entry!G289/Data_Entry!$V289/D$2),"")</f>
        <v>1.20431648788613</v>
      </c>
      <c r="E291" s="99">
        <f>IFERROR((Data_Entry!H289/Data_Entry!$V289/E$2),"")</f>
        <v>1.21489980226427</v>
      </c>
      <c r="F291" s="99">
        <f>IFERROR((Data_Entry!I289/Data_Entry!$V289/F$2),"")</f>
        <v>1.21683816338782</v>
      </c>
      <c r="G291" s="99">
        <f>IFERROR((Data_Entry!J289/Data_Entry!$V289/G$2),"")</f>
        <v>1.22072338865319</v>
      </c>
      <c r="H291" s="99">
        <f>IFERROR((Data_Entry!K289/Data_Entry!$V289/H$2),"")</f>
        <v>1.21971610802883</v>
      </c>
      <c r="I291" s="99">
        <f>IFERROR((Data_Entry!L289/Data_Entry!$V289/I$2),"")</f>
        <v>1.22634257556475</v>
      </c>
    </row>
    <row r="292" ht="15" spans="1:9">
      <c r="A292" s="98">
        <v>46035</v>
      </c>
      <c r="B292" s="25">
        <v>46035</v>
      </c>
      <c r="C292" s="99">
        <f>IFERROR((Data_Entry!F290/Data_Entry!$V290/C$2),"")</f>
        <v>1.19485463463048</v>
      </c>
      <c r="D292" s="99">
        <f>IFERROR((Data_Entry!G290/Data_Entry!$V290/D$2),"")</f>
        <v>1.19397945759905</v>
      </c>
      <c r="E292" s="99">
        <f>IFERROR((Data_Entry!H290/Data_Entry!$V290/E$2),"")</f>
        <v>1.2105771132301</v>
      </c>
      <c r="F292" s="99">
        <f>IFERROR((Data_Entry!I290/Data_Entry!$V290/F$2),"")</f>
        <v>1.204587390946</v>
      </c>
      <c r="G292" s="99">
        <f>IFERROR((Data_Entry!J290/Data_Entry!$V290/G$2),"")</f>
        <v>1.20936047696788</v>
      </c>
      <c r="H292" s="99">
        <f>IFERROR((Data_Entry!K290/Data_Entry!$V290/H$2),"")</f>
        <v>1.20945593868831</v>
      </c>
      <c r="I292" s="99">
        <f>IFERROR((Data_Entry!L290/Data_Entry!$V290/I$2),"")</f>
        <v>1.2171589652067</v>
      </c>
    </row>
    <row r="293" ht="15" spans="1:9">
      <c r="A293" s="98">
        <v>46036</v>
      </c>
      <c r="B293" s="25">
        <v>46036</v>
      </c>
      <c r="C293" s="99">
        <f>IFERROR((Data_Entry!F291/Data_Entry!$V291/C$2),"")</f>
        <v>1.24756605716767</v>
      </c>
      <c r="D293" s="99">
        <f>IFERROR((Data_Entry!G291/Data_Entry!$V291/D$2),"")</f>
        <v>1.24737835998361</v>
      </c>
      <c r="E293" s="99">
        <f>IFERROR((Data_Entry!H291/Data_Entry!$V291/E$2),"")</f>
        <v>1.25594714447297</v>
      </c>
      <c r="F293" s="99">
        <f>IFERROR((Data_Entry!I291/Data_Entry!$V291/F$2),"")</f>
        <v>1.25870654144911</v>
      </c>
      <c r="G293" s="99">
        <f>IFERROR((Data_Entry!J291/Data_Entry!$V291/G$2),"")</f>
        <v>1.26206309222631</v>
      </c>
      <c r="H293" s="99">
        <f>IFERROR((Data_Entry!K291/Data_Entry!$V291/H$2),"")</f>
        <v>1.26219579307099</v>
      </c>
      <c r="I293" s="99">
        <f>IFERROR((Data_Entry!L291/Data_Entry!$V291/I$2),"")</f>
        <v>1.2699080539265</v>
      </c>
    </row>
    <row r="294" ht="15" spans="1:9">
      <c r="A294" s="98">
        <v>46037</v>
      </c>
      <c r="B294" s="25">
        <v>46037</v>
      </c>
      <c r="C294" s="99">
        <f>IFERROR((Data_Entry!F292/Data_Entry!$V292/C$2),"")</f>
        <v>1.27270251846097</v>
      </c>
      <c r="D294" s="99">
        <f>IFERROR((Data_Entry!G292/Data_Entry!$V292/D$2),"")</f>
        <v>1.25682986528783</v>
      </c>
      <c r="E294" s="99">
        <f>IFERROR((Data_Entry!H292/Data_Entry!$V292/E$2),"")</f>
        <v>1.26429694891427</v>
      </c>
      <c r="F294" s="99">
        <f>IFERROR((Data_Entry!I292/Data_Entry!$V292/F$2),"")</f>
        <v>1.24000482926996</v>
      </c>
      <c r="G294" s="99">
        <f>IFERROR((Data_Entry!J292/Data_Entry!$V292/G$2),"")</f>
        <v>1.24375818159252</v>
      </c>
      <c r="H294" s="99">
        <f>IFERROR((Data_Entry!K292/Data_Entry!$V292/H$2),"")</f>
        <v>1.24349147891449</v>
      </c>
      <c r="I294" s="99">
        <f>IFERROR((Data_Entry!L292/Data_Entry!$V292/I$2),"")</f>
        <v>1.25147304442538</v>
      </c>
    </row>
    <row r="295" ht="15" spans="1:9">
      <c r="A295" s="98">
        <v>46038</v>
      </c>
      <c r="B295" s="25">
        <v>46038</v>
      </c>
      <c r="C295" s="99">
        <f>IFERROR((Data_Entry!F293/Data_Entry!$V293/C$2),"")</f>
        <v>1.20435114486816</v>
      </c>
      <c r="D295" s="99">
        <f>IFERROR((Data_Entry!G293/Data_Entry!$V293/D$2),"")</f>
        <v>1.19890184410462</v>
      </c>
      <c r="E295" s="99">
        <f>IFERROR((Data_Entry!H293/Data_Entry!$V293/E$2),"")</f>
        <v>1.20771955044869</v>
      </c>
      <c r="F295" s="99">
        <f>IFERROR((Data_Entry!I293/Data_Entry!$V293/F$2),"")</f>
        <v>1.19114410225467</v>
      </c>
      <c r="G295" s="99">
        <f>IFERROR((Data_Entry!J293/Data_Entry!$V293/G$2),"")</f>
        <v>1.20006438580786</v>
      </c>
      <c r="H295" s="99">
        <f>IFERROR((Data_Entry!K293/Data_Entry!$V293/H$2),"")</f>
        <v>1.19965165627032</v>
      </c>
      <c r="I295" s="99">
        <f>IFERROR((Data_Entry!L293/Data_Entry!$V293/I$2),"")</f>
        <v>1.21128130952958</v>
      </c>
    </row>
    <row r="296" ht="15" spans="1:9">
      <c r="A296" s="98">
        <v>46039</v>
      </c>
      <c r="B296" s="25">
        <v>46039</v>
      </c>
      <c r="C296" s="99">
        <f>IFERROR((Data_Entry!F294/Data_Entry!$V294/C$2),"")</f>
        <v>1.26228556476803</v>
      </c>
      <c r="D296" s="99">
        <f>IFERROR((Data_Entry!G294/Data_Entry!$V294/D$2),"")</f>
        <v>1.25783945771803</v>
      </c>
      <c r="E296" s="99">
        <f>IFERROR((Data_Entry!H294/Data_Entry!$V294/E$2),"")</f>
        <v>1.26545405484963</v>
      </c>
      <c r="F296" s="99">
        <f>IFERROR((Data_Entry!I294/Data_Entry!$V294/F$2),"")</f>
        <v>1.26332543388317</v>
      </c>
      <c r="G296" s="99">
        <f>IFERROR((Data_Entry!J294/Data_Entry!$V294/G$2),"")</f>
        <v>1.26419833988641</v>
      </c>
      <c r="H296" s="99">
        <f>IFERROR((Data_Entry!K294/Data_Entry!$V294/H$2),"")</f>
        <v>1.26444275356732</v>
      </c>
      <c r="I296" s="99">
        <f>IFERROR((Data_Entry!L294/Data_Entry!$V294/I$2),"")</f>
        <v>1.27637712444371</v>
      </c>
    </row>
    <row r="297" ht="15" spans="1:9">
      <c r="A297" s="98">
        <v>46040</v>
      </c>
      <c r="B297" s="25">
        <v>46040</v>
      </c>
      <c r="C297" s="99">
        <f>IFERROR((Data_Entry!F295/Data_Entry!$V295/C$2),"")</f>
        <v>1.337287962352</v>
      </c>
      <c r="D297" s="99">
        <f>IFERROR((Data_Entry!G295/Data_Entry!$V295/D$2),"")</f>
        <v>1.33319795744701</v>
      </c>
      <c r="E297" s="99">
        <f>IFERROR((Data_Entry!H295/Data_Entry!$V295/E$2),"")</f>
        <v>1.3420508146443</v>
      </c>
      <c r="F297" s="99">
        <f>IFERROR((Data_Entry!I295/Data_Entry!$V295/F$2),"")</f>
        <v>1.34852290309396</v>
      </c>
      <c r="G297" s="99">
        <f>IFERROR((Data_Entry!J295/Data_Entry!$V295/G$2),"")</f>
        <v>1.34555080437574</v>
      </c>
      <c r="H297" s="99">
        <f>IFERROR((Data_Entry!K295/Data_Entry!$V295/H$2),"")</f>
        <v>1.33363348396788</v>
      </c>
      <c r="I297" s="99">
        <f>IFERROR((Data_Entry!L295/Data_Entry!$V295/I$2),"")</f>
        <v>1.34244854075015</v>
      </c>
    </row>
    <row r="298" ht="15" spans="1:9">
      <c r="A298" s="98">
        <v>46041</v>
      </c>
      <c r="B298" s="25">
        <v>46041</v>
      </c>
      <c r="C298" s="99">
        <f>IFERROR((Data_Entry!F296/Data_Entry!$V296/C$2),"")</f>
        <v>1.28893468916405</v>
      </c>
      <c r="D298" s="99">
        <f>IFERROR((Data_Entry!G296/Data_Entry!$V296/D$2),"")</f>
        <v>1.28241168235434</v>
      </c>
      <c r="E298" s="99">
        <f>IFERROR((Data_Entry!H296/Data_Entry!$V296/E$2),"")</f>
        <v>1.29118301423347</v>
      </c>
      <c r="F298" s="99">
        <f>IFERROR((Data_Entry!I296/Data_Entry!$V296/F$2),"")</f>
        <v>1.29687698619689</v>
      </c>
      <c r="G298" s="99">
        <f>IFERROR((Data_Entry!J296/Data_Entry!$V296/G$2),"")</f>
        <v>1.29843854789008</v>
      </c>
      <c r="H298" s="99">
        <f>IFERROR((Data_Entry!K296/Data_Entry!$V296/H$2),"")</f>
        <v>1.29395248249955</v>
      </c>
      <c r="I298" s="99">
        <f>IFERROR((Data_Entry!L296/Data_Entry!$V296/I$2),"")</f>
        <v>1.29956177647642</v>
      </c>
    </row>
    <row r="299" ht="15" spans="1:9">
      <c r="A299" s="98">
        <v>46042</v>
      </c>
      <c r="B299" s="25">
        <v>46042</v>
      </c>
      <c r="C299" s="99">
        <f>IFERROR((Data_Entry!F297/Data_Entry!$V297/C$2),"")</f>
        <v>1.16286588029707</v>
      </c>
      <c r="D299" s="99">
        <f>IFERROR((Data_Entry!G297/Data_Entry!$V297/D$2),"")</f>
        <v>1.1570038524167</v>
      </c>
      <c r="E299" s="99">
        <f>IFERROR((Data_Entry!H297/Data_Entry!$V297/E$2),"")</f>
        <v>1.1672981452798</v>
      </c>
      <c r="F299" s="99">
        <f>IFERROR((Data_Entry!I297/Data_Entry!$V297/F$2),"")</f>
        <v>1.17106007939674</v>
      </c>
      <c r="G299" s="99">
        <f>IFERROR((Data_Entry!J297/Data_Entry!$V297/G$2),"")</f>
        <v>1.17051303967937</v>
      </c>
      <c r="H299" s="99">
        <f>IFERROR((Data_Entry!K297/Data_Entry!$V297/H$2),"")</f>
        <v>1.16853761847779</v>
      </c>
      <c r="I299" s="99">
        <f>IFERROR((Data_Entry!L297/Data_Entry!$V297/I$2),"")</f>
        <v>1.17511729063384</v>
      </c>
    </row>
    <row r="300" ht="15" spans="1:9">
      <c r="A300" s="98">
        <v>46043</v>
      </c>
      <c r="B300" s="25">
        <v>46043</v>
      </c>
      <c r="C300" s="99">
        <f>IFERROR((Data_Entry!F298/Data_Entry!$V298/C$2),"")</f>
        <v>1.23338712996761</v>
      </c>
      <c r="D300" s="99">
        <f>IFERROR((Data_Entry!G298/Data_Entry!$V298/D$2),"")</f>
        <v>1.22971214416466</v>
      </c>
      <c r="E300" s="99">
        <f>IFERROR((Data_Entry!H298/Data_Entry!$V298/E$2),"")</f>
        <v>1.23751085087913</v>
      </c>
      <c r="F300" s="99">
        <f>IFERROR((Data_Entry!I298/Data_Entry!$V298/F$2),"")</f>
        <v>1.24044512100812</v>
      </c>
      <c r="G300" s="99">
        <f>IFERROR((Data_Entry!J298/Data_Entry!$V298/G$2),"")</f>
        <v>1.24194000768165</v>
      </c>
      <c r="H300" s="99">
        <f>IFERROR((Data_Entry!K298/Data_Entry!$V298/H$2),"")</f>
        <v>1.24050432444073</v>
      </c>
      <c r="I300" s="99">
        <f>IFERROR((Data_Entry!L298/Data_Entry!$V298/I$2),"")</f>
        <v>1.24612865053916</v>
      </c>
    </row>
    <row r="301" ht="15" spans="1:9">
      <c r="A301" s="98">
        <v>46044</v>
      </c>
      <c r="B301" s="25">
        <v>46044</v>
      </c>
      <c r="C301" s="99">
        <f>IFERROR((Data_Entry!F299/Data_Entry!$V299/C$2),"")</f>
        <v>1.19422103096162</v>
      </c>
      <c r="D301" s="99">
        <f>IFERROR((Data_Entry!G299/Data_Entry!$V299/D$2),"")</f>
        <v>1.18875622198601</v>
      </c>
      <c r="E301" s="99">
        <f>IFERROR((Data_Entry!H299/Data_Entry!$V299/E$2),"")</f>
        <v>1.1980127796786</v>
      </c>
      <c r="F301" s="99">
        <f>IFERROR((Data_Entry!I299/Data_Entry!$V299/F$2),"")</f>
        <v>1.20537635228783</v>
      </c>
      <c r="G301" s="99">
        <f>IFERROR((Data_Entry!J299/Data_Entry!$V299/G$2),"")</f>
        <v>1.20452384616662</v>
      </c>
      <c r="H301" s="99">
        <f>IFERROR((Data_Entry!K299/Data_Entry!$V299/H$2),"")</f>
        <v>1.20272161831387</v>
      </c>
      <c r="I301" s="99">
        <f>IFERROR((Data_Entry!L299/Data_Entry!$V299/I$2),"")</f>
        <v>1.20975853287585</v>
      </c>
    </row>
    <row r="302" ht="15" spans="1:9">
      <c r="A302" s="98">
        <v>46045</v>
      </c>
      <c r="B302" s="25">
        <v>46045</v>
      </c>
      <c r="C302" s="99">
        <f>IFERROR((Data_Entry!F300/Data_Entry!$V300/C$2),"")</f>
        <v>1.07407481767561</v>
      </c>
      <c r="D302" s="99">
        <f>IFERROR((Data_Entry!G300/Data_Entry!$V300/D$2),"")</f>
        <v>1.06857826141622</v>
      </c>
      <c r="E302" s="99">
        <f>IFERROR((Data_Entry!H300/Data_Entry!$V300/E$2),"")</f>
        <v>1.07707817551195</v>
      </c>
      <c r="F302" s="99">
        <f>IFERROR((Data_Entry!I300/Data_Entry!$V300/F$2),"")</f>
        <v>1.08265916208098</v>
      </c>
      <c r="G302" s="99">
        <f>IFERROR((Data_Entry!J300/Data_Entry!$V300/G$2),"")</f>
        <v>1.08648428441406</v>
      </c>
      <c r="H302" s="99">
        <f>IFERROR((Data_Entry!K300/Data_Entry!$V300/H$2),"")</f>
        <v>1.08857786988854</v>
      </c>
      <c r="I302" s="99">
        <f>IFERROR((Data_Entry!L300/Data_Entry!$V300/I$2),"")</f>
        <v>1.09880180797634</v>
      </c>
    </row>
    <row r="303" ht="15" spans="1:9">
      <c r="A303" s="98">
        <v>46046</v>
      </c>
      <c r="B303" s="25">
        <v>46046</v>
      </c>
      <c r="C303" s="99">
        <f>IFERROR((Data_Entry!F301/Data_Entry!$V301/C$2),"")</f>
        <v>1.27937318674223</v>
      </c>
      <c r="D303" s="99">
        <f>IFERROR((Data_Entry!G301/Data_Entry!$V301/D$2),"")</f>
        <v>1.2773923324382</v>
      </c>
      <c r="E303" s="99">
        <f>IFERROR((Data_Entry!H301/Data_Entry!$V301/E$2),"")</f>
        <v>1.28183447212746</v>
      </c>
      <c r="F303" s="99">
        <f>IFERROR((Data_Entry!I301/Data_Entry!$V301/F$2),"")</f>
        <v>1.2706923273466</v>
      </c>
      <c r="G303" s="99">
        <f>IFERROR((Data_Entry!J301/Data_Entry!$V301/G$2),"")</f>
        <v>1.26620294794568</v>
      </c>
      <c r="H303" s="99">
        <f>IFERROR((Data_Entry!K301/Data_Entry!$V301/H$2),"")</f>
        <v>1.26523437317729</v>
      </c>
      <c r="I303" s="99">
        <f>IFERROR((Data_Entry!L301/Data_Entry!$V301/I$2),"")</f>
        <v>1.27013380612979</v>
      </c>
    </row>
    <row r="304" ht="15" spans="1:9">
      <c r="A304" s="98">
        <v>46047</v>
      </c>
      <c r="B304" s="25">
        <v>46047</v>
      </c>
      <c r="C304" s="99">
        <f>IFERROR((Data_Entry!F302/Data_Entry!$V302/C$2),"")</f>
        <v>1.35688798779253</v>
      </c>
      <c r="D304" s="99">
        <f>IFERROR((Data_Entry!G302/Data_Entry!$V302/D$2),"")</f>
        <v>1.35162812772942</v>
      </c>
      <c r="E304" s="99">
        <f>IFERROR((Data_Entry!H302/Data_Entry!$V302/E$2),"")</f>
        <v>1.36341973289429</v>
      </c>
      <c r="F304" s="99">
        <f>IFERROR((Data_Entry!I302/Data_Entry!$V302/F$2),"")</f>
        <v>1.36211288439595</v>
      </c>
      <c r="G304" s="99">
        <f>IFERROR((Data_Entry!J302/Data_Entry!$V302/G$2),"")</f>
        <v>1.36520536672837</v>
      </c>
      <c r="H304" s="99">
        <f>IFERROR((Data_Entry!K302/Data_Entry!$V302/H$2),"")</f>
        <v>1.36811732344241</v>
      </c>
      <c r="I304" s="99">
        <f>IFERROR((Data_Entry!L302/Data_Entry!$V302/I$2),"")</f>
        <v>1.36215997803553</v>
      </c>
    </row>
    <row r="305" ht="15" spans="1:9">
      <c r="A305" s="98">
        <v>46048</v>
      </c>
      <c r="B305" s="25">
        <v>46048</v>
      </c>
      <c r="C305" s="99">
        <f>IFERROR((Data_Entry!F303/Data_Entry!$V303/C$2),"")</f>
        <v>1.24541445206052</v>
      </c>
      <c r="D305" s="99">
        <f>IFERROR((Data_Entry!G303/Data_Entry!$V303/D$2),"")</f>
        <v>1.24199931574758</v>
      </c>
      <c r="E305" s="99">
        <f>IFERROR((Data_Entry!H303/Data_Entry!$V303/E$2),"")</f>
        <v>1.25510088128894</v>
      </c>
      <c r="F305" s="99">
        <f>IFERROR((Data_Entry!I303/Data_Entry!$V303/F$2),"")</f>
        <v>1.25364733428735</v>
      </c>
      <c r="G305" s="99">
        <f>IFERROR((Data_Entry!J303/Data_Entry!$V303/G$2),"")</f>
        <v>1.25609366121536</v>
      </c>
      <c r="H305" s="99">
        <f>IFERROR((Data_Entry!K303/Data_Entry!$V303/H$2),"")</f>
        <v>1.25880366409968</v>
      </c>
      <c r="I305" s="99">
        <f>IFERROR((Data_Entry!L303/Data_Entry!$V303/I$2),"")</f>
        <v>1.26814218755241</v>
      </c>
    </row>
    <row r="306" ht="15" spans="1:9">
      <c r="A306" s="98">
        <v>46049</v>
      </c>
      <c r="B306" s="25">
        <v>46049</v>
      </c>
      <c r="C306" s="99">
        <f>IFERROR((Data_Entry!F304/Data_Entry!$V304/C$2),"")</f>
        <v>0.887489274275181</v>
      </c>
      <c r="D306" s="99">
        <f>IFERROR((Data_Entry!G304/Data_Entry!$V304/D$2),"")</f>
        <v>0.885566903992623</v>
      </c>
      <c r="E306" s="99">
        <f>IFERROR((Data_Entry!H304/Data_Entry!$V304/E$2),"")</f>
        <v>0.893191304878916</v>
      </c>
      <c r="F306" s="99">
        <f>IFERROR((Data_Entry!I304/Data_Entry!$V304/F$2),"")</f>
        <v>0.894374502892501</v>
      </c>
      <c r="G306" s="99">
        <f>IFERROR((Data_Entry!J304/Data_Entry!$V304/G$2),"")</f>
        <v>0.896165406729106</v>
      </c>
      <c r="H306" s="99">
        <f>IFERROR((Data_Entry!K304/Data_Entry!$V304/H$2),"")</f>
        <v>0.897060858647408</v>
      </c>
      <c r="I306" s="99">
        <f>IFERROR((Data_Entry!L304/Data_Entry!$V304/I$2),"")</f>
        <v>0.904583612463733</v>
      </c>
    </row>
    <row r="307" ht="15" spans="1:9">
      <c r="A307" s="98">
        <v>46050</v>
      </c>
      <c r="B307" s="25">
        <v>46050</v>
      </c>
      <c r="C307" s="99">
        <f>IFERROR((Data_Entry!F305/Data_Entry!$V305/C$2),"")</f>
        <v>1.27923974655369</v>
      </c>
      <c r="D307" s="99">
        <f>IFERROR((Data_Entry!G305/Data_Entry!$V305/D$2),"")</f>
        <v>1.18012875346154</v>
      </c>
      <c r="E307" s="99">
        <f>IFERROR((Data_Entry!H305/Data_Entry!$V305/E$2),"")</f>
        <v>1.28917088177795</v>
      </c>
      <c r="F307" s="99">
        <f>IFERROR((Data_Entry!I305/Data_Entry!$V305/F$2),"")</f>
        <v>1.28907476746085</v>
      </c>
      <c r="G307" s="99">
        <f>IFERROR((Data_Entry!J305/Data_Entry!$V305/G$2),"")</f>
        <v>1.29214113358956</v>
      </c>
      <c r="H307" s="99">
        <f>IFERROR((Data_Entry!K305/Data_Entry!$V305/H$2),"")</f>
        <v>1.29437063729565</v>
      </c>
      <c r="I307" s="99">
        <f>IFERROR((Data_Entry!L305/Data_Entry!$V305/I$2),"")</f>
        <v>1.30282230893792</v>
      </c>
    </row>
    <row r="308" ht="15" spans="1:9">
      <c r="A308" s="98">
        <v>46051</v>
      </c>
      <c r="B308" s="25">
        <v>46051</v>
      </c>
      <c r="C308" s="99">
        <f>IFERROR((Data_Entry!F306/Data_Entry!$V306/C$2),"")</f>
        <v>1.21215276192555</v>
      </c>
      <c r="D308" s="99">
        <f>IFERROR((Data_Entry!G306/Data_Entry!$V306/D$2),"")</f>
        <v>1.20753164352581</v>
      </c>
      <c r="E308" s="99">
        <f>IFERROR((Data_Entry!H306/Data_Entry!$V306/E$2),"")</f>
        <v>1.21930714402634</v>
      </c>
      <c r="F308" s="99">
        <f>IFERROR((Data_Entry!I306/Data_Entry!$V306/F$2),"")</f>
        <v>1.22062097954832</v>
      </c>
      <c r="G308" s="99">
        <f>IFERROR((Data_Entry!J306/Data_Entry!$V306/G$2),"")</f>
        <v>1.2260996313127</v>
      </c>
      <c r="H308" s="99">
        <f>IFERROR((Data_Entry!K306/Data_Entry!$V306/H$2),"")</f>
        <v>1.22865589167421</v>
      </c>
      <c r="I308" s="99">
        <f>IFERROR((Data_Entry!L306/Data_Entry!$V306/I$2),"")</f>
        <v>1.23167148006942</v>
      </c>
    </row>
    <row r="309" ht="15" spans="1:9">
      <c r="A309" s="98">
        <v>46052</v>
      </c>
      <c r="B309" s="25">
        <v>46052</v>
      </c>
      <c r="C309" s="99">
        <f>IFERROR((Data_Entry!F307/Data_Entry!$V307/C$2),"")</f>
        <v>1.21469940033827</v>
      </c>
      <c r="D309" s="99">
        <f>IFERROR((Data_Entry!G307/Data_Entry!$V307/D$2),"")</f>
        <v>1.19934009919146</v>
      </c>
      <c r="E309" s="99">
        <f>IFERROR((Data_Entry!H307/Data_Entry!$V307/E$2),"")</f>
        <v>1.21267756383845</v>
      </c>
      <c r="F309" s="99">
        <f>IFERROR((Data_Entry!I307/Data_Entry!$V307/F$2),"")</f>
        <v>1.21103846182007</v>
      </c>
      <c r="G309" s="99">
        <f>IFERROR((Data_Entry!J307/Data_Entry!$V307/G$2),"")</f>
        <v>1.20905677988305</v>
      </c>
      <c r="H309" s="99">
        <f>IFERROR((Data_Entry!K307/Data_Entry!$V307/H$2),"")</f>
        <v>1.21554300790986</v>
      </c>
      <c r="I309" s="99">
        <f>IFERROR((Data_Entry!L307/Data_Entry!$V307/I$2),"")</f>
        <v>1.23505740192425</v>
      </c>
    </row>
    <row r="310" ht="15" spans="1:9">
      <c r="A310" s="98">
        <v>46053</v>
      </c>
      <c r="B310" s="25">
        <v>46053</v>
      </c>
      <c r="C310" s="99">
        <f>IFERROR((Data_Entry!F308/Data_Entry!$V308/C$2),"")</f>
        <v>1.14219476682546</v>
      </c>
      <c r="D310" s="99">
        <f>IFERROR((Data_Entry!G308/Data_Entry!$V308/D$2),"")</f>
        <v>1.13795394467141</v>
      </c>
      <c r="E310" s="99">
        <f>IFERROR((Data_Entry!H308/Data_Entry!$V308/E$2),"")</f>
        <v>1.14772803001694</v>
      </c>
      <c r="F310" s="99">
        <f>IFERROR((Data_Entry!I308/Data_Entry!$V308/F$2),"")</f>
        <v>1.14637851787392</v>
      </c>
      <c r="G310" s="99">
        <f>IFERROR((Data_Entry!J308/Data_Entry!$V308/G$2),"")</f>
        <v>1.15090820762398</v>
      </c>
      <c r="H310" s="99">
        <f>IFERROR((Data_Entry!K308/Data_Entry!$V308/H$2),"")</f>
        <v>1.1486771664038</v>
      </c>
      <c r="I310" s="99">
        <f>IFERROR((Data_Entry!L308/Data_Entry!$V308/I$2),"")</f>
        <v>1.15526405000623</v>
      </c>
    </row>
    <row r="311" ht="15" spans="1:9">
      <c r="A311" s="98">
        <v>46054</v>
      </c>
      <c r="B311" s="25">
        <v>46054</v>
      </c>
      <c r="C311" s="99">
        <f>IFERROR((Data_Entry!F309/Data_Entry!$V309/C$2),"")</f>
        <v>1.14700776339713</v>
      </c>
      <c r="D311" s="99">
        <f>IFERROR((Data_Entry!G309/Data_Entry!$V309/D$2),"")</f>
        <v>1.14253134001229</v>
      </c>
      <c r="E311" s="99">
        <f>IFERROR((Data_Entry!H309/Data_Entry!$V309/E$2),"")</f>
        <v>1.15369715548537</v>
      </c>
      <c r="F311" s="99">
        <f>IFERROR((Data_Entry!I309/Data_Entry!$V309/F$2),"")</f>
        <v>1.15173076322536</v>
      </c>
      <c r="G311" s="99">
        <f>IFERROR((Data_Entry!J309/Data_Entry!$V309/G$2),"")</f>
        <v>1.15351752783892</v>
      </c>
      <c r="H311" s="99">
        <f>IFERROR((Data_Entry!K309/Data_Entry!$V309/H$2),"")</f>
        <v>1.15305876395165</v>
      </c>
      <c r="I311" s="99">
        <f>IFERROR((Data_Entry!L309/Data_Entry!$V309/I$2),"")</f>
        <v>1.15823394253958</v>
      </c>
    </row>
    <row r="312" ht="15" spans="1:9">
      <c r="A312" s="98">
        <v>46055</v>
      </c>
      <c r="B312" s="25">
        <v>46055</v>
      </c>
      <c r="C312" s="99">
        <f>IFERROR((Data_Entry!F310/Data_Entry!$V310/C$2),"")</f>
        <v>1.16522111934956</v>
      </c>
      <c r="D312" s="99">
        <f>IFERROR((Data_Entry!G310/Data_Entry!$V310/D$2),"")</f>
        <v>1.15939106764795</v>
      </c>
      <c r="E312" s="99">
        <f>IFERROR((Data_Entry!H310/Data_Entry!$V310/E$2),"")</f>
        <v>1.16430460467158</v>
      </c>
      <c r="F312" s="99">
        <f>IFERROR((Data_Entry!I310/Data_Entry!$V310/F$2),"")</f>
        <v>1.16258115859233</v>
      </c>
      <c r="G312" s="99">
        <f>IFERROR((Data_Entry!J310/Data_Entry!$V310/G$2),"")</f>
        <v>1.15435023691904</v>
      </c>
      <c r="H312" s="99">
        <f>IFERROR((Data_Entry!K310/Data_Entry!$V310/H$2),"")</f>
        <v>1.15360344718143</v>
      </c>
      <c r="I312" s="99">
        <f>IFERROR((Data_Entry!L310/Data_Entry!$V310/I$2),"")</f>
        <v>1.15838452495812</v>
      </c>
    </row>
    <row r="313" ht="15" spans="1:9">
      <c r="A313" s="98">
        <v>46056</v>
      </c>
      <c r="B313" s="25">
        <v>46056</v>
      </c>
      <c r="C313" s="99">
        <f>IFERROR((Data_Entry!F311/Data_Entry!$V311/C$2),"")</f>
        <v>1.20392756257566</v>
      </c>
      <c r="D313" s="99">
        <f>IFERROR((Data_Entry!G311/Data_Entry!$V311/D$2),"")</f>
        <v>1.20097323869541</v>
      </c>
      <c r="E313" s="99">
        <f>IFERROR((Data_Entry!H311/Data_Entry!$V311/E$2),"")</f>
        <v>1.20643549136412</v>
      </c>
      <c r="F313" s="99">
        <f>IFERROR((Data_Entry!I311/Data_Entry!$V311/F$2),"")</f>
        <v>1.20870593090611</v>
      </c>
      <c r="G313" s="99">
        <f>IFERROR((Data_Entry!J311/Data_Entry!$V311/G$2),"")</f>
        <v>1.21022755591467</v>
      </c>
      <c r="H313" s="99">
        <f>IFERROR((Data_Entry!K311/Data_Entry!$V311/H$2),"")</f>
        <v>1.21042940413009</v>
      </c>
      <c r="I313" s="99">
        <f>IFERROR((Data_Entry!L311/Data_Entry!$V311/I$2),"")</f>
        <v>1.21376766307744</v>
      </c>
    </row>
    <row r="314" ht="15" spans="1:9">
      <c r="A314" s="98">
        <v>46057</v>
      </c>
      <c r="B314" s="25">
        <v>46057</v>
      </c>
      <c r="C314" s="99">
        <f>IFERROR((Data_Entry!F312/Data_Entry!$V312/C$2),"")</f>
        <v>1.194495668387</v>
      </c>
      <c r="D314" s="99">
        <f>IFERROR((Data_Entry!G312/Data_Entry!$V312/D$2),"")</f>
        <v>1.18489683570727</v>
      </c>
      <c r="E314" s="99">
        <f>IFERROR((Data_Entry!H312/Data_Entry!$V312/E$2),"")</f>
        <v>1.19751426967896</v>
      </c>
      <c r="F314" s="99">
        <f>IFERROR((Data_Entry!I312/Data_Entry!$V312/F$2),"")</f>
        <v>1.19960548610196</v>
      </c>
      <c r="G314" s="99">
        <f>IFERROR((Data_Entry!J312/Data_Entry!$V312/G$2),"")</f>
        <v>1.20083528662831</v>
      </c>
      <c r="H314" s="99">
        <f>IFERROR((Data_Entry!K312/Data_Entry!$V312/H$2),"")</f>
        <v>1.20153039127364</v>
      </c>
      <c r="I314" s="99">
        <f>IFERROR((Data_Entry!L312/Data_Entry!$V312/I$2),"")</f>
        <v>1.20291296205172</v>
      </c>
    </row>
    <row r="315" ht="15" spans="1:9">
      <c r="A315" s="98">
        <v>46058</v>
      </c>
      <c r="B315" s="25">
        <v>46058</v>
      </c>
      <c r="C315" s="99">
        <f>IFERROR((Data_Entry!F313/Data_Entry!$V313/C$2),"")</f>
        <v>1.12033659890705</v>
      </c>
      <c r="D315" s="99">
        <f>IFERROR((Data_Entry!G313/Data_Entry!$V313/D$2),"")</f>
        <v>1.11753575740978</v>
      </c>
      <c r="E315" s="99">
        <f>IFERROR((Data_Entry!H313/Data_Entry!$V313/E$2),"")</f>
        <v>1.12469346345835</v>
      </c>
      <c r="F315" s="99">
        <f>IFERROR((Data_Entry!I313/Data_Entry!$V313/F$2),"")</f>
        <v>1.12710707106101</v>
      </c>
      <c r="G315" s="99">
        <f>IFERROR((Data_Entry!J313/Data_Entry!$V313/G$2),"")</f>
        <v>1.12750396969509</v>
      </c>
      <c r="H315" s="99">
        <f>IFERROR((Data_Entry!K313/Data_Entry!$V313/H$2),"")</f>
        <v>1.12561161370763</v>
      </c>
      <c r="I315" s="99">
        <f>IFERROR((Data_Entry!L313/Data_Entry!$V313/I$2),"")</f>
        <v>1.12888602743874</v>
      </c>
    </row>
    <row r="316" ht="15" spans="1:9">
      <c r="A316" s="98">
        <v>46059</v>
      </c>
      <c r="B316" s="25">
        <v>46059</v>
      </c>
      <c r="C316" s="99">
        <f>IFERROR((Data_Entry!F314/Data_Entry!$V314/C$2),"")</f>
        <v>1.16233482550652</v>
      </c>
      <c r="D316" s="99">
        <f>IFERROR((Data_Entry!G314/Data_Entry!$V314/D$2),"")</f>
        <v>1.16079584460974</v>
      </c>
      <c r="E316" s="99">
        <f>IFERROR((Data_Entry!H314/Data_Entry!$V314/E$2),"")</f>
        <v>1.1665120593692</v>
      </c>
      <c r="F316" s="99">
        <f>IFERROR((Data_Entry!I314/Data_Entry!$V314/F$2),"")</f>
        <v>1.16988079635524</v>
      </c>
      <c r="G316" s="99">
        <f>IFERROR((Data_Entry!J314/Data_Entry!$V314/G$2),"")</f>
        <v>1.17072197846031</v>
      </c>
      <c r="H316" s="99">
        <f>IFERROR((Data_Entry!K314/Data_Entry!$V314/H$2),"")</f>
        <v>1.16869364419082</v>
      </c>
      <c r="I316" s="99">
        <f>IFERROR((Data_Entry!L314/Data_Entry!$V314/I$2),"")</f>
        <v>1.17411384178721</v>
      </c>
    </row>
    <row r="317" ht="15" spans="1:9">
      <c r="A317" s="98">
        <v>46060</v>
      </c>
      <c r="B317" s="25">
        <v>46060</v>
      </c>
      <c r="C317" s="99">
        <f>IFERROR((Data_Entry!F315/Data_Entry!$V315/C$2),"")</f>
        <v>1.15309031072167</v>
      </c>
      <c r="D317" s="99">
        <f>IFERROR((Data_Entry!G315/Data_Entry!$V315/D$2),"")</f>
        <v>1.15092400330098</v>
      </c>
      <c r="E317" s="99">
        <f>IFERROR((Data_Entry!H315/Data_Entry!$V315/E$2),"")</f>
        <v>1.15658128585568</v>
      </c>
      <c r="F317" s="99">
        <f>IFERROR((Data_Entry!I315/Data_Entry!$V315/F$2),"")</f>
        <v>1.15840616438941</v>
      </c>
      <c r="G317" s="99">
        <f>IFERROR((Data_Entry!J315/Data_Entry!$V315/G$2),"")</f>
        <v>1.16010026261323</v>
      </c>
      <c r="H317" s="99">
        <f>IFERROR((Data_Entry!K315/Data_Entry!$V315/H$2),"")</f>
        <v>1.15879818711889</v>
      </c>
      <c r="I317" s="99">
        <f>IFERROR((Data_Entry!L315/Data_Entry!$V315/I$2),"")</f>
        <v>1.16226338803124</v>
      </c>
    </row>
    <row r="318" ht="15" spans="1:9">
      <c r="A318" s="98">
        <v>46061</v>
      </c>
      <c r="B318" s="25">
        <v>46061</v>
      </c>
      <c r="C318" s="99">
        <f>IFERROR((Data_Entry!F316/Data_Entry!$V316/C$2),"")</f>
        <v>1.21388635150103</v>
      </c>
      <c r="D318" s="99">
        <f>IFERROR((Data_Entry!G316/Data_Entry!$V316/D$2),"")</f>
        <v>1.20526658752958</v>
      </c>
      <c r="E318" s="99">
        <f>IFERROR((Data_Entry!H316/Data_Entry!$V316/E$2),"")</f>
        <v>1.20005942635912</v>
      </c>
      <c r="F318" s="99">
        <f>IFERROR((Data_Entry!I316/Data_Entry!$V316/F$2),"")</f>
        <v>1.19648054231221</v>
      </c>
      <c r="G318" s="99">
        <f>IFERROR((Data_Entry!J316/Data_Entry!$V316/G$2),"")</f>
        <v>1.19557303043542</v>
      </c>
      <c r="H318" s="99">
        <f>IFERROR((Data_Entry!K316/Data_Entry!$V316/H$2),"")</f>
        <v>1.19261834060398</v>
      </c>
      <c r="I318" s="99">
        <f>IFERROR((Data_Entry!L316/Data_Entry!$V316/I$2),"")</f>
        <v>1.19721217979428</v>
      </c>
    </row>
    <row r="319" ht="15" spans="1:9">
      <c r="A319" s="98">
        <v>46062</v>
      </c>
      <c r="B319" s="25">
        <v>46062</v>
      </c>
      <c r="C319" s="99">
        <f>IFERROR((Data_Entry!F317/Data_Entry!$V317/C$2),"")</f>
        <v>1.24735765160885</v>
      </c>
      <c r="D319" s="99">
        <f>IFERROR((Data_Entry!G317/Data_Entry!$V317/D$2),"")</f>
        <v>1.24495233843987</v>
      </c>
      <c r="E319" s="99">
        <f>IFERROR((Data_Entry!H317/Data_Entry!$V317/E$2),"")</f>
        <v>1.25231511392514</v>
      </c>
      <c r="F319" s="99">
        <f>IFERROR((Data_Entry!I317/Data_Entry!$V317/F$2),"")</f>
        <v>1.2549636336835</v>
      </c>
      <c r="G319" s="99">
        <f>IFERROR((Data_Entry!J317/Data_Entry!$V317/G$2),"")</f>
        <v>1.23513317640185</v>
      </c>
      <c r="H319" s="99">
        <f>IFERROR((Data_Entry!K317/Data_Entry!$V317/H$2),"")</f>
        <v>1.22440533374426</v>
      </c>
      <c r="I319" s="99">
        <f>IFERROR((Data_Entry!L317/Data_Entry!$V317/I$2),"")</f>
        <v>1.23174226852941</v>
      </c>
    </row>
    <row r="320" ht="15" spans="1:9">
      <c r="A320" s="98">
        <v>46063</v>
      </c>
      <c r="B320" s="25">
        <v>46063</v>
      </c>
      <c r="C320" s="99">
        <f>IFERROR((Data_Entry!F318/Data_Entry!$V318/C$2),"")</f>
        <v>1.27370868823019</v>
      </c>
      <c r="D320" s="99">
        <f>IFERROR((Data_Entry!G318/Data_Entry!$V318/D$2),"")</f>
        <v>1.25443808785081</v>
      </c>
      <c r="E320" s="99">
        <f>IFERROR((Data_Entry!H318/Data_Entry!$V318/E$2),"")</f>
        <v>1.27974672003085</v>
      </c>
      <c r="F320" s="99">
        <f>IFERROR((Data_Entry!I318/Data_Entry!$V318/F$2),"")</f>
        <v>1.28060649787174</v>
      </c>
      <c r="G320" s="99">
        <f>IFERROR((Data_Entry!J318/Data_Entry!$V318/G$2),"")</f>
        <v>1.27983471497479</v>
      </c>
      <c r="H320" s="99">
        <f>IFERROR((Data_Entry!K318/Data_Entry!$V318/H$2),"")</f>
        <v>1.27532621655173</v>
      </c>
      <c r="I320" s="99">
        <f>IFERROR((Data_Entry!L318/Data_Entry!$V318/I$2),"")</f>
        <v>1.2617428375653</v>
      </c>
    </row>
    <row r="321" ht="15" spans="1:9">
      <c r="A321" s="98">
        <v>46064</v>
      </c>
      <c r="B321" s="25">
        <v>46064</v>
      </c>
      <c r="C321" s="99">
        <f>IFERROR((Data_Entry!F319/Data_Entry!$V319/C$2),"")</f>
        <v>1.27834590437253</v>
      </c>
      <c r="D321" s="99">
        <f>IFERROR((Data_Entry!G319/Data_Entry!$V319/D$2),"")</f>
        <v>1.26153913378841</v>
      </c>
      <c r="E321" s="99">
        <f>IFERROR((Data_Entry!H319/Data_Entry!$V319/E$2),"")</f>
        <v>1.29102731503935</v>
      </c>
      <c r="F321" s="99">
        <f>IFERROR((Data_Entry!I319/Data_Entry!$V319/F$2),"")</f>
        <v>1.28949063027039</v>
      </c>
      <c r="G321" s="99">
        <f>IFERROR((Data_Entry!J319/Data_Entry!$V319/G$2),"")</f>
        <v>1.29326788344409</v>
      </c>
      <c r="H321" s="99">
        <f>IFERROR((Data_Entry!K319/Data_Entry!$V319/H$2),"")</f>
        <v>1.29443610607513</v>
      </c>
      <c r="I321" s="99">
        <f>IFERROR((Data_Entry!L319/Data_Entry!$V319/I$2),"")</f>
        <v>1.30025774885316</v>
      </c>
    </row>
    <row r="322" ht="15" spans="1:9">
      <c r="A322" s="98">
        <v>46065</v>
      </c>
      <c r="B322" s="25">
        <v>46065</v>
      </c>
      <c r="C322" s="99">
        <f>IFERROR((Data_Entry!F320/Data_Entry!$V320/C$2),"")</f>
        <v>1.24586165303617</v>
      </c>
      <c r="D322" s="99">
        <f>IFERROR((Data_Entry!G320/Data_Entry!$V320/D$2),"")</f>
        <v>1.24587504032922</v>
      </c>
      <c r="E322" s="99">
        <f>IFERROR((Data_Entry!H320/Data_Entry!$V320/E$2),"")</f>
        <v>1.25622341785624</v>
      </c>
      <c r="F322" s="99">
        <f>IFERROR((Data_Entry!I320/Data_Entry!$V320/F$2),"")</f>
        <v>1.25676356602796</v>
      </c>
      <c r="G322" s="99">
        <f>IFERROR((Data_Entry!J320/Data_Entry!$V320/G$2),"")</f>
        <v>1.2613158277209</v>
      </c>
      <c r="H322" s="99">
        <f>IFERROR((Data_Entry!K320/Data_Entry!$V320/H$2),"")</f>
        <v>1.26054751351113</v>
      </c>
      <c r="I322" s="99">
        <f>IFERROR((Data_Entry!L320/Data_Entry!$V320/I$2),"")</f>
        <v>1.26759679638585</v>
      </c>
    </row>
    <row r="323" ht="15" spans="1:9">
      <c r="A323" s="98">
        <v>46066</v>
      </c>
      <c r="B323" s="25">
        <v>46066</v>
      </c>
      <c r="C323" s="99">
        <f>IFERROR((Data_Entry!F321/Data_Entry!$V321/C$2),"")</f>
        <v>1.18899292313976</v>
      </c>
      <c r="D323" s="99">
        <f>IFERROR((Data_Entry!G321/Data_Entry!$V321/D$2),"")</f>
        <v>1.1883156210336</v>
      </c>
      <c r="E323" s="99">
        <f>IFERROR((Data_Entry!H321/Data_Entry!$V321/E$2),"")</f>
        <v>1.19902864682031</v>
      </c>
      <c r="F323" s="99">
        <f>IFERROR((Data_Entry!I321/Data_Entry!$V321/F$2),"")</f>
        <v>1.19740869470477</v>
      </c>
      <c r="G323" s="99">
        <f>IFERROR((Data_Entry!J321/Data_Entry!$V321/G$2),"")</f>
        <v>1.20325331474944</v>
      </c>
      <c r="H323" s="99">
        <f>IFERROR((Data_Entry!K321/Data_Entry!$V321/H$2),"")</f>
        <v>1.20436790260063</v>
      </c>
      <c r="I323" s="99">
        <f>IFERROR((Data_Entry!L321/Data_Entry!$V321/I$2),"")</f>
        <v>1.2096552287197</v>
      </c>
    </row>
    <row r="324" ht="15" spans="1:9">
      <c r="A324" s="98">
        <v>46067</v>
      </c>
      <c r="B324" s="25">
        <v>46067</v>
      </c>
      <c r="C324" s="99">
        <f>IFERROR((Data_Entry!F322/Data_Entry!$V322/C$2),"")</f>
        <v>1.19386777213612</v>
      </c>
      <c r="D324" s="99">
        <f>IFERROR((Data_Entry!G322/Data_Entry!$V322/D$2),"")</f>
        <v>1.19421862541129</v>
      </c>
      <c r="E324" s="99">
        <f>IFERROR((Data_Entry!H322/Data_Entry!$V322/E$2),"")</f>
        <v>1.20382770898826</v>
      </c>
      <c r="F324" s="99">
        <f>IFERROR((Data_Entry!I322/Data_Entry!$V322/F$2),"")</f>
        <v>1.20309424819297</v>
      </c>
      <c r="G324" s="99">
        <f>IFERROR((Data_Entry!J322/Data_Entry!$V322/G$2),"")</f>
        <v>1.20973773434384</v>
      </c>
      <c r="H324" s="99">
        <f>IFERROR((Data_Entry!K322/Data_Entry!$V322/H$2),"")</f>
        <v>1.20937473973972</v>
      </c>
      <c r="I324" s="99">
        <f>IFERROR((Data_Entry!L322/Data_Entry!$V322/I$2),"")</f>
        <v>1.21590179365907</v>
      </c>
    </row>
    <row r="325" ht="15" spans="1:9">
      <c r="A325" s="98">
        <v>46068</v>
      </c>
      <c r="B325" s="25">
        <v>46068</v>
      </c>
      <c r="C325" s="99">
        <f>IFERROR((Data_Entry!F323/Data_Entry!$V323/C$2),"")</f>
        <v>1.28831693514801</v>
      </c>
      <c r="D325" s="99">
        <f>IFERROR((Data_Entry!G323/Data_Entry!$V323/D$2),"")</f>
        <v>1.26098966263936</v>
      </c>
      <c r="E325" s="99">
        <f>IFERROR((Data_Entry!H323/Data_Entry!$V323/E$2),"")</f>
        <v>1.27384031253655</v>
      </c>
      <c r="F325" s="99">
        <f>IFERROR((Data_Entry!I323/Data_Entry!$V323/F$2),"")</f>
        <v>1.27191700721597</v>
      </c>
      <c r="G325" s="99">
        <f>IFERROR((Data_Entry!J323/Data_Entry!$V323/G$2),"")</f>
        <v>1.27609273326952</v>
      </c>
      <c r="H325" s="99">
        <f>IFERROR((Data_Entry!K323/Data_Entry!$V323/H$2),"")</f>
        <v>1.28160808974714</v>
      </c>
      <c r="I325" s="99">
        <f>IFERROR((Data_Entry!L323/Data_Entry!$V323/I$2),"")</f>
        <v>1.31177264602756</v>
      </c>
    </row>
    <row r="326" ht="15" spans="1:9">
      <c r="A326" s="98">
        <v>46069</v>
      </c>
      <c r="B326" s="25">
        <v>46069</v>
      </c>
      <c r="C326" s="99">
        <f>IFERROR((Data_Entry!F324/Data_Entry!$V324/C$2),"")</f>
        <v>1.23248311321706</v>
      </c>
      <c r="D326" s="99">
        <f>IFERROR((Data_Entry!G324/Data_Entry!$V324/D$2),"")</f>
        <v>1.22026073533282</v>
      </c>
      <c r="E326" s="99">
        <f>IFERROR((Data_Entry!H324/Data_Entry!$V324/E$2),"")</f>
        <v>1.231533865872</v>
      </c>
      <c r="F326" s="99">
        <f>IFERROR((Data_Entry!I324/Data_Entry!$V324/F$2),"")</f>
        <v>1.23500979048304</v>
      </c>
      <c r="G326" s="99">
        <f>IFERROR((Data_Entry!J324/Data_Entry!$V324/G$2),"")</f>
        <v>1.2352602665441</v>
      </c>
      <c r="H326" s="99">
        <f>IFERROR((Data_Entry!K324/Data_Entry!$V324/H$2),"")</f>
        <v>1.23452762406549</v>
      </c>
      <c r="I326" s="99">
        <f>IFERROR((Data_Entry!L324/Data_Entry!$V324/I$2),"")</f>
        <v>1.24710778423241</v>
      </c>
    </row>
    <row r="327" ht="15" spans="1:9">
      <c r="A327" s="98">
        <v>46070</v>
      </c>
      <c r="B327" s="25">
        <v>46070</v>
      </c>
      <c r="C327" s="99">
        <f>IFERROR((Data_Entry!F325/Data_Entry!$V325/C$2),"")</f>
        <v>1.19240739476595</v>
      </c>
      <c r="D327" s="99">
        <f>IFERROR((Data_Entry!G325/Data_Entry!$V325/D$2),"")</f>
        <v>1.18514018905818</v>
      </c>
      <c r="E327" s="99">
        <f>IFERROR((Data_Entry!H325/Data_Entry!$V325/E$2),"")</f>
        <v>1.19345276404454</v>
      </c>
      <c r="F327" s="99">
        <f>IFERROR((Data_Entry!I325/Data_Entry!$V325/F$2),"")</f>
        <v>1.19675780662228</v>
      </c>
      <c r="G327" s="99">
        <f>IFERROR((Data_Entry!J325/Data_Entry!$V325/G$2),"")</f>
        <v>1.19869740745243</v>
      </c>
      <c r="H327" s="99">
        <f>IFERROR((Data_Entry!K325/Data_Entry!$V325/H$2),"")</f>
        <v>1.19514348046551</v>
      </c>
      <c r="I327" s="99">
        <f>IFERROR((Data_Entry!L325/Data_Entry!$V325/I$2),"")</f>
        <v>1.20690155754766</v>
      </c>
    </row>
    <row r="328" ht="15" spans="1:9">
      <c r="A328" s="98">
        <v>46071</v>
      </c>
      <c r="B328" s="25">
        <v>46071</v>
      </c>
      <c r="C328" s="99">
        <f>IFERROR((Data_Entry!F326/Data_Entry!$V326/C$2),"")</f>
        <v>1.26898564628669</v>
      </c>
      <c r="D328" s="99">
        <f>IFERROR((Data_Entry!G326/Data_Entry!$V326/D$2),"")</f>
        <v>1.24530487522786</v>
      </c>
      <c r="E328" s="99">
        <f>IFERROR((Data_Entry!H326/Data_Entry!$V326/E$2),"")</f>
        <v>1.25856998381825</v>
      </c>
      <c r="F328" s="99">
        <f>IFERROR((Data_Entry!I326/Data_Entry!$V326/F$2),"")</f>
        <v>1.25728530304178</v>
      </c>
      <c r="G328" s="99">
        <f>IFERROR((Data_Entry!J326/Data_Entry!$V326/G$2),"")</f>
        <v>1.259695659714</v>
      </c>
      <c r="H328" s="99">
        <f>IFERROR((Data_Entry!K326/Data_Entry!$V326/H$2),"")</f>
        <v>1.25692683974181</v>
      </c>
      <c r="I328" s="99">
        <f>IFERROR((Data_Entry!L326/Data_Entry!$V326/I$2),"")</f>
        <v>1.26538162929975</v>
      </c>
    </row>
    <row r="329" ht="15" spans="1:9">
      <c r="A329" s="98">
        <v>46072</v>
      </c>
      <c r="B329" s="25">
        <v>46072</v>
      </c>
      <c r="C329" s="99">
        <f>IFERROR((Data_Entry!F327/Data_Entry!$V327/C$2),"")</f>
        <v>1.25050772830172</v>
      </c>
      <c r="D329" s="99">
        <f>IFERROR((Data_Entry!G327/Data_Entry!$V327/D$2),"")</f>
        <v>1.24444883723449</v>
      </c>
      <c r="E329" s="99">
        <f>IFERROR((Data_Entry!H327/Data_Entry!$V327/E$2),"")</f>
        <v>1.22900712715141</v>
      </c>
      <c r="F329" s="99">
        <f>IFERROR((Data_Entry!I327/Data_Entry!$V327/F$2),"")</f>
        <v>1.25333481835277</v>
      </c>
      <c r="G329" s="99">
        <f>IFERROR((Data_Entry!J327/Data_Entry!$V327/G$2),"")</f>
        <v>1.25168359761499</v>
      </c>
      <c r="H329" s="99">
        <f>IFERROR((Data_Entry!K327/Data_Entry!$V327/H$2),"")</f>
        <v>1.24680763990696</v>
      </c>
      <c r="I329" s="99">
        <f>IFERROR((Data_Entry!L327/Data_Entry!$V327/I$2),"")</f>
        <v>1.24345339542787</v>
      </c>
    </row>
    <row r="330" ht="15" spans="1:9">
      <c r="A330" s="98">
        <v>46073</v>
      </c>
      <c r="B330" s="25">
        <v>46073</v>
      </c>
      <c r="C330" s="99">
        <f>IFERROR((Data_Entry!F328/Data_Entry!$V328/C$2),"")</f>
        <v>1.17643191986754</v>
      </c>
      <c r="D330" s="99">
        <f>IFERROR((Data_Entry!G328/Data_Entry!$V328/D$2),"")</f>
        <v>1.17048826950757</v>
      </c>
      <c r="E330" s="99">
        <f>IFERROR((Data_Entry!H328/Data_Entry!$V328/E$2),"")</f>
        <v>1.17871214517845</v>
      </c>
      <c r="F330" s="99">
        <f>IFERROR((Data_Entry!I328/Data_Entry!$V328/F$2),"")</f>
        <v>1.17880116298338</v>
      </c>
      <c r="G330" s="99">
        <f>IFERROR((Data_Entry!J328/Data_Entry!$V328/G$2),"")</f>
        <v>1.18098879786843</v>
      </c>
      <c r="H330" s="99">
        <f>IFERROR((Data_Entry!K328/Data_Entry!$V328/H$2),"")</f>
        <v>1.18072680566663</v>
      </c>
      <c r="I330" s="99">
        <f>IFERROR((Data_Entry!L328/Data_Entry!$V328/I$2),"")</f>
        <v>1.1891105561243</v>
      </c>
    </row>
    <row r="331" ht="15" spans="1:9">
      <c r="A331" s="98">
        <v>46074</v>
      </c>
      <c r="B331" s="25">
        <v>46074</v>
      </c>
      <c r="C331" s="99">
        <f>IFERROR((Data_Entry!F329/Data_Entry!$V329/C$2),"")</f>
        <v>1.19051590611224</v>
      </c>
      <c r="D331" s="99">
        <f>IFERROR((Data_Entry!G329/Data_Entry!$V329/D$2),"")</f>
        <v>1.18360538544025</v>
      </c>
      <c r="E331" s="99">
        <f>IFERROR((Data_Entry!H329/Data_Entry!$V329/E$2),"")</f>
        <v>1.19266716973139</v>
      </c>
      <c r="F331" s="99">
        <f>IFERROR((Data_Entry!I329/Data_Entry!$V329/F$2),"")</f>
        <v>1.19181846385676</v>
      </c>
      <c r="G331" s="99">
        <f>IFERROR((Data_Entry!J329/Data_Entry!$V329/G$2),"")</f>
        <v>1.19523113061206</v>
      </c>
      <c r="H331" s="99">
        <f>IFERROR((Data_Entry!K329/Data_Entry!$V329/H$2),"")</f>
        <v>1.19399649236107</v>
      </c>
      <c r="I331" s="99">
        <f>IFERROR((Data_Entry!L329/Data_Entry!$V329/I$2),"")</f>
        <v>1.19934659144871</v>
      </c>
    </row>
    <row r="332" ht="15" spans="1:9">
      <c r="A332" s="98">
        <v>46075</v>
      </c>
      <c r="B332" s="25">
        <v>46075</v>
      </c>
      <c r="C332" s="99">
        <f>IFERROR((Data_Entry!F330/Data_Entry!$V330/C$2),"")</f>
        <v>1.14200287109346</v>
      </c>
      <c r="D332" s="99">
        <f>IFERROR((Data_Entry!G330/Data_Entry!$V330/D$2),"")</f>
        <v>1.13821446212112</v>
      </c>
      <c r="E332" s="99">
        <f>IFERROR((Data_Entry!H330/Data_Entry!$V330/E$2),"")</f>
        <v>1.14684682913061</v>
      </c>
      <c r="F332" s="99">
        <f>IFERROR((Data_Entry!I330/Data_Entry!$V330/F$2),"")</f>
        <v>1.1492370599492</v>
      </c>
      <c r="G332" s="99">
        <f>IFERROR((Data_Entry!J330/Data_Entry!$V330/G$2),"")</f>
        <v>1.1535108077411</v>
      </c>
      <c r="H332" s="99">
        <f>IFERROR((Data_Entry!K330/Data_Entry!$V330/H$2),"")</f>
        <v>1.15034353186943</v>
      </c>
      <c r="I332" s="99">
        <f>IFERROR((Data_Entry!L330/Data_Entry!$V330/I$2),"")</f>
        <v>1.15665733726426</v>
      </c>
    </row>
    <row r="333" ht="15" spans="1:9">
      <c r="A333" s="98">
        <v>46076</v>
      </c>
      <c r="B333" s="25">
        <v>46076</v>
      </c>
      <c r="C333" s="99">
        <f>IFERROR((Data_Entry!F331/Data_Entry!$V331/C$2),"")</f>
        <v>1.04930128848871</v>
      </c>
      <c r="D333" s="99">
        <f>IFERROR((Data_Entry!G331/Data_Entry!$V331/D$2),"")</f>
        <v>1.03464196354105</v>
      </c>
      <c r="E333" s="99">
        <f>IFERROR((Data_Entry!H331/Data_Entry!$V331/E$2),"")</f>
        <v>1.04305316788934</v>
      </c>
      <c r="F333" s="99">
        <f>IFERROR((Data_Entry!I331/Data_Entry!$V331/F$2),"")</f>
        <v>1.04417155773358</v>
      </c>
      <c r="G333" s="99">
        <f>IFERROR((Data_Entry!J331/Data_Entry!$V331/G$2),"")</f>
        <v>1.04833676589902</v>
      </c>
      <c r="H333" s="99">
        <f>IFERROR((Data_Entry!K331/Data_Entry!$V331/H$2),"")</f>
        <v>1.04955105297005</v>
      </c>
      <c r="I333" s="99">
        <f>IFERROR((Data_Entry!L331/Data_Entry!$V331/I$2),"")</f>
        <v>1.0662118856318</v>
      </c>
    </row>
    <row r="334" ht="15" spans="1:9">
      <c r="A334" s="98">
        <v>46077</v>
      </c>
      <c r="B334" s="25">
        <v>46077</v>
      </c>
      <c r="C334" s="99">
        <f>IFERROR((Data_Entry!F332/Data_Entry!$V332/C$2),"")</f>
        <v>0.983447645294474</v>
      </c>
      <c r="D334" s="99">
        <f>IFERROR((Data_Entry!G332/Data_Entry!$V332/D$2),"")</f>
        <v>0.974284989043665</v>
      </c>
      <c r="E334" s="99">
        <f>IFERROR((Data_Entry!H332/Data_Entry!$V332/E$2),"")</f>
        <v>0.987106232419356</v>
      </c>
      <c r="F334" s="99">
        <f>IFERROR((Data_Entry!I332/Data_Entry!$V332/F$2),"")</f>
        <v>0.985885483379457</v>
      </c>
      <c r="G334" s="99">
        <f>IFERROR((Data_Entry!J332/Data_Entry!$V332/G$2),"")</f>
        <v>0.990363627804879</v>
      </c>
      <c r="H334" s="99">
        <f>IFERROR((Data_Entry!K332/Data_Entry!$V332/H$2),"")</f>
        <v>0.989750437904303</v>
      </c>
      <c r="I334" s="99">
        <f>IFERROR((Data_Entry!L332/Data_Entry!$V332/I$2),"")</f>
        <v>0.997814814172491</v>
      </c>
    </row>
    <row r="335" ht="15" spans="1:9">
      <c r="A335" s="98">
        <v>46078</v>
      </c>
      <c r="B335" s="25">
        <v>46078</v>
      </c>
      <c r="C335" s="99">
        <f>IFERROR((Data_Entry!F333/Data_Entry!$V333/C$2),"")</f>
        <v>1.2097277112893</v>
      </c>
      <c r="D335" s="99">
        <f>IFERROR((Data_Entry!G333/Data_Entry!$V333/D$2),"")</f>
        <v>1.20496183496379</v>
      </c>
      <c r="E335" s="99">
        <f>IFERROR((Data_Entry!H333/Data_Entry!$V333/E$2),"")</f>
        <v>1.21370772502922</v>
      </c>
      <c r="F335" s="99">
        <f>IFERROR((Data_Entry!I333/Data_Entry!$V333/F$2),"")</f>
        <v>1.21327153271751</v>
      </c>
      <c r="G335" s="99">
        <f>IFERROR((Data_Entry!J333/Data_Entry!$V333/G$2),"")</f>
        <v>1.2217038492828</v>
      </c>
      <c r="H335" s="99">
        <f>IFERROR((Data_Entry!K333/Data_Entry!$V333/H$2),"")</f>
        <v>1.21956394436005</v>
      </c>
      <c r="I335" s="99">
        <f>IFERROR((Data_Entry!L333/Data_Entry!$V333/I$2),"")</f>
        <v>1.22662623681049</v>
      </c>
    </row>
    <row r="336" ht="15" spans="1:9">
      <c r="A336" s="98">
        <v>46079</v>
      </c>
      <c r="B336" s="25">
        <v>46079</v>
      </c>
      <c r="C336" s="99">
        <f>IFERROR((Data_Entry!F334/Data_Entry!$V334/C$2),"")</f>
        <v>1.3994208248601</v>
      </c>
      <c r="D336" s="99">
        <f>IFERROR((Data_Entry!G334/Data_Entry!$V334/D$2),"")</f>
        <v>1.38721043046076</v>
      </c>
      <c r="E336" s="99">
        <f>IFERROR((Data_Entry!H334/Data_Entry!$V334/E$2),"")</f>
        <v>1.39298746880327</v>
      </c>
      <c r="F336" s="99">
        <f>IFERROR((Data_Entry!I334/Data_Entry!$V334/F$2),"")</f>
        <v>1.4052731218034</v>
      </c>
      <c r="G336" s="99">
        <f>IFERROR((Data_Entry!J334/Data_Entry!$V334/G$2),"")</f>
        <v>1.41155094341861</v>
      </c>
      <c r="H336" s="99">
        <f>IFERROR((Data_Entry!K334/Data_Entry!$V334/H$2),"")</f>
        <v>1.40766697246327</v>
      </c>
      <c r="I336" s="99">
        <f>IFERROR((Data_Entry!L334/Data_Entry!$V334/I$2),"")</f>
        <v>1.41657320071079</v>
      </c>
    </row>
    <row r="337" ht="15" spans="1:9">
      <c r="A337" s="98">
        <v>46080</v>
      </c>
      <c r="B337" s="25">
        <v>46080</v>
      </c>
      <c r="C337" s="99">
        <f>IFERROR((Data_Entry!F335/Data_Entry!$V335/C$2),"")</f>
        <v>0.976577378103923</v>
      </c>
      <c r="D337" s="99">
        <f>IFERROR((Data_Entry!G335/Data_Entry!$V335/D$2),"")</f>
        <v>0.967629152318579</v>
      </c>
      <c r="E337" s="99">
        <f>IFERROR((Data_Entry!H335/Data_Entry!$V335/E$2),"")</f>
        <v>0.972829621874591</v>
      </c>
      <c r="F337" s="99">
        <f>IFERROR((Data_Entry!I335/Data_Entry!$V335/F$2),"")</f>
        <v>0.97711186196215</v>
      </c>
      <c r="G337" s="99">
        <f>IFERROR((Data_Entry!J335/Data_Entry!$V335/G$2),"")</f>
        <v>0.988018092666062</v>
      </c>
      <c r="H337" s="99">
        <f>IFERROR((Data_Entry!K335/Data_Entry!$V335/H$2),"")</f>
        <v>0.983429068397714</v>
      </c>
      <c r="I337" s="99">
        <f>IFERROR((Data_Entry!L335/Data_Entry!$V335/I$2),"")</f>
        <v>0.991824764196549</v>
      </c>
    </row>
    <row r="338" ht="15" spans="1:9">
      <c r="A338" s="98">
        <v>46081</v>
      </c>
      <c r="B338" s="25">
        <v>46081</v>
      </c>
      <c r="C338" s="99">
        <f>IFERROR((Data_Entry!F336/Data_Entry!$V336/C$2),"")</f>
        <v>1.36265515380464</v>
      </c>
      <c r="D338" s="99">
        <f>IFERROR((Data_Entry!G336/Data_Entry!$V336/D$2),"")</f>
        <v>1.35188610633835</v>
      </c>
      <c r="E338" s="99">
        <f>IFERROR((Data_Entry!H336/Data_Entry!$V336/E$2),"")</f>
        <v>1.34373856041422</v>
      </c>
      <c r="F338" s="99">
        <f>IFERROR((Data_Entry!I336/Data_Entry!$V336/F$2),"")</f>
        <v>1.34338138925295</v>
      </c>
      <c r="G338" s="99">
        <f>IFERROR((Data_Entry!J336/Data_Entry!$V336/G$2),"")</f>
        <v>1.34838998960635</v>
      </c>
      <c r="H338" s="99">
        <f>IFERROR((Data_Entry!K336/Data_Entry!$V336/H$2),"")</f>
        <v>1.34468349642333</v>
      </c>
      <c r="I338" s="99">
        <f>IFERROR((Data_Entry!L336/Data_Entry!$V336/I$2),"")</f>
        <v>1.35363709473848</v>
      </c>
    </row>
    <row r="339" ht="15" spans="1:9">
      <c r="A339" s="98">
        <v>46082</v>
      </c>
      <c r="B339" s="25">
        <v>46082</v>
      </c>
      <c r="C339" s="99">
        <f>IFERROR((Data_Entry!F337/Data_Entry!$V337/C$2),"")</f>
        <v>1.22401996764892</v>
      </c>
      <c r="D339" s="99">
        <f>IFERROR((Data_Entry!G337/Data_Entry!$V337/D$2),"")</f>
        <v>1.21725972898246</v>
      </c>
      <c r="E339" s="99">
        <f>IFERROR((Data_Entry!H337/Data_Entry!$V337/E$2),"")</f>
        <v>1.22373190670846</v>
      </c>
      <c r="F339" s="99">
        <f>IFERROR((Data_Entry!I337/Data_Entry!$V337/F$2),"")</f>
        <v>1.22665941595162</v>
      </c>
      <c r="G339" s="99">
        <f>IFERROR((Data_Entry!J337/Data_Entry!$V337/G$2),"")</f>
        <v>1.22817193574628</v>
      </c>
      <c r="H339" s="99">
        <f>IFERROR((Data_Entry!K337/Data_Entry!$V337/H$2),"")</f>
        <v>1.22582694381657</v>
      </c>
      <c r="I339" s="99">
        <f>IFERROR((Data_Entry!L337/Data_Entry!$V337/I$2),"")</f>
        <v>1.23137284973034</v>
      </c>
    </row>
    <row r="340" ht="15" spans="1:9">
      <c r="A340" s="98">
        <v>46083</v>
      </c>
      <c r="B340" s="25">
        <v>46083</v>
      </c>
      <c r="C340" s="99">
        <f>IFERROR((Data_Entry!F338/Data_Entry!$V338/C$2),"")</f>
        <v>1.19954704562248</v>
      </c>
      <c r="D340" s="99">
        <f>IFERROR((Data_Entry!G338/Data_Entry!$V338/D$2),"")</f>
        <v>1.19258455140208</v>
      </c>
      <c r="E340" s="99">
        <f>IFERROR((Data_Entry!H338/Data_Entry!$V338/E$2),"")</f>
        <v>1.19925285572584</v>
      </c>
      <c r="F340" s="99">
        <f>IFERROR((Data_Entry!I338/Data_Entry!$V338/F$2),"")</f>
        <v>1.20230081228175</v>
      </c>
      <c r="G340" s="99">
        <f>IFERROR((Data_Entry!J338/Data_Entry!$V338/G$2),"")</f>
        <v>1.2037371198387</v>
      </c>
      <c r="H340" s="99">
        <f>IFERROR((Data_Entry!K338/Data_Entry!$V338/H$2),"")</f>
        <v>1.20554276362458</v>
      </c>
      <c r="I340" s="99">
        <f>IFERROR((Data_Entry!L338/Data_Entry!$V338/I$2),"")</f>
        <v>1.2136388482619</v>
      </c>
    </row>
    <row r="341" ht="15" spans="1:9">
      <c r="A341" s="98">
        <v>46084</v>
      </c>
      <c r="B341" s="25">
        <v>46084</v>
      </c>
      <c r="C341" s="99">
        <f>IFERROR((Data_Entry!F339/Data_Entry!$V339/C$2),"")</f>
        <v>1.19217982757556</v>
      </c>
      <c r="D341" s="99">
        <f>IFERROR((Data_Entry!G339/Data_Entry!$V339/D$2),"")</f>
        <v>1.18458130458369</v>
      </c>
      <c r="E341" s="99">
        <f>IFERROR((Data_Entry!H339/Data_Entry!$V339/E$2),"")</f>
        <v>1.19194721972887</v>
      </c>
      <c r="F341" s="99">
        <f>IFERROR((Data_Entry!I339/Data_Entry!$V339/F$2),"")</f>
        <v>1.1958521099088</v>
      </c>
      <c r="G341" s="99">
        <f>IFERROR((Data_Entry!J339/Data_Entry!$V339/G$2),"")</f>
        <v>1.19994971625158</v>
      </c>
      <c r="H341" s="99">
        <f>IFERROR((Data_Entry!K339/Data_Entry!$V339/H$2),"")</f>
        <v>1.19866419269306</v>
      </c>
      <c r="I341" s="99">
        <f>IFERROR((Data_Entry!L339/Data_Entry!$V339/I$2),"")</f>
        <v>1.20619192199245</v>
      </c>
    </row>
    <row r="342" ht="15" spans="1:9">
      <c r="A342" s="98">
        <v>46085</v>
      </c>
      <c r="B342" s="25">
        <v>46085</v>
      </c>
      <c r="C342" s="99">
        <f>IFERROR((Data_Entry!F340/Data_Entry!$V340/C$2),"")</f>
        <v>1.2055187006953</v>
      </c>
      <c r="D342" s="99">
        <f>IFERROR((Data_Entry!G340/Data_Entry!$V340/D$2),"")</f>
        <v>0.750708617287347</v>
      </c>
      <c r="E342" s="99">
        <f>IFERROR((Data_Entry!H340/Data_Entry!$V340/E$2),"")</f>
        <v>1.20541642867114</v>
      </c>
      <c r="F342" s="99">
        <f>IFERROR((Data_Entry!I340/Data_Entry!$V340/F$2),"")</f>
        <v>1.20961124914005</v>
      </c>
      <c r="G342" s="99">
        <f>IFERROR((Data_Entry!J340/Data_Entry!$V340/G$2),"")</f>
        <v>1.21307793726309</v>
      </c>
      <c r="H342" s="99">
        <f>IFERROR((Data_Entry!K340/Data_Entry!$V340/H$2),"")</f>
        <v>1.21294342731828</v>
      </c>
      <c r="I342" s="99">
        <f>IFERROR((Data_Entry!L340/Data_Entry!$V340/I$2),"")</f>
        <v>1.22080003091283</v>
      </c>
    </row>
    <row r="343" ht="15" spans="1:9">
      <c r="A343" s="98">
        <v>46086</v>
      </c>
      <c r="B343" s="25">
        <v>46086</v>
      </c>
      <c r="C343" s="99">
        <f>IFERROR((Data_Entry!F341/Data_Entry!$V341/C$2),"")</f>
        <v>1.21310753845442</v>
      </c>
      <c r="D343" s="99">
        <f>IFERROR((Data_Entry!G341/Data_Entry!$V341/D$2),"")</f>
        <v>0.904457965266215</v>
      </c>
      <c r="E343" s="99">
        <f>IFERROR((Data_Entry!H341/Data_Entry!$V341/E$2),"")</f>
        <v>1.20032509381588</v>
      </c>
      <c r="F343" s="99">
        <f>IFERROR((Data_Entry!I341/Data_Entry!$V341/F$2),"")</f>
        <v>1.19770310191676</v>
      </c>
      <c r="G343" s="99">
        <f>IFERROR((Data_Entry!J341/Data_Entry!$V341/G$2),"")</f>
        <v>1.20046985324209</v>
      </c>
      <c r="H343" s="99">
        <f>IFERROR((Data_Entry!K341/Data_Entry!$V341/H$2),"")</f>
        <v>1.20012842435513</v>
      </c>
      <c r="I343" s="99">
        <f>IFERROR((Data_Entry!L341/Data_Entry!$V341/I$2),"")</f>
        <v>1.20904678235062</v>
      </c>
    </row>
    <row r="344" ht="15" spans="1:9">
      <c r="A344" s="98">
        <v>46087</v>
      </c>
      <c r="B344" s="25">
        <v>46087</v>
      </c>
      <c r="C344" s="99">
        <f>IFERROR((Data_Entry!F342/Data_Entry!$V342/C$2),"")</f>
        <v>1.36881417019132</v>
      </c>
      <c r="D344" s="99">
        <f>IFERROR((Data_Entry!G342/Data_Entry!$V342/D$2),"")</f>
        <v>1.36448629562877</v>
      </c>
      <c r="E344" s="99">
        <f>IFERROR((Data_Entry!H342/Data_Entry!$V342/E$2),"")</f>
        <v>1.37071087425413</v>
      </c>
      <c r="F344" s="99">
        <f>IFERROR((Data_Entry!I342/Data_Entry!$V342/F$2),"")</f>
        <v>1.37734381244239</v>
      </c>
      <c r="G344" s="99">
        <f>IFERROR((Data_Entry!J342/Data_Entry!$V342/G$2),"")</f>
        <v>1.37837873896821</v>
      </c>
      <c r="H344" s="99">
        <f>IFERROR((Data_Entry!K342/Data_Entry!$V342/H$2),"")</f>
        <v>1.37427020535062</v>
      </c>
      <c r="I344" s="99">
        <f>IFERROR((Data_Entry!L342/Data_Entry!$V342/I$2),"")</f>
        <v>1.38123413865995</v>
      </c>
    </row>
    <row r="345" ht="15" spans="1:9">
      <c r="A345" s="98">
        <v>46088</v>
      </c>
      <c r="B345" s="25">
        <v>46088</v>
      </c>
      <c r="C345" s="99">
        <f>IFERROR((Data_Entry!F343/Data_Entry!$V343/C$2),"")</f>
        <v>1.11438246731714</v>
      </c>
      <c r="D345" s="99">
        <f>IFERROR((Data_Entry!G343/Data_Entry!$V343/D$2),"")</f>
        <v>1.10988455190953</v>
      </c>
      <c r="E345" s="99">
        <f>IFERROR((Data_Entry!H343/Data_Entry!$V343/E$2),"")</f>
        <v>1.11535741440682</v>
      </c>
      <c r="F345" s="99">
        <f>IFERROR((Data_Entry!I343/Data_Entry!$V343/F$2),"")</f>
        <v>1.11943013949925</v>
      </c>
      <c r="G345" s="99">
        <f>IFERROR((Data_Entry!J343/Data_Entry!$V343/G$2),"")</f>
        <v>1.12029976421728</v>
      </c>
      <c r="H345" s="99">
        <f>IFERROR((Data_Entry!K343/Data_Entry!$V343/H$2),"")</f>
        <v>1.12226214104809</v>
      </c>
      <c r="I345" s="99">
        <f>IFERROR((Data_Entry!L343/Data_Entry!$V343/I$2),"")</f>
        <v>1.12839528379631</v>
      </c>
    </row>
    <row r="346" ht="15" spans="1:9">
      <c r="A346" s="98">
        <v>46089</v>
      </c>
      <c r="B346" s="25">
        <v>46089</v>
      </c>
      <c r="C346" s="99">
        <f>IFERROR((Data_Entry!F344/Data_Entry!$V344/C$2),"")</f>
        <v>1.17591991954887</v>
      </c>
      <c r="D346" s="99">
        <f>IFERROR((Data_Entry!G344/Data_Entry!$V344/D$2),"")</f>
        <v>1.17259802529935</v>
      </c>
      <c r="E346" s="99">
        <f>IFERROR((Data_Entry!H344/Data_Entry!$V344/E$2),"")</f>
        <v>1.17759312458599</v>
      </c>
      <c r="F346" s="99">
        <f>IFERROR((Data_Entry!I344/Data_Entry!$V344/F$2),"")</f>
        <v>1.1801171886267</v>
      </c>
      <c r="G346" s="99">
        <f>IFERROR((Data_Entry!J344/Data_Entry!$V344/G$2),"")</f>
        <v>1.18323602789321</v>
      </c>
      <c r="H346" s="99">
        <f>IFERROR((Data_Entry!K344/Data_Entry!$V344/H$2),"")</f>
        <v>1.18193455737222</v>
      </c>
      <c r="I346" s="99">
        <f>IFERROR((Data_Entry!L344/Data_Entry!$V344/I$2),"")</f>
        <v>1.19100381366038</v>
      </c>
    </row>
    <row r="347" ht="15" spans="1:9">
      <c r="A347" s="98">
        <v>46090</v>
      </c>
      <c r="B347" s="25">
        <v>46090</v>
      </c>
      <c r="C347" s="99">
        <f>IFERROR((Data_Entry!F345/Data_Entry!$V345/C$2),"")</f>
        <v>1.17477395453441</v>
      </c>
      <c r="D347" s="99">
        <f>IFERROR((Data_Entry!G345/Data_Entry!$V345/D$2),"")</f>
        <v>1.1707457698601</v>
      </c>
      <c r="E347" s="99">
        <f>IFERROR((Data_Entry!H345/Data_Entry!$V345/E$2),"")</f>
        <v>1.17726730378312</v>
      </c>
      <c r="F347" s="99">
        <f>IFERROR((Data_Entry!I345/Data_Entry!$V345/F$2),"")</f>
        <v>1.17910757646991</v>
      </c>
      <c r="G347" s="99">
        <f>IFERROR((Data_Entry!J345/Data_Entry!$V345/G$2),"")</f>
        <v>1.18289098931488</v>
      </c>
      <c r="H347" s="99">
        <f>IFERROR((Data_Entry!K345/Data_Entry!$V345/H$2),"")</f>
        <v>1.18269369478002</v>
      </c>
      <c r="I347" s="99">
        <f>IFERROR((Data_Entry!L345/Data_Entry!$V345/I$2),"")</f>
        <v>1.1909742624637</v>
      </c>
    </row>
    <row r="348" ht="15" spans="1:9">
      <c r="A348" s="98">
        <v>46091</v>
      </c>
      <c r="B348" s="25">
        <v>46091</v>
      </c>
      <c r="C348" s="99">
        <f>IFERROR((Data_Entry!F346/Data_Entry!$V346/C$2),"")</f>
        <v>1.15560367807233</v>
      </c>
      <c r="D348" s="99">
        <f>IFERROR((Data_Entry!G346/Data_Entry!$V346/D$2),"")</f>
        <v>1.15377764857389</v>
      </c>
      <c r="E348" s="99">
        <f>IFERROR((Data_Entry!H346/Data_Entry!$V346/E$2),"")</f>
        <v>1.1591890050942</v>
      </c>
      <c r="F348" s="99">
        <f>IFERROR((Data_Entry!I346/Data_Entry!$V346/F$2),"")</f>
        <v>1.16212283813063</v>
      </c>
      <c r="G348" s="99">
        <f>IFERROR((Data_Entry!J346/Data_Entry!$V346/G$2),"")</f>
        <v>1.16537819795582</v>
      </c>
      <c r="H348" s="99">
        <f>IFERROR((Data_Entry!K346/Data_Entry!$V346/H$2),"")</f>
        <v>1.16402615011398</v>
      </c>
      <c r="I348" s="99">
        <f>IFERROR((Data_Entry!L346/Data_Entry!$V346/I$2),"")</f>
        <v>1.17375741290694</v>
      </c>
    </row>
    <row r="349" ht="15" spans="1:9">
      <c r="A349" s="98">
        <v>46092</v>
      </c>
      <c r="B349" s="25">
        <v>46092</v>
      </c>
      <c r="C349" s="99">
        <f>IFERROR((Data_Entry!F347/Data_Entry!$V347/C$2),"")</f>
        <v>1.1579590134636</v>
      </c>
      <c r="D349" s="99">
        <f>IFERROR((Data_Entry!G347/Data_Entry!$V347/D$2),"")</f>
        <v>1.14978597504165</v>
      </c>
      <c r="E349" s="99">
        <f>IFERROR((Data_Entry!H347/Data_Entry!$V347/E$2),"")</f>
        <v>1.14187540163251</v>
      </c>
      <c r="F349" s="99">
        <f>IFERROR((Data_Entry!I347/Data_Entry!$V347/F$2),"")</f>
        <v>1.13771019599454</v>
      </c>
      <c r="G349" s="99">
        <f>IFERROR((Data_Entry!J347/Data_Entry!$V347/G$2),"")</f>
        <v>1.14246269695438</v>
      </c>
      <c r="H349" s="99">
        <f>IFERROR((Data_Entry!K347/Data_Entry!$V347/H$2),"")</f>
        <v>1.14321001897264</v>
      </c>
      <c r="I349" s="99">
        <f>IFERROR((Data_Entry!L347/Data_Entry!$V347/I$2),"")</f>
        <v>1.15023951670685</v>
      </c>
    </row>
    <row r="350" ht="15" spans="1:9">
      <c r="A350" s="98">
        <v>46093</v>
      </c>
      <c r="B350" s="25">
        <v>46093</v>
      </c>
      <c r="C350" s="99">
        <f>IFERROR((Data_Entry!F348/Data_Entry!$V348/C$2),"")</f>
        <v>1.17518647947094</v>
      </c>
      <c r="D350" s="99">
        <f>IFERROR((Data_Entry!G348/Data_Entry!$V348/D$2),"")</f>
        <v>1.16605633197871</v>
      </c>
      <c r="E350" s="99">
        <f>IFERROR((Data_Entry!H348/Data_Entry!$V348/E$2),"")</f>
        <v>1.17130389183305</v>
      </c>
      <c r="F350" s="99">
        <f>IFERROR((Data_Entry!I348/Data_Entry!$V348/F$2),"")</f>
        <v>1.14633347256138</v>
      </c>
      <c r="G350" s="99">
        <f>IFERROR((Data_Entry!J348/Data_Entry!$V348/G$2),"")</f>
        <v>1.15511307936265</v>
      </c>
      <c r="H350" s="99">
        <f>IFERROR((Data_Entry!K348/Data_Entry!$V348/H$2),"")</f>
        <v>1.15644771886318</v>
      </c>
      <c r="I350" s="99">
        <f>IFERROR((Data_Entry!L348/Data_Entry!$V348/I$2),"")</f>
        <v>1.17815592047823</v>
      </c>
    </row>
    <row r="351" ht="15" spans="1:9">
      <c r="A351" s="98">
        <v>46094</v>
      </c>
      <c r="B351" s="25">
        <v>46094</v>
      </c>
      <c r="C351" s="99">
        <f>IFERROR((Data_Entry!F349/Data_Entry!$V349/C$2),"")</f>
        <v>1.12064155301507</v>
      </c>
      <c r="D351" s="99">
        <f>IFERROR((Data_Entry!G349/Data_Entry!$V349/D$2),"")</f>
        <v>1.11190607920556</v>
      </c>
      <c r="E351" s="99">
        <f>IFERROR((Data_Entry!H349/Data_Entry!$V349/E$2),"")</f>
        <v>1.11638293580341</v>
      </c>
      <c r="F351" s="99">
        <f>IFERROR((Data_Entry!I349/Data_Entry!$V349/F$2),"")</f>
        <v>1.09326135759054</v>
      </c>
      <c r="G351" s="99">
        <f>IFERROR((Data_Entry!J349/Data_Entry!$V349/G$2),"")</f>
        <v>1.09264638926141</v>
      </c>
      <c r="H351" s="99">
        <f>IFERROR((Data_Entry!K349/Data_Entry!$V349/H$2),"")</f>
        <v>1.09502163390879</v>
      </c>
      <c r="I351" s="99">
        <f>IFERROR((Data_Entry!L349/Data_Entry!$V349/I$2),"")</f>
        <v>1.12485041882728</v>
      </c>
    </row>
    <row r="352" ht="15" spans="1:9">
      <c r="A352" s="98">
        <v>46095</v>
      </c>
      <c r="B352" s="25">
        <v>46095</v>
      </c>
      <c r="C352" s="99">
        <f>IFERROR((Data_Entry!F350/Data_Entry!$V350/C$2),"")</f>
        <v>1.13565522543978</v>
      </c>
      <c r="D352" s="99">
        <f>IFERROR((Data_Entry!G350/Data_Entry!$V350/D$2),"")</f>
        <v>1.07604830313829</v>
      </c>
      <c r="E352" s="99">
        <f>IFERROR((Data_Entry!H350/Data_Entry!$V350/E$2),"")</f>
        <v>1.13540979173388</v>
      </c>
      <c r="F352" s="99">
        <f>IFERROR((Data_Entry!I350/Data_Entry!$V350/F$2),"")</f>
        <v>1.12442784601191</v>
      </c>
      <c r="G352" s="99">
        <f>IFERROR((Data_Entry!J350/Data_Entry!$V350/G$2),"")</f>
        <v>1.12010074306655</v>
      </c>
      <c r="H352" s="99">
        <f>IFERROR((Data_Entry!K350/Data_Entry!$V350/H$2),"")</f>
        <v>1.1088374701718</v>
      </c>
      <c r="I352" s="99">
        <f>IFERROR((Data_Entry!L350/Data_Entry!$V350/I$2),"")</f>
        <v>1.13832686348742</v>
      </c>
    </row>
    <row r="353" ht="15" spans="1:9">
      <c r="A353" s="98">
        <v>46096</v>
      </c>
      <c r="B353" s="25">
        <v>46096</v>
      </c>
      <c r="C353" s="99">
        <f>IFERROR((Data_Entry!F351/Data_Entry!$V351/C$2),"")</f>
        <v>1.14827540117279</v>
      </c>
      <c r="D353" s="99">
        <f>IFERROR((Data_Entry!G351/Data_Entry!$V351/D$2),"")</f>
        <v>1.15118384976535</v>
      </c>
      <c r="E353" s="99">
        <f>IFERROR((Data_Entry!H351/Data_Entry!$V351/E$2),"")</f>
        <v>0.798407176716868</v>
      </c>
      <c r="F353" s="99">
        <f>IFERROR((Data_Entry!I351/Data_Entry!$V351/F$2),"")</f>
        <v>1.15049738363791</v>
      </c>
      <c r="G353" s="99">
        <f>IFERROR((Data_Entry!J351/Data_Entry!$V351/G$2),"")</f>
        <v>1.1509843725808</v>
      </c>
      <c r="H353" s="99">
        <f>IFERROR((Data_Entry!K351/Data_Entry!$V351/H$2),"")</f>
        <v>1.14234171823805</v>
      </c>
      <c r="I353" s="99">
        <f>IFERROR((Data_Entry!L351/Data_Entry!$V351/I$2),"")</f>
        <v>1.15033505399028</v>
      </c>
    </row>
    <row r="354" ht="15" spans="1:9">
      <c r="A354" s="98">
        <v>46097</v>
      </c>
      <c r="B354" s="25">
        <v>46097</v>
      </c>
      <c r="C354" s="99">
        <f>IFERROR((Data_Entry!F352/Data_Entry!$V352/C$2),"")</f>
        <v>1.1266338664877</v>
      </c>
      <c r="D354" s="99">
        <f>IFERROR((Data_Entry!G352/Data_Entry!$V352/D$2),"")</f>
        <v>1.09177049388525</v>
      </c>
      <c r="E354" s="99">
        <f>IFERROR((Data_Entry!H352/Data_Entry!$V352/E$2),"")</f>
        <v>1.13218171451728</v>
      </c>
      <c r="F354" s="99">
        <f>IFERROR((Data_Entry!I352/Data_Entry!$V352/F$2),"")</f>
        <v>1.12884354262732</v>
      </c>
      <c r="G354" s="99">
        <f>IFERROR((Data_Entry!J352/Data_Entry!$V352/G$2),"")</f>
        <v>1.12934254896084</v>
      </c>
      <c r="H354" s="99">
        <f>IFERROR((Data_Entry!K352/Data_Entry!$V352/H$2),"")</f>
        <v>1.12138527592206</v>
      </c>
      <c r="I354" s="99">
        <f>IFERROR((Data_Entry!L352/Data_Entry!$V352/I$2),"")</f>
        <v>1.12649874942574</v>
      </c>
    </row>
    <row r="355" ht="15" spans="1:9">
      <c r="A355" s="98">
        <v>46098</v>
      </c>
      <c r="B355" s="25">
        <v>46098</v>
      </c>
      <c r="C355" s="99">
        <f>IFERROR((Data_Entry!F353/Data_Entry!$V353/C$2),"")</f>
        <v>1.09702033440566</v>
      </c>
      <c r="D355" s="99">
        <f>IFERROR((Data_Entry!G353/Data_Entry!$V353/D$2),"")</f>
        <v>1.07843183713701</v>
      </c>
      <c r="E355" s="99">
        <f>IFERROR((Data_Entry!H353/Data_Entry!$V353/E$2),"")</f>
        <v>1.10106523654272</v>
      </c>
      <c r="F355" s="99">
        <f>IFERROR((Data_Entry!I353/Data_Entry!$V353/F$2),"")</f>
        <v>1.08698889861634</v>
      </c>
      <c r="G355" s="99">
        <f>IFERROR((Data_Entry!J353/Data_Entry!$V353/G$2),"")</f>
        <v>1.08024371586398</v>
      </c>
      <c r="H355" s="99">
        <f>IFERROR((Data_Entry!K353/Data_Entry!$V353/H$2),"")</f>
        <v>1.08386452996545</v>
      </c>
      <c r="I355" s="99">
        <f>IFERROR((Data_Entry!L353/Data_Entry!$V353/I$2),"")</f>
        <v>1.09897373933074</v>
      </c>
    </row>
    <row r="356" ht="15" spans="1:9">
      <c r="A356" s="98">
        <v>46099</v>
      </c>
      <c r="B356" s="25">
        <v>46099</v>
      </c>
      <c r="C356" s="99">
        <f>IFERROR((Data_Entry!F354/Data_Entry!$V354/C$2),"")</f>
        <v>1.15665358301766</v>
      </c>
      <c r="D356" s="99">
        <f>IFERROR((Data_Entry!G354/Data_Entry!$V354/D$2),"")</f>
        <v>1.1575399491865</v>
      </c>
      <c r="E356" s="99">
        <f>IFERROR((Data_Entry!H354/Data_Entry!$V354/E$2),"")</f>
        <v>1.16019904769301</v>
      </c>
      <c r="F356" s="99">
        <f>IFERROR((Data_Entry!I354/Data_Entry!$V354/F$2),"")</f>
        <v>1.14292473843625</v>
      </c>
      <c r="G356" s="99">
        <f>IFERROR((Data_Entry!J354/Data_Entry!$V354/G$2),"")</f>
        <v>1.13848949949972</v>
      </c>
      <c r="H356" s="99">
        <f>IFERROR((Data_Entry!K354/Data_Entry!$V354/H$2),"")</f>
        <v>1.14061772208435</v>
      </c>
      <c r="I356" s="99">
        <f>IFERROR((Data_Entry!L354/Data_Entry!$V354/I$2),"")</f>
        <v>1.15316212349781</v>
      </c>
    </row>
    <row r="357" ht="15" spans="1:9">
      <c r="A357" s="98">
        <v>46100</v>
      </c>
      <c r="B357" s="25">
        <v>46100</v>
      </c>
      <c r="C357" s="99">
        <f>IFERROR((Data_Entry!F355/Data_Entry!$V355/C$2),"")</f>
        <v>1.22020124726832</v>
      </c>
      <c r="D357" s="99">
        <f>IFERROR((Data_Entry!G355/Data_Entry!$V355/D$2),"")</f>
        <v>1.22036775692255</v>
      </c>
      <c r="E357" s="99">
        <f>IFERROR((Data_Entry!H355/Data_Entry!$V355/E$2),"")</f>
        <v>1.2246137531054</v>
      </c>
      <c r="F357" s="99">
        <f>IFERROR((Data_Entry!I355/Data_Entry!$V355/F$2),"")</f>
        <v>1.20760362555386</v>
      </c>
      <c r="G357" s="99">
        <f>IFERROR((Data_Entry!J355/Data_Entry!$V355/G$2),"")</f>
        <v>1.20094082620128</v>
      </c>
      <c r="H357" s="99">
        <f>IFERROR((Data_Entry!K355/Data_Entry!$V355/H$2),"")</f>
        <v>1.2070461801897</v>
      </c>
      <c r="I357" s="99">
        <f>IFERROR((Data_Entry!L355/Data_Entry!$V355/I$2),"")</f>
        <v>1.22112388771953</v>
      </c>
    </row>
    <row r="358" ht="15" spans="1:9">
      <c r="A358" s="98">
        <v>46101</v>
      </c>
      <c r="B358" s="25">
        <v>46101</v>
      </c>
      <c r="C358" s="99">
        <f>IFERROR((Data_Entry!F356/Data_Entry!$V356/C$2),"")</f>
        <v>1.57818296856576</v>
      </c>
      <c r="D358" s="99">
        <f>IFERROR((Data_Entry!G356/Data_Entry!$V356/D$2),"")</f>
        <v>1.24896457544354</v>
      </c>
      <c r="E358" s="99">
        <f>IFERROR((Data_Entry!H356/Data_Entry!$V356/E$2),"")</f>
        <v>1.57665017677672</v>
      </c>
      <c r="F358" s="99">
        <f>IFERROR((Data_Entry!I356/Data_Entry!$V356/F$2),"")</f>
        <v>1.57477214613784</v>
      </c>
      <c r="G358" s="99">
        <f>IFERROR((Data_Entry!J356/Data_Entry!$V356/G$2),"")</f>
        <v>1.57312461825343</v>
      </c>
      <c r="H358" s="99">
        <f>IFERROR((Data_Entry!K356/Data_Entry!$V356/H$2),"")</f>
        <v>1.57496864028919</v>
      </c>
      <c r="I358" s="99">
        <f>IFERROR((Data_Entry!L356/Data_Entry!$V356/I$2),"")</f>
        <v>1.58803550135407</v>
      </c>
    </row>
    <row r="359" ht="15" spans="1:9">
      <c r="A359" s="98">
        <v>46102</v>
      </c>
      <c r="B359" s="25">
        <v>46102</v>
      </c>
      <c r="C359" s="99">
        <f>IFERROR((Data_Entry!F357/Data_Entry!$V357/C$2),"")</f>
        <v>1.24039346093132</v>
      </c>
      <c r="D359" s="99">
        <f>IFERROR((Data_Entry!G357/Data_Entry!$V357/D$2),"")</f>
        <v>1.1772340940156</v>
      </c>
      <c r="E359" s="99">
        <f>IFERROR((Data_Entry!H357/Data_Entry!$V357/E$2),"")</f>
        <v>1.238169044406</v>
      </c>
      <c r="F359" s="99">
        <f>IFERROR((Data_Entry!I357/Data_Entry!$V357/F$2),"")</f>
        <v>1.23737532456638</v>
      </c>
      <c r="G359" s="99">
        <f>IFERROR((Data_Entry!J357/Data_Entry!$V357/G$2),"")</f>
        <v>1.23637261406871</v>
      </c>
      <c r="H359" s="99">
        <f>IFERROR((Data_Entry!K357/Data_Entry!$V357/H$2),"")</f>
        <v>1.23670888893074</v>
      </c>
      <c r="I359" s="99">
        <f>IFERROR((Data_Entry!L357/Data_Entry!$V357/I$2),"")</f>
        <v>1.24470611655849</v>
      </c>
    </row>
    <row r="360" ht="15" spans="1:9">
      <c r="A360" s="98">
        <v>46103</v>
      </c>
      <c r="B360" s="25">
        <v>46103</v>
      </c>
      <c r="C360" s="99">
        <f>IFERROR((Data_Entry!F358/Data_Entry!$V358/C$2),"")</f>
        <v>1.17446122797805</v>
      </c>
      <c r="D360" s="99">
        <f>IFERROR((Data_Entry!G358/Data_Entry!$V358/D$2),"")</f>
        <v>1.1439145103773</v>
      </c>
      <c r="E360" s="99">
        <f>IFERROR((Data_Entry!H358/Data_Entry!$V358/E$2),"")</f>
        <v>1.17269608859823</v>
      </c>
      <c r="F360" s="99">
        <f>IFERROR((Data_Entry!I358/Data_Entry!$V358/F$2),"")</f>
        <v>1.17031512236051</v>
      </c>
      <c r="G360" s="99">
        <f>IFERROR((Data_Entry!J358/Data_Entry!$V358/G$2),"")</f>
        <v>1.16904296423864</v>
      </c>
      <c r="H360" s="99">
        <f>IFERROR((Data_Entry!K358/Data_Entry!$V358/H$2),"")</f>
        <v>1.17027994748156</v>
      </c>
      <c r="I360" s="99">
        <f>IFERROR((Data_Entry!L358/Data_Entry!$V358/I$2),"")</f>
        <v>1.17812394548644</v>
      </c>
    </row>
    <row r="361" ht="15" spans="1:9">
      <c r="A361" s="98">
        <v>46104</v>
      </c>
      <c r="B361" s="25">
        <v>46104</v>
      </c>
      <c r="C361" s="99">
        <f>IFERROR((Data_Entry!F359/Data_Entry!$V359/C$2),"")</f>
        <v>1.10308206486589</v>
      </c>
      <c r="D361" s="99">
        <f>IFERROR((Data_Entry!G359/Data_Entry!$V359/D$2),"")</f>
        <v>1.03515123109266</v>
      </c>
      <c r="E361" s="99">
        <f>IFERROR((Data_Entry!H359/Data_Entry!$V359/E$2),"")</f>
        <v>1.10354892085252</v>
      </c>
      <c r="F361" s="99">
        <f>IFERROR((Data_Entry!I359/Data_Entry!$V359/F$2),"")</f>
        <v>1.10379049666924</v>
      </c>
      <c r="G361" s="99">
        <f>IFERROR((Data_Entry!J359/Data_Entry!$V359/G$2),"")</f>
        <v>1.10085956735206</v>
      </c>
      <c r="H361" s="99">
        <f>IFERROR((Data_Entry!K359/Data_Entry!$V359/H$2),"")</f>
        <v>1.10175268315258</v>
      </c>
      <c r="I361" s="99">
        <f>IFERROR((Data_Entry!L359/Data_Entry!$V359/I$2),"")</f>
        <v>1.11113668860587</v>
      </c>
    </row>
    <row r="362" ht="15" spans="1:9">
      <c r="A362" s="98">
        <v>46105</v>
      </c>
      <c r="B362" s="25">
        <v>46105</v>
      </c>
      <c r="C362" s="99">
        <f>IFERROR((Data_Entry!F360/Data_Entry!$V360/C$2),"")</f>
        <v>1.15883548131661</v>
      </c>
      <c r="D362" s="99">
        <f>IFERROR((Data_Entry!G360/Data_Entry!$V360/D$2),"")</f>
        <v>1.15360303413401</v>
      </c>
      <c r="E362" s="99">
        <f>IFERROR((Data_Entry!H360/Data_Entry!$V360/E$2),"")</f>
        <v>1.15666737662759</v>
      </c>
      <c r="F362" s="99">
        <f>IFERROR((Data_Entry!I360/Data_Entry!$V360/F$2),"")</f>
        <v>1.15492676132619</v>
      </c>
      <c r="G362" s="99">
        <f>IFERROR((Data_Entry!J360/Data_Entry!$V360/G$2),"")</f>
        <v>1.15266381817384</v>
      </c>
      <c r="H362" s="99">
        <f>IFERROR((Data_Entry!K360/Data_Entry!$V360/H$2),"")</f>
        <v>1.15397493844038</v>
      </c>
      <c r="I362" s="99">
        <f>IFERROR((Data_Entry!L360/Data_Entry!$V360/I$2),"")</f>
        <v>1.16169037693195</v>
      </c>
    </row>
    <row r="363" ht="15" spans="1:9">
      <c r="A363" s="98">
        <v>46106</v>
      </c>
      <c r="B363" s="25">
        <v>46106</v>
      </c>
      <c r="C363" s="99">
        <f>IFERROR((Data_Entry!F361/Data_Entry!$V361/C$2),"")</f>
        <v>1.05147714880539</v>
      </c>
      <c r="D363" s="99">
        <f>IFERROR((Data_Entry!G361/Data_Entry!$V361/D$2),"")</f>
        <v>1.04808919282972</v>
      </c>
      <c r="E363" s="99">
        <f>IFERROR((Data_Entry!H361/Data_Entry!$V361/E$2),"")</f>
        <v>1.05290964025819</v>
      </c>
      <c r="F363" s="99">
        <f>IFERROR((Data_Entry!I361/Data_Entry!$V361/F$2),"")</f>
        <v>1.04876465851994</v>
      </c>
      <c r="G363" s="99">
        <f>IFERROR((Data_Entry!J361/Data_Entry!$V361/G$2),"")</f>
        <v>1.04687790217924</v>
      </c>
      <c r="H363" s="99">
        <f>IFERROR((Data_Entry!K361/Data_Entry!$V361/H$2),"")</f>
        <v>1.04965094463963</v>
      </c>
      <c r="I363" s="99">
        <f>IFERROR((Data_Entry!L361/Data_Entry!$V361/I$2),"")</f>
        <v>1.06036793814832</v>
      </c>
    </row>
    <row r="364" ht="15" spans="1:9">
      <c r="A364" s="98">
        <v>46107</v>
      </c>
      <c r="B364" s="25">
        <v>46107</v>
      </c>
      <c r="C364" s="99">
        <f>IFERROR((Data_Entry!F362/Data_Entry!$V362/C$2),"")</f>
        <v>1.13980937904721</v>
      </c>
      <c r="D364" s="99">
        <f>IFERROR((Data_Entry!G362/Data_Entry!$V362/D$2),"")</f>
        <v>1.13695408331964</v>
      </c>
      <c r="E364" s="99">
        <f>IFERROR((Data_Entry!H362/Data_Entry!$V362/E$2),"")</f>
        <v>1.13901036625102</v>
      </c>
      <c r="F364" s="99">
        <f>IFERROR((Data_Entry!I362/Data_Entry!$V362/F$2),"")</f>
        <v>1.12976986500352</v>
      </c>
      <c r="G364" s="99">
        <f>IFERROR((Data_Entry!J362/Data_Entry!$V362/G$2),"")</f>
        <v>1.11884525526328</v>
      </c>
      <c r="H364" s="99">
        <f>IFERROR((Data_Entry!K362/Data_Entry!$V362/H$2),"")</f>
        <v>1.12539777324534</v>
      </c>
      <c r="I364" s="99">
        <f>IFERROR((Data_Entry!L362/Data_Entry!$V362/I$2),"")</f>
        <v>1.14157114095747</v>
      </c>
    </row>
    <row r="365" ht="15" spans="1:9">
      <c r="A365" s="98">
        <v>46108</v>
      </c>
      <c r="B365" s="25">
        <v>46108</v>
      </c>
      <c r="C365" s="99">
        <f>IFERROR((Data_Entry!F363/Data_Entry!$V363/C$2),"")</f>
        <v>1.10950825732614</v>
      </c>
      <c r="D365" s="99">
        <f>IFERROR((Data_Entry!G363/Data_Entry!$V363/D$2),"")</f>
        <v>1.07400915983613</v>
      </c>
      <c r="E365" s="99">
        <f>IFERROR((Data_Entry!H363/Data_Entry!$V363/E$2),"")</f>
        <v>1.10999820722877</v>
      </c>
      <c r="F365" s="99">
        <f>IFERROR((Data_Entry!I363/Data_Entry!$V363/F$2),"")</f>
        <v>1.10379322409936</v>
      </c>
      <c r="G365" s="99">
        <f>IFERROR((Data_Entry!J363/Data_Entry!$V363/G$2),"")</f>
        <v>1.09283858334181</v>
      </c>
      <c r="H365" s="99">
        <f>IFERROR((Data_Entry!K363/Data_Entry!$V363/H$2),"")</f>
        <v>1.09860614578246</v>
      </c>
      <c r="I365" s="99">
        <f>IFERROR((Data_Entry!L363/Data_Entry!$V363/I$2),"")</f>
        <v>1.11422063615734</v>
      </c>
    </row>
    <row r="366" ht="15" spans="1:9">
      <c r="A366" s="98">
        <v>46109</v>
      </c>
      <c r="B366" s="25">
        <v>46109</v>
      </c>
      <c r="C366" s="99">
        <f>IFERROR((Data_Entry!F364/Data_Entry!$V364/C$2),"")</f>
        <v>1.04328996821323</v>
      </c>
      <c r="D366" s="99">
        <f>IFERROR((Data_Entry!G364/Data_Entry!$V364/D$2),"")</f>
        <v>1.04432039752274</v>
      </c>
      <c r="E366" s="99">
        <f>IFERROR((Data_Entry!H364/Data_Entry!$V364/E$2),"")</f>
        <v>1.05206269424719</v>
      </c>
      <c r="F366" s="99">
        <f>IFERROR((Data_Entry!I364/Data_Entry!$V364/F$2),"")</f>
        <v>1.04993622501877</v>
      </c>
      <c r="G366" s="99">
        <f>IFERROR((Data_Entry!J364/Data_Entry!$V364/G$2),"")</f>
        <v>1.04098478351892</v>
      </c>
      <c r="H366" s="99">
        <f>IFERROR((Data_Entry!K364/Data_Entry!$V364/H$2),"")</f>
        <v>1.0483042835179</v>
      </c>
      <c r="I366" s="99">
        <f>IFERROR((Data_Entry!L364/Data_Entry!$V364/I$2),"")</f>
        <v>1.06503303038826</v>
      </c>
    </row>
    <row r="367" ht="15" spans="1:9">
      <c r="A367" s="98">
        <v>46110</v>
      </c>
      <c r="B367" s="25">
        <v>46110</v>
      </c>
      <c r="C367" s="99">
        <f>IFERROR((Data_Entry!F365/Data_Entry!$V365/C$2),"")</f>
        <v>0.95847316702094</v>
      </c>
      <c r="D367" s="99">
        <f>IFERROR((Data_Entry!G365/Data_Entry!$V365/D$2),"")</f>
        <v>0.958640822144962</v>
      </c>
      <c r="E367" s="99">
        <f>IFERROR((Data_Entry!H365/Data_Entry!$V365/E$2),"")</f>
        <v>0.964078436667383</v>
      </c>
      <c r="F367" s="99">
        <f>IFERROR((Data_Entry!I365/Data_Entry!$V365/F$2),"")</f>
        <v>0.960580276057914</v>
      </c>
      <c r="G367" s="99">
        <f>IFERROR((Data_Entry!J365/Data_Entry!$V365/G$2),"")</f>
        <v>0.950167192007113</v>
      </c>
      <c r="H367" s="99">
        <f>IFERROR((Data_Entry!K365/Data_Entry!$V365/H$2),"")</f>
        <v>0.95754936298974</v>
      </c>
      <c r="I367" s="99">
        <f>IFERROR((Data_Entry!L365/Data_Entry!$V365/I$2),"")</f>
        <v>0.969047588756307</v>
      </c>
    </row>
    <row r="368" ht="15" spans="1:9">
      <c r="A368" s="98">
        <v>46111</v>
      </c>
      <c r="B368" s="25">
        <v>46111</v>
      </c>
      <c r="C368" s="99">
        <f>IFERROR((Data_Entry!F366/Data_Entry!$V366/C$2),"")</f>
        <v>1.18397083400166</v>
      </c>
      <c r="D368" s="99">
        <f>IFERROR((Data_Entry!G366/Data_Entry!$V366/D$2),"")</f>
        <v>1.1811923572233</v>
      </c>
      <c r="E368" s="99">
        <f>IFERROR((Data_Entry!H366/Data_Entry!$V366/E$2),"")</f>
        <v>1.18467455301103</v>
      </c>
      <c r="F368" s="99">
        <f>IFERROR((Data_Entry!I366/Data_Entry!$V366/F$2),"")</f>
        <v>1.17973427675711</v>
      </c>
      <c r="G368" s="99">
        <f>IFERROR((Data_Entry!J366/Data_Entry!$V366/G$2),"")</f>
        <v>1.16487915883823</v>
      </c>
      <c r="H368" s="99">
        <f>IFERROR((Data_Entry!K366/Data_Entry!$V366/H$2),"")</f>
        <v>1.17097788107759</v>
      </c>
      <c r="I368" s="99">
        <f>IFERROR((Data_Entry!L366/Data_Entry!$V366/I$2),"")</f>
        <v>1.18751580532322</v>
      </c>
    </row>
    <row r="369" ht="15.75" spans="1:9">
      <c r="A369" s="100">
        <v>46112</v>
      </c>
      <c r="B369" s="101">
        <v>46112</v>
      </c>
      <c r="C369" s="99">
        <f>IFERROR((Data_Entry!F367/Data_Entry!$V367/C$2),"")</f>
        <v>0.958352346339786</v>
      </c>
      <c r="D369" s="99">
        <f>IFERROR((Data_Entry!G367/Data_Entry!$V367/D$2),"")</f>
        <v>0.936482168173013</v>
      </c>
      <c r="E369" s="99">
        <f>IFERROR((Data_Entry!H367/Data_Entry!$V367/E$2),"")</f>
        <v>0.940440442606843</v>
      </c>
      <c r="F369" s="99">
        <f>IFERROR((Data_Entry!I367/Data_Entry!$V367/F$2),"")</f>
        <v>0.941548313724576</v>
      </c>
      <c r="G369" s="99">
        <f>IFERROR((Data_Entry!J367/Data_Entry!$V367/G$2),"")</f>
        <v>0.916962687485148</v>
      </c>
      <c r="H369" s="99">
        <f>IFERROR((Data_Entry!K367/Data_Entry!$V367/H$2),"")</f>
        <v>0.926681446007448</v>
      </c>
      <c r="I369" s="99">
        <f>IFERROR((Data_Entry!L367/Data_Entry!$V367/I$2),"")</f>
        <v>0.95530929131837</v>
      </c>
    </row>
  </sheetData>
  <sheetProtection algorithmName="SHA-512" hashValue="5VfOkr43nHQGlOCNih46uThRmwgxca868aKBkXk+nlwsUI0qMhGaICDutOHIb3YdlsTluJ84wQthTtspzOvI/Q==" saltValue="bJ7Gk37J25IocCIlm7XTkQ==" spinCount="100000" sheet="1" objects="1" scenarios="1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L21"/>
  <sheetViews>
    <sheetView workbookViewId="0">
      <selection activeCell="C21" sqref="C21"/>
    </sheetView>
  </sheetViews>
  <sheetFormatPr defaultColWidth="8.75" defaultRowHeight="15"/>
  <cols>
    <col min="1" max="1" width="2" style="90" customWidth="1"/>
    <col min="2" max="2" width="10.25" style="90" customWidth="1"/>
    <col min="3" max="16384" width="8.75" style="90"/>
  </cols>
  <sheetData>
    <row r="1" spans="1:38">
      <c r="A1" s="90" t="s">
        <v>77</v>
      </c>
    </row>
    <row r="2" spans="1:38">
      <c r="B2" s="91" t="s">
        <v>33</v>
      </c>
      <c r="C2" s="92">
        <f>DGR!B3</f>
        <v>46181</v>
      </c>
      <c r="D2" s="92">
        <f>DGR!C3</f>
        <v>46182</v>
      </c>
      <c r="E2" s="92">
        <f>DGR!D3</f>
        <v>46183</v>
      </c>
      <c r="F2" s="92">
        <f>DGR!E3</f>
        <v>46184</v>
      </c>
      <c r="G2" s="92">
        <f>DGR!F3</f>
        <v>46185</v>
      </c>
      <c r="H2" s="92">
        <f>DGR!G3</f>
        <v>46186</v>
      </c>
      <c r="I2" s="92">
        <f>DGR!H3</f>
        <v>46187</v>
      </c>
      <c r="J2" s="92">
        <f>DGR!I3</f>
        <v>46188</v>
      </c>
      <c r="K2" s="92">
        <f>DGR!J3</f>
        <v>46189</v>
      </c>
      <c r="L2" s="92">
        <f>DGR!K3</f>
        <v>46190</v>
      </c>
      <c r="M2" s="92">
        <f>DGR!L3</f>
        <v>46191</v>
      </c>
      <c r="N2" s="92">
        <f>DGR!M3</f>
        <v>46192</v>
      </c>
      <c r="O2" s="92">
        <f>DGR!N3</f>
        <v>46193</v>
      </c>
      <c r="P2" s="92">
        <f>DGR!O3</f>
        <v>46194</v>
      </c>
      <c r="Q2" s="92">
        <f>DGR!P3</f>
        <v>46195</v>
      </c>
      <c r="R2" s="92">
        <f>DGR!Q3</f>
        <v>46196</v>
      </c>
      <c r="S2" s="92">
        <f>DGR!R3</f>
        <v>46197</v>
      </c>
      <c r="T2" s="92">
        <f>DGR!S3</f>
        <v>46198</v>
      </c>
      <c r="U2" s="92">
        <f>DGR!T3</f>
        <v>46199</v>
      </c>
      <c r="V2" s="92">
        <f>DGR!U3</f>
        <v>46200</v>
      </c>
      <c r="W2" s="92">
        <f>DGR!V3</f>
        <v>46201</v>
      </c>
      <c r="X2" s="92">
        <f>DGR!W3</f>
        <v>46202</v>
      </c>
      <c r="Y2" s="92">
        <f>DGR!X3</f>
        <v>46203</v>
      </c>
      <c r="Z2" s="92">
        <f>DGR!Y3</f>
        <v>46204</v>
      </c>
      <c r="AA2" s="92">
        <f>DGR!Z3</f>
        <v>46205</v>
      </c>
      <c r="AB2" s="92">
        <f>DGR!AA3</f>
        <v>46206</v>
      </c>
      <c r="AC2" s="92">
        <f>DGR!AB3</f>
        <v>46207</v>
      </c>
      <c r="AD2" s="92">
        <f>DGR!AC3</f>
        <v>46208</v>
      </c>
      <c r="AE2" s="92">
        <f>DGR!AD3</f>
        <v>46209</v>
      </c>
      <c r="AF2" s="92">
        <f>DGR!AE3</f>
        <v>46210</v>
      </c>
      <c r="AG2" s="92">
        <f>DGR!AF3</f>
        <v>46211</v>
      </c>
      <c r="AH2" s="92" t="str">
        <f>DGR!AG3</f>
        <v>Total/Avg..</v>
      </c>
      <c r="AI2" s="93"/>
      <c r="AJ2" s="93"/>
      <c r="AK2" s="93"/>
      <c r="AL2" s="93"/>
    </row>
    <row r="3" spans="1:38">
      <c r="B3" s="82" t="s">
        <v>35</v>
      </c>
      <c r="C3" s="94">
        <f>IFERROR(VLOOKUP(C$2,Data_Entry!$C:$L,Data_Entry!$A2,0)/VLOOKUP($B3,Basic_Data!$E$2:$G$10,3,0),"")</f>
        <v>5.49034910044084</v>
      </c>
      <c r="D3" s="94">
        <f>IFERROR(VLOOKUP(D$2,Data_Entry!$C:$L,Data_Entry!$A2,0)/VLOOKUP($B3,Basic_Data!$E$2:$G$10,3,0),"")</f>
        <v>0</v>
      </c>
      <c r="E3" s="94">
        <f>IFERROR(VLOOKUP(E$2,Data_Entry!$C:$L,Data_Entry!$A2,0)/VLOOKUP($B3,Basic_Data!$E$2:$G$10,3,0),"")</f>
        <v>0</v>
      </c>
      <c r="F3" s="94">
        <f>IFERROR(VLOOKUP(F$2,Data_Entry!$C:$L,Data_Entry!$A2,0)/VLOOKUP($B3,Basic_Data!$E$2:$G$10,3,0),"")</f>
        <v>0</v>
      </c>
      <c r="G3" s="94">
        <f>IFERROR(VLOOKUP(G$2,Data_Entry!$C:$L,Data_Entry!$A2,0)/VLOOKUP($B3,Basic_Data!$E$2:$G$10,3,0),"")</f>
        <v>0</v>
      </c>
      <c r="H3" s="94">
        <f>IFERROR(VLOOKUP(H$2,Data_Entry!$C:$L,Data_Entry!$A2,0)/VLOOKUP($B3,Basic_Data!$E$2:$G$10,3,0),"")</f>
        <v>0</v>
      </c>
      <c r="I3" s="94">
        <f>IFERROR(VLOOKUP(I$2,Data_Entry!$C:$L,Data_Entry!$A2,0)/VLOOKUP($B3,Basic_Data!$E$2:$G$10,3,0),"")</f>
        <v>0</v>
      </c>
      <c r="J3" s="94">
        <f>IFERROR(VLOOKUP(J$2,Data_Entry!$C:$L,Data_Entry!$A2,0)/VLOOKUP($B3,Basic_Data!$E$2:$G$10,3,0),"")</f>
        <v>0</v>
      </c>
      <c r="K3" s="94" t="str">
        <f>IFERROR(VLOOKUP(K$2,Data_Entry!$C:$L,Data_Entry!$A2,0)/VLOOKUP($B3,Basic_Data!$E$2:$G$10,3,0),"")</f>
        <v/>
      </c>
      <c r="L3" s="94" t="str">
        <f>IFERROR(VLOOKUP(L$2,Data_Entry!$C:$L,Data_Entry!$A2,0)/VLOOKUP($B3,Basic_Data!$E$2:$G$10,3,0),"")</f>
        <v/>
      </c>
      <c r="M3" s="94" t="str">
        <f>IFERROR(VLOOKUP(M$2,Data_Entry!$C:$L,Data_Entry!$A2,0)/VLOOKUP($B3,Basic_Data!$E$2:$G$10,3,0),"")</f>
        <v/>
      </c>
      <c r="N3" s="94" t="str">
        <f>IFERROR(VLOOKUP(N$2,Data_Entry!$C:$L,Data_Entry!$A2,0)/VLOOKUP($B3,Basic_Data!$E$2:$G$10,3,0),"")</f>
        <v/>
      </c>
      <c r="O3" s="94" t="str">
        <f>IFERROR(VLOOKUP(O$2,Data_Entry!$C:$L,Data_Entry!$A2,0)/VLOOKUP($B3,Basic_Data!$E$2:$G$10,3,0),"")</f>
        <v/>
      </c>
      <c r="P3" s="94" t="str">
        <f>IFERROR(VLOOKUP(P$2,Data_Entry!$C:$L,Data_Entry!$A2,0)/VLOOKUP($B3,Basic_Data!$E$2:$G$10,3,0),"")</f>
        <v/>
      </c>
      <c r="Q3" s="94" t="str">
        <f>IFERROR(VLOOKUP(Q$2,Data_Entry!$C:$L,Data_Entry!$A2,0)/VLOOKUP($B3,Basic_Data!$E$2:$G$10,3,0),"")</f>
        <v/>
      </c>
      <c r="R3" s="94" t="str">
        <f>IFERROR(VLOOKUP(R$2,Data_Entry!$C:$L,Data_Entry!$A2,0)/VLOOKUP($B3,Basic_Data!$E$2:$G$10,3,0),"")</f>
        <v/>
      </c>
      <c r="S3" s="94" t="str">
        <f>IFERROR(VLOOKUP(S$2,Data_Entry!$C:$L,Data_Entry!$A2,0)/VLOOKUP($B3,Basic_Data!$E$2:$G$10,3,0),"")</f>
        <v/>
      </c>
      <c r="T3" s="94" t="str">
        <f>IFERROR(VLOOKUP(T$2,Data_Entry!$C:$L,Data_Entry!$A2,0)/VLOOKUP($B3,Basic_Data!$E$2:$G$10,3,0),"")</f>
        <v/>
      </c>
      <c r="U3" s="94" t="str">
        <f>IFERROR(VLOOKUP(U$2,Data_Entry!$C:$L,Data_Entry!$A2,0)/VLOOKUP($B3,Basic_Data!$E$2:$G$10,3,0),"")</f>
        <v/>
      </c>
      <c r="V3" s="94" t="str">
        <f>IFERROR(VLOOKUP(V$2,Data_Entry!$C:$L,Data_Entry!$A2,0)/VLOOKUP($B3,Basic_Data!$E$2:$G$10,3,0),"")</f>
        <v/>
      </c>
      <c r="W3" s="94" t="str">
        <f>IFERROR(VLOOKUP(W$2,Data_Entry!$C:$L,Data_Entry!$A2,0)/VLOOKUP($B3,Basic_Data!$E$2:$G$10,3,0),"")</f>
        <v/>
      </c>
      <c r="X3" s="94" t="str">
        <f>IFERROR(VLOOKUP(X$2,Data_Entry!$C:$L,Data_Entry!$A2,0)/VLOOKUP($B3,Basic_Data!$E$2:$G$10,3,0),"")</f>
        <v/>
      </c>
      <c r="Y3" s="94" t="str">
        <f>IFERROR(VLOOKUP(Y$2,Data_Entry!$C:$L,Data_Entry!$A2,0)/VLOOKUP($B3,Basic_Data!$E$2:$G$10,3,0),"")</f>
        <v/>
      </c>
      <c r="Z3" s="94" t="str">
        <f>IFERROR(VLOOKUP(Z$2,Data_Entry!$C:$L,Data_Entry!$A2,0)/VLOOKUP($B3,Basic_Data!$E$2:$G$10,3,0),"")</f>
        <v/>
      </c>
      <c r="AA3" s="94" t="str">
        <f>IFERROR(VLOOKUP(AA$2,Data_Entry!$C:$L,Data_Entry!$A2,0)/VLOOKUP($B3,Basic_Data!$E$2:$G$10,3,0),"")</f>
        <v/>
      </c>
      <c r="AB3" s="94" t="str">
        <f>IFERROR(VLOOKUP(AB$2,Data_Entry!$C:$L,Data_Entry!$A2,0)/VLOOKUP($B3,Basic_Data!$E$2:$G$10,3,0),"")</f>
        <v/>
      </c>
      <c r="AC3" s="94" t="str">
        <f>IFERROR(VLOOKUP(AC$2,Data_Entry!$C:$L,Data_Entry!$A2,0)/VLOOKUP($B3,Basic_Data!$E$2:$G$10,3,0),"")</f>
        <v/>
      </c>
      <c r="AD3" s="94" t="str">
        <f>IFERROR(VLOOKUP(AD$2,Data_Entry!$C:$L,Data_Entry!$A2,0)/VLOOKUP($B3,Basic_Data!$E$2:$G$10,3,0),"")</f>
        <v/>
      </c>
      <c r="AE3" s="94" t="str">
        <f>IFERROR(VLOOKUP(AE$2,Data_Entry!$C:$L,Data_Entry!$A2,0)/VLOOKUP($B3,Basic_Data!$E$2:$G$10,3,0),"")</f>
        <v/>
      </c>
      <c r="AF3" s="94" t="str">
        <f>IFERROR(VLOOKUP(AF$2,Data_Entry!$C:$L,Data_Entry!$A2,0)/VLOOKUP($B3,Basic_Data!$E$2:$G$10,3,0),"")</f>
        <v/>
      </c>
      <c r="AG3" s="94" t="str">
        <f>IFERROR(VLOOKUP(AG$2,Data_Entry!$C:$L,Data_Entry!$A2,0)/VLOOKUP($B3,Basic_Data!$E$2:$G$10,3,0),"")</f>
        <v/>
      </c>
      <c r="AH3" s="52"/>
    </row>
    <row r="4" spans="1:38">
      <c r="B4" s="82" t="s">
        <v>36</v>
      </c>
      <c r="C4" s="94">
        <f>IFERROR(VLOOKUP(C$2,Data_Entry!$C:$L,Data_Entry!$A3,0)/VLOOKUP($B4,Basic_Data!$E$2:$G$10,3,0),"")</f>
        <v>5.47599189801025</v>
      </c>
      <c r="D4" s="94">
        <f>IFERROR(VLOOKUP(D$2,Data_Entry!$C:$L,Data_Entry!$A3,0)/VLOOKUP($B4,Basic_Data!$E$2:$G$10,3,0),"")</f>
        <v>0</v>
      </c>
      <c r="E4" s="94">
        <f>IFERROR(VLOOKUP(E$2,Data_Entry!$C:$L,Data_Entry!$A3,0)/VLOOKUP($B4,Basic_Data!$E$2:$G$10,3,0),"")</f>
        <v>0</v>
      </c>
      <c r="F4" s="94">
        <f>IFERROR(VLOOKUP(F$2,Data_Entry!$C:$L,Data_Entry!$A3,0)/VLOOKUP($B4,Basic_Data!$E$2:$G$10,3,0),"")</f>
        <v>0</v>
      </c>
      <c r="G4" s="94">
        <f>IFERROR(VLOOKUP(G$2,Data_Entry!$C:$L,Data_Entry!$A3,0)/VLOOKUP($B4,Basic_Data!$E$2:$G$10,3,0),"")</f>
        <v>0</v>
      </c>
      <c r="H4" s="94">
        <f>IFERROR(VLOOKUP(H$2,Data_Entry!$C:$L,Data_Entry!$A3,0)/VLOOKUP($B4,Basic_Data!$E$2:$G$10,3,0),"")</f>
        <v>0</v>
      </c>
      <c r="I4" s="94">
        <f>IFERROR(VLOOKUP(I$2,Data_Entry!$C:$L,Data_Entry!$A3,0)/VLOOKUP($B4,Basic_Data!$E$2:$G$10,3,0),"")</f>
        <v>0</v>
      </c>
      <c r="J4" s="94">
        <f>IFERROR(VLOOKUP(J$2,Data_Entry!$C:$L,Data_Entry!$A3,0)/VLOOKUP($B4,Basic_Data!$E$2:$G$10,3,0),"")</f>
        <v>0</v>
      </c>
      <c r="K4" s="94" t="str">
        <f>IFERROR(VLOOKUP(K$2,Data_Entry!$C:$L,Data_Entry!$A3,0)/VLOOKUP($B4,Basic_Data!$E$2:$G$10,3,0),"")</f>
        <v/>
      </c>
      <c r="L4" s="94" t="str">
        <f>IFERROR(VLOOKUP(L$2,Data_Entry!$C:$L,Data_Entry!$A3,0)/VLOOKUP($B4,Basic_Data!$E$2:$G$10,3,0),"")</f>
        <v/>
      </c>
      <c r="M4" s="94" t="str">
        <f>IFERROR(VLOOKUP(M$2,Data_Entry!$C:$L,Data_Entry!$A3,0)/VLOOKUP($B4,Basic_Data!$E$2:$G$10,3,0),"")</f>
        <v/>
      </c>
      <c r="N4" s="94" t="str">
        <f>IFERROR(VLOOKUP(N$2,Data_Entry!$C:$L,Data_Entry!$A3,0)/VLOOKUP($B4,Basic_Data!$E$2:$G$10,3,0),"")</f>
        <v/>
      </c>
      <c r="O4" s="94" t="str">
        <f>IFERROR(VLOOKUP(O$2,Data_Entry!$C:$L,Data_Entry!$A3,0)/VLOOKUP($B4,Basic_Data!$E$2:$G$10,3,0),"")</f>
        <v/>
      </c>
      <c r="P4" s="94" t="str">
        <f>IFERROR(VLOOKUP(P$2,Data_Entry!$C:$L,Data_Entry!$A3,0)/VLOOKUP($B4,Basic_Data!$E$2:$G$10,3,0),"")</f>
        <v/>
      </c>
      <c r="Q4" s="94" t="str">
        <f>IFERROR(VLOOKUP(Q$2,Data_Entry!$C:$L,Data_Entry!$A3,0)/VLOOKUP($B4,Basic_Data!$E$2:$G$10,3,0),"")</f>
        <v/>
      </c>
      <c r="R4" s="94" t="str">
        <f>IFERROR(VLOOKUP(R$2,Data_Entry!$C:$L,Data_Entry!$A3,0)/VLOOKUP($B4,Basic_Data!$E$2:$G$10,3,0),"")</f>
        <v/>
      </c>
      <c r="S4" s="94" t="str">
        <f>IFERROR(VLOOKUP(S$2,Data_Entry!$C:$L,Data_Entry!$A3,0)/VLOOKUP($B4,Basic_Data!$E$2:$G$10,3,0),"")</f>
        <v/>
      </c>
      <c r="T4" s="94" t="str">
        <f>IFERROR(VLOOKUP(T$2,Data_Entry!$C:$L,Data_Entry!$A3,0)/VLOOKUP($B4,Basic_Data!$E$2:$G$10,3,0),"")</f>
        <v/>
      </c>
      <c r="U4" s="94" t="str">
        <f>IFERROR(VLOOKUP(U$2,Data_Entry!$C:$L,Data_Entry!$A3,0)/VLOOKUP($B4,Basic_Data!$E$2:$G$10,3,0),"")</f>
        <v/>
      </c>
      <c r="V4" s="94" t="str">
        <f>IFERROR(VLOOKUP(V$2,Data_Entry!$C:$L,Data_Entry!$A3,0)/VLOOKUP($B4,Basic_Data!$E$2:$G$10,3,0),"")</f>
        <v/>
      </c>
      <c r="W4" s="94" t="str">
        <f>IFERROR(VLOOKUP(W$2,Data_Entry!$C:$L,Data_Entry!$A3,0)/VLOOKUP($B4,Basic_Data!$E$2:$G$10,3,0),"")</f>
        <v/>
      </c>
      <c r="X4" s="94" t="str">
        <f>IFERROR(VLOOKUP(X$2,Data_Entry!$C:$L,Data_Entry!$A3,0)/VLOOKUP($B4,Basic_Data!$E$2:$G$10,3,0),"")</f>
        <v/>
      </c>
      <c r="Y4" s="94" t="str">
        <f>IFERROR(VLOOKUP(Y$2,Data_Entry!$C:$L,Data_Entry!$A3,0)/VLOOKUP($B4,Basic_Data!$E$2:$G$10,3,0),"")</f>
        <v/>
      </c>
      <c r="Z4" s="94" t="str">
        <f>IFERROR(VLOOKUP(Z$2,Data_Entry!$C:$L,Data_Entry!$A3,0)/VLOOKUP($B4,Basic_Data!$E$2:$G$10,3,0),"")</f>
        <v/>
      </c>
      <c r="AA4" s="94" t="str">
        <f>IFERROR(VLOOKUP(AA$2,Data_Entry!$C:$L,Data_Entry!$A3,0)/VLOOKUP($B4,Basic_Data!$E$2:$G$10,3,0),"")</f>
        <v/>
      </c>
      <c r="AB4" s="94" t="str">
        <f>IFERROR(VLOOKUP(AB$2,Data_Entry!$C:$L,Data_Entry!$A3,0)/VLOOKUP($B4,Basic_Data!$E$2:$G$10,3,0),"")</f>
        <v/>
      </c>
      <c r="AC4" s="94" t="str">
        <f>IFERROR(VLOOKUP(AC$2,Data_Entry!$C:$L,Data_Entry!$A3,0)/VLOOKUP($B4,Basic_Data!$E$2:$G$10,3,0),"")</f>
        <v/>
      </c>
      <c r="AD4" s="94" t="str">
        <f>IFERROR(VLOOKUP(AD$2,Data_Entry!$C:$L,Data_Entry!$A3,0)/VLOOKUP($B4,Basic_Data!$E$2:$G$10,3,0),"")</f>
        <v/>
      </c>
      <c r="AE4" s="94" t="str">
        <f>IFERROR(VLOOKUP(AE$2,Data_Entry!$C:$L,Data_Entry!$A3,0)/VLOOKUP($B4,Basic_Data!$E$2:$G$10,3,0),"")</f>
        <v/>
      </c>
      <c r="AF4" s="94" t="str">
        <f>IFERROR(VLOOKUP(AF$2,Data_Entry!$C:$L,Data_Entry!$A3,0)/VLOOKUP($B4,Basic_Data!$E$2:$G$10,3,0),"")</f>
        <v/>
      </c>
      <c r="AG4" s="94" t="str">
        <f>IFERROR(VLOOKUP(AG$2,Data_Entry!$C:$L,Data_Entry!$A3,0)/VLOOKUP($B4,Basic_Data!$E$2:$G$10,3,0),"")</f>
        <v/>
      </c>
      <c r="AH4" s="52"/>
    </row>
    <row r="5" spans="1:38">
      <c r="B5" s="82" t="s">
        <v>37</v>
      </c>
      <c r="C5" s="94">
        <f>IFERROR(VLOOKUP(C$2,Data_Entry!$C:$L,Data_Entry!$A4,0)/VLOOKUP($B5,Basic_Data!$E$2:$G$10,3,0),"")</f>
        <v>5.46657929226737</v>
      </c>
      <c r="D5" s="94">
        <f>IFERROR(VLOOKUP(D$2,Data_Entry!$C:$L,Data_Entry!$A4,0)/VLOOKUP($B5,Basic_Data!$E$2:$G$10,3,0),"")</f>
        <v>0</v>
      </c>
      <c r="E5" s="94">
        <f>IFERROR(VLOOKUP(E$2,Data_Entry!$C:$L,Data_Entry!$A4,0)/VLOOKUP($B5,Basic_Data!$E$2:$G$10,3,0),"")</f>
        <v>0</v>
      </c>
      <c r="F5" s="94">
        <f>IFERROR(VLOOKUP(F$2,Data_Entry!$C:$L,Data_Entry!$A4,0)/VLOOKUP($B5,Basic_Data!$E$2:$G$10,3,0),"")</f>
        <v>0</v>
      </c>
      <c r="G5" s="94">
        <f>IFERROR(VLOOKUP(G$2,Data_Entry!$C:$L,Data_Entry!$A4,0)/VLOOKUP($B5,Basic_Data!$E$2:$G$10,3,0),"")</f>
        <v>0</v>
      </c>
      <c r="H5" s="94">
        <f>IFERROR(VLOOKUP(H$2,Data_Entry!$C:$L,Data_Entry!$A4,0)/VLOOKUP($B5,Basic_Data!$E$2:$G$10,3,0),"")</f>
        <v>0</v>
      </c>
      <c r="I5" s="94">
        <f>IFERROR(VLOOKUP(I$2,Data_Entry!$C:$L,Data_Entry!$A4,0)/VLOOKUP($B5,Basic_Data!$E$2:$G$10,3,0),"")</f>
        <v>0</v>
      </c>
      <c r="J5" s="94">
        <f>IFERROR(VLOOKUP(J$2,Data_Entry!$C:$L,Data_Entry!$A4,0)/VLOOKUP($B5,Basic_Data!$E$2:$G$10,3,0),"")</f>
        <v>0</v>
      </c>
      <c r="K5" s="94" t="str">
        <f>IFERROR(VLOOKUP(K$2,Data_Entry!$C:$L,Data_Entry!$A4,0)/VLOOKUP($B5,Basic_Data!$E$2:$G$10,3,0),"")</f>
        <v/>
      </c>
      <c r="L5" s="94" t="str">
        <f>IFERROR(VLOOKUP(L$2,Data_Entry!$C:$L,Data_Entry!$A4,0)/VLOOKUP($B5,Basic_Data!$E$2:$G$10,3,0),"")</f>
        <v/>
      </c>
      <c r="M5" s="94" t="str">
        <f>IFERROR(VLOOKUP(M$2,Data_Entry!$C:$L,Data_Entry!$A4,0)/VLOOKUP($B5,Basic_Data!$E$2:$G$10,3,0),"")</f>
        <v/>
      </c>
      <c r="N5" s="94" t="str">
        <f>IFERROR(VLOOKUP(N$2,Data_Entry!$C:$L,Data_Entry!$A4,0)/VLOOKUP($B5,Basic_Data!$E$2:$G$10,3,0),"")</f>
        <v/>
      </c>
      <c r="O5" s="94" t="str">
        <f>IFERROR(VLOOKUP(O$2,Data_Entry!$C:$L,Data_Entry!$A4,0)/VLOOKUP($B5,Basic_Data!$E$2:$G$10,3,0),"")</f>
        <v/>
      </c>
      <c r="P5" s="94" t="str">
        <f>IFERROR(VLOOKUP(P$2,Data_Entry!$C:$L,Data_Entry!$A4,0)/VLOOKUP($B5,Basic_Data!$E$2:$G$10,3,0),"")</f>
        <v/>
      </c>
      <c r="Q5" s="94" t="str">
        <f>IFERROR(VLOOKUP(Q$2,Data_Entry!$C:$L,Data_Entry!$A4,0)/VLOOKUP($B5,Basic_Data!$E$2:$G$10,3,0),"")</f>
        <v/>
      </c>
      <c r="R5" s="94" t="str">
        <f>IFERROR(VLOOKUP(R$2,Data_Entry!$C:$L,Data_Entry!$A4,0)/VLOOKUP($B5,Basic_Data!$E$2:$G$10,3,0),"")</f>
        <v/>
      </c>
      <c r="S5" s="94" t="str">
        <f>IFERROR(VLOOKUP(S$2,Data_Entry!$C:$L,Data_Entry!$A4,0)/VLOOKUP($B5,Basic_Data!$E$2:$G$10,3,0),"")</f>
        <v/>
      </c>
      <c r="T5" s="94" t="str">
        <f>IFERROR(VLOOKUP(T$2,Data_Entry!$C:$L,Data_Entry!$A4,0)/VLOOKUP($B5,Basic_Data!$E$2:$G$10,3,0),"")</f>
        <v/>
      </c>
      <c r="U5" s="94" t="str">
        <f>IFERROR(VLOOKUP(U$2,Data_Entry!$C:$L,Data_Entry!$A4,0)/VLOOKUP($B5,Basic_Data!$E$2:$G$10,3,0),"")</f>
        <v/>
      </c>
      <c r="V5" s="94" t="str">
        <f>IFERROR(VLOOKUP(V$2,Data_Entry!$C:$L,Data_Entry!$A4,0)/VLOOKUP($B5,Basic_Data!$E$2:$G$10,3,0),"")</f>
        <v/>
      </c>
      <c r="W5" s="94" t="str">
        <f>IFERROR(VLOOKUP(W$2,Data_Entry!$C:$L,Data_Entry!$A4,0)/VLOOKUP($B5,Basic_Data!$E$2:$G$10,3,0),"")</f>
        <v/>
      </c>
      <c r="X5" s="94" t="str">
        <f>IFERROR(VLOOKUP(X$2,Data_Entry!$C:$L,Data_Entry!$A4,0)/VLOOKUP($B5,Basic_Data!$E$2:$G$10,3,0),"")</f>
        <v/>
      </c>
      <c r="Y5" s="94" t="str">
        <f>IFERROR(VLOOKUP(Y$2,Data_Entry!$C:$L,Data_Entry!$A4,0)/VLOOKUP($B5,Basic_Data!$E$2:$G$10,3,0),"")</f>
        <v/>
      </c>
      <c r="Z5" s="94" t="str">
        <f>IFERROR(VLOOKUP(Z$2,Data_Entry!$C:$L,Data_Entry!$A4,0)/VLOOKUP($B5,Basic_Data!$E$2:$G$10,3,0),"")</f>
        <v/>
      </c>
      <c r="AA5" s="94" t="str">
        <f>IFERROR(VLOOKUP(AA$2,Data_Entry!$C:$L,Data_Entry!$A4,0)/VLOOKUP($B5,Basic_Data!$E$2:$G$10,3,0),"")</f>
        <v/>
      </c>
      <c r="AB5" s="94" t="str">
        <f>IFERROR(VLOOKUP(AB$2,Data_Entry!$C:$L,Data_Entry!$A4,0)/VLOOKUP($B5,Basic_Data!$E$2:$G$10,3,0),"")</f>
        <v/>
      </c>
      <c r="AC5" s="94" t="str">
        <f>IFERROR(VLOOKUP(AC$2,Data_Entry!$C:$L,Data_Entry!$A4,0)/VLOOKUP($B5,Basic_Data!$E$2:$G$10,3,0),"")</f>
        <v/>
      </c>
      <c r="AD5" s="94" t="str">
        <f>IFERROR(VLOOKUP(AD$2,Data_Entry!$C:$L,Data_Entry!$A4,0)/VLOOKUP($B5,Basic_Data!$E$2:$G$10,3,0),"")</f>
        <v/>
      </c>
      <c r="AE5" s="94" t="str">
        <f>IFERROR(VLOOKUP(AE$2,Data_Entry!$C:$L,Data_Entry!$A4,0)/VLOOKUP($B5,Basic_Data!$E$2:$G$10,3,0),"")</f>
        <v/>
      </c>
      <c r="AF5" s="94" t="str">
        <f>IFERROR(VLOOKUP(AF$2,Data_Entry!$C:$L,Data_Entry!$A4,0)/VLOOKUP($B5,Basic_Data!$E$2:$G$10,3,0),"")</f>
        <v/>
      </c>
      <c r="AG5" s="94" t="str">
        <f>IFERROR(VLOOKUP(AG$2,Data_Entry!$C:$L,Data_Entry!$A4,0)/VLOOKUP($B5,Basic_Data!$E$2:$G$10,3,0),"")</f>
        <v/>
      </c>
      <c r="AH5" s="52"/>
    </row>
    <row r="6" spans="1:38">
      <c r="B6" s="82" t="s">
        <v>38</v>
      </c>
      <c r="C6" s="94">
        <f>IFERROR(VLOOKUP(C$2,Data_Entry!$C:$L,Data_Entry!$A5,0)/VLOOKUP($B6,Basic_Data!$E$2:$G$10,3,0),"")</f>
        <v>5.43261724314776</v>
      </c>
      <c r="D6" s="94">
        <f>IFERROR(VLOOKUP(D$2,Data_Entry!$C:$L,Data_Entry!$A5,0)/VLOOKUP($B6,Basic_Data!$E$2:$G$10,3,0),"")</f>
        <v>0</v>
      </c>
      <c r="E6" s="94">
        <f>IFERROR(VLOOKUP(E$2,Data_Entry!$C:$L,Data_Entry!$A5,0)/VLOOKUP($B6,Basic_Data!$E$2:$G$10,3,0),"")</f>
        <v>0</v>
      </c>
      <c r="F6" s="94">
        <f>IFERROR(VLOOKUP(F$2,Data_Entry!$C:$L,Data_Entry!$A5,0)/VLOOKUP($B6,Basic_Data!$E$2:$G$10,3,0),"")</f>
        <v>0</v>
      </c>
      <c r="G6" s="94">
        <f>IFERROR(VLOOKUP(G$2,Data_Entry!$C:$L,Data_Entry!$A5,0)/VLOOKUP($B6,Basic_Data!$E$2:$G$10,3,0),"")</f>
        <v>0</v>
      </c>
      <c r="H6" s="94">
        <f>IFERROR(VLOOKUP(H$2,Data_Entry!$C:$L,Data_Entry!$A5,0)/VLOOKUP($B6,Basic_Data!$E$2:$G$10,3,0),"")</f>
        <v>0</v>
      </c>
      <c r="I6" s="94">
        <f>IFERROR(VLOOKUP(I$2,Data_Entry!$C:$L,Data_Entry!$A5,0)/VLOOKUP($B6,Basic_Data!$E$2:$G$10,3,0),"")</f>
        <v>0</v>
      </c>
      <c r="J6" s="94">
        <f>IFERROR(VLOOKUP(J$2,Data_Entry!$C:$L,Data_Entry!$A5,0)/VLOOKUP($B6,Basic_Data!$E$2:$G$10,3,0),"")</f>
        <v>0</v>
      </c>
      <c r="K6" s="94" t="str">
        <f>IFERROR(VLOOKUP(K$2,Data_Entry!$C:$L,Data_Entry!$A5,0)/VLOOKUP($B6,Basic_Data!$E$2:$G$10,3,0),"")</f>
        <v/>
      </c>
      <c r="L6" s="94" t="str">
        <f>IFERROR(VLOOKUP(L$2,Data_Entry!$C:$L,Data_Entry!$A5,0)/VLOOKUP($B6,Basic_Data!$E$2:$G$10,3,0),"")</f>
        <v/>
      </c>
      <c r="M6" s="94" t="str">
        <f>IFERROR(VLOOKUP(M$2,Data_Entry!$C:$L,Data_Entry!$A5,0)/VLOOKUP($B6,Basic_Data!$E$2:$G$10,3,0),"")</f>
        <v/>
      </c>
      <c r="N6" s="94" t="str">
        <f>IFERROR(VLOOKUP(N$2,Data_Entry!$C:$L,Data_Entry!$A5,0)/VLOOKUP($B6,Basic_Data!$E$2:$G$10,3,0),"")</f>
        <v/>
      </c>
      <c r="O6" s="94" t="str">
        <f>IFERROR(VLOOKUP(O$2,Data_Entry!$C:$L,Data_Entry!$A5,0)/VLOOKUP($B6,Basic_Data!$E$2:$G$10,3,0),"")</f>
        <v/>
      </c>
      <c r="P6" s="94" t="str">
        <f>IFERROR(VLOOKUP(P$2,Data_Entry!$C:$L,Data_Entry!$A5,0)/VLOOKUP($B6,Basic_Data!$E$2:$G$10,3,0),"")</f>
        <v/>
      </c>
      <c r="Q6" s="94" t="str">
        <f>IFERROR(VLOOKUP(Q$2,Data_Entry!$C:$L,Data_Entry!$A5,0)/VLOOKUP($B6,Basic_Data!$E$2:$G$10,3,0),"")</f>
        <v/>
      </c>
      <c r="R6" s="94" t="str">
        <f>IFERROR(VLOOKUP(R$2,Data_Entry!$C:$L,Data_Entry!$A5,0)/VLOOKUP($B6,Basic_Data!$E$2:$G$10,3,0),"")</f>
        <v/>
      </c>
      <c r="S6" s="94" t="str">
        <f>IFERROR(VLOOKUP(S$2,Data_Entry!$C:$L,Data_Entry!$A5,0)/VLOOKUP($B6,Basic_Data!$E$2:$G$10,3,0),"")</f>
        <v/>
      </c>
      <c r="T6" s="94" t="str">
        <f>IFERROR(VLOOKUP(T$2,Data_Entry!$C:$L,Data_Entry!$A5,0)/VLOOKUP($B6,Basic_Data!$E$2:$G$10,3,0),"")</f>
        <v/>
      </c>
      <c r="U6" s="94" t="str">
        <f>IFERROR(VLOOKUP(U$2,Data_Entry!$C:$L,Data_Entry!$A5,0)/VLOOKUP($B6,Basic_Data!$E$2:$G$10,3,0),"")</f>
        <v/>
      </c>
      <c r="V6" s="94" t="str">
        <f>IFERROR(VLOOKUP(V$2,Data_Entry!$C:$L,Data_Entry!$A5,0)/VLOOKUP($B6,Basic_Data!$E$2:$G$10,3,0),"")</f>
        <v/>
      </c>
      <c r="W6" s="94" t="str">
        <f>IFERROR(VLOOKUP(W$2,Data_Entry!$C:$L,Data_Entry!$A5,0)/VLOOKUP($B6,Basic_Data!$E$2:$G$10,3,0),"")</f>
        <v/>
      </c>
      <c r="X6" s="94" t="str">
        <f>IFERROR(VLOOKUP(X$2,Data_Entry!$C:$L,Data_Entry!$A5,0)/VLOOKUP($B6,Basic_Data!$E$2:$G$10,3,0),"")</f>
        <v/>
      </c>
      <c r="Y6" s="94" t="str">
        <f>IFERROR(VLOOKUP(Y$2,Data_Entry!$C:$L,Data_Entry!$A5,0)/VLOOKUP($B6,Basic_Data!$E$2:$G$10,3,0),"")</f>
        <v/>
      </c>
      <c r="Z6" s="94" t="str">
        <f>IFERROR(VLOOKUP(Z$2,Data_Entry!$C:$L,Data_Entry!$A5,0)/VLOOKUP($B6,Basic_Data!$E$2:$G$10,3,0),"")</f>
        <v/>
      </c>
      <c r="AA6" s="94" t="str">
        <f>IFERROR(VLOOKUP(AA$2,Data_Entry!$C:$L,Data_Entry!$A5,0)/VLOOKUP($B6,Basic_Data!$E$2:$G$10,3,0),"")</f>
        <v/>
      </c>
      <c r="AB6" s="94" t="str">
        <f>IFERROR(VLOOKUP(AB$2,Data_Entry!$C:$L,Data_Entry!$A5,0)/VLOOKUP($B6,Basic_Data!$E$2:$G$10,3,0),"")</f>
        <v/>
      </c>
      <c r="AC6" s="94" t="str">
        <f>IFERROR(VLOOKUP(AC$2,Data_Entry!$C:$L,Data_Entry!$A5,0)/VLOOKUP($B6,Basic_Data!$E$2:$G$10,3,0),"")</f>
        <v/>
      </c>
      <c r="AD6" s="94" t="str">
        <f>IFERROR(VLOOKUP(AD$2,Data_Entry!$C:$L,Data_Entry!$A5,0)/VLOOKUP($B6,Basic_Data!$E$2:$G$10,3,0),"")</f>
        <v/>
      </c>
      <c r="AE6" s="94" t="str">
        <f>IFERROR(VLOOKUP(AE$2,Data_Entry!$C:$L,Data_Entry!$A5,0)/VLOOKUP($B6,Basic_Data!$E$2:$G$10,3,0),"")</f>
        <v/>
      </c>
      <c r="AF6" s="94" t="str">
        <f>IFERROR(VLOOKUP(AF$2,Data_Entry!$C:$L,Data_Entry!$A5,0)/VLOOKUP($B6,Basic_Data!$E$2:$G$10,3,0),"")</f>
        <v/>
      </c>
      <c r="AG6" s="94" t="str">
        <f>IFERROR(VLOOKUP(AG$2,Data_Entry!$C:$L,Data_Entry!$A5,0)/VLOOKUP($B6,Basic_Data!$E$2:$G$10,3,0),"")</f>
        <v/>
      </c>
      <c r="AH6" s="52"/>
    </row>
    <row r="7" spans="1:38">
      <c r="B7" s="82" t="s">
        <v>39</v>
      </c>
      <c r="C7" s="94">
        <f>IFERROR(VLOOKUP(C$2,Data_Entry!$C:$L,Data_Entry!$A6,0)/VLOOKUP($B7,Basic_Data!$E$2:$G$10,3,0),"")</f>
        <v>5.41392671947119</v>
      </c>
      <c r="D7" s="94">
        <f>IFERROR(VLOOKUP(D$2,Data_Entry!$C:$L,Data_Entry!$A6,0)/VLOOKUP($B7,Basic_Data!$E$2:$G$10,3,0),"")</f>
        <v>0</v>
      </c>
      <c r="E7" s="94">
        <f>IFERROR(VLOOKUP(E$2,Data_Entry!$C:$L,Data_Entry!$A6,0)/VLOOKUP($B7,Basic_Data!$E$2:$G$10,3,0),"")</f>
        <v>0</v>
      </c>
      <c r="F7" s="94">
        <f>IFERROR(VLOOKUP(F$2,Data_Entry!$C:$L,Data_Entry!$A6,0)/VLOOKUP($B7,Basic_Data!$E$2:$G$10,3,0),"")</f>
        <v>0</v>
      </c>
      <c r="G7" s="94">
        <f>IFERROR(VLOOKUP(G$2,Data_Entry!$C:$L,Data_Entry!$A6,0)/VLOOKUP($B7,Basic_Data!$E$2:$G$10,3,0),"")</f>
        <v>0</v>
      </c>
      <c r="H7" s="94">
        <f>IFERROR(VLOOKUP(H$2,Data_Entry!$C:$L,Data_Entry!$A6,0)/VLOOKUP($B7,Basic_Data!$E$2:$G$10,3,0),"")</f>
        <v>0</v>
      </c>
      <c r="I7" s="94">
        <f>IFERROR(VLOOKUP(I$2,Data_Entry!$C:$L,Data_Entry!$A6,0)/VLOOKUP($B7,Basic_Data!$E$2:$G$10,3,0),"")</f>
        <v>0</v>
      </c>
      <c r="J7" s="94">
        <f>IFERROR(VLOOKUP(J$2,Data_Entry!$C:$L,Data_Entry!$A6,0)/VLOOKUP($B7,Basic_Data!$E$2:$G$10,3,0),"")</f>
        <v>0</v>
      </c>
      <c r="K7" s="94" t="str">
        <f>IFERROR(VLOOKUP(K$2,Data_Entry!$C:$L,Data_Entry!$A6,0)/VLOOKUP($B7,Basic_Data!$E$2:$G$10,3,0),"")</f>
        <v/>
      </c>
      <c r="L7" s="94" t="str">
        <f>IFERROR(VLOOKUP(L$2,Data_Entry!$C:$L,Data_Entry!$A6,0)/VLOOKUP($B7,Basic_Data!$E$2:$G$10,3,0),"")</f>
        <v/>
      </c>
      <c r="M7" s="94" t="str">
        <f>IFERROR(VLOOKUP(M$2,Data_Entry!$C:$L,Data_Entry!$A6,0)/VLOOKUP($B7,Basic_Data!$E$2:$G$10,3,0),"")</f>
        <v/>
      </c>
      <c r="N7" s="94" t="str">
        <f>IFERROR(VLOOKUP(N$2,Data_Entry!$C:$L,Data_Entry!$A6,0)/VLOOKUP($B7,Basic_Data!$E$2:$G$10,3,0),"")</f>
        <v/>
      </c>
      <c r="O7" s="94" t="str">
        <f>IFERROR(VLOOKUP(O$2,Data_Entry!$C:$L,Data_Entry!$A6,0)/VLOOKUP($B7,Basic_Data!$E$2:$G$10,3,0),"")</f>
        <v/>
      </c>
      <c r="P7" s="94" t="str">
        <f>IFERROR(VLOOKUP(P$2,Data_Entry!$C:$L,Data_Entry!$A6,0)/VLOOKUP($B7,Basic_Data!$E$2:$G$10,3,0),"")</f>
        <v/>
      </c>
      <c r="Q7" s="94" t="str">
        <f>IFERROR(VLOOKUP(Q$2,Data_Entry!$C:$L,Data_Entry!$A6,0)/VLOOKUP($B7,Basic_Data!$E$2:$G$10,3,0),"")</f>
        <v/>
      </c>
      <c r="R7" s="94" t="str">
        <f>IFERROR(VLOOKUP(R$2,Data_Entry!$C:$L,Data_Entry!$A6,0)/VLOOKUP($B7,Basic_Data!$E$2:$G$10,3,0),"")</f>
        <v/>
      </c>
      <c r="S7" s="94" t="str">
        <f>IFERROR(VLOOKUP(S$2,Data_Entry!$C:$L,Data_Entry!$A6,0)/VLOOKUP($B7,Basic_Data!$E$2:$G$10,3,0),"")</f>
        <v/>
      </c>
      <c r="T7" s="94" t="str">
        <f>IFERROR(VLOOKUP(T$2,Data_Entry!$C:$L,Data_Entry!$A6,0)/VLOOKUP($B7,Basic_Data!$E$2:$G$10,3,0),"")</f>
        <v/>
      </c>
      <c r="U7" s="94" t="str">
        <f>IFERROR(VLOOKUP(U$2,Data_Entry!$C:$L,Data_Entry!$A6,0)/VLOOKUP($B7,Basic_Data!$E$2:$G$10,3,0),"")</f>
        <v/>
      </c>
      <c r="V7" s="94" t="str">
        <f>IFERROR(VLOOKUP(V$2,Data_Entry!$C:$L,Data_Entry!$A6,0)/VLOOKUP($B7,Basic_Data!$E$2:$G$10,3,0),"")</f>
        <v/>
      </c>
      <c r="W7" s="94" t="str">
        <f>IFERROR(VLOOKUP(W$2,Data_Entry!$C:$L,Data_Entry!$A6,0)/VLOOKUP($B7,Basic_Data!$E$2:$G$10,3,0),"")</f>
        <v/>
      </c>
      <c r="X7" s="94" t="str">
        <f>IFERROR(VLOOKUP(X$2,Data_Entry!$C:$L,Data_Entry!$A6,0)/VLOOKUP($B7,Basic_Data!$E$2:$G$10,3,0),"")</f>
        <v/>
      </c>
      <c r="Y7" s="94" t="str">
        <f>IFERROR(VLOOKUP(Y$2,Data_Entry!$C:$L,Data_Entry!$A6,0)/VLOOKUP($B7,Basic_Data!$E$2:$G$10,3,0),"")</f>
        <v/>
      </c>
      <c r="Z7" s="94" t="str">
        <f>IFERROR(VLOOKUP(Z$2,Data_Entry!$C:$L,Data_Entry!$A6,0)/VLOOKUP($B7,Basic_Data!$E$2:$G$10,3,0),"")</f>
        <v/>
      </c>
      <c r="AA7" s="94" t="str">
        <f>IFERROR(VLOOKUP(AA$2,Data_Entry!$C:$L,Data_Entry!$A6,0)/VLOOKUP($B7,Basic_Data!$E$2:$G$10,3,0),"")</f>
        <v/>
      </c>
      <c r="AB7" s="94" t="str">
        <f>IFERROR(VLOOKUP(AB$2,Data_Entry!$C:$L,Data_Entry!$A6,0)/VLOOKUP($B7,Basic_Data!$E$2:$G$10,3,0),"")</f>
        <v/>
      </c>
      <c r="AC7" s="94" t="str">
        <f>IFERROR(VLOOKUP(AC$2,Data_Entry!$C:$L,Data_Entry!$A6,0)/VLOOKUP($B7,Basic_Data!$E$2:$G$10,3,0),"")</f>
        <v/>
      </c>
      <c r="AD7" s="94" t="str">
        <f>IFERROR(VLOOKUP(AD$2,Data_Entry!$C:$L,Data_Entry!$A6,0)/VLOOKUP($B7,Basic_Data!$E$2:$G$10,3,0),"")</f>
        <v/>
      </c>
      <c r="AE7" s="94" t="str">
        <f>IFERROR(VLOOKUP(AE$2,Data_Entry!$C:$L,Data_Entry!$A6,0)/VLOOKUP($B7,Basic_Data!$E$2:$G$10,3,0),"")</f>
        <v/>
      </c>
      <c r="AF7" s="94" t="str">
        <f>IFERROR(VLOOKUP(AF$2,Data_Entry!$C:$L,Data_Entry!$A6,0)/VLOOKUP($B7,Basic_Data!$E$2:$G$10,3,0),"")</f>
        <v/>
      </c>
      <c r="AG7" s="94" t="str">
        <f>IFERROR(VLOOKUP(AG$2,Data_Entry!$C:$L,Data_Entry!$A6,0)/VLOOKUP($B7,Basic_Data!$E$2:$G$10,3,0),"")</f>
        <v/>
      </c>
      <c r="AH7" s="52"/>
    </row>
    <row r="8" spans="1:38">
      <c r="B8" s="82" t="s">
        <v>40</v>
      </c>
      <c r="C8" s="94">
        <f>IFERROR(VLOOKUP(C$2,Data_Entry!$C:$L,Data_Entry!$A7,0)/VLOOKUP($B8,Basic_Data!$E$2:$G$10,3,0),"")</f>
        <v>5.41996694968374</v>
      </c>
      <c r="D8" s="94">
        <f>IFERROR(VLOOKUP(D$2,Data_Entry!$C:$L,Data_Entry!$A7,0)/VLOOKUP($B8,Basic_Data!$E$2:$G$10,3,0),"")</f>
        <v>0</v>
      </c>
      <c r="E8" s="94">
        <f>IFERROR(VLOOKUP(E$2,Data_Entry!$C:$L,Data_Entry!$A7,0)/VLOOKUP($B8,Basic_Data!$E$2:$G$10,3,0),"")</f>
        <v>0</v>
      </c>
      <c r="F8" s="94">
        <f>IFERROR(VLOOKUP(F$2,Data_Entry!$C:$L,Data_Entry!$A7,0)/VLOOKUP($B8,Basic_Data!$E$2:$G$10,3,0),"")</f>
        <v>0</v>
      </c>
      <c r="G8" s="94">
        <f>IFERROR(VLOOKUP(G$2,Data_Entry!$C:$L,Data_Entry!$A7,0)/VLOOKUP($B8,Basic_Data!$E$2:$G$10,3,0),"")</f>
        <v>0</v>
      </c>
      <c r="H8" s="94">
        <f>IFERROR(VLOOKUP(H$2,Data_Entry!$C:$L,Data_Entry!$A7,0)/VLOOKUP($B8,Basic_Data!$E$2:$G$10,3,0),"")</f>
        <v>0</v>
      </c>
      <c r="I8" s="94">
        <f>IFERROR(VLOOKUP(I$2,Data_Entry!$C:$L,Data_Entry!$A7,0)/VLOOKUP($B8,Basic_Data!$E$2:$G$10,3,0),"")</f>
        <v>0</v>
      </c>
      <c r="J8" s="94">
        <f>IFERROR(VLOOKUP(J$2,Data_Entry!$C:$L,Data_Entry!$A7,0)/VLOOKUP($B8,Basic_Data!$E$2:$G$10,3,0),"")</f>
        <v>0</v>
      </c>
      <c r="K8" s="94" t="str">
        <f>IFERROR(VLOOKUP(K$2,Data_Entry!$C:$L,Data_Entry!$A7,0)/VLOOKUP($B8,Basic_Data!$E$2:$G$10,3,0),"")</f>
        <v/>
      </c>
      <c r="L8" s="94" t="str">
        <f>IFERROR(VLOOKUP(L$2,Data_Entry!$C:$L,Data_Entry!$A7,0)/VLOOKUP($B8,Basic_Data!$E$2:$G$10,3,0),"")</f>
        <v/>
      </c>
      <c r="M8" s="94" t="str">
        <f>IFERROR(VLOOKUP(M$2,Data_Entry!$C:$L,Data_Entry!$A7,0)/VLOOKUP($B8,Basic_Data!$E$2:$G$10,3,0),"")</f>
        <v/>
      </c>
      <c r="N8" s="94" t="str">
        <f>IFERROR(VLOOKUP(N$2,Data_Entry!$C:$L,Data_Entry!$A7,0)/VLOOKUP($B8,Basic_Data!$E$2:$G$10,3,0),"")</f>
        <v/>
      </c>
      <c r="O8" s="94" t="str">
        <f>IFERROR(VLOOKUP(O$2,Data_Entry!$C:$L,Data_Entry!$A7,0)/VLOOKUP($B8,Basic_Data!$E$2:$G$10,3,0),"")</f>
        <v/>
      </c>
      <c r="P8" s="94" t="str">
        <f>IFERROR(VLOOKUP(P$2,Data_Entry!$C:$L,Data_Entry!$A7,0)/VLOOKUP($B8,Basic_Data!$E$2:$G$10,3,0),"")</f>
        <v/>
      </c>
      <c r="Q8" s="94" t="str">
        <f>IFERROR(VLOOKUP(Q$2,Data_Entry!$C:$L,Data_Entry!$A7,0)/VLOOKUP($B8,Basic_Data!$E$2:$G$10,3,0),"")</f>
        <v/>
      </c>
      <c r="R8" s="94" t="str">
        <f>IFERROR(VLOOKUP(R$2,Data_Entry!$C:$L,Data_Entry!$A7,0)/VLOOKUP($B8,Basic_Data!$E$2:$G$10,3,0),"")</f>
        <v/>
      </c>
      <c r="S8" s="94" t="str">
        <f>IFERROR(VLOOKUP(S$2,Data_Entry!$C:$L,Data_Entry!$A7,0)/VLOOKUP($B8,Basic_Data!$E$2:$G$10,3,0),"")</f>
        <v/>
      </c>
      <c r="T8" s="94" t="str">
        <f>IFERROR(VLOOKUP(T$2,Data_Entry!$C:$L,Data_Entry!$A7,0)/VLOOKUP($B8,Basic_Data!$E$2:$G$10,3,0),"")</f>
        <v/>
      </c>
      <c r="U8" s="94" t="str">
        <f>IFERROR(VLOOKUP(U$2,Data_Entry!$C:$L,Data_Entry!$A7,0)/VLOOKUP($B8,Basic_Data!$E$2:$G$10,3,0),"")</f>
        <v/>
      </c>
      <c r="V8" s="94" t="str">
        <f>IFERROR(VLOOKUP(V$2,Data_Entry!$C:$L,Data_Entry!$A7,0)/VLOOKUP($B8,Basic_Data!$E$2:$G$10,3,0),"")</f>
        <v/>
      </c>
      <c r="W8" s="94" t="str">
        <f>IFERROR(VLOOKUP(W$2,Data_Entry!$C:$L,Data_Entry!$A7,0)/VLOOKUP($B8,Basic_Data!$E$2:$G$10,3,0),"")</f>
        <v/>
      </c>
      <c r="X8" s="94" t="str">
        <f>IFERROR(VLOOKUP(X$2,Data_Entry!$C:$L,Data_Entry!$A7,0)/VLOOKUP($B8,Basic_Data!$E$2:$G$10,3,0),"")</f>
        <v/>
      </c>
      <c r="Y8" s="94" t="str">
        <f>IFERROR(VLOOKUP(Y$2,Data_Entry!$C:$L,Data_Entry!$A7,0)/VLOOKUP($B8,Basic_Data!$E$2:$G$10,3,0),"")</f>
        <v/>
      </c>
      <c r="Z8" s="94" t="str">
        <f>IFERROR(VLOOKUP(Z$2,Data_Entry!$C:$L,Data_Entry!$A7,0)/VLOOKUP($B8,Basic_Data!$E$2:$G$10,3,0),"")</f>
        <v/>
      </c>
      <c r="AA8" s="94" t="str">
        <f>IFERROR(VLOOKUP(AA$2,Data_Entry!$C:$L,Data_Entry!$A7,0)/VLOOKUP($B8,Basic_Data!$E$2:$G$10,3,0),"")</f>
        <v/>
      </c>
      <c r="AB8" s="94" t="str">
        <f>IFERROR(VLOOKUP(AB$2,Data_Entry!$C:$L,Data_Entry!$A7,0)/VLOOKUP($B8,Basic_Data!$E$2:$G$10,3,0),"")</f>
        <v/>
      </c>
      <c r="AC8" s="94" t="str">
        <f>IFERROR(VLOOKUP(AC$2,Data_Entry!$C:$L,Data_Entry!$A7,0)/VLOOKUP($B8,Basic_Data!$E$2:$G$10,3,0),"")</f>
        <v/>
      </c>
      <c r="AD8" s="94" t="str">
        <f>IFERROR(VLOOKUP(AD$2,Data_Entry!$C:$L,Data_Entry!$A7,0)/VLOOKUP($B8,Basic_Data!$E$2:$G$10,3,0),"")</f>
        <v/>
      </c>
      <c r="AE8" s="94" t="str">
        <f>IFERROR(VLOOKUP(AE$2,Data_Entry!$C:$L,Data_Entry!$A7,0)/VLOOKUP($B8,Basic_Data!$E$2:$G$10,3,0),"")</f>
        <v/>
      </c>
      <c r="AF8" s="94" t="str">
        <f>IFERROR(VLOOKUP(AF$2,Data_Entry!$C:$L,Data_Entry!$A7,0)/VLOOKUP($B8,Basic_Data!$E$2:$G$10,3,0),"")</f>
        <v/>
      </c>
      <c r="AG8" s="94" t="str">
        <f>IFERROR(VLOOKUP(AG$2,Data_Entry!$C:$L,Data_Entry!$A7,0)/VLOOKUP($B8,Basic_Data!$E$2:$G$10,3,0),"")</f>
        <v/>
      </c>
      <c r="AH8" s="52"/>
    </row>
    <row r="9" spans="1:38">
      <c r="B9" s="82" t="s">
        <v>41</v>
      </c>
      <c r="C9" s="94">
        <f>IFERROR(VLOOKUP(C$2,Data_Entry!$C:$L,Data_Entry!$A8,0)/VLOOKUP($B9,Basic_Data!$E$2:$G$10,3,0),"")</f>
        <v>5.41973901646817</v>
      </c>
      <c r="D9" s="94">
        <f>IFERROR(VLOOKUP(D$2,Data_Entry!$C:$L,Data_Entry!$A8,0)/VLOOKUP($B9,Basic_Data!$E$2:$G$10,3,0),"")</f>
        <v>0</v>
      </c>
      <c r="E9" s="94">
        <f>IFERROR(VLOOKUP(E$2,Data_Entry!$C:$L,Data_Entry!$A8,0)/VLOOKUP($B9,Basic_Data!$E$2:$G$10,3,0),"")</f>
        <v>0</v>
      </c>
      <c r="F9" s="94">
        <f>IFERROR(VLOOKUP(F$2,Data_Entry!$C:$L,Data_Entry!$A8,0)/VLOOKUP($B9,Basic_Data!$E$2:$G$10,3,0),"")</f>
        <v>0</v>
      </c>
      <c r="G9" s="94">
        <f>IFERROR(VLOOKUP(G$2,Data_Entry!$C:$L,Data_Entry!$A8,0)/VLOOKUP($B9,Basic_Data!$E$2:$G$10,3,0),"")</f>
        <v>0</v>
      </c>
      <c r="H9" s="94">
        <f>IFERROR(VLOOKUP(H$2,Data_Entry!$C:$L,Data_Entry!$A8,0)/VLOOKUP($B9,Basic_Data!$E$2:$G$10,3,0),"")</f>
        <v>0</v>
      </c>
      <c r="I9" s="94">
        <f>IFERROR(VLOOKUP(I$2,Data_Entry!$C:$L,Data_Entry!$A8,0)/VLOOKUP($B9,Basic_Data!$E$2:$G$10,3,0),"")</f>
        <v>0</v>
      </c>
      <c r="J9" s="94">
        <f>IFERROR(VLOOKUP(J$2,Data_Entry!$C:$L,Data_Entry!$A8,0)/VLOOKUP($B9,Basic_Data!$E$2:$G$10,3,0),"")</f>
        <v>0</v>
      </c>
      <c r="K9" s="94" t="str">
        <f>IFERROR(VLOOKUP(K$2,Data_Entry!$C:$L,Data_Entry!$A8,0)/VLOOKUP($B9,Basic_Data!$E$2:$G$10,3,0),"")</f>
        <v/>
      </c>
      <c r="L9" s="94" t="str">
        <f>IFERROR(VLOOKUP(L$2,Data_Entry!$C:$L,Data_Entry!$A8,0)/VLOOKUP($B9,Basic_Data!$E$2:$G$10,3,0),"")</f>
        <v/>
      </c>
      <c r="M9" s="94" t="str">
        <f>IFERROR(VLOOKUP(M$2,Data_Entry!$C:$L,Data_Entry!$A8,0)/VLOOKUP($B9,Basic_Data!$E$2:$G$10,3,0),"")</f>
        <v/>
      </c>
      <c r="N9" s="94" t="str">
        <f>IFERROR(VLOOKUP(N$2,Data_Entry!$C:$L,Data_Entry!$A8,0)/VLOOKUP($B9,Basic_Data!$E$2:$G$10,3,0),"")</f>
        <v/>
      </c>
      <c r="O9" s="94" t="str">
        <f>IFERROR(VLOOKUP(O$2,Data_Entry!$C:$L,Data_Entry!$A8,0)/VLOOKUP($B9,Basic_Data!$E$2:$G$10,3,0),"")</f>
        <v/>
      </c>
      <c r="P9" s="94" t="str">
        <f>IFERROR(VLOOKUP(P$2,Data_Entry!$C:$L,Data_Entry!$A8,0)/VLOOKUP($B9,Basic_Data!$E$2:$G$10,3,0),"")</f>
        <v/>
      </c>
      <c r="Q9" s="94" t="str">
        <f>IFERROR(VLOOKUP(Q$2,Data_Entry!$C:$L,Data_Entry!$A8,0)/VLOOKUP($B9,Basic_Data!$E$2:$G$10,3,0),"")</f>
        <v/>
      </c>
      <c r="R9" s="94" t="str">
        <f>IFERROR(VLOOKUP(R$2,Data_Entry!$C:$L,Data_Entry!$A8,0)/VLOOKUP($B9,Basic_Data!$E$2:$G$10,3,0),"")</f>
        <v/>
      </c>
      <c r="S9" s="94" t="str">
        <f>IFERROR(VLOOKUP(S$2,Data_Entry!$C:$L,Data_Entry!$A8,0)/VLOOKUP($B9,Basic_Data!$E$2:$G$10,3,0),"")</f>
        <v/>
      </c>
      <c r="T9" s="94" t="str">
        <f>IFERROR(VLOOKUP(T$2,Data_Entry!$C:$L,Data_Entry!$A8,0)/VLOOKUP($B9,Basic_Data!$E$2:$G$10,3,0),"")</f>
        <v/>
      </c>
      <c r="U9" s="94" t="str">
        <f>IFERROR(VLOOKUP(U$2,Data_Entry!$C:$L,Data_Entry!$A8,0)/VLOOKUP($B9,Basic_Data!$E$2:$G$10,3,0),"")</f>
        <v/>
      </c>
      <c r="V9" s="94" t="str">
        <f>IFERROR(VLOOKUP(V$2,Data_Entry!$C:$L,Data_Entry!$A8,0)/VLOOKUP($B9,Basic_Data!$E$2:$G$10,3,0),"")</f>
        <v/>
      </c>
      <c r="W9" s="94" t="str">
        <f>IFERROR(VLOOKUP(W$2,Data_Entry!$C:$L,Data_Entry!$A8,0)/VLOOKUP($B9,Basic_Data!$E$2:$G$10,3,0),"")</f>
        <v/>
      </c>
      <c r="X9" s="94" t="str">
        <f>IFERROR(VLOOKUP(X$2,Data_Entry!$C:$L,Data_Entry!$A8,0)/VLOOKUP($B9,Basic_Data!$E$2:$G$10,3,0),"")</f>
        <v/>
      </c>
      <c r="Y9" s="94" t="str">
        <f>IFERROR(VLOOKUP(Y$2,Data_Entry!$C:$L,Data_Entry!$A8,0)/VLOOKUP($B9,Basic_Data!$E$2:$G$10,3,0),"")</f>
        <v/>
      </c>
      <c r="Z9" s="94" t="str">
        <f>IFERROR(VLOOKUP(Z$2,Data_Entry!$C:$L,Data_Entry!$A8,0)/VLOOKUP($B9,Basic_Data!$E$2:$G$10,3,0),"")</f>
        <v/>
      </c>
      <c r="AA9" s="94" t="str">
        <f>IFERROR(VLOOKUP(AA$2,Data_Entry!$C:$L,Data_Entry!$A8,0)/VLOOKUP($B9,Basic_Data!$E$2:$G$10,3,0),"")</f>
        <v/>
      </c>
      <c r="AB9" s="94" t="str">
        <f>IFERROR(VLOOKUP(AB$2,Data_Entry!$C:$L,Data_Entry!$A8,0)/VLOOKUP($B9,Basic_Data!$E$2:$G$10,3,0),"")</f>
        <v/>
      </c>
      <c r="AC9" s="94" t="str">
        <f>IFERROR(VLOOKUP(AC$2,Data_Entry!$C:$L,Data_Entry!$A8,0)/VLOOKUP($B9,Basic_Data!$E$2:$G$10,3,0),"")</f>
        <v/>
      </c>
      <c r="AD9" s="94" t="str">
        <f>IFERROR(VLOOKUP(AD$2,Data_Entry!$C:$L,Data_Entry!$A8,0)/VLOOKUP($B9,Basic_Data!$E$2:$G$10,3,0),"")</f>
        <v/>
      </c>
      <c r="AE9" s="94" t="str">
        <f>IFERROR(VLOOKUP(AE$2,Data_Entry!$C:$L,Data_Entry!$A8,0)/VLOOKUP($B9,Basic_Data!$E$2:$G$10,3,0),"")</f>
        <v/>
      </c>
      <c r="AF9" s="94" t="str">
        <f>IFERROR(VLOOKUP(AF$2,Data_Entry!$C:$L,Data_Entry!$A8,0)/VLOOKUP($B9,Basic_Data!$E$2:$G$10,3,0),"")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="B10" s="52" t="s">
        <v>78</v>
      </c>
      <c r="C10" s="94">
        <f>AVERAGE(C3:C9)</f>
        <v>5.44559574564133</v>
      </c>
      <c r="D10" s="94">
        <f t="shared" ref="D10:AH10" si="0">AVERAGE(D3:D9)</f>
        <v>0</v>
      </c>
      <c r="E10" s="94">
        <f t="shared" si="0"/>
        <v>0</v>
      </c>
      <c r="F10" s="94">
        <f t="shared" si="0"/>
        <v>0</v>
      </c>
      <c r="G10" s="94">
        <f t="shared" si="0"/>
        <v>0</v>
      </c>
      <c r="H10" s="94">
        <f t="shared" si="0"/>
        <v>0</v>
      </c>
      <c r="I10" s="94">
        <f t="shared" si="0"/>
        <v>0</v>
      </c>
      <c r="J10" s="94">
        <f t="shared" si="0"/>
        <v>0</v>
      </c>
      <c r="K10" s="94" t="e">
        <f t="shared" si="0"/>
        <v>#DIV/0!</v>
      </c>
      <c r="L10" s="94" t="e">
        <f t="shared" si="0"/>
        <v>#DIV/0!</v>
      </c>
      <c r="M10" s="94" t="e">
        <f t="shared" si="0"/>
        <v>#DIV/0!</v>
      </c>
      <c r="N10" s="94" t="e">
        <f t="shared" si="0"/>
        <v>#DIV/0!</v>
      </c>
      <c r="O10" s="94" t="e">
        <f t="shared" si="0"/>
        <v>#DIV/0!</v>
      </c>
      <c r="P10" s="94" t="e">
        <f t="shared" si="0"/>
        <v>#DIV/0!</v>
      </c>
      <c r="Q10" s="94" t="e">
        <f t="shared" si="0"/>
        <v>#DIV/0!</v>
      </c>
      <c r="R10" s="94" t="e">
        <f t="shared" si="0"/>
        <v>#DIV/0!</v>
      </c>
      <c r="S10" s="94" t="e">
        <f t="shared" si="0"/>
        <v>#DIV/0!</v>
      </c>
      <c r="T10" s="94" t="e">
        <f t="shared" si="0"/>
        <v>#DIV/0!</v>
      </c>
      <c r="U10" s="94" t="e">
        <f t="shared" si="0"/>
        <v>#DIV/0!</v>
      </c>
      <c r="V10" s="94" t="e">
        <f t="shared" si="0"/>
        <v>#DIV/0!</v>
      </c>
      <c r="W10" s="94" t="e">
        <f t="shared" si="0"/>
        <v>#DIV/0!</v>
      </c>
      <c r="X10" s="94" t="e">
        <f t="shared" si="0"/>
        <v>#DIV/0!</v>
      </c>
      <c r="Y10" s="94" t="e">
        <f t="shared" si="0"/>
        <v>#DIV/0!</v>
      </c>
      <c r="Z10" s="94" t="e">
        <f t="shared" si="0"/>
        <v>#DIV/0!</v>
      </c>
      <c r="AA10" s="94" t="e">
        <f t="shared" si="0"/>
        <v>#DIV/0!</v>
      </c>
      <c r="AB10" s="94" t="e">
        <f t="shared" si="0"/>
        <v>#DIV/0!</v>
      </c>
      <c r="AC10" s="94" t="e">
        <f t="shared" si="0"/>
        <v>#DIV/0!</v>
      </c>
      <c r="AD10" s="94" t="e">
        <f t="shared" si="0"/>
        <v>#DIV/0!</v>
      </c>
      <c r="AE10" s="94" t="e">
        <f t="shared" si="0"/>
        <v>#DIV/0!</v>
      </c>
      <c r="AF10" s="94" t="e">
        <f t="shared" si="0"/>
        <v>#DIV/0!</v>
      </c>
      <c r="AG10" s="94" t="e">
        <f t="shared" si="0"/>
        <v>#DIV/0!</v>
      </c>
      <c r="AH10" s="94" t="e">
        <f t="shared" si="0"/>
        <v>#DIV/0!</v>
      </c>
    </row>
    <row r="13" spans="1:38">
      <c r="B13" s="91" t="s">
        <v>33</v>
      </c>
      <c r="C13" s="92">
        <f>DGR!B3</f>
        <v>46181</v>
      </c>
      <c r="D13" s="92">
        <f>DGR!C3</f>
        <v>46182</v>
      </c>
      <c r="E13" s="92">
        <f>DGR!D3</f>
        <v>46183</v>
      </c>
      <c r="F13" s="92">
        <f>DGR!E3</f>
        <v>46184</v>
      </c>
      <c r="G13" s="92">
        <f>DGR!F3</f>
        <v>46185</v>
      </c>
      <c r="H13" s="92">
        <f>DGR!G3</f>
        <v>46186</v>
      </c>
      <c r="I13" s="92">
        <f>DGR!H3</f>
        <v>46187</v>
      </c>
      <c r="J13" s="92">
        <f>DGR!I3</f>
        <v>46188</v>
      </c>
      <c r="K13" s="92">
        <f>DGR!J3</f>
        <v>46189</v>
      </c>
      <c r="L13" s="92">
        <f>DGR!K3</f>
        <v>46190</v>
      </c>
      <c r="M13" s="92">
        <f>DGR!L3</f>
        <v>46191</v>
      </c>
      <c r="N13" s="92">
        <f>DGR!M3</f>
        <v>46192</v>
      </c>
      <c r="O13" s="92">
        <f>DGR!N3</f>
        <v>46193</v>
      </c>
      <c r="P13" s="92">
        <f>DGR!O3</f>
        <v>46194</v>
      </c>
      <c r="Q13" s="92">
        <f>DGR!P3</f>
        <v>46195</v>
      </c>
      <c r="R13" s="92">
        <f>DGR!Q3</f>
        <v>46196</v>
      </c>
      <c r="S13" s="92">
        <f>DGR!R3</f>
        <v>46197</v>
      </c>
      <c r="T13" s="92">
        <f>DGR!S3</f>
        <v>46198</v>
      </c>
      <c r="U13" s="92">
        <f>DGR!T3</f>
        <v>46199</v>
      </c>
      <c r="V13" s="92">
        <f>DGR!U3</f>
        <v>46200</v>
      </c>
      <c r="W13" s="92">
        <f>DGR!V3</f>
        <v>46201</v>
      </c>
      <c r="X13" s="92">
        <f>DGR!W3</f>
        <v>46202</v>
      </c>
      <c r="Y13" s="92">
        <f>DGR!X3</f>
        <v>46203</v>
      </c>
      <c r="Z13" s="92">
        <f>DGR!Y3</f>
        <v>46204</v>
      </c>
      <c r="AA13" s="92">
        <f>DGR!Z3</f>
        <v>46205</v>
      </c>
      <c r="AB13" s="92">
        <f>DGR!AA3</f>
        <v>46206</v>
      </c>
      <c r="AC13" s="92">
        <f>DGR!AB3</f>
        <v>46207</v>
      </c>
      <c r="AD13" s="92">
        <f>DGR!AC3</f>
        <v>46208</v>
      </c>
      <c r="AE13" s="92">
        <f>DGR!AD3</f>
        <v>46209</v>
      </c>
      <c r="AF13" s="92">
        <f>DGR!AE3</f>
        <v>46210</v>
      </c>
      <c r="AG13" s="92">
        <f>DGR!AF3</f>
        <v>46211</v>
      </c>
      <c r="AH13" s="92" t="str">
        <f>DGR!AG3</f>
        <v>Total/Avg..</v>
      </c>
    </row>
    <row r="14" spans="1:38">
      <c r="B14" s="82" t="s">
        <v>35</v>
      </c>
      <c r="C14" s="95">
        <f>IFERROR(VLOOKUP(C$13,Data_Entry!$C:$M,Data_Entry!$A2,0)/VLOOKUP($B14,Basic_Data!$E$2:$G$9,3,0)/VLOOKUP(C$13,Data_Entry!$C:$V,20,0),"")</f>
        <v>1.25925438083506</v>
      </c>
      <c r="D14" s="95" t="str">
        <f>IFERROR(VLOOKUP(D$13,Data_Entry!$C:$M,Data_Entry!$A2,0)/VLOOKUP($B14,Basic_Data!$E$2:$G$9,3,0)/VLOOKUP(D$13,Data_Entry!$C:$V,20,0),"")</f>
        <v/>
      </c>
      <c r="E14" s="95" t="str">
        <f>IFERROR(VLOOKUP(E$13,Data_Entry!$C:$M,Data_Entry!$A2,0)/VLOOKUP($B14,Basic_Data!$E$2:$G$9,3,0)/VLOOKUP(E$13,Data_Entry!$C:$V,20,0),"")</f>
        <v/>
      </c>
      <c r="F14" s="95" t="str">
        <f>IFERROR(VLOOKUP(F$13,Data_Entry!$C:$M,Data_Entry!$A2,0)/VLOOKUP($B14,Basic_Data!$E$2:$G$9,3,0)/VLOOKUP(F$13,Data_Entry!$C:$V,20,0),"")</f>
        <v/>
      </c>
      <c r="G14" s="95" t="str">
        <f>IFERROR(VLOOKUP(G$13,Data_Entry!$C:$M,Data_Entry!$A2,0)/VLOOKUP($B14,Basic_Data!$E$2:$G$9,3,0)/VLOOKUP(G$13,Data_Entry!$C:$V,20,0),"")</f>
        <v/>
      </c>
      <c r="H14" s="95" t="str">
        <f>IFERROR(VLOOKUP(H$13,Data_Entry!$C:$M,Data_Entry!$A2,0)/VLOOKUP($B14,Basic_Data!$E$2:$G$9,3,0)/VLOOKUP(H$13,Data_Entry!$C:$V,20,0),"")</f>
        <v/>
      </c>
      <c r="I14" s="95" t="str">
        <f>IFERROR(VLOOKUP(I$13,Data_Entry!$C:$M,Data_Entry!$A2,0)/VLOOKUP($B14,Basic_Data!$E$2:$G$9,3,0)/VLOOKUP(I$13,Data_Entry!$C:$V,20,0),"")</f>
        <v/>
      </c>
      <c r="J14" s="95" t="str">
        <f>IFERROR(VLOOKUP(J$13,Data_Entry!$C:$M,Data_Entry!$A2,0)/VLOOKUP($B14,Basic_Data!$E$2:$G$9,3,0)/VLOOKUP(J$13,Data_Entry!$C:$V,20,0),"")</f>
        <v/>
      </c>
      <c r="K14" s="95" t="str">
        <f>IFERROR(VLOOKUP(K$13,Data_Entry!$C:$M,Data_Entry!$A2,0)/VLOOKUP($B14,Basic_Data!$E$2:$G$9,3,0)/VLOOKUP(K$13,Data_Entry!$C:$V,20,0),"")</f>
        <v/>
      </c>
      <c r="L14" s="95" t="str">
        <f>IFERROR(VLOOKUP(L$13,Data_Entry!$C:$M,Data_Entry!$A2,0)/VLOOKUP($B14,Basic_Data!$E$2:$G$9,3,0)/VLOOKUP(L$13,Data_Entry!$C:$V,20,0),"")</f>
        <v/>
      </c>
      <c r="M14" s="95" t="str">
        <f>IFERROR(VLOOKUP(M$13,Data_Entry!$C:$M,Data_Entry!$A2,0)/VLOOKUP($B14,Basic_Data!$E$2:$G$9,3,0)/VLOOKUP(M$13,Data_Entry!$C:$V,20,0),"")</f>
        <v/>
      </c>
      <c r="N14" s="95" t="str">
        <f>IFERROR(VLOOKUP(N$13,Data_Entry!$C:$M,Data_Entry!$A2,0)/VLOOKUP($B14,Basic_Data!$E$2:$G$9,3,0)/VLOOKUP(N$13,Data_Entry!$C:$V,20,0),"")</f>
        <v/>
      </c>
      <c r="O14" s="95" t="str">
        <f>IFERROR(VLOOKUP(O$13,Data_Entry!$C:$M,Data_Entry!$A2,0)/VLOOKUP($B14,Basic_Data!$E$2:$G$9,3,0)/VLOOKUP(O$13,Data_Entry!$C:$V,20,0),"")</f>
        <v/>
      </c>
      <c r="P14" s="95" t="str">
        <f>IFERROR(VLOOKUP(P$13,Data_Entry!$C:$M,Data_Entry!$A2,0)/VLOOKUP($B14,Basic_Data!$E$2:$G$9,3,0)/VLOOKUP(P$13,Data_Entry!$C:$V,20,0),"")</f>
        <v/>
      </c>
      <c r="Q14" s="95" t="str">
        <f>IFERROR(VLOOKUP(Q$13,Data_Entry!$C:$M,Data_Entry!$A2,0)/VLOOKUP($B14,Basic_Data!$E$2:$G$9,3,0)/VLOOKUP(Q$13,Data_Entry!$C:$V,20,0),"")</f>
        <v/>
      </c>
      <c r="R14" s="95" t="str">
        <f>IFERROR(VLOOKUP(R$13,Data_Entry!$C:$M,Data_Entry!$A2,0)/VLOOKUP($B14,Basic_Data!$E$2:$G$9,3,0)/VLOOKUP(R$13,Data_Entry!$C:$V,20,0),"")</f>
        <v/>
      </c>
      <c r="S14" s="95" t="str">
        <f>IFERROR(VLOOKUP(S$13,Data_Entry!$C:$M,Data_Entry!$A2,0)/VLOOKUP($B14,Basic_Data!$E$2:$G$9,3,0)/VLOOKUP(S$13,Data_Entry!$C:$V,20,0),"")</f>
        <v/>
      </c>
      <c r="T14" s="95" t="str">
        <f>IFERROR(VLOOKUP(T$13,Data_Entry!$C:$M,Data_Entry!$A2,0)/VLOOKUP($B14,Basic_Data!$E$2:$G$9,3,0)/VLOOKUP(T$13,Data_Entry!$C:$V,20,0),"")</f>
        <v/>
      </c>
      <c r="U14" s="95" t="str">
        <f>IFERROR(VLOOKUP(U$13,Data_Entry!$C:$M,Data_Entry!$A2,0)/VLOOKUP($B14,Basic_Data!$E$2:$G$9,3,0)/VLOOKUP(U$13,Data_Entry!$C:$V,20,0),"")</f>
        <v/>
      </c>
      <c r="V14" s="95" t="str">
        <f>IFERROR(VLOOKUP(V$13,Data_Entry!$C:$M,Data_Entry!$A2,0)/VLOOKUP($B14,Basic_Data!$E$2:$G$9,3,0)/VLOOKUP(V$13,Data_Entry!$C:$V,20,0),"")</f>
        <v/>
      </c>
      <c r="W14" s="95" t="str">
        <f>IFERROR(VLOOKUP(W$13,Data_Entry!$C:$M,Data_Entry!$A2,0)/VLOOKUP($B14,Basic_Data!$E$2:$G$9,3,0)/VLOOKUP(W$13,Data_Entry!$C:$V,20,0),"")</f>
        <v/>
      </c>
      <c r="X14" s="95" t="str">
        <f>IFERROR(VLOOKUP(X$13,Data_Entry!$C:$M,Data_Entry!$A2,0)/VLOOKUP($B14,Basic_Data!$E$2:$G$9,3,0)/VLOOKUP(X$13,Data_Entry!$C:$V,20,0),"")</f>
        <v/>
      </c>
      <c r="Y14" s="95" t="str">
        <f>IFERROR(VLOOKUP(Y$13,Data_Entry!$C:$M,Data_Entry!$A2,0)/VLOOKUP($B14,Basic_Data!$E$2:$G$9,3,0)/VLOOKUP(Y$13,Data_Entry!$C:$V,20,0),"")</f>
        <v/>
      </c>
      <c r="Z14" s="95" t="str">
        <f>IFERROR(VLOOKUP(Z$13,Data_Entry!$C:$M,Data_Entry!$A2,0)/VLOOKUP($B14,Basic_Data!$E$2:$G$9,3,0)/VLOOKUP(Z$13,Data_Entry!$C:$V,20,0),"")</f>
        <v/>
      </c>
      <c r="AA14" s="95" t="str">
        <f>IFERROR(VLOOKUP(AA$13,Data_Entry!$C:$M,Data_Entry!$A2,0)/VLOOKUP($B14,Basic_Data!$E$2:$G$9,3,0)/VLOOKUP(AA$13,Data_Entry!$C:$V,20,0),"")</f>
        <v/>
      </c>
      <c r="AB14" s="95" t="str">
        <f>IFERROR(VLOOKUP(AB$13,Data_Entry!$C:$M,Data_Entry!$A2,0)/VLOOKUP($B14,Basic_Data!$E$2:$G$9,3,0)/VLOOKUP(AB$13,Data_Entry!$C:$V,20,0),"")</f>
        <v/>
      </c>
      <c r="AC14" s="95" t="str">
        <f>IFERROR(VLOOKUP(AC$13,Data_Entry!$C:$M,Data_Entry!$A2,0)/VLOOKUP($B14,Basic_Data!$E$2:$G$9,3,0)/VLOOKUP(AC$13,Data_Entry!$C:$V,20,0),"")</f>
        <v/>
      </c>
      <c r="AD14" s="95" t="str">
        <f>IFERROR(VLOOKUP(AD$13,Data_Entry!$C:$M,Data_Entry!$A2,0)/VLOOKUP($B14,Basic_Data!$E$2:$G$9,3,0)/VLOOKUP(AD$13,Data_Entry!$C:$V,20,0),"")</f>
        <v/>
      </c>
      <c r="AE14" s="95" t="str">
        <f>IFERROR(VLOOKUP(AE$13,Data_Entry!$C:$M,Data_Entry!$A2,0)/VLOOKUP($B14,Basic_Data!$E$2:$G$9,3,0)/VLOOKUP(AE$13,Data_Entry!$C:$V,20,0),"")</f>
        <v/>
      </c>
      <c r="AF14" s="95" t="str">
        <f>IFERROR(VLOOKUP(AF$13,Data_Entry!$C:$M,Data_Entry!$A2,0)/VLOOKUP($B14,Basic_Data!$E$2:$G$9,3,0)/VLOOKUP(AF$13,Data_Entry!$C:$V,20,0),"")</f>
        <v/>
      </c>
      <c r="AG14" s="95" t="str">
        <f>IFERROR(VLOOKUP(AG$13,Data_Entry!$C:$M,Data_Entry!$A2,0)/VLOOKUP($B14,Basic_Data!$E$2:$G$9,3,0)/VLOOKUP(AG$13,Data_Entry!$C:$V,20,0),"")</f>
        <v/>
      </c>
      <c r="AH14" s="52"/>
    </row>
    <row r="15" spans="1:38">
      <c r="B15" s="82" t="s">
        <v>36</v>
      </c>
      <c r="C15" s="95">
        <f>IFERROR(VLOOKUP(C$13,Data_Entry!$C:$M,Data_Entry!$A3,0)/VLOOKUP($B15,Basic_Data!$E$2:$G$9,3,0)/VLOOKUP(C$13,Data_Entry!$C:$V,20,0),"")</f>
        <v>1.25596144449776</v>
      </c>
      <c r="D15" s="95" t="str">
        <f>IFERROR(VLOOKUP(D$13,Data_Entry!$C:$M,Data_Entry!$A3,0)/VLOOKUP($B15,Basic_Data!$E$2:$G$9,3,0)/VLOOKUP(D$13,Data_Entry!$C:$V,20,0),"")</f>
        <v/>
      </c>
      <c r="E15" s="95" t="str">
        <f>IFERROR(VLOOKUP(E$13,Data_Entry!$C:$M,Data_Entry!$A3,0)/VLOOKUP($B15,Basic_Data!$E$2:$G$9,3,0)/VLOOKUP(E$13,Data_Entry!$C:$V,20,0),"")</f>
        <v/>
      </c>
      <c r="F15" s="95" t="str">
        <f>IFERROR(VLOOKUP(F$13,Data_Entry!$C:$M,Data_Entry!$A3,0)/VLOOKUP($B15,Basic_Data!$E$2:$G$9,3,0)/VLOOKUP(F$13,Data_Entry!$C:$V,20,0),"")</f>
        <v/>
      </c>
      <c r="G15" s="95" t="str">
        <f>IFERROR(VLOOKUP(G$13,Data_Entry!$C:$M,Data_Entry!$A3,0)/VLOOKUP($B15,Basic_Data!$E$2:$G$9,3,0)/VLOOKUP(G$13,Data_Entry!$C:$V,20,0),"")</f>
        <v/>
      </c>
      <c r="H15" s="95" t="str">
        <f>IFERROR(VLOOKUP(H$13,Data_Entry!$C:$M,Data_Entry!$A3,0)/VLOOKUP($B15,Basic_Data!$E$2:$G$9,3,0)/VLOOKUP(H$13,Data_Entry!$C:$V,20,0),"")</f>
        <v/>
      </c>
      <c r="I15" s="95" t="str">
        <f>IFERROR(VLOOKUP(I$13,Data_Entry!$C:$M,Data_Entry!$A3,0)/VLOOKUP($B15,Basic_Data!$E$2:$G$9,3,0)/VLOOKUP(I$13,Data_Entry!$C:$V,20,0),"")</f>
        <v/>
      </c>
      <c r="J15" s="95" t="str">
        <f>IFERROR(VLOOKUP(J$13,Data_Entry!$C:$M,Data_Entry!$A3,0)/VLOOKUP($B15,Basic_Data!$E$2:$G$9,3,0)/VLOOKUP(J$13,Data_Entry!$C:$V,20,0),"")</f>
        <v/>
      </c>
      <c r="K15" s="95" t="str">
        <f>IFERROR(VLOOKUP(K$13,Data_Entry!$C:$M,Data_Entry!$A3,0)/VLOOKUP($B15,Basic_Data!$E$2:$G$9,3,0)/VLOOKUP(K$13,Data_Entry!$C:$V,20,0),"")</f>
        <v/>
      </c>
      <c r="L15" s="95" t="str">
        <f>IFERROR(VLOOKUP(L$13,Data_Entry!$C:$M,Data_Entry!$A3,0)/VLOOKUP($B15,Basic_Data!$E$2:$G$9,3,0)/VLOOKUP(L$13,Data_Entry!$C:$V,20,0),"")</f>
        <v/>
      </c>
      <c r="M15" s="95" t="str">
        <f>IFERROR(VLOOKUP(M$13,Data_Entry!$C:$M,Data_Entry!$A3,0)/VLOOKUP($B15,Basic_Data!$E$2:$G$9,3,0)/VLOOKUP(M$13,Data_Entry!$C:$V,20,0),"")</f>
        <v/>
      </c>
      <c r="N15" s="95" t="str">
        <f>IFERROR(VLOOKUP(N$13,Data_Entry!$C:$M,Data_Entry!$A3,0)/VLOOKUP($B15,Basic_Data!$E$2:$G$9,3,0)/VLOOKUP(N$13,Data_Entry!$C:$V,20,0),"")</f>
        <v/>
      </c>
      <c r="O15" s="95" t="str">
        <f>IFERROR(VLOOKUP(O$13,Data_Entry!$C:$M,Data_Entry!$A3,0)/VLOOKUP($B15,Basic_Data!$E$2:$G$9,3,0)/VLOOKUP(O$13,Data_Entry!$C:$V,20,0),"")</f>
        <v/>
      </c>
      <c r="P15" s="95" t="str">
        <f>IFERROR(VLOOKUP(P$13,Data_Entry!$C:$M,Data_Entry!$A3,0)/VLOOKUP($B15,Basic_Data!$E$2:$G$9,3,0)/VLOOKUP(P$13,Data_Entry!$C:$V,20,0),"")</f>
        <v/>
      </c>
      <c r="Q15" s="95" t="str">
        <f>IFERROR(VLOOKUP(Q$13,Data_Entry!$C:$M,Data_Entry!$A3,0)/VLOOKUP($B15,Basic_Data!$E$2:$G$9,3,0)/VLOOKUP(Q$13,Data_Entry!$C:$V,20,0),"")</f>
        <v/>
      </c>
      <c r="R15" s="95" t="str">
        <f>IFERROR(VLOOKUP(R$13,Data_Entry!$C:$M,Data_Entry!$A3,0)/VLOOKUP($B15,Basic_Data!$E$2:$G$9,3,0)/VLOOKUP(R$13,Data_Entry!$C:$V,20,0),"")</f>
        <v/>
      </c>
      <c r="S15" s="95" t="str">
        <f>IFERROR(VLOOKUP(S$13,Data_Entry!$C:$M,Data_Entry!$A3,0)/VLOOKUP($B15,Basic_Data!$E$2:$G$9,3,0)/VLOOKUP(S$13,Data_Entry!$C:$V,20,0),"")</f>
        <v/>
      </c>
      <c r="T15" s="95" t="str">
        <f>IFERROR(VLOOKUP(T$13,Data_Entry!$C:$M,Data_Entry!$A3,0)/VLOOKUP($B15,Basic_Data!$E$2:$G$9,3,0)/VLOOKUP(T$13,Data_Entry!$C:$V,20,0),"")</f>
        <v/>
      </c>
      <c r="U15" s="95" t="str">
        <f>IFERROR(VLOOKUP(U$13,Data_Entry!$C:$M,Data_Entry!$A3,0)/VLOOKUP($B15,Basic_Data!$E$2:$G$9,3,0)/VLOOKUP(U$13,Data_Entry!$C:$V,20,0),"")</f>
        <v/>
      </c>
      <c r="V15" s="95" t="str">
        <f>IFERROR(VLOOKUP(V$13,Data_Entry!$C:$M,Data_Entry!$A3,0)/VLOOKUP($B15,Basic_Data!$E$2:$G$9,3,0)/VLOOKUP(V$13,Data_Entry!$C:$V,20,0),"")</f>
        <v/>
      </c>
      <c r="W15" s="95" t="str">
        <f>IFERROR(VLOOKUP(W$13,Data_Entry!$C:$M,Data_Entry!$A3,0)/VLOOKUP($B15,Basic_Data!$E$2:$G$9,3,0)/VLOOKUP(W$13,Data_Entry!$C:$V,20,0),"")</f>
        <v/>
      </c>
      <c r="X15" s="95" t="str">
        <f>IFERROR(VLOOKUP(X$13,Data_Entry!$C:$M,Data_Entry!$A3,0)/VLOOKUP($B15,Basic_Data!$E$2:$G$9,3,0)/VLOOKUP(X$13,Data_Entry!$C:$V,20,0),"")</f>
        <v/>
      </c>
      <c r="Y15" s="95" t="str">
        <f>IFERROR(VLOOKUP(Y$13,Data_Entry!$C:$M,Data_Entry!$A3,0)/VLOOKUP($B15,Basic_Data!$E$2:$G$9,3,0)/VLOOKUP(Y$13,Data_Entry!$C:$V,20,0),"")</f>
        <v/>
      </c>
      <c r="Z15" s="95" t="str">
        <f>IFERROR(VLOOKUP(Z$13,Data_Entry!$C:$M,Data_Entry!$A3,0)/VLOOKUP($B15,Basic_Data!$E$2:$G$9,3,0)/VLOOKUP(Z$13,Data_Entry!$C:$V,20,0),"")</f>
        <v/>
      </c>
      <c r="AA15" s="95" t="str">
        <f>IFERROR(VLOOKUP(AA$13,Data_Entry!$C:$M,Data_Entry!$A3,0)/VLOOKUP($B15,Basic_Data!$E$2:$G$9,3,0)/VLOOKUP(AA$13,Data_Entry!$C:$V,20,0),"")</f>
        <v/>
      </c>
      <c r="AB15" s="95" t="str">
        <f>IFERROR(VLOOKUP(AB$13,Data_Entry!$C:$M,Data_Entry!$A3,0)/VLOOKUP($B15,Basic_Data!$E$2:$G$9,3,0)/VLOOKUP(AB$13,Data_Entry!$C:$V,20,0),"")</f>
        <v/>
      </c>
      <c r="AC15" s="95" t="str">
        <f>IFERROR(VLOOKUP(AC$13,Data_Entry!$C:$M,Data_Entry!$A3,0)/VLOOKUP($B15,Basic_Data!$E$2:$G$9,3,0)/VLOOKUP(AC$13,Data_Entry!$C:$V,20,0),"")</f>
        <v/>
      </c>
      <c r="AD15" s="95" t="str">
        <f>IFERROR(VLOOKUP(AD$13,Data_Entry!$C:$M,Data_Entry!$A3,0)/VLOOKUP($B15,Basic_Data!$E$2:$G$9,3,0)/VLOOKUP(AD$13,Data_Entry!$C:$V,20,0),"")</f>
        <v/>
      </c>
      <c r="AE15" s="95" t="str">
        <f>IFERROR(VLOOKUP(AE$13,Data_Entry!$C:$M,Data_Entry!$A3,0)/VLOOKUP($B15,Basic_Data!$E$2:$G$9,3,0)/VLOOKUP(AE$13,Data_Entry!$C:$V,20,0),"")</f>
        <v/>
      </c>
      <c r="AF15" s="95" t="str">
        <f>IFERROR(VLOOKUP(AF$13,Data_Entry!$C:$M,Data_Entry!$A3,0)/VLOOKUP($B15,Basic_Data!$E$2:$G$9,3,0)/VLOOKUP(AF$13,Data_Entry!$C:$V,20,0),"")</f>
        <v/>
      </c>
      <c r="AG15" s="95" t="str">
        <f>IFERROR(VLOOKUP(AG$13,Data_Entry!$C:$M,Data_Entry!$A3,0)/VLOOKUP($B15,Basic_Data!$E$2:$G$9,3,0)/VLOOKUP(AG$13,Data_Entry!$C:$V,20,0),"")</f>
        <v/>
      </c>
      <c r="AH15" s="52"/>
    </row>
    <row r="16" spans="1:38">
      <c r="B16" s="82" t="s">
        <v>37</v>
      </c>
      <c r="C16" s="95">
        <f>IFERROR(VLOOKUP(C$13,Data_Entry!$C:$M,Data_Entry!$A4,0)/VLOOKUP($B16,Basic_Data!$E$2:$G$9,3,0)/VLOOKUP(C$13,Data_Entry!$C:$V,20,0),"")</f>
        <v>1.25380258996958</v>
      </c>
      <c r="D16" s="95" t="str">
        <f>IFERROR(VLOOKUP(D$13,Data_Entry!$C:$M,Data_Entry!$A4,0)/VLOOKUP($B16,Basic_Data!$E$2:$G$9,3,0)/VLOOKUP(D$13,Data_Entry!$C:$V,20,0),"")</f>
        <v/>
      </c>
      <c r="E16" s="95" t="str">
        <f>IFERROR(VLOOKUP(E$13,Data_Entry!$C:$M,Data_Entry!$A4,0)/VLOOKUP($B16,Basic_Data!$E$2:$G$9,3,0)/VLOOKUP(E$13,Data_Entry!$C:$V,20,0),"")</f>
        <v/>
      </c>
      <c r="F16" s="95" t="str">
        <f>IFERROR(VLOOKUP(F$13,Data_Entry!$C:$M,Data_Entry!$A4,0)/VLOOKUP($B16,Basic_Data!$E$2:$G$9,3,0)/VLOOKUP(F$13,Data_Entry!$C:$V,20,0),"")</f>
        <v/>
      </c>
      <c r="G16" s="95" t="str">
        <f>IFERROR(VLOOKUP(G$13,Data_Entry!$C:$M,Data_Entry!$A4,0)/VLOOKUP($B16,Basic_Data!$E$2:$G$9,3,0)/VLOOKUP(G$13,Data_Entry!$C:$V,20,0),"")</f>
        <v/>
      </c>
      <c r="H16" s="95" t="str">
        <f>IFERROR(VLOOKUP(H$13,Data_Entry!$C:$M,Data_Entry!$A4,0)/VLOOKUP($B16,Basic_Data!$E$2:$G$9,3,0)/VLOOKUP(H$13,Data_Entry!$C:$V,20,0),"")</f>
        <v/>
      </c>
      <c r="I16" s="95" t="str">
        <f>IFERROR(VLOOKUP(I$13,Data_Entry!$C:$M,Data_Entry!$A4,0)/VLOOKUP($B16,Basic_Data!$E$2:$G$9,3,0)/VLOOKUP(I$13,Data_Entry!$C:$V,20,0),"")</f>
        <v/>
      </c>
      <c r="J16" s="95" t="str">
        <f>IFERROR(VLOOKUP(J$13,Data_Entry!$C:$M,Data_Entry!$A4,0)/VLOOKUP($B16,Basic_Data!$E$2:$G$9,3,0)/VLOOKUP(J$13,Data_Entry!$C:$V,20,0),"")</f>
        <v/>
      </c>
      <c r="K16" s="95" t="str">
        <f>IFERROR(VLOOKUP(K$13,Data_Entry!$C:$M,Data_Entry!$A4,0)/VLOOKUP($B16,Basic_Data!$E$2:$G$9,3,0)/VLOOKUP(K$13,Data_Entry!$C:$V,20,0),"")</f>
        <v/>
      </c>
      <c r="L16" s="95" t="str">
        <f>IFERROR(VLOOKUP(L$13,Data_Entry!$C:$M,Data_Entry!$A4,0)/VLOOKUP($B16,Basic_Data!$E$2:$G$9,3,0)/VLOOKUP(L$13,Data_Entry!$C:$V,20,0),"")</f>
        <v/>
      </c>
      <c r="M16" s="95" t="str">
        <f>IFERROR(VLOOKUP(M$13,Data_Entry!$C:$M,Data_Entry!$A4,0)/VLOOKUP($B16,Basic_Data!$E$2:$G$9,3,0)/VLOOKUP(M$13,Data_Entry!$C:$V,20,0),"")</f>
        <v/>
      </c>
      <c r="N16" s="95" t="str">
        <f>IFERROR(VLOOKUP(N$13,Data_Entry!$C:$M,Data_Entry!$A4,0)/VLOOKUP($B16,Basic_Data!$E$2:$G$9,3,0)/VLOOKUP(N$13,Data_Entry!$C:$V,20,0),"")</f>
        <v/>
      </c>
      <c r="O16" s="95" t="str">
        <f>IFERROR(VLOOKUP(O$13,Data_Entry!$C:$M,Data_Entry!$A4,0)/VLOOKUP($B16,Basic_Data!$E$2:$G$9,3,0)/VLOOKUP(O$13,Data_Entry!$C:$V,20,0),"")</f>
        <v/>
      </c>
      <c r="P16" s="95" t="str">
        <f>IFERROR(VLOOKUP(P$13,Data_Entry!$C:$M,Data_Entry!$A4,0)/VLOOKUP($B16,Basic_Data!$E$2:$G$9,3,0)/VLOOKUP(P$13,Data_Entry!$C:$V,20,0),"")</f>
        <v/>
      </c>
      <c r="Q16" s="95" t="str">
        <f>IFERROR(VLOOKUP(Q$13,Data_Entry!$C:$M,Data_Entry!$A4,0)/VLOOKUP($B16,Basic_Data!$E$2:$G$9,3,0)/VLOOKUP(Q$13,Data_Entry!$C:$V,20,0),"")</f>
        <v/>
      </c>
      <c r="R16" s="95" t="str">
        <f>IFERROR(VLOOKUP(R$13,Data_Entry!$C:$M,Data_Entry!$A4,0)/VLOOKUP($B16,Basic_Data!$E$2:$G$9,3,0)/VLOOKUP(R$13,Data_Entry!$C:$V,20,0),"")</f>
        <v/>
      </c>
      <c r="S16" s="95" t="str">
        <f>IFERROR(VLOOKUP(S$13,Data_Entry!$C:$M,Data_Entry!$A4,0)/VLOOKUP($B16,Basic_Data!$E$2:$G$9,3,0)/VLOOKUP(S$13,Data_Entry!$C:$V,20,0),"")</f>
        <v/>
      </c>
      <c r="T16" s="95" t="str">
        <f>IFERROR(VLOOKUP(T$13,Data_Entry!$C:$M,Data_Entry!$A4,0)/VLOOKUP($B16,Basic_Data!$E$2:$G$9,3,0)/VLOOKUP(T$13,Data_Entry!$C:$V,20,0),"")</f>
        <v/>
      </c>
      <c r="U16" s="95" t="str">
        <f>IFERROR(VLOOKUP(U$13,Data_Entry!$C:$M,Data_Entry!$A4,0)/VLOOKUP($B16,Basic_Data!$E$2:$G$9,3,0)/VLOOKUP(U$13,Data_Entry!$C:$V,20,0),"")</f>
        <v/>
      </c>
      <c r="V16" s="95" t="str">
        <f>IFERROR(VLOOKUP(V$13,Data_Entry!$C:$M,Data_Entry!$A4,0)/VLOOKUP($B16,Basic_Data!$E$2:$G$9,3,0)/VLOOKUP(V$13,Data_Entry!$C:$V,20,0),"")</f>
        <v/>
      </c>
      <c r="W16" s="95" t="str">
        <f>IFERROR(VLOOKUP(W$13,Data_Entry!$C:$M,Data_Entry!$A4,0)/VLOOKUP($B16,Basic_Data!$E$2:$G$9,3,0)/VLOOKUP(W$13,Data_Entry!$C:$V,20,0),"")</f>
        <v/>
      </c>
      <c r="X16" s="95" t="str">
        <f>IFERROR(VLOOKUP(X$13,Data_Entry!$C:$M,Data_Entry!$A4,0)/VLOOKUP($B16,Basic_Data!$E$2:$G$9,3,0)/VLOOKUP(X$13,Data_Entry!$C:$V,20,0),"")</f>
        <v/>
      </c>
      <c r="Y16" s="95" t="str">
        <f>IFERROR(VLOOKUP(Y$13,Data_Entry!$C:$M,Data_Entry!$A4,0)/VLOOKUP($B16,Basic_Data!$E$2:$G$9,3,0)/VLOOKUP(Y$13,Data_Entry!$C:$V,20,0),"")</f>
        <v/>
      </c>
      <c r="Z16" s="95" t="str">
        <f>IFERROR(VLOOKUP(Z$13,Data_Entry!$C:$M,Data_Entry!$A4,0)/VLOOKUP($B16,Basic_Data!$E$2:$G$9,3,0)/VLOOKUP(Z$13,Data_Entry!$C:$V,20,0),"")</f>
        <v/>
      </c>
      <c r="AA16" s="95" t="str">
        <f>IFERROR(VLOOKUP(AA$13,Data_Entry!$C:$M,Data_Entry!$A4,0)/VLOOKUP($B16,Basic_Data!$E$2:$G$9,3,0)/VLOOKUP(AA$13,Data_Entry!$C:$V,20,0),"")</f>
        <v/>
      </c>
      <c r="AB16" s="95" t="str">
        <f>IFERROR(VLOOKUP(AB$13,Data_Entry!$C:$M,Data_Entry!$A4,0)/VLOOKUP($B16,Basic_Data!$E$2:$G$9,3,0)/VLOOKUP(AB$13,Data_Entry!$C:$V,20,0),"")</f>
        <v/>
      </c>
      <c r="AC16" s="95" t="str">
        <f>IFERROR(VLOOKUP(AC$13,Data_Entry!$C:$M,Data_Entry!$A4,0)/VLOOKUP($B16,Basic_Data!$E$2:$G$9,3,0)/VLOOKUP(AC$13,Data_Entry!$C:$V,20,0),"")</f>
        <v/>
      </c>
      <c r="AD16" s="95" t="str">
        <f>IFERROR(VLOOKUP(AD$13,Data_Entry!$C:$M,Data_Entry!$A4,0)/VLOOKUP($B16,Basic_Data!$E$2:$G$9,3,0)/VLOOKUP(AD$13,Data_Entry!$C:$V,20,0),"")</f>
        <v/>
      </c>
      <c r="AE16" s="95" t="str">
        <f>IFERROR(VLOOKUP(AE$13,Data_Entry!$C:$M,Data_Entry!$A4,0)/VLOOKUP($B16,Basic_Data!$E$2:$G$9,3,0)/VLOOKUP(AE$13,Data_Entry!$C:$V,20,0),"")</f>
        <v/>
      </c>
      <c r="AF16" s="95" t="str">
        <f>IFERROR(VLOOKUP(AF$13,Data_Entry!$C:$M,Data_Entry!$A4,0)/VLOOKUP($B16,Basic_Data!$E$2:$G$9,3,0)/VLOOKUP(AF$13,Data_Entry!$C:$V,20,0),"")</f>
        <v/>
      </c>
      <c r="AG16" s="95" t="str">
        <f>IFERROR(VLOOKUP(AG$13,Data_Entry!$C:$M,Data_Entry!$A4,0)/VLOOKUP($B16,Basic_Data!$E$2:$G$9,3,0)/VLOOKUP(AG$13,Data_Entry!$C:$V,20,0),"")</f>
        <v/>
      </c>
      <c r="AH16" s="52"/>
    </row>
    <row r="17" spans="2:34">
      <c r="B17" s="82" t="s">
        <v>38</v>
      </c>
      <c r="C17" s="95">
        <f>IFERROR(VLOOKUP(C$13,Data_Entry!$C:$M,Data_Entry!$A5,0)/VLOOKUP($B17,Basic_Data!$E$2:$G$9,3,0)/VLOOKUP(C$13,Data_Entry!$C:$V,20,0),"")</f>
        <v>1.24601312916233</v>
      </c>
      <c r="D17" s="95" t="str">
        <f>IFERROR(VLOOKUP(D$13,Data_Entry!$C:$M,Data_Entry!$A5,0)/VLOOKUP($B17,Basic_Data!$E$2:$G$9,3,0)/VLOOKUP(D$13,Data_Entry!$C:$V,20,0),"")</f>
        <v/>
      </c>
      <c r="E17" s="95" t="str">
        <f>IFERROR(VLOOKUP(E$13,Data_Entry!$C:$M,Data_Entry!$A5,0)/VLOOKUP($B17,Basic_Data!$E$2:$G$9,3,0)/VLOOKUP(E$13,Data_Entry!$C:$V,20,0),"")</f>
        <v/>
      </c>
      <c r="F17" s="95" t="str">
        <f>IFERROR(VLOOKUP(F$13,Data_Entry!$C:$M,Data_Entry!$A5,0)/VLOOKUP($B17,Basic_Data!$E$2:$G$9,3,0)/VLOOKUP(F$13,Data_Entry!$C:$V,20,0),"")</f>
        <v/>
      </c>
      <c r="G17" s="95" t="str">
        <f>IFERROR(VLOOKUP(G$13,Data_Entry!$C:$M,Data_Entry!$A5,0)/VLOOKUP($B17,Basic_Data!$E$2:$G$9,3,0)/VLOOKUP(G$13,Data_Entry!$C:$V,20,0),"")</f>
        <v/>
      </c>
      <c r="H17" s="95" t="str">
        <f>IFERROR(VLOOKUP(H$13,Data_Entry!$C:$M,Data_Entry!$A5,0)/VLOOKUP($B17,Basic_Data!$E$2:$G$9,3,0)/VLOOKUP(H$13,Data_Entry!$C:$V,20,0),"")</f>
        <v/>
      </c>
      <c r="I17" s="95" t="str">
        <f>IFERROR(VLOOKUP(I$13,Data_Entry!$C:$M,Data_Entry!$A5,0)/VLOOKUP($B17,Basic_Data!$E$2:$G$9,3,0)/VLOOKUP(I$13,Data_Entry!$C:$V,20,0),"")</f>
        <v/>
      </c>
      <c r="J17" s="95" t="str">
        <f>IFERROR(VLOOKUP(J$13,Data_Entry!$C:$M,Data_Entry!$A5,0)/VLOOKUP($B17,Basic_Data!$E$2:$G$9,3,0)/VLOOKUP(J$13,Data_Entry!$C:$V,20,0),"")</f>
        <v/>
      </c>
      <c r="K17" s="95" t="str">
        <f>IFERROR(VLOOKUP(K$13,Data_Entry!$C:$M,Data_Entry!$A5,0)/VLOOKUP($B17,Basic_Data!$E$2:$G$9,3,0)/VLOOKUP(K$13,Data_Entry!$C:$V,20,0),"")</f>
        <v/>
      </c>
      <c r="L17" s="95" t="str">
        <f>IFERROR(VLOOKUP(L$13,Data_Entry!$C:$M,Data_Entry!$A5,0)/VLOOKUP($B17,Basic_Data!$E$2:$G$9,3,0)/VLOOKUP(L$13,Data_Entry!$C:$V,20,0),"")</f>
        <v/>
      </c>
      <c r="M17" s="95" t="str">
        <f>IFERROR(VLOOKUP(M$13,Data_Entry!$C:$M,Data_Entry!$A5,0)/VLOOKUP($B17,Basic_Data!$E$2:$G$9,3,0)/VLOOKUP(M$13,Data_Entry!$C:$V,20,0),"")</f>
        <v/>
      </c>
      <c r="N17" s="95" t="str">
        <f>IFERROR(VLOOKUP(N$13,Data_Entry!$C:$M,Data_Entry!$A5,0)/VLOOKUP($B17,Basic_Data!$E$2:$G$9,3,0)/VLOOKUP(N$13,Data_Entry!$C:$V,20,0),"")</f>
        <v/>
      </c>
      <c r="O17" s="95" t="str">
        <f>IFERROR(VLOOKUP(O$13,Data_Entry!$C:$M,Data_Entry!$A5,0)/VLOOKUP($B17,Basic_Data!$E$2:$G$9,3,0)/VLOOKUP(O$13,Data_Entry!$C:$V,20,0),"")</f>
        <v/>
      </c>
      <c r="P17" s="95" t="str">
        <f>IFERROR(VLOOKUP(P$13,Data_Entry!$C:$M,Data_Entry!$A5,0)/VLOOKUP($B17,Basic_Data!$E$2:$G$9,3,0)/VLOOKUP(P$13,Data_Entry!$C:$V,20,0),"")</f>
        <v/>
      </c>
      <c r="Q17" s="95" t="str">
        <f>IFERROR(VLOOKUP(Q$13,Data_Entry!$C:$M,Data_Entry!$A5,0)/VLOOKUP($B17,Basic_Data!$E$2:$G$9,3,0)/VLOOKUP(Q$13,Data_Entry!$C:$V,20,0),"")</f>
        <v/>
      </c>
      <c r="R17" s="95" t="str">
        <f>IFERROR(VLOOKUP(R$13,Data_Entry!$C:$M,Data_Entry!$A5,0)/VLOOKUP($B17,Basic_Data!$E$2:$G$9,3,0)/VLOOKUP(R$13,Data_Entry!$C:$V,20,0),"")</f>
        <v/>
      </c>
      <c r="S17" s="95" t="str">
        <f>IFERROR(VLOOKUP(S$13,Data_Entry!$C:$M,Data_Entry!$A5,0)/VLOOKUP($B17,Basic_Data!$E$2:$G$9,3,0)/VLOOKUP(S$13,Data_Entry!$C:$V,20,0),"")</f>
        <v/>
      </c>
      <c r="T17" s="95" t="str">
        <f>IFERROR(VLOOKUP(T$13,Data_Entry!$C:$M,Data_Entry!$A5,0)/VLOOKUP($B17,Basic_Data!$E$2:$G$9,3,0)/VLOOKUP(T$13,Data_Entry!$C:$V,20,0),"")</f>
        <v/>
      </c>
      <c r="U17" s="95" t="str">
        <f>IFERROR(VLOOKUP(U$13,Data_Entry!$C:$M,Data_Entry!$A5,0)/VLOOKUP($B17,Basic_Data!$E$2:$G$9,3,0)/VLOOKUP(U$13,Data_Entry!$C:$V,20,0),"")</f>
        <v/>
      </c>
      <c r="V17" s="95" t="str">
        <f>IFERROR(VLOOKUP(V$13,Data_Entry!$C:$M,Data_Entry!$A5,0)/VLOOKUP($B17,Basic_Data!$E$2:$G$9,3,0)/VLOOKUP(V$13,Data_Entry!$C:$V,20,0),"")</f>
        <v/>
      </c>
      <c r="W17" s="95" t="str">
        <f>IFERROR(VLOOKUP(W$13,Data_Entry!$C:$M,Data_Entry!$A5,0)/VLOOKUP($B17,Basic_Data!$E$2:$G$9,3,0)/VLOOKUP(W$13,Data_Entry!$C:$V,20,0),"")</f>
        <v/>
      </c>
      <c r="X17" s="95" t="str">
        <f>IFERROR(VLOOKUP(X$13,Data_Entry!$C:$M,Data_Entry!$A5,0)/VLOOKUP($B17,Basic_Data!$E$2:$G$9,3,0)/VLOOKUP(X$13,Data_Entry!$C:$V,20,0),"")</f>
        <v/>
      </c>
      <c r="Y17" s="95" t="str">
        <f>IFERROR(VLOOKUP(Y$13,Data_Entry!$C:$M,Data_Entry!$A5,0)/VLOOKUP($B17,Basic_Data!$E$2:$G$9,3,0)/VLOOKUP(Y$13,Data_Entry!$C:$V,20,0),"")</f>
        <v/>
      </c>
      <c r="Z17" s="95" t="str">
        <f>IFERROR(VLOOKUP(Z$13,Data_Entry!$C:$M,Data_Entry!$A5,0)/VLOOKUP($B17,Basic_Data!$E$2:$G$9,3,0)/VLOOKUP(Z$13,Data_Entry!$C:$V,20,0),"")</f>
        <v/>
      </c>
      <c r="AA17" s="95" t="str">
        <f>IFERROR(VLOOKUP(AA$13,Data_Entry!$C:$M,Data_Entry!$A5,0)/VLOOKUP($B17,Basic_Data!$E$2:$G$9,3,0)/VLOOKUP(AA$13,Data_Entry!$C:$V,20,0),"")</f>
        <v/>
      </c>
      <c r="AB17" s="95" t="str">
        <f>IFERROR(VLOOKUP(AB$13,Data_Entry!$C:$M,Data_Entry!$A5,0)/VLOOKUP($B17,Basic_Data!$E$2:$G$9,3,0)/VLOOKUP(AB$13,Data_Entry!$C:$V,20,0),"")</f>
        <v/>
      </c>
      <c r="AC17" s="95" t="str">
        <f>IFERROR(VLOOKUP(AC$13,Data_Entry!$C:$M,Data_Entry!$A5,0)/VLOOKUP($B17,Basic_Data!$E$2:$G$9,3,0)/VLOOKUP(AC$13,Data_Entry!$C:$V,20,0),"")</f>
        <v/>
      </c>
      <c r="AD17" s="95" t="str">
        <f>IFERROR(VLOOKUP(AD$13,Data_Entry!$C:$M,Data_Entry!$A5,0)/VLOOKUP($B17,Basic_Data!$E$2:$G$9,3,0)/VLOOKUP(AD$13,Data_Entry!$C:$V,20,0),"")</f>
        <v/>
      </c>
      <c r="AE17" s="95" t="str">
        <f>IFERROR(VLOOKUP(AE$13,Data_Entry!$C:$M,Data_Entry!$A5,0)/VLOOKUP($B17,Basic_Data!$E$2:$G$9,3,0)/VLOOKUP(AE$13,Data_Entry!$C:$V,20,0),"")</f>
        <v/>
      </c>
      <c r="AF17" s="95" t="str">
        <f>IFERROR(VLOOKUP(AF$13,Data_Entry!$C:$M,Data_Entry!$A5,0)/VLOOKUP($B17,Basic_Data!$E$2:$G$9,3,0)/VLOOKUP(AF$13,Data_Entry!$C:$V,20,0),"")</f>
        <v/>
      </c>
      <c r="AG17" s="95" t="str">
        <f>IFERROR(VLOOKUP(AG$13,Data_Entry!$C:$M,Data_Entry!$A5,0)/VLOOKUP($B17,Basic_Data!$E$2:$G$9,3,0)/VLOOKUP(AG$13,Data_Entry!$C:$V,20,0),"")</f>
        <v/>
      </c>
      <c r="AH17" s="52"/>
    </row>
    <row r="18" spans="2:34">
      <c r="B18" s="82" t="s">
        <v>39</v>
      </c>
      <c r="C18" s="95">
        <f>IFERROR(VLOOKUP(C$13,Data_Entry!$C:$M,Data_Entry!$A6,0)/VLOOKUP($B18,Basic_Data!$E$2:$G$9,3,0)/VLOOKUP(C$13,Data_Entry!$C:$V,20,0),"")</f>
        <v>1.24172631180532</v>
      </c>
      <c r="D18" s="95" t="str">
        <f>IFERROR(VLOOKUP(D$13,Data_Entry!$C:$M,Data_Entry!$A6,0)/VLOOKUP($B18,Basic_Data!$E$2:$G$9,3,0)/VLOOKUP(D$13,Data_Entry!$C:$V,20,0),"")</f>
        <v/>
      </c>
      <c r="E18" s="95" t="str">
        <f>IFERROR(VLOOKUP(E$13,Data_Entry!$C:$M,Data_Entry!$A6,0)/VLOOKUP($B18,Basic_Data!$E$2:$G$9,3,0)/VLOOKUP(E$13,Data_Entry!$C:$V,20,0),"")</f>
        <v/>
      </c>
      <c r="F18" s="95" t="str">
        <f>IFERROR(VLOOKUP(F$13,Data_Entry!$C:$M,Data_Entry!$A6,0)/VLOOKUP($B18,Basic_Data!$E$2:$G$9,3,0)/VLOOKUP(F$13,Data_Entry!$C:$V,20,0),"")</f>
        <v/>
      </c>
      <c r="G18" s="95" t="str">
        <f>IFERROR(VLOOKUP(G$13,Data_Entry!$C:$M,Data_Entry!$A6,0)/VLOOKUP($B18,Basic_Data!$E$2:$G$9,3,0)/VLOOKUP(G$13,Data_Entry!$C:$V,20,0),"")</f>
        <v/>
      </c>
      <c r="H18" s="95" t="str">
        <f>IFERROR(VLOOKUP(H$13,Data_Entry!$C:$M,Data_Entry!$A6,0)/VLOOKUP($B18,Basic_Data!$E$2:$G$9,3,0)/VLOOKUP(H$13,Data_Entry!$C:$V,20,0),"")</f>
        <v/>
      </c>
      <c r="I18" s="95" t="str">
        <f>IFERROR(VLOOKUP(I$13,Data_Entry!$C:$M,Data_Entry!$A6,0)/VLOOKUP($B18,Basic_Data!$E$2:$G$9,3,0)/VLOOKUP(I$13,Data_Entry!$C:$V,20,0),"")</f>
        <v/>
      </c>
      <c r="J18" s="95" t="str">
        <f>IFERROR(VLOOKUP(J$13,Data_Entry!$C:$M,Data_Entry!$A6,0)/VLOOKUP($B18,Basic_Data!$E$2:$G$9,3,0)/VLOOKUP(J$13,Data_Entry!$C:$V,20,0),"")</f>
        <v/>
      </c>
      <c r="K18" s="95" t="str">
        <f>IFERROR(VLOOKUP(K$13,Data_Entry!$C:$M,Data_Entry!$A6,0)/VLOOKUP($B18,Basic_Data!$E$2:$G$9,3,0)/VLOOKUP(K$13,Data_Entry!$C:$V,20,0),"")</f>
        <v/>
      </c>
      <c r="L18" s="95" t="str">
        <f>IFERROR(VLOOKUP(L$13,Data_Entry!$C:$M,Data_Entry!$A6,0)/VLOOKUP($B18,Basic_Data!$E$2:$G$9,3,0)/VLOOKUP(L$13,Data_Entry!$C:$V,20,0),"")</f>
        <v/>
      </c>
      <c r="M18" s="95" t="str">
        <f>IFERROR(VLOOKUP(M$13,Data_Entry!$C:$M,Data_Entry!$A6,0)/VLOOKUP($B18,Basic_Data!$E$2:$G$9,3,0)/VLOOKUP(M$13,Data_Entry!$C:$V,20,0),"")</f>
        <v/>
      </c>
      <c r="N18" s="95" t="str">
        <f>IFERROR(VLOOKUP(N$13,Data_Entry!$C:$M,Data_Entry!$A6,0)/VLOOKUP($B18,Basic_Data!$E$2:$G$9,3,0)/VLOOKUP(N$13,Data_Entry!$C:$V,20,0),"")</f>
        <v/>
      </c>
      <c r="O18" s="95" t="str">
        <f>IFERROR(VLOOKUP(O$13,Data_Entry!$C:$M,Data_Entry!$A6,0)/VLOOKUP($B18,Basic_Data!$E$2:$G$9,3,0)/VLOOKUP(O$13,Data_Entry!$C:$V,20,0),"")</f>
        <v/>
      </c>
      <c r="P18" s="95" t="str">
        <f>IFERROR(VLOOKUP(P$13,Data_Entry!$C:$M,Data_Entry!$A6,0)/VLOOKUP($B18,Basic_Data!$E$2:$G$9,3,0)/VLOOKUP(P$13,Data_Entry!$C:$V,20,0),"")</f>
        <v/>
      </c>
      <c r="Q18" s="95" t="str">
        <f>IFERROR(VLOOKUP(Q$13,Data_Entry!$C:$M,Data_Entry!$A6,0)/VLOOKUP($B18,Basic_Data!$E$2:$G$9,3,0)/VLOOKUP(Q$13,Data_Entry!$C:$V,20,0),"")</f>
        <v/>
      </c>
      <c r="R18" s="95" t="str">
        <f>IFERROR(VLOOKUP(R$13,Data_Entry!$C:$M,Data_Entry!$A6,0)/VLOOKUP($B18,Basic_Data!$E$2:$G$9,3,0)/VLOOKUP(R$13,Data_Entry!$C:$V,20,0),"")</f>
        <v/>
      </c>
      <c r="S18" s="95" t="str">
        <f>IFERROR(VLOOKUP(S$13,Data_Entry!$C:$M,Data_Entry!$A6,0)/VLOOKUP($B18,Basic_Data!$E$2:$G$9,3,0)/VLOOKUP(S$13,Data_Entry!$C:$V,20,0),"")</f>
        <v/>
      </c>
      <c r="T18" s="95" t="str">
        <f>IFERROR(VLOOKUP(T$13,Data_Entry!$C:$M,Data_Entry!$A6,0)/VLOOKUP($B18,Basic_Data!$E$2:$G$9,3,0)/VLOOKUP(T$13,Data_Entry!$C:$V,20,0),"")</f>
        <v/>
      </c>
      <c r="U18" s="95" t="str">
        <f>IFERROR(VLOOKUP(U$13,Data_Entry!$C:$M,Data_Entry!$A6,0)/VLOOKUP($B18,Basic_Data!$E$2:$G$9,3,0)/VLOOKUP(U$13,Data_Entry!$C:$V,20,0),"")</f>
        <v/>
      </c>
      <c r="V18" s="95" t="str">
        <f>IFERROR(VLOOKUP(V$13,Data_Entry!$C:$M,Data_Entry!$A6,0)/VLOOKUP($B18,Basic_Data!$E$2:$G$9,3,0)/VLOOKUP(V$13,Data_Entry!$C:$V,20,0),"")</f>
        <v/>
      </c>
      <c r="W18" s="95" t="str">
        <f>IFERROR(VLOOKUP(W$13,Data_Entry!$C:$M,Data_Entry!$A6,0)/VLOOKUP($B18,Basic_Data!$E$2:$G$9,3,0)/VLOOKUP(W$13,Data_Entry!$C:$V,20,0),"")</f>
        <v/>
      </c>
      <c r="X18" s="95" t="str">
        <f>IFERROR(VLOOKUP(X$13,Data_Entry!$C:$M,Data_Entry!$A6,0)/VLOOKUP($B18,Basic_Data!$E$2:$G$9,3,0)/VLOOKUP(X$13,Data_Entry!$C:$V,20,0),"")</f>
        <v/>
      </c>
      <c r="Y18" s="95" t="str">
        <f>IFERROR(VLOOKUP(Y$13,Data_Entry!$C:$M,Data_Entry!$A6,0)/VLOOKUP($B18,Basic_Data!$E$2:$G$9,3,0)/VLOOKUP(Y$13,Data_Entry!$C:$V,20,0),"")</f>
        <v/>
      </c>
      <c r="Z18" s="95" t="str">
        <f>IFERROR(VLOOKUP(Z$13,Data_Entry!$C:$M,Data_Entry!$A6,0)/VLOOKUP($B18,Basic_Data!$E$2:$G$9,3,0)/VLOOKUP(Z$13,Data_Entry!$C:$V,20,0),"")</f>
        <v/>
      </c>
      <c r="AA18" s="95" t="str">
        <f>IFERROR(VLOOKUP(AA$13,Data_Entry!$C:$M,Data_Entry!$A6,0)/VLOOKUP($B18,Basic_Data!$E$2:$G$9,3,0)/VLOOKUP(AA$13,Data_Entry!$C:$V,20,0),"")</f>
        <v/>
      </c>
      <c r="AB18" s="95" t="str">
        <f>IFERROR(VLOOKUP(AB$13,Data_Entry!$C:$M,Data_Entry!$A6,0)/VLOOKUP($B18,Basic_Data!$E$2:$G$9,3,0)/VLOOKUP(AB$13,Data_Entry!$C:$V,20,0),"")</f>
        <v/>
      </c>
      <c r="AC18" s="95" t="str">
        <f>IFERROR(VLOOKUP(AC$13,Data_Entry!$C:$M,Data_Entry!$A6,0)/VLOOKUP($B18,Basic_Data!$E$2:$G$9,3,0)/VLOOKUP(AC$13,Data_Entry!$C:$V,20,0),"")</f>
        <v/>
      </c>
      <c r="AD18" s="95" t="str">
        <f>IFERROR(VLOOKUP(AD$13,Data_Entry!$C:$M,Data_Entry!$A6,0)/VLOOKUP($B18,Basic_Data!$E$2:$G$9,3,0)/VLOOKUP(AD$13,Data_Entry!$C:$V,20,0),"")</f>
        <v/>
      </c>
      <c r="AE18" s="95" t="str">
        <f>IFERROR(VLOOKUP(AE$13,Data_Entry!$C:$M,Data_Entry!$A6,0)/VLOOKUP($B18,Basic_Data!$E$2:$G$9,3,0)/VLOOKUP(AE$13,Data_Entry!$C:$V,20,0),"")</f>
        <v/>
      </c>
      <c r="AF18" s="95" t="str">
        <f>IFERROR(VLOOKUP(AF$13,Data_Entry!$C:$M,Data_Entry!$A6,0)/VLOOKUP($B18,Basic_Data!$E$2:$G$9,3,0)/VLOOKUP(AF$13,Data_Entry!$C:$V,20,0),"")</f>
        <v/>
      </c>
      <c r="AG18" s="95" t="str">
        <f>IFERROR(VLOOKUP(AG$13,Data_Entry!$C:$M,Data_Entry!$A6,0)/VLOOKUP($B18,Basic_Data!$E$2:$G$9,3,0)/VLOOKUP(AG$13,Data_Entry!$C:$V,20,0),"")</f>
        <v/>
      </c>
      <c r="AH18" s="52"/>
    </row>
    <row r="19" spans="2:34">
      <c r="B19" s="82" t="s">
        <v>40</v>
      </c>
      <c r="C19" s="95">
        <f>IFERROR(VLOOKUP(C$13,Data_Entry!$C:$M,Data_Entry!$A7,0)/VLOOKUP($B19,Basic_Data!$E$2:$G$9,3,0)/VLOOKUP(C$13,Data_Entry!$C:$V,20,0),"")</f>
        <v>1.24311168570728</v>
      </c>
      <c r="D19" s="95" t="str">
        <f>IFERROR(VLOOKUP(D$13,Data_Entry!$C:$M,Data_Entry!$A7,0)/VLOOKUP($B19,Basic_Data!$E$2:$G$9,3,0)/VLOOKUP(D$13,Data_Entry!$C:$V,20,0),"")</f>
        <v/>
      </c>
      <c r="E19" s="95" t="str">
        <f>IFERROR(VLOOKUP(E$13,Data_Entry!$C:$M,Data_Entry!$A7,0)/VLOOKUP($B19,Basic_Data!$E$2:$G$9,3,0)/VLOOKUP(E$13,Data_Entry!$C:$V,20,0),"")</f>
        <v/>
      </c>
      <c r="F19" s="95" t="str">
        <f>IFERROR(VLOOKUP(F$13,Data_Entry!$C:$M,Data_Entry!$A7,0)/VLOOKUP($B19,Basic_Data!$E$2:$G$9,3,0)/VLOOKUP(F$13,Data_Entry!$C:$V,20,0),"")</f>
        <v/>
      </c>
      <c r="G19" s="95" t="str">
        <f>IFERROR(VLOOKUP(G$13,Data_Entry!$C:$M,Data_Entry!$A7,0)/VLOOKUP($B19,Basic_Data!$E$2:$G$9,3,0)/VLOOKUP(G$13,Data_Entry!$C:$V,20,0),"")</f>
        <v/>
      </c>
      <c r="H19" s="95" t="str">
        <f>IFERROR(VLOOKUP(H$13,Data_Entry!$C:$M,Data_Entry!$A7,0)/VLOOKUP($B19,Basic_Data!$E$2:$G$9,3,0)/VLOOKUP(H$13,Data_Entry!$C:$V,20,0),"")</f>
        <v/>
      </c>
      <c r="I19" s="95" t="str">
        <f>IFERROR(VLOOKUP(I$13,Data_Entry!$C:$M,Data_Entry!$A7,0)/VLOOKUP($B19,Basic_Data!$E$2:$G$9,3,0)/VLOOKUP(I$13,Data_Entry!$C:$V,20,0),"")</f>
        <v/>
      </c>
      <c r="J19" s="95" t="str">
        <f>IFERROR(VLOOKUP(J$13,Data_Entry!$C:$M,Data_Entry!$A7,0)/VLOOKUP($B19,Basic_Data!$E$2:$G$9,3,0)/VLOOKUP(J$13,Data_Entry!$C:$V,20,0),"")</f>
        <v/>
      </c>
      <c r="K19" s="95" t="str">
        <f>IFERROR(VLOOKUP(K$13,Data_Entry!$C:$M,Data_Entry!$A7,0)/VLOOKUP($B19,Basic_Data!$E$2:$G$9,3,0)/VLOOKUP(K$13,Data_Entry!$C:$V,20,0),"")</f>
        <v/>
      </c>
      <c r="L19" s="95" t="str">
        <f>IFERROR(VLOOKUP(L$13,Data_Entry!$C:$M,Data_Entry!$A7,0)/VLOOKUP($B19,Basic_Data!$E$2:$G$9,3,0)/VLOOKUP(L$13,Data_Entry!$C:$V,20,0),"")</f>
        <v/>
      </c>
      <c r="M19" s="95" t="str">
        <f>IFERROR(VLOOKUP(M$13,Data_Entry!$C:$M,Data_Entry!$A7,0)/VLOOKUP($B19,Basic_Data!$E$2:$G$9,3,0)/VLOOKUP(M$13,Data_Entry!$C:$V,20,0),"")</f>
        <v/>
      </c>
      <c r="N19" s="95" t="str">
        <f>IFERROR(VLOOKUP(N$13,Data_Entry!$C:$M,Data_Entry!$A7,0)/VLOOKUP($B19,Basic_Data!$E$2:$G$9,3,0)/VLOOKUP(N$13,Data_Entry!$C:$V,20,0),"")</f>
        <v/>
      </c>
      <c r="O19" s="95" t="str">
        <f>IFERROR(VLOOKUP(O$13,Data_Entry!$C:$M,Data_Entry!$A7,0)/VLOOKUP($B19,Basic_Data!$E$2:$G$9,3,0)/VLOOKUP(O$13,Data_Entry!$C:$V,20,0),"")</f>
        <v/>
      </c>
      <c r="P19" s="95" t="str">
        <f>IFERROR(VLOOKUP(P$13,Data_Entry!$C:$M,Data_Entry!$A7,0)/VLOOKUP($B19,Basic_Data!$E$2:$G$9,3,0)/VLOOKUP(P$13,Data_Entry!$C:$V,20,0),"")</f>
        <v/>
      </c>
      <c r="Q19" s="95" t="str">
        <f>IFERROR(VLOOKUP(Q$13,Data_Entry!$C:$M,Data_Entry!$A7,0)/VLOOKUP($B19,Basic_Data!$E$2:$G$9,3,0)/VLOOKUP(Q$13,Data_Entry!$C:$V,20,0),"")</f>
        <v/>
      </c>
      <c r="R19" s="95" t="str">
        <f>IFERROR(VLOOKUP(R$13,Data_Entry!$C:$M,Data_Entry!$A7,0)/VLOOKUP($B19,Basic_Data!$E$2:$G$9,3,0)/VLOOKUP(R$13,Data_Entry!$C:$V,20,0),"")</f>
        <v/>
      </c>
      <c r="S19" s="95" t="str">
        <f>IFERROR(VLOOKUP(S$13,Data_Entry!$C:$M,Data_Entry!$A7,0)/VLOOKUP($B19,Basic_Data!$E$2:$G$9,3,0)/VLOOKUP(S$13,Data_Entry!$C:$V,20,0),"")</f>
        <v/>
      </c>
      <c r="T19" s="95" t="str">
        <f>IFERROR(VLOOKUP(T$13,Data_Entry!$C:$M,Data_Entry!$A7,0)/VLOOKUP($B19,Basic_Data!$E$2:$G$9,3,0)/VLOOKUP(T$13,Data_Entry!$C:$V,20,0),"")</f>
        <v/>
      </c>
      <c r="U19" s="95" t="str">
        <f>IFERROR(VLOOKUP(U$13,Data_Entry!$C:$M,Data_Entry!$A7,0)/VLOOKUP($B19,Basic_Data!$E$2:$G$9,3,0)/VLOOKUP(U$13,Data_Entry!$C:$V,20,0),"")</f>
        <v/>
      </c>
      <c r="V19" s="95" t="str">
        <f>IFERROR(VLOOKUP(V$13,Data_Entry!$C:$M,Data_Entry!$A7,0)/VLOOKUP($B19,Basic_Data!$E$2:$G$9,3,0)/VLOOKUP(V$13,Data_Entry!$C:$V,20,0),"")</f>
        <v/>
      </c>
      <c r="W19" s="95" t="str">
        <f>IFERROR(VLOOKUP(W$13,Data_Entry!$C:$M,Data_Entry!$A7,0)/VLOOKUP($B19,Basic_Data!$E$2:$G$9,3,0)/VLOOKUP(W$13,Data_Entry!$C:$V,20,0),"")</f>
        <v/>
      </c>
      <c r="X19" s="95" t="str">
        <f>IFERROR(VLOOKUP(X$13,Data_Entry!$C:$M,Data_Entry!$A7,0)/VLOOKUP($B19,Basic_Data!$E$2:$G$9,3,0)/VLOOKUP(X$13,Data_Entry!$C:$V,20,0),"")</f>
        <v/>
      </c>
      <c r="Y19" s="95" t="str">
        <f>IFERROR(VLOOKUP(Y$13,Data_Entry!$C:$M,Data_Entry!$A7,0)/VLOOKUP($B19,Basic_Data!$E$2:$G$9,3,0)/VLOOKUP(Y$13,Data_Entry!$C:$V,20,0),"")</f>
        <v/>
      </c>
      <c r="Z19" s="95" t="str">
        <f>IFERROR(VLOOKUP(Z$13,Data_Entry!$C:$M,Data_Entry!$A7,0)/VLOOKUP($B19,Basic_Data!$E$2:$G$9,3,0)/VLOOKUP(Z$13,Data_Entry!$C:$V,20,0),"")</f>
        <v/>
      </c>
      <c r="AA19" s="95" t="str">
        <f>IFERROR(VLOOKUP(AA$13,Data_Entry!$C:$M,Data_Entry!$A7,0)/VLOOKUP($B19,Basic_Data!$E$2:$G$9,3,0)/VLOOKUP(AA$13,Data_Entry!$C:$V,20,0),"")</f>
        <v/>
      </c>
      <c r="AB19" s="95" t="str">
        <f>IFERROR(VLOOKUP(AB$13,Data_Entry!$C:$M,Data_Entry!$A7,0)/VLOOKUP($B19,Basic_Data!$E$2:$G$9,3,0)/VLOOKUP(AB$13,Data_Entry!$C:$V,20,0),"")</f>
        <v/>
      </c>
      <c r="AC19" s="95" t="str">
        <f>IFERROR(VLOOKUP(AC$13,Data_Entry!$C:$M,Data_Entry!$A7,0)/VLOOKUP($B19,Basic_Data!$E$2:$G$9,3,0)/VLOOKUP(AC$13,Data_Entry!$C:$V,20,0),"")</f>
        <v/>
      </c>
      <c r="AD19" s="95" t="str">
        <f>IFERROR(VLOOKUP(AD$13,Data_Entry!$C:$M,Data_Entry!$A7,0)/VLOOKUP($B19,Basic_Data!$E$2:$G$9,3,0)/VLOOKUP(AD$13,Data_Entry!$C:$V,20,0),"")</f>
        <v/>
      </c>
      <c r="AE19" s="95" t="str">
        <f>IFERROR(VLOOKUP(AE$13,Data_Entry!$C:$M,Data_Entry!$A7,0)/VLOOKUP($B19,Basic_Data!$E$2:$G$9,3,0)/VLOOKUP(AE$13,Data_Entry!$C:$V,20,0),"")</f>
        <v/>
      </c>
      <c r="AF19" s="95" t="str">
        <f>IFERROR(VLOOKUP(AF$13,Data_Entry!$C:$M,Data_Entry!$A7,0)/VLOOKUP($B19,Basic_Data!$E$2:$G$9,3,0)/VLOOKUP(AF$13,Data_Entry!$C:$V,20,0),"")</f>
        <v/>
      </c>
      <c r="AG19" s="95" t="str">
        <f>IFERROR(VLOOKUP(AG$13,Data_Entry!$C:$M,Data_Entry!$A7,0)/VLOOKUP($B19,Basic_Data!$E$2:$G$9,3,0)/VLOOKUP(AG$13,Data_Entry!$C:$V,20,0),"")</f>
        <v/>
      </c>
      <c r="AH19" s="52"/>
    </row>
    <row r="20" spans="2:34">
      <c r="B20" s="82" t="s">
        <v>41</v>
      </c>
      <c r="C20" s="95">
        <f>IFERROR(VLOOKUP(C$13,Data_Entry!$C:$M,Data_Entry!$A8,0)/VLOOKUP($B20,Basic_Data!$E$2:$G$9,3,0)/VLOOKUP(C$13,Data_Entry!$C:$V,20,0),"")</f>
        <v>1.24305940744683</v>
      </c>
      <c r="D20" s="95" t="str">
        <f>IFERROR(VLOOKUP(D$13,Data_Entry!$C:$M,Data_Entry!$A8,0)/VLOOKUP($B20,Basic_Data!$E$2:$G$9,3,0)/VLOOKUP(D$13,Data_Entry!$C:$V,20,0),"")</f>
        <v/>
      </c>
      <c r="E20" s="95" t="str">
        <f>IFERROR(VLOOKUP(E$13,Data_Entry!$C:$M,Data_Entry!$A8,0)/VLOOKUP($B20,Basic_Data!$E$2:$G$9,3,0)/VLOOKUP(E$13,Data_Entry!$C:$V,20,0),"")</f>
        <v/>
      </c>
      <c r="F20" s="95" t="str">
        <f>IFERROR(VLOOKUP(F$13,Data_Entry!$C:$M,Data_Entry!$A8,0)/VLOOKUP($B20,Basic_Data!$E$2:$G$9,3,0)/VLOOKUP(F$13,Data_Entry!$C:$V,20,0),"")</f>
        <v/>
      </c>
      <c r="G20" s="95" t="str">
        <f>IFERROR(VLOOKUP(G$13,Data_Entry!$C:$M,Data_Entry!$A8,0)/VLOOKUP($B20,Basic_Data!$E$2:$G$9,3,0)/VLOOKUP(G$13,Data_Entry!$C:$V,20,0),"")</f>
        <v/>
      </c>
      <c r="H20" s="95" t="str">
        <f>IFERROR(VLOOKUP(H$13,Data_Entry!$C:$M,Data_Entry!$A8,0)/VLOOKUP($B20,Basic_Data!$E$2:$G$9,3,0)/VLOOKUP(H$13,Data_Entry!$C:$V,20,0),"")</f>
        <v/>
      </c>
      <c r="I20" s="95" t="str">
        <f>IFERROR(VLOOKUP(I$13,Data_Entry!$C:$M,Data_Entry!$A8,0)/VLOOKUP($B20,Basic_Data!$E$2:$G$9,3,0)/VLOOKUP(I$13,Data_Entry!$C:$V,20,0),"")</f>
        <v/>
      </c>
      <c r="J20" s="95" t="str">
        <f>IFERROR(VLOOKUP(J$13,Data_Entry!$C:$M,Data_Entry!$A8,0)/VLOOKUP($B20,Basic_Data!$E$2:$G$9,3,0)/VLOOKUP(J$13,Data_Entry!$C:$V,20,0),"")</f>
        <v/>
      </c>
      <c r="K20" s="95" t="str">
        <f>IFERROR(VLOOKUP(K$13,Data_Entry!$C:$M,Data_Entry!$A8,0)/VLOOKUP($B20,Basic_Data!$E$2:$G$9,3,0)/VLOOKUP(K$13,Data_Entry!$C:$V,20,0),"")</f>
        <v/>
      </c>
      <c r="L20" s="95" t="str">
        <f>IFERROR(VLOOKUP(L$13,Data_Entry!$C:$M,Data_Entry!$A8,0)/VLOOKUP($B20,Basic_Data!$E$2:$G$9,3,0)/VLOOKUP(L$13,Data_Entry!$C:$V,20,0),"")</f>
        <v/>
      </c>
      <c r="M20" s="95" t="str">
        <f>IFERROR(VLOOKUP(M$13,Data_Entry!$C:$M,Data_Entry!$A8,0)/VLOOKUP($B20,Basic_Data!$E$2:$G$9,3,0)/VLOOKUP(M$13,Data_Entry!$C:$V,20,0),"")</f>
        <v/>
      </c>
      <c r="N20" s="95" t="str">
        <f>IFERROR(VLOOKUP(N$13,Data_Entry!$C:$M,Data_Entry!$A8,0)/VLOOKUP($B20,Basic_Data!$E$2:$G$9,3,0)/VLOOKUP(N$13,Data_Entry!$C:$V,20,0),"")</f>
        <v/>
      </c>
      <c r="O20" s="95" t="str">
        <f>IFERROR(VLOOKUP(O$13,Data_Entry!$C:$M,Data_Entry!$A8,0)/VLOOKUP($B20,Basic_Data!$E$2:$G$9,3,0)/VLOOKUP(O$13,Data_Entry!$C:$V,20,0),"")</f>
        <v/>
      </c>
      <c r="P20" s="95" t="str">
        <f>IFERROR(VLOOKUP(P$13,Data_Entry!$C:$M,Data_Entry!$A8,0)/VLOOKUP($B20,Basic_Data!$E$2:$G$9,3,0)/VLOOKUP(P$13,Data_Entry!$C:$V,20,0),"")</f>
        <v/>
      </c>
      <c r="Q20" s="95" t="str">
        <f>IFERROR(VLOOKUP(Q$13,Data_Entry!$C:$M,Data_Entry!$A8,0)/VLOOKUP($B20,Basic_Data!$E$2:$G$9,3,0)/VLOOKUP(Q$13,Data_Entry!$C:$V,20,0),"")</f>
        <v/>
      </c>
      <c r="R20" s="95" t="str">
        <f>IFERROR(VLOOKUP(R$13,Data_Entry!$C:$M,Data_Entry!$A8,0)/VLOOKUP($B20,Basic_Data!$E$2:$G$9,3,0)/VLOOKUP(R$13,Data_Entry!$C:$V,20,0),"")</f>
        <v/>
      </c>
      <c r="S20" s="95" t="str">
        <f>IFERROR(VLOOKUP(S$13,Data_Entry!$C:$M,Data_Entry!$A8,0)/VLOOKUP($B20,Basic_Data!$E$2:$G$9,3,0)/VLOOKUP(S$13,Data_Entry!$C:$V,20,0),"")</f>
        <v/>
      </c>
      <c r="T20" s="95" t="str">
        <f>IFERROR(VLOOKUP(T$13,Data_Entry!$C:$M,Data_Entry!$A8,0)/VLOOKUP($B20,Basic_Data!$E$2:$G$9,3,0)/VLOOKUP(T$13,Data_Entry!$C:$V,20,0),"")</f>
        <v/>
      </c>
      <c r="U20" s="95" t="str">
        <f>IFERROR(VLOOKUP(U$13,Data_Entry!$C:$M,Data_Entry!$A8,0)/VLOOKUP($B20,Basic_Data!$E$2:$G$9,3,0)/VLOOKUP(U$13,Data_Entry!$C:$V,20,0),"")</f>
        <v/>
      </c>
      <c r="V20" s="95" t="str">
        <f>IFERROR(VLOOKUP(V$13,Data_Entry!$C:$M,Data_Entry!$A8,0)/VLOOKUP($B20,Basic_Data!$E$2:$G$9,3,0)/VLOOKUP(V$13,Data_Entry!$C:$V,20,0),"")</f>
        <v/>
      </c>
      <c r="W20" s="95" t="str">
        <f>IFERROR(VLOOKUP(W$13,Data_Entry!$C:$M,Data_Entry!$A8,0)/VLOOKUP($B20,Basic_Data!$E$2:$G$9,3,0)/VLOOKUP(W$13,Data_Entry!$C:$V,20,0),"")</f>
        <v/>
      </c>
      <c r="X20" s="95" t="str">
        <f>IFERROR(VLOOKUP(X$13,Data_Entry!$C:$M,Data_Entry!$A8,0)/VLOOKUP($B20,Basic_Data!$E$2:$G$9,3,0)/VLOOKUP(X$13,Data_Entry!$C:$V,20,0),"")</f>
        <v/>
      </c>
      <c r="Y20" s="95" t="str">
        <f>IFERROR(VLOOKUP(Y$13,Data_Entry!$C:$M,Data_Entry!$A8,0)/VLOOKUP($B20,Basic_Data!$E$2:$G$9,3,0)/VLOOKUP(Y$13,Data_Entry!$C:$V,20,0),"")</f>
        <v/>
      </c>
      <c r="Z20" s="95" t="str">
        <f>IFERROR(VLOOKUP(Z$13,Data_Entry!$C:$M,Data_Entry!$A8,0)/VLOOKUP($B20,Basic_Data!$E$2:$G$9,3,0)/VLOOKUP(Z$13,Data_Entry!$C:$V,20,0),"")</f>
        <v/>
      </c>
      <c r="AA20" s="95" t="str">
        <f>IFERROR(VLOOKUP(AA$13,Data_Entry!$C:$M,Data_Entry!$A8,0)/VLOOKUP($B20,Basic_Data!$E$2:$G$9,3,0)/VLOOKUP(AA$13,Data_Entry!$C:$V,20,0),"")</f>
        <v/>
      </c>
      <c r="AB20" s="95" t="str">
        <f>IFERROR(VLOOKUP(AB$13,Data_Entry!$C:$M,Data_Entry!$A8,0)/VLOOKUP($B20,Basic_Data!$E$2:$G$9,3,0)/VLOOKUP(AB$13,Data_Entry!$C:$V,20,0),"")</f>
        <v/>
      </c>
      <c r="AC20" s="95" t="str">
        <f>IFERROR(VLOOKUP(AC$13,Data_Entry!$C:$M,Data_Entry!$A8,0)/VLOOKUP($B20,Basic_Data!$E$2:$G$9,3,0)/VLOOKUP(AC$13,Data_Entry!$C:$V,20,0),"")</f>
        <v/>
      </c>
      <c r="AD20" s="95" t="str">
        <f>IFERROR(VLOOKUP(AD$13,Data_Entry!$C:$M,Data_Entry!$A8,0)/VLOOKUP($B20,Basic_Data!$E$2:$G$9,3,0)/VLOOKUP(AD$13,Data_Entry!$C:$V,20,0),"")</f>
        <v/>
      </c>
      <c r="AE20" s="95" t="str">
        <f>IFERROR(VLOOKUP(AE$13,Data_Entry!$C:$M,Data_Entry!$A8,0)/VLOOKUP($B20,Basic_Data!$E$2:$G$9,3,0)/VLOOKUP(AE$13,Data_Entry!$C:$V,20,0),"")</f>
        <v/>
      </c>
      <c r="AF20" s="95" t="str">
        <f>IFERROR(VLOOKUP(AF$13,Data_Entry!$C:$M,Data_Entry!$A8,0)/VLOOKUP($B20,Basic_Data!$E$2:$G$9,3,0)/VLOOKUP(AF$13,Data_Entry!$C:$V,20,0),"")</f>
        <v/>
      </c>
      <c r="AG20" s="95" t="str">
        <f>IFERROR(VLOOKUP(AG$13,Data_Entry!$C:$M,Data_Entry!$A8,0)/VLOOKUP($B20,Basic_Data!$E$2:$G$9,3,0)/VLOOKUP(AG$13,Data_Entry!$C:$V,20,0),"")</f>
        <v/>
      </c>
      <c r="AH20" s="52"/>
    </row>
    <row r="21" spans="2:34">
      <c r="B21" s="52" t="s">
        <v>79</v>
      </c>
      <c r="C21" s="96">
        <f>AVERAGE(C14:C20)</f>
        <v>1.24898984991774</v>
      </c>
      <c r="D21" s="96" t="e">
        <f t="shared" ref="D21:AH21" si="1">AVERAGE(D14:D20)</f>
        <v>#DIV/0!</v>
      </c>
      <c r="E21" s="96" t="e">
        <f t="shared" si="1"/>
        <v>#DIV/0!</v>
      </c>
      <c r="F21" s="96" t="e">
        <f t="shared" si="1"/>
        <v>#DIV/0!</v>
      </c>
      <c r="G21" s="96" t="e">
        <f t="shared" si="1"/>
        <v>#DIV/0!</v>
      </c>
      <c r="H21" s="96" t="e">
        <f t="shared" si="1"/>
        <v>#DIV/0!</v>
      </c>
      <c r="I21" s="96" t="e">
        <f t="shared" si="1"/>
        <v>#DIV/0!</v>
      </c>
      <c r="J21" s="96" t="e">
        <f t="shared" si="1"/>
        <v>#DIV/0!</v>
      </c>
      <c r="K21" s="96" t="e">
        <f t="shared" si="1"/>
        <v>#DIV/0!</v>
      </c>
      <c r="L21" s="96" t="e">
        <f t="shared" si="1"/>
        <v>#DIV/0!</v>
      </c>
      <c r="M21" s="96" t="e">
        <f t="shared" si="1"/>
        <v>#DIV/0!</v>
      </c>
      <c r="N21" s="96" t="e">
        <f t="shared" si="1"/>
        <v>#DIV/0!</v>
      </c>
      <c r="O21" s="96" t="e">
        <f t="shared" si="1"/>
        <v>#DIV/0!</v>
      </c>
      <c r="P21" s="96" t="e">
        <f t="shared" si="1"/>
        <v>#DIV/0!</v>
      </c>
      <c r="Q21" s="96" t="e">
        <f t="shared" si="1"/>
        <v>#DIV/0!</v>
      </c>
      <c r="R21" s="96" t="e">
        <f t="shared" si="1"/>
        <v>#DIV/0!</v>
      </c>
      <c r="S21" s="96" t="e">
        <f t="shared" si="1"/>
        <v>#DIV/0!</v>
      </c>
      <c r="T21" s="96" t="e">
        <f t="shared" si="1"/>
        <v>#DIV/0!</v>
      </c>
      <c r="U21" s="96" t="e">
        <f t="shared" si="1"/>
        <v>#DIV/0!</v>
      </c>
      <c r="V21" s="96" t="e">
        <f t="shared" si="1"/>
        <v>#DIV/0!</v>
      </c>
      <c r="W21" s="96" t="e">
        <f t="shared" si="1"/>
        <v>#DIV/0!</v>
      </c>
      <c r="X21" s="96" t="e">
        <f t="shared" si="1"/>
        <v>#DIV/0!</v>
      </c>
      <c r="Y21" s="96" t="e">
        <f t="shared" si="1"/>
        <v>#DIV/0!</v>
      </c>
      <c r="Z21" s="96" t="e">
        <f t="shared" si="1"/>
        <v>#DIV/0!</v>
      </c>
      <c r="AA21" s="96" t="e">
        <f t="shared" si="1"/>
        <v>#DIV/0!</v>
      </c>
      <c r="AB21" s="96" t="e">
        <f t="shared" si="1"/>
        <v>#DIV/0!</v>
      </c>
      <c r="AC21" s="96" t="e">
        <f t="shared" si="1"/>
        <v>#DIV/0!</v>
      </c>
      <c r="AD21" s="96" t="e">
        <f t="shared" si="1"/>
        <v>#DIV/0!</v>
      </c>
      <c r="AE21" s="96" t="e">
        <f t="shared" si="1"/>
        <v>#DIV/0!</v>
      </c>
      <c r="AF21" s="96" t="e">
        <f t="shared" si="1"/>
        <v>#DIV/0!</v>
      </c>
      <c r="AG21" s="96" t="e">
        <f t="shared" si="1"/>
        <v>#DIV/0!</v>
      </c>
      <c r="AH21" s="96" t="e">
        <f t="shared" si="1"/>
        <v>#DIV/0!</v>
      </c>
    </row>
  </sheetData>
  <sheetProtection algorithmName="SHA-512" hashValue="ITM3IlPxXc/pIWFy8n09tgPy7yp5djHlqFLewTDsJsIIBNS1hrnAQhmcveWDPl3yj8PeINIES9CrP6Qkw8qFxg==" saltValue="1FD/Q3vUNpsg6RaiP0/Ylg==" spinCount="100000" sheet="1" objects="1" scenarios="1"/>
  <conditionalFormatting sqref="C3:A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H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opLeftCell="A10" workbookViewId="0">
      <selection activeCell="E21" sqref="E21"/>
    </sheetView>
  </sheetViews>
  <sheetFormatPr defaultColWidth="12" defaultRowHeight="15" customHeight="1"/>
  <cols>
    <col min="1" max="1" width="24.75" customWidth="1"/>
    <col min="2" max="2" width="17.375" customWidth="1"/>
    <col min="3" max="3" width="9.25" customWidth="1"/>
    <col min="4" max="4" width="8.75" customWidth="1"/>
    <col min="5" max="5" width="12.75" customWidth="1"/>
    <col min="6" max="6" width="15.75" customWidth="1"/>
    <col min="7" max="7" width="17.75" customWidth="1"/>
    <col min="8" max="25" width="14.375" customWidth="1"/>
  </cols>
  <sheetData>
    <row r="1" ht="14.25" customHeight="1"/>
    <row r="2" ht="14.25" customHeight="1" spans="1:9">
      <c r="A2" s="77" t="s">
        <v>80</v>
      </c>
      <c r="B2" s="77" t="s">
        <v>81</v>
      </c>
      <c r="E2" s="78" t="s">
        <v>82</v>
      </c>
      <c r="F2" s="78" t="s">
        <v>83</v>
      </c>
      <c r="G2" s="78" t="s">
        <v>84</v>
      </c>
      <c r="H2" s="79" t="s">
        <v>85</v>
      </c>
    </row>
    <row r="3" ht="14.25" customHeight="1" spans="1:9">
      <c r="A3" s="80" t="s">
        <v>86</v>
      </c>
      <c r="B3" s="81">
        <v>45745</v>
      </c>
      <c r="E3" s="82" t="s">
        <v>35</v>
      </c>
      <c r="F3" s="83">
        <v>275</v>
      </c>
      <c r="G3" s="83">
        <v>335.72</v>
      </c>
      <c r="H3">
        <f>G3/0.545</f>
        <v>616</v>
      </c>
      <c r="I3">
        <v>2</v>
      </c>
    </row>
    <row r="4" ht="14.25" customHeight="1" spans="1:9">
      <c r="A4" s="80" t="s">
        <v>87</v>
      </c>
      <c r="B4" s="80" t="s">
        <v>88</v>
      </c>
      <c r="E4" s="82" t="s">
        <v>36</v>
      </c>
      <c r="F4" s="83">
        <v>275</v>
      </c>
      <c r="G4" s="83">
        <v>335.72</v>
      </c>
      <c r="H4">
        <f t="shared" ref="H4:H9" si="0">G4/0.545</f>
        <v>616</v>
      </c>
      <c r="I4">
        <v>3</v>
      </c>
    </row>
    <row r="5" ht="14.25" customHeight="1" spans="1:9">
      <c r="A5" s="80" t="s">
        <v>89</v>
      </c>
      <c r="B5" s="80" t="s">
        <v>90</v>
      </c>
      <c r="E5" s="82" t="s">
        <v>37</v>
      </c>
      <c r="F5" s="83">
        <v>275</v>
      </c>
      <c r="G5" s="83">
        <v>335.72</v>
      </c>
      <c r="H5">
        <f t="shared" si="0"/>
        <v>616</v>
      </c>
      <c r="I5">
        <v>4</v>
      </c>
    </row>
    <row r="6" ht="14.25" customHeight="1" spans="1:9">
      <c r="A6" s="80" t="s">
        <v>91</v>
      </c>
      <c r="B6" s="80" t="s">
        <v>92</v>
      </c>
      <c r="E6" s="82" t="s">
        <v>38</v>
      </c>
      <c r="F6" s="83">
        <v>275</v>
      </c>
      <c r="G6" s="83">
        <v>350.98</v>
      </c>
      <c r="H6">
        <f t="shared" si="0"/>
        <v>644</v>
      </c>
      <c r="I6">
        <v>5</v>
      </c>
    </row>
    <row r="7" ht="14.25" customHeight="1" spans="1:9">
      <c r="A7" s="80" t="s">
        <v>93</v>
      </c>
      <c r="B7" s="84">
        <v>2.411</v>
      </c>
      <c r="E7" s="82" t="s">
        <v>39</v>
      </c>
      <c r="F7" s="83">
        <v>275</v>
      </c>
      <c r="G7" s="83">
        <v>350.98</v>
      </c>
      <c r="H7">
        <f t="shared" si="0"/>
        <v>644</v>
      </c>
      <c r="I7">
        <v>6</v>
      </c>
    </row>
    <row r="8" ht="14.25" customHeight="1" spans="1:9">
      <c r="A8" s="80" t="s">
        <v>94</v>
      </c>
      <c r="B8" s="80">
        <v>1.925</v>
      </c>
      <c r="E8" s="82" t="s">
        <v>40</v>
      </c>
      <c r="F8" s="83">
        <v>275</v>
      </c>
      <c r="G8" s="83">
        <v>350.98</v>
      </c>
      <c r="H8">
        <f t="shared" si="0"/>
        <v>644</v>
      </c>
      <c r="I8">
        <v>7</v>
      </c>
    </row>
    <row r="9" ht="14.25" customHeight="1" spans="1:9">
      <c r="A9" s="80" t="s">
        <v>95</v>
      </c>
      <c r="B9" s="85">
        <f>SUM(G3:G94)</f>
        <v>4822.16</v>
      </c>
      <c r="E9" s="82" t="s">
        <v>41</v>
      </c>
      <c r="F9" s="83">
        <v>275</v>
      </c>
      <c r="G9" s="83">
        <v>350.98</v>
      </c>
      <c r="H9">
        <f t="shared" si="0"/>
        <v>644</v>
      </c>
      <c r="I9">
        <v>8</v>
      </c>
    </row>
    <row r="10" ht="14.25" customHeight="1" spans="1:9">
      <c r="A10" s="80" t="s">
        <v>96</v>
      </c>
      <c r="B10" s="80">
        <v>3000</v>
      </c>
      <c r="E10" s="83" t="s">
        <v>97</v>
      </c>
      <c r="F10" s="83">
        <f>SUM(F3:F9)</f>
        <v>1925</v>
      </c>
      <c r="G10" s="83">
        <f>SUM(G3:G9)</f>
        <v>2411.08</v>
      </c>
      <c r="H10" s="83">
        <f>SUM(H3:H9)</f>
        <v>4424</v>
      </c>
    </row>
    <row r="11" ht="14.25" customHeight="1" spans="1:9">
      <c r="A11" s="80" t="s">
        <v>98</v>
      </c>
      <c r="B11" s="80">
        <v>1</v>
      </c>
    </row>
    <row r="12" ht="14.25" customHeight="1" spans="1:9">
      <c r="A12" s="80" t="s">
        <v>99</v>
      </c>
      <c r="B12" s="80" t="s">
        <v>100</v>
      </c>
    </row>
    <row r="13" ht="14.25" customHeight="1" spans="1:9">
      <c r="A13" s="80" t="s">
        <v>101</v>
      </c>
      <c r="B13" s="80" t="s">
        <v>102</v>
      </c>
    </row>
    <row r="14" ht="14.25" customHeight="1" spans="1:9">
      <c r="A14" s="80" t="s">
        <v>103</v>
      </c>
      <c r="B14" s="80">
        <v>0.275</v>
      </c>
    </row>
    <row r="15" ht="14.25" customHeight="1" spans="1:9">
      <c r="A15" s="80" t="s">
        <v>104</v>
      </c>
      <c r="B15" s="80">
        <v>7</v>
      </c>
    </row>
    <row r="16" ht="14.25" customHeight="1" spans="1:9">
      <c r="A16" s="80" t="s">
        <v>105</v>
      </c>
      <c r="B16" s="80" t="s">
        <v>106</v>
      </c>
    </row>
    <row r="17" ht="14.25" customHeight="1" spans="1:4">
      <c r="A17" s="80" t="s">
        <v>107</v>
      </c>
      <c r="B17" s="80">
        <v>545</v>
      </c>
    </row>
    <row r="18" ht="14.25" customHeight="1" spans="1:4">
      <c r="A18" s="80" t="s">
        <v>108</v>
      </c>
      <c r="B18" s="84">
        <v>158</v>
      </c>
    </row>
    <row r="19" ht="14.25" customHeight="1" spans="1:4">
      <c r="A19" s="80" t="s">
        <v>109</v>
      </c>
      <c r="B19" s="86" t="s">
        <v>110</v>
      </c>
    </row>
    <row r="20" ht="14.25" customHeight="1" spans="1:4">
      <c r="A20" s="80" t="s">
        <v>111</v>
      </c>
      <c r="B20" s="84">
        <v>4424</v>
      </c>
    </row>
    <row r="21" ht="14.25" customHeight="1" spans="1:4">
      <c r="A21" s="80" t="s">
        <v>112</v>
      </c>
      <c r="B21" s="80" t="s">
        <v>113</v>
      </c>
    </row>
    <row r="22" ht="14.25" customHeight="1" spans="1:4">
      <c r="A22" s="80" t="s">
        <v>114</v>
      </c>
      <c r="B22" s="80" t="s">
        <v>115</v>
      </c>
    </row>
    <row r="23" ht="14.25" customHeight="1" spans="1:4">
      <c r="A23" s="80" t="s">
        <v>116</v>
      </c>
      <c r="B23" s="80"/>
    </row>
    <row r="24" ht="14.25" customHeight="1"/>
    <row r="25" ht="14.25" customHeight="1"/>
    <row r="26" ht="14.25" customHeight="1"/>
    <row r="27" ht="14.25" customHeight="1" spans="1:4">
      <c r="A27" s="87" t="s">
        <v>117</v>
      </c>
      <c r="B27" s="87" t="s">
        <v>118</v>
      </c>
      <c r="C27" s="87" t="s">
        <v>119</v>
      </c>
      <c r="D27" s="87"/>
    </row>
    <row r="28" ht="14.25" customHeight="1" spans="1:4">
      <c r="A28" s="184" t="s">
        <v>120</v>
      </c>
      <c r="B28" s="89">
        <v>41000</v>
      </c>
      <c r="C28" s="89">
        <v>41364</v>
      </c>
      <c r="D28" s="87">
        <v>365</v>
      </c>
    </row>
    <row r="29" ht="14.25" customHeight="1" spans="1:4">
      <c r="A29" s="87" t="s">
        <v>121</v>
      </c>
      <c r="B29" s="89">
        <v>41365</v>
      </c>
      <c r="C29" s="89">
        <v>41729</v>
      </c>
      <c r="D29" s="87">
        <v>365</v>
      </c>
    </row>
    <row r="30" ht="14.25" customHeight="1" spans="1:4">
      <c r="A30" s="87" t="s">
        <v>122</v>
      </c>
      <c r="B30" s="89">
        <v>41730</v>
      </c>
      <c r="C30" s="89">
        <v>42094</v>
      </c>
      <c r="D30" s="87">
        <v>365</v>
      </c>
    </row>
    <row r="31" ht="14.25" customHeight="1" spans="1:4">
      <c r="A31" s="87" t="s">
        <v>123</v>
      </c>
      <c r="B31" s="89">
        <v>42095</v>
      </c>
      <c r="C31" s="89">
        <v>42460</v>
      </c>
      <c r="D31" s="87">
        <v>366</v>
      </c>
    </row>
    <row r="32" ht="14.25" customHeight="1" spans="1:4">
      <c r="A32" s="87" t="s">
        <v>124</v>
      </c>
      <c r="B32" s="89">
        <v>42461</v>
      </c>
      <c r="C32" s="89">
        <v>42825</v>
      </c>
      <c r="D32" s="87">
        <v>365</v>
      </c>
    </row>
    <row r="33" ht="14.25" customHeight="1" spans="1:4">
      <c r="A33" s="87" t="s">
        <v>125</v>
      </c>
      <c r="B33" s="89">
        <v>42826</v>
      </c>
      <c r="C33" s="89">
        <v>43190</v>
      </c>
      <c r="D33" s="87">
        <v>365</v>
      </c>
    </row>
    <row r="34" ht="14.25" customHeight="1" spans="1:4">
      <c r="A34" s="87" t="s">
        <v>126</v>
      </c>
      <c r="B34" s="89">
        <v>43191</v>
      </c>
      <c r="C34" s="89">
        <v>43555</v>
      </c>
      <c r="D34" s="87">
        <v>365</v>
      </c>
    </row>
    <row r="35" ht="14.25" customHeight="1" spans="1:4">
      <c r="A35" s="87" t="s">
        <v>127</v>
      </c>
      <c r="B35" s="89">
        <v>43556</v>
      </c>
      <c r="C35" s="89">
        <v>43921</v>
      </c>
      <c r="D35" s="87">
        <v>366</v>
      </c>
    </row>
    <row r="36" ht="14.25" customHeight="1" spans="1:4">
      <c r="A36" s="87" t="s">
        <v>128</v>
      </c>
      <c r="B36" s="89">
        <v>43922</v>
      </c>
      <c r="C36" s="89">
        <v>44286</v>
      </c>
      <c r="D36" s="87">
        <v>365</v>
      </c>
    </row>
    <row r="37" ht="14.25" customHeight="1" spans="1:4">
      <c r="A37" s="87" t="s">
        <v>129</v>
      </c>
      <c r="B37" s="89">
        <v>44287</v>
      </c>
      <c r="C37" s="89">
        <v>44651</v>
      </c>
      <c r="D37" s="87">
        <v>365</v>
      </c>
    </row>
    <row r="38" ht="14.25" customHeight="1" spans="1:4">
      <c r="A38" s="87" t="s">
        <v>130</v>
      </c>
      <c r="B38" s="89">
        <v>44652</v>
      </c>
      <c r="C38" s="89">
        <v>45016</v>
      </c>
      <c r="D38" s="87">
        <v>365</v>
      </c>
    </row>
    <row r="39" ht="14.25" customHeight="1" spans="1:4">
      <c r="A39" s="87" t="s">
        <v>131</v>
      </c>
      <c r="B39" s="89">
        <v>45017</v>
      </c>
      <c r="C39" s="89">
        <v>45382</v>
      </c>
      <c r="D39" s="87">
        <v>366</v>
      </c>
    </row>
    <row r="40" ht="14.25" customHeight="1" spans="1:4">
      <c r="A40" s="87" t="s">
        <v>132</v>
      </c>
      <c r="B40" s="89">
        <v>45383</v>
      </c>
      <c r="C40" s="89">
        <v>45747</v>
      </c>
      <c r="D40" s="87">
        <v>365</v>
      </c>
    </row>
    <row r="41" ht="14.25" customHeight="1" spans="1:4">
      <c r="A41" s="87" t="s">
        <v>14</v>
      </c>
      <c r="B41" s="89">
        <v>45748</v>
      </c>
      <c r="C41" s="89">
        <v>46112</v>
      </c>
      <c r="D41" s="87">
        <v>365</v>
      </c>
    </row>
    <row r="42" ht="14.25" customHeight="1" spans="1:4">
      <c r="A42" s="87" t="s">
        <v>133</v>
      </c>
      <c r="B42" s="89">
        <v>46113</v>
      </c>
      <c r="C42" s="89">
        <v>46477</v>
      </c>
      <c r="D42" s="87">
        <v>365</v>
      </c>
    </row>
    <row r="43" ht="14.25" customHeight="1" spans="1:4">
      <c r="A43" s="87" t="s">
        <v>134</v>
      </c>
      <c r="B43" s="89">
        <v>46478</v>
      </c>
      <c r="C43" s="89">
        <v>46843</v>
      </c>
      <c r="D43" s="87">
        <v>366</v>
      </c>
    </row>
    <row r="44" ht="14.25" customHeight="1" spans="1:4">
      <c r="A44" s="87" t="s">
        <v>135</v>
      </c>
      <c r="B44" s="89">
        <v>46844</v>
      </c>
      <c r="C44" s="89">
        <v>47208</v>
      </c>
      <c r="D44" s="87">
        <v>365</v>
      </c>
    </row>
    <row r="45" ht="14.25" customHeight="1" spans="1:4">
      <c r="A45" s="87" t="s">
        <v>136</v>
      </c>
      <c r="B45" s="89">
        <v>47209</v>
      </c>
      <c r="C45" s="89">
        <v>47573</v>
      </c>
      <c r="D45" s="87">
        <v>365</v>
      </c>
    </row>
    <row r="46" ht="14.25" customHeight="1" spans="1:4">
      <c r="A46" s="87" t="s">
        <v>137</v>
      </c>
      <c r="B46" s="89">
        <v>47574</v>
      </c>
      <c r="C46" s="89">
        <v>47938</v>
      </c>
      <c r="D46" s="87">
        <v>365</v>
      </c>
    </row>
    <row r="47" ht="14.25" customHeight="1" spans="1:4">
      <c r="A47" s="87" t="s">
        <v>138</v>
      </c>
      <c r="B47" s="89">
        <v>47939</v>
      </c>
      <c r="C47" s="89">
        <v>48304</v>
      </c>
      <c r="D47" s="87">
        <v>366</v>
      </c>
    </row>
    <row r="48" ht="14.25" customHeight="1" spans="1:4">
      <c r="A48" s="87" t="s">
        <v>139</v>
      </c>
      <c r="B48" s="89">
        <v>48305</v>
      </c>
      <c r="C48" s="89">
        <v>48669</v>
      </c>
      <c r="D48" s="87">
        <v>365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iXEvXBrBgz88mOETKtFxLLKvid3UvK4/etJvxk8XiX6QaEmmO1X5/ig5T+epQmLHZ28jW6kEPRihOSAIaV94tw==" saltValue="OV4U6xvO2iaOOpImmqrbVA==" spinCount="100000" sheet="1" objects="1" scenarios="1"/>
  <pageMargins left="0.7" right="0.7" top="0.75" bottom="0.75" header="0" footer="0"/>
  <pageSetup paperSize="9" fitToWidth="0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50"/>
  </sheetPr>
  <dimension ref="A1:S100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E390" sqref="E390"/>
    </sheetView>
  </sheetViews>
  <sheetFormatPr defaultColWidth="12" defaultRowHeight="15" customHeight="1"/>
  <cols>
    <col min="1" max="1" width="11.625" customWidth="1"/>
    <col min="2" max="2" width="8.875" customWidth="1"/>
    <col min="3" max="4" width="11.25" customWidth="1"/>
    <col min="5" max="5" width="16.125" customWidth="1"/>
    <col min="6" max="6" width="16" customWidth="1"/>
    <col min="7" max="7" width="16.25" customWidth="1"/>
    <col min="8" max="8" width="11.375" style="18" customWidth="1"/>
    <col min="9" max="9" width="12.375" customWidth="1"/>
    <col min="10" max="10" width="9.25" customWidth="1"/>
    <col min="11" max="11" width="8.25" customWidth="1"/>
    <col min="12" max="12" width="16.625" customWidth="1"/>
    <col min="13" max="13" width="29.625" customWidth="1"/>
    <col min="14" max="14" width="39.375" customWidth="1"/>
    <col min="15" max="15" width="19.25" customWidth="1"/>
    <col min="16" max="16" width="30.25" customWidth="1"/>
    <col min="17" max="17" width="5.375" customWidth="1"/>
    <col min="18" max="18" width="8.25" customWidth="1"/>
    <col min="19" max="19" width="36.75" customWidth="1"/>
    <col min="20" max="27" width="14.375" customWidth="1"/>
  </cols>
  <sheetData>
    <row r="1" ht="14.25" customHeight="1" spans="1:19">
      <c r="A1" s="55" t="s">
        <v>140</v>
      </c>
      <c r="B1" s="55"/>
      <c r="C1" s="55"/>
      <c r="D1" s="55"/>
      <c r="E1" s="55"/>
      <c r="F1" s="55"/>
      <c r="G1" s="55"/>
      <c r="H1" s="66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ht="14.25" customHeight="1" spans="1:19">
      <c r="A2" s="67" t="s">
        <v>2</v>
      </c>
      <c r="B2" s="67" t="s">
        <v>1</v>
      </c>
      <c r="C2" s="67" t="s">
        <v>141</v>
      </c>
      <c r="D2" s="67" t="s">
        <v>142</v>
      </c>
      <c r="E2" s="67" t="s">
        <v>143</v>
      </c>
      <c r="F2" s="67" t="s">
        <v>144</v>
      </c>
      <c r="G2" s="67" t="s">
        <v>145</v>
      </c>
      <c r="H2" s="68" t="s">
        <v>146</v>
      </c>
      <c r="I2" s="69" t="s">
        <v>147</v>
      </c>
      <c r="J2" s="69" t="s">
        <v>148</v>
      </c>
      <c r="K2" s="67" t="s">
        <v>149</v>
      </c>
      <c r="L2" s="67" t="s">
        <v>150</v>
      </c>
      <c r="M2" s="67" t="s">
        <v>151</v>
      </c>
      <c r="N2" s="67" t="s">
        <v>152</v>
      </c>
      <c r="O2" s="67" t="s">
        <v>153</v>
      </c>
      <c r="P2" s="67" t="s">
        <v>154</v>
      </c>
      <c r="Q2" s="67" t="s">
        <v>155</v>
      </c>
      <c r="R2" s="67" t="s">
        <v>156</v>
      </c>
      <c r="S2" s="67" t="s">
        <v>157</v>
      </c>
    </row>
    <row r="3" ht="14.25" hidden="1" customHeight="1" spans="1:19">
      <c r="A3" s="24">
        <v>45747</v>
      </c>
      <c r="B3" s="25">
        <v>45747</v>
      </c>
      <c r="C3" s="26"/>
      <c r="D3" s="26"/>
      <c r="E3" s="26"/>
      <c r="F3" s="26"/>
      <c r="G3" s="26"/>
      <c r="H3" s="39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ht="14.25" hidden="1" customHeight="1" spans="1:19">
      <c r="A4" s="24">
        <v>45748</v>
      </c>
      <c r="B4" s="25">
        <v>45748</v>
      </c>
      <c r="C4" s="26"/>
      <c r="D4" s="26"/>
      <c r="E4" s="26"/>
      <c r="F4" s="26"/>
      <c r="G4" s="26"/>
      <c r="H4" s="39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ht="14.25" hidden="1" customHeight="1" spans="1:19">
      <c r="A5" s="24">
        <v>45749</v>
      </c>
      <c r="B5" s="25">
        <v>45749</v>
      </c>
      <c r="C5" s="26"/>
      <c r="D5" s="26"/>
      <c r="E5" s="26"/>
      <c r="F5" s="26"/>
      <c r="G5" s="26"/>
      <c r="H5" s="39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ht="14.25" hidden="1" customHeight="1" spans="1:19">
      <c r="A6" s="24">
        <v>45750</v>
      </c>
      <c r="B6" s="25">
        <v>45750</v>
      </c>
      <c r="C6" s="26"/>
      <c r="D6" s="26"/>
      <c r="E6" s="26"/>
      <c r="F6" s="26"/>
      <c r="G6" s="26"/>
      <c r="H6" s="39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ht="14.25" hidden="1" customHeight="1" spans="1:19">
      <c r="A7" s="24">
        <v>45751</v>
      </c>
      <c r="B7" s="25">
        <v>45751</v>
      </c>
      <c r="C7" s="26"/>
      <c r="D7" s="26"/>
      <c r="E7" s="26"/>
      <c r="F7" s="26"/>
      <c r="G7" s="26"/>
      <c r="H7" s="39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ht="14.25" hidden="1" customHeight="1" spans="1:19">
      <c r="A8" s="24">
        <v>45752</v>
      </c>
      <c r="B8" s="25">
        <v>45752</v>
      </c>
      <c r="C8" s="26"/>
      <c r="D8" s="26"/>
      <c r="E8" s="26"/>
      <c r="F8" s="26"/>
      <c r="G8" s="26"/>
      <c r="H8" s="39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ht="14.25" hidden="1" customHeight="1" spans="1:19">
      <c r="A9" s="24">
        <v>45753</v>
      </c>
      <c r="B9" s="25">
        <v>45753</v>
      </c>
      <c r="C9" s="26"/>
      <c r="D9" s="26"/>
      <c r="E9" s="26"/>
      <c r="F9" s="26"/>
      <c r="G9" s="26"/>
      <c r="H9" s="39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ht="14.25" hidden="1" customHeight="1" spans="1:19">
      <c r="A10" s="24">
        <v>45754</v>
      </c>
      <c r="B10" s="25">
        <v>45754</v>
      </c>
      <c r="C10" s="26"/>
      <c r="D10" s="26"/>
      <c r="E10" s="26"/>
      <c r="F10" s="26"/>
      <c r="G10" s="26"/>
      <c r="H10" s="3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ht="14.25" hidden="1" customHeight="1" spans="1:19">
      <c r="A11" s="24">
        <v>45755</v>
      </c>
      <c r="B11" s="25">
        <v>45755</v>
      </c>
      <c r="C11" s="26"/>
      <c r="D11" s="26"/>
      <c r="E11" s="26"/>
      <c r="F11" s="26"/>
      <c r="G11" s="26"/>
      <c r="H11" s="39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 ht="14.25" hidden="1" customHeight="1" spans="1:19">
      <c r="A12" s="24">
        <v>45756</v>
      </c>
      <c r="B12" s="25">
        <v>45756</v>
      </c>
      <c r="C12" s="26"/>
      <c r="D12" s="26"/>
      <c r="E12" s="26"/>
      <c r="F12" s="26"/>
      <c r="G12" s="26"/>
      <c r="H12" s="39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</row>
    <row r="13" ht="14.25" hidden="1" customHeight="1" spans="1:19">
      <c r="A13" s="24">
        <v>45757</v>
      </c>
      <c r="B13" s="25">
        <v>45757</v>
      </c>
      <c r="C13" s="26"/>
      <c r="D13" s="26"/>
      <c r="E13" s="26"/>
      <c r="F13" s="26"/>
      <c r="G13" s="26"/>
      <c r="H13" s="39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ht="14.25" hidden="1" customHeight="1" spans="1:19">
      <c r="A14" s="24">
        <v>45758</v>
      </c>
      <c r="B14" s="25">
        <v>45758</v>
      </c>
      <c r="C14" s="26"/>
      <c r="D14" s="26"/>
      <c r="E14" s="26"/>
      <c r="F14" s="26"/>
      <c r="G14" s="26"/>
      <c r="H14" s="39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ht="14.25" hidden="1" customHeight="1" spans="1:19">
      <c r="A15" s="24">
        <v>45759</v>
      </c>
      <c r="B15" s="25">
        <v>45759</v>
      </c>
      <c r="C15" s="26"/>
      <c r="D15" s="26"/>
      <c r="E15" s="26"/>
      <c r="F15" s="26"/>
      <c r="G15" s="26"/>
      <c r="H15" s="39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ht="14.25" hidden="1" customHeight="1" spans="1:19">
      <c r="A16" s="24">
        <v>45760</v>
      </c>
      <c r="B16" s="25">
        <v>45760</v>
      </c>
      <c r="C16" s="26"/>
      <c r="D16" s="26"/>
      <c r="E16" s="26"/>
      <c r="F16" s="26"/>
      <c r="G16" s="26"/>
      <c r="H16" s="39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 ht="14.25" hidden="1" customHeight="1" spans="1:19">
      <c r="A17" s="24">
        <v>45761</v>
      </c>
      <c r="B17" s="25">
        <v>45761</v>
      </c>
      <c r="C17" s="26"/>
      <c r="D17" s="26"/>
      <c r="E17" s="26"/>
      <c r="F17" s="26"/>
      <c r="G17" s="26"/>
      <c r="H17" s="39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 ht="14.25" hidden="1" customHeight="1" spans="1:19">
      <c r="A18" s="24">
        <v>45762</v>
      </c>
      <c r="B18" s="25">
        <v>45762</v>
      </c>
      <c r="C18" s="26"/>
      <c r="D18" s="26"/>
      <c r="E18" s="26"/>
      <c r="F18" s="26"/>
      <c r="G18" s="26"/>
      <c r="H18" s="39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ht="14.25" hidden="1" customHeight="1" spans="1:19">
      <c r="A19" s="24">
        <v>45763</v>
      </c>
      <c r="B19" s="25">
        <v>45763</v>
      </c>
      <c r="C19" s="26"/>
      <c r="D19" s="26"/>
      <c r="E19" s="26"/>
      <c r="F19" s="26"/>
      <c r="G19" s="26"/>
      <c r="H19" s="39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 ht="14.25" hidden="1" customHeight="1" spans="1:19">
      <c r="A20" s="24">
        <v>45764</v>
      </c>
      <c r="B20" s="25">
        <v>45764</v>
      </c>
      <c r="C20" s="26"/>
      <c r="D20" s="26"/>
      <c r="E20" s="26"/>
      <c r="F20" s="26"/>
      <c r="G20" s="26"/>
      <c r="H20" s="39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ht="14.25" hidden="1" customHeight="1" spans="1:19">
      <c r="A21" s="24">
        <v>45765</v>
      </c>
      <c r="B21" s="25">
        <v>45765</v>
      </c>
      <c r="C21" s="26"/>
      <c r="D21" s="26"/>
      <c r="E21" s="26"/>
      <c r="F21" s="26"/>
      <c r="G21" s="26"/>
      <c r="H21" s="39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ht="14.25" hidden="1" customHeight="1" spans="1:19">
      <c r="A22" s="24">
        <v>45766</v>
      </c>
      <c r="B22" s="25">
        <v>45766</v>
      </c>
      <c r="C22" s="26"/>
      <c r="D22" s="26"/>
      <c r="E22" s="26"/>
      <c r="F22" s="26"/>
      <c r="G22" s="26"/>
      <c r="H22" s="39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ht="14.25" hidden="1" customHeight="1" spans="1:19">
      <c r="A23" s="24">
        <v>45767</v>
      </c>
      <c r="B23" s="25">
        <v>45767</v>
      </c>
      <c r="C23" s="26"/>
      <c r="D23" s="26"/>
      <c r="E23" s="26"/>
      <c r="F23" s="26"/>
      <c r="G23" s="26"/>
      <c r="H23" s="39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ht="14.25" hidden="1" customHeight="1" spans="1:19">
      <c r="A24" s="24">
        <v>45768</v>
      </c>
      <c r="B24" s="25">
        <v>45768</v>
      </c>
      <c r="C24" s="26"/>
      <c r="D24" s="26"/>
      <c r="E24" s="26"/>
      <c r="F24" s="26"/>
      <c r="G24" s="26"/>
      <c r="H24" s="39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 ht="14.25" hidden="1" customHeight="1" spans="1:19">
      <c r="A25" s="24">
        <v>45769</v>
      </c>
      <c r="B25" s="25">
        <v>45769</v>
      </c>
      <c r="C25" s="26"/>
      <c r="D25" s="26"/>
      <c r="E25" s="26"/>
      <c r="F25" s="26"/>
      <c r="G25" s="26"/>
      <c r="H25" s="39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ht="14.25" hidden="1" customHeight="1" spans="1:19">
      <c r="A26" s="24">
        <v>45770</v>
      </c>
      <c r="B26" s="25">
        <v>45770</v>
      </c>
      <c r="C26" s="26"/>
      <c r="D26" s="26"/>
      <c r="E26" s="26"/>
      <c r="F26" s="26"/>
      <c r="G26" s="26"/>
      <c r="H26" s="39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ht="14.25" hidden="1" customHeight="1" spans="1:19">
      <c r="A27" s="24">
        <v>45771</v>
      </c>
      <c r="B27" s="25">
        <v>45771</v>
      </c>
      <c r="C27" s="26"/>
      <c r="D27" s="26"/>
      <c r="E27" s="26"/>
      <c r="F27" s="26"/>
      <c r="G27" s="26"/>
      <c r="H27" s="3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ht="14.25" hidden="1" customHeight="1" spans="1:19">
      <c r="A28" s="24">
        <v>45772</v>
      </c>
      <c r="B28" s="25">
        <v>45772</v>
      </c>
      <c r="C28" s="26"/>
      <c r="D28" s="26"/>
      <c r="E28" s="26"/>
      <c r="F28" s="26"/>
      <c r="G28" s="26"/>
      <c r="H28" s="3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ht="14.25" hidden="1" customHeight="1" spans="1:19">
      <c r="A29" s="24">
        <v>45773</v>
      </c>
      <c r="B29" s="25">
        <v>45773</v>
      </c>
      <c r="C29" s="26"/>
      <c r="D29" s="26"/>
      <c r="E29" s="26"/>
      <c r="F29" s="26"/>
      <c r="G29" s="26"/>
      <c r="H29" s="39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 ht="14.25" hidden="1" customHeight="1" spans="1:19">
      <c r="A30" s="24">
        <v>45774</v>
      </c>
      <c r="B30" s="25">
        <v>45774</v>
      </c>
      <c r="C30" s="26"/>
      <c r="D30" s="26"/>
      <c r="E30" s="26"/>
      <c r="F30" s="26"/>
      <c r="G30" s="26"/>
      <c r="H30" s="39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</row>
    <row r="31" ht="39" customHeight="1" spans="1:19">
      <c r="A31" s="24">
        <v>45775</v>
      </c>
      <c r="B31" s="25">
        <v>45775</v>
      </c>
      <c r="C31" s="26" t="s">
        <v>158</v>
      </c>
      <c r="D31" s="26" t="s">
        <v>159</v>
      </c>
      <c r="E31" s="70">
        <v>0.454861111111111</v>
      </c>
      <c r="F31" s="70">
        <v>0.465277777777778</v>
      </c>
      <c r="G31" s="70">
        <v>0.0104166666666667</v>
      </c>
      <c r="H31" s="39">
        <v>2411.08</v>
      </c>
      <c r="I31" s="26"/>
      <c r="J31" s="26"/>
      <c r="K31" s="26"/>
      <c r="L31" s="26"/>
      <c r="M31" s="26"/>
      <c r="N31" s="20" t="s">
        <v>160</v>
      </c>
      <c r="O31" s="26"/>
      <c r="P31" s="26"/>
      <c r="Q31" s="26"/>
      <c r="R31" s="26"/>
      <c r="S31" s="26"/>
    </row>
    <row r="32" ht="49.5" customHeight="1" spans="1:19">
      <c r="A32" s="24">
        <v>45775</v>
      </c>
      <c r="B32" s="25">
        <v>45775</v>
      </c>
      <c r="C32" s="26" t="s">
        <v>158</v>
      </c>
      <c r="D32" s="26" t="s">
        <v>159</v>
      </c>
      <c r="E32" s="70">
        <v>0.520833333333333</v>
      </c>
      <c r="F32" s="70">
        <v>0.538194444444444</v>
      </c>
      <c r="G32" s="70">
        <v>0.0173611111111111</v>
      </c>
      <c r="H32" s="39">
        <v>2411.08</v>
      </c>
      <c r="I32" s="26"/>
      <c r="J32" s="26"/>
      <c r="K32" s="26"/>
      <c r="L32" s="26"/>
      <c r="M32" s="26"/>
      <c r="N32" s="20" t="s">
        <v>161</v>
      </c>
      <c r="O32" s="26"/>
      <c r="P32" s="26"/>
      <c r="Q32" s="26"/>
      <c r="R32" s="26"/>
      <c r="S32" s="26"/>
    </row>
    <row r="33" ht="14.25" hidden="1" customHeight="1" spans="1:19">
      <c r="A33" s="24">
        <v>45776</v>
      </c>
      <c r="B33" s="25">
        <v>45776</v>
      </c>
      <c r="C33" s="26"/>
      <c r="D33" s="26"/>
      <c r="E33" s="26"/>
      <c r="F33" s="26"/>
      <c r="G33" s="26"/>
      <c r="H33" s="39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ht="14.25" hidden="1" customHeight="1" spans="1:19">
      <c r="A34" s="24">
        <v>45777</v>
      </c>
      <c r="B34" s="25">
        <v>45777</v>
      </c>
      <c r="C34" s="26"/>
      <c r="D34" s="26"/>
      <c r="E34" s="26"/>
      <c r="F34" s="26"/>
      <c r="G34" s="26"/>
      <c r="H34" s="39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</row>
    <row r="35" ht="14.25" hidden="1" customHeight="1" spans="1:19">
      <c r="A35" s="24">
        <v>45778</v>
      </c>
      <c r="B35" s="25">
        <v>45778</v>
      </c>
      <c r="C35" s="26"/>
      <c r="D35" s="26"/>
      <c r="E35" s="26"/>
      <c r="F35" s="26"/>
      <c r="G35" s="26"/>
      <c r="H35" s="39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</row>
    <row r="36" ht="14.25" hidden="1" customHeight="1" spans="1:19">
      <c r="A36" s="24">
        <v>45779</v>
      </c>
      <c r="B36" s="25">
        <v>45779</v>
      </c>
      <c r="C36" s="26"/>
      <c r="D36" s="26"/>
      <c r="E36" s="26"/>
      <c r="F36" s="26"/>
      <c r="G36" s="26"/>
      <c r="H36" s="39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</row>
    <row r="37" ht="14.25" hidden="1" customHeight="1" spans="1:19">
      <c r="A37" s="24">
        <v>45780</v>
      </c>
      <c r="B37" s="25">
        <v>45780</v>
      </c>
      <c r="C37" s="26"/>
      <c r="D37" s="26"/>
      <c r="E37" s="26"/>
      <c r="F37" s="26"/>
      <c r="G37" s="26"/>
      <c r="H37" s="3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ht="14.25" hidden="1" customHeight="1" spans="1:19">
      <c r="A38" s="24">
        <v>45781</v>
      </c>
      <c r="B38" s="25">
        <v>45781</v>
      </c>
      <c r="C38" s="26"/>
      <c r="D38" s="26"/>
      <c r="E38" s="26"/>
      <c r="F38" s="26"/>
      <c r="G38" s="26"/>
      <c r="H38" s="39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</row>
    <row r="39" ht="14.25" hidden="1" customHeight="1" spans="1:19">
      <c r="A39" s="24">
        <v>45782</v>
      </c>
      <c r="B39" s="25">
        <v>45782</v>
      </c>
      <c r="C39" s="26"/>
      <c r="D39" s="26"/>
      <c r="E39" s="26"/>
      <c r="F39" s="26"/>
      <c r="G39" s="26"/>
      <c r="H39" s="39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</row>
    <row r="40" ht="14.25" hidden="1" customHeight="1" spans="1:19">
      <c r="A40" s="24">
        <v>45783</v>
      </c>
      <c r="B40" s="25">
        <v>45783</v>
      </c>
      <c r="C40" s="26"/>
      <c r="D40" s="26"/>
      <c r="E40" s="26"/>
      <c r="F40" s="26"/>
      <c r="G40" s="26"/>
      <c r="H40" s="39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ht="14.25" hidden="1" customHeight="1" spans="1:19">
      <c r="A41" s="24">
        <v>45784</v>
      </c>
      <c r="B41" s="25">
        <v>45784</v>
      </c>
      <c r="C41" s="26"/>
      <c r="D41" s="26"/>
      <c r="E41" s="26"/>
      <c r="F41" s="26"/>
      <c r="G41" s="26"/>
      <c r="H41" s="39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</row>
    <row r="42" ht="14.25" hidden="1" customHeight="1" spans="1:19">
      <c r="A42" s="24">
        <v>45785</v>
      </c>
      <c r="B42" s="25">
        <v>45785</v>
      </c>
      <c r="C42" s="26"/>
      <c r="D42" s="26"/>
      <c r="E42" s="26"/>
      <c r="F42" s="26"/>
      <c r="G42" s="26"/>
      <c r="H42" s="39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ht="14.25" hidden="1" customHeight="1" spans="1:19">
      <c r="A43" s="24">
        <v>45786</v>
      </c>
      <c r="B43" s="25">
        <v>45786</v>
      </c>
      <c r="C43" s="26"/>
      <c r="D43" s="26"/>
      <c r="E43" s="26"/>
      <c r="F43" s="26"/>
      <c r="G43" s="26"/>
      <c r="H43" s="39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ht="14.25" hidden="1" customHeight="1" spans="1:19">
      <c r="A44" s="24">
        <v>45787</v>
      </c>
      <c r="B44" s="25">
        <v>45787</v>
      </c>
      <c r="C44" s="26"/>
      <c r="D44" s="26"/>
      <c r="E44" s="26"/>
      <c r="F44" s="26"/>
      <c r="G44" s="26"/>
      <c r="H44" s="39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5" ht="14.25" hidden="1" customHeight="1" spans="1:19">
      <c r="A45" s="24">
        <v>45788</v>
      </c>
      <c r="B45" s="25">
        <v>45788</v>
      </c>
      <c r="C45" s="26"/>
      <c r="D45" s="26"/>
      <c r="E45" s="26"/>
      <c r="F45" s="26"/>
      <c r="G45" s="26"/>
      <c r="H45" s="39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6" ht="14.25" hidden="1" customHeight="1" spans="1:19">
      <c r="A46" s="24">
        <v>45789</v>
      </c>
      <c r="B46" s="25">
        <v>45789</v>
      </c>
      <c r="C46" s="26"/>
      <c r="D46" s="26"/>
      <c r="E46" s="26"/>
      <c r="F46" s="26"/>
      <c r="G46" s="26"/>
      <c r="H46" s="39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</row>
    <row r="47" ht="14.25" hidden="1" customHeight="1" spans="1:19">
      <c r="A47" s="24">
        <v>45790</v>
      </c>
      <c r="B47" s="25">
        <v>45790</v>
      </c>
      <c r="C47" s="26"/>
      <c r="D47" s="26"/>
      <c r="E47" s="26"/>
      <c r="F47" s="26"/>
      <c r="G47" s="26"/>
      <c r="H47" s="39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</row>
    <row r="48" ht="14.25" hidden="1" customHeight="1" spans="1:19">
      <c r="A48" s="24">
        <v>45791</v>
      </c>
      <c r="B48" s="25">
        <v>45791</v>
      </c>
      <c r="C48" s="26"/>
      <c r="D48" s="26"/>
      <c r="E48" s="26"/>
      <c r="F48" s="26"/>
      <c r="G48" s="26"/>
      <c r="H48" s="39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</row>
    <row r="49" ht="14.25" hidden="1" customHeight="1" spans="1:19">
      <c r="A49" s="24">
        <v>45792</v>
      </c>
      <c r="B49" s="25">
        <v>45792</v>
      </c>
      <c r="C49" s="26"/>
      <c r="D49" s="26"/>
      <c r="E49" s="26"/>
      <c r="F49" s="26"/>
      <c r="G49" s="26"/>
      <c r="H49" s="39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</row>
    <row r="50" ht="14.25" hidden="1" customHeight="1" spans="1:19">
      <c r="A50" s="24">
        <v>45793</v>
      </c>
      <c r="B50" s="25">
        <v>45793</v>
      </c>
      <c r="C50" s="26"/>
      <c r="D50" s="26"/>
      <c r="E50" s="26"/>
      <c r="F50" s="26"/>
      <c r="G50" s="26"/>
      <c r="H50" s="39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</row>
    <row r="51" ht="14.25" hidden="1" customHeight="1" spans="1:19">
      <c r="A51" s="24">
        <v>45794</v>
      </c>
      <c r="B51" s="25">
        <v>45794</v>
      </c>
      <c r="C51" s="26"/>
      <c r="D51" s="26"/>
      <c r="E51" s="26"/>
      <c r="F51" s="26"/>
      <c r="G51" s="26"/>
      <c r="H51" s="39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</row>
    <row r="52" ht="14.25" hidden="1" customHeight="1" spans="1:19">
      <c r="A52" s="24">
        <v>45795</v>
      </c>
      <c r="B52" s="25">
        <v>45795</v>
      </c>
      <c r="C52" s="26"/>
      <c r="D52" s="26"/>
      <c r="E52" s="26"/>
      <c r="F52" s="26"/>
      <c r="G52" s="26"/>
      <c r="H52" s="39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</row>
    <row r="53" ht="14.25" hidden="1" customHeight="1" spans="1:19">
      <c r="A53" s="24">
        <v>45796</v>
      </c>
      <c r="B53" s="25">
        <v>45796</v>
      </c>
      <c r="C53" s="26"/>
      <c r="D53" s="26"/>
      <c r="E53" s="26"/>
      <c r="F53" s="26"/>
      <c r="G53" s="26"/>
      <c r="H53" s="39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</row>
    <row r="54" ht="14.25" hidden="1" customHeight="1" spans="1:19">
      <c r="A54" s="24">
        <v>45797</v>
      </c>
      <c r="B54" s="25">
        <v>45797</v>
      </c>
      <c r="C54" s="26"/>
      <c r="D54" s="26"/>
      <c r="E54" s="26"/>
      <c r="F54" s="26"/>
      <c r="G54" s="26"/>
      <c r="H54" s="39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</row>
    <row r="55" ht="14.25" hidden="1" customHeight="1" spans="1:19">
      <c r="A55" s="24">
        <v>45798</v>
      </c>
      <c r="B55" s="25">
        <v>45798</v>
      </c>
      <c r="C55" s="26"/>
      <c r="D55" s="26"/>
      <c r="E55" s="26"/>
      <c r="F55" s="26"/>
      <c r="G55" s="26"/>
      <c r="H55" s="39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</row>
    <row r="56" ht="14.25" hidden="1" customHeight="1" spans="1:19">
      <c r="A56" s="24">
        <v>45799</v>
      </c>
      <c r="B56" s="25">
        <v>45799</v>
      </c>
      <c r="C56" s="26"/>
      <c r="D56" s="26"/>
      <c r="E56" s="26"/>
      <c r="F56" s="26"/>
      <c r="G56" s="26"/>
      <c r="H56" s="39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</row>
    <row r="57" ht="14.25" hidden="1" customHeight="1" spans="1:19">
      <c r="A57" s="24">
        <v>45800</v>
      </c>
      <c r="B57" s="25">
        <v>45800</v>
      </c>
      <c r="C57" s="26"/>
      <c r="D57" s="26"/>
      <c r="E57" s="26"/>
      <c r="F57" s="26"/>
      <c r="G57" s="26"/>
      <c r="H57" s="39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</row>
    <row r="58" ht="14.25" hidden="1" customHeight="1" spans="1:19">
      <c r="A58" s="24">
        <v>45801</v>
      </c>
      <c r="B58" s="25">
        <v>45801</v>
      </c>
      <c r="C58" s="26"/>
      <c r="D58" s="26"/>
      <c r="E58" s="26"/>
      <c r="F58" s="26"/>
      <c r="G58" s="26"/>
      <c r="H58" s="39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</row>
    <row r="59" ht="14.25" hidden="1" customHeight="1" spans="1:19">
      <c r="A59" s="24">
        <v>45802</v>
      </c>
      <c r="B59" s="25">
        <v>45802</v>
      </c>
      <c r="C59" s="26"/>
      <c r="D59" s="26"/>
      <c r="E59" s="26"/>
      <c r="F59" s="26"/>
      <c r="G59" s="26"/>
      <c r="H59" s="39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</row>
    <row r="60" ht="14.25" hidden="1" customHeight="1" spans="1:19">
      <c r="A60" s="24">
        <v>45803</v>
      </c>
      <c r="B60" s="25">
        <v>45803</v>
      </c>
      <c r="C60" s="26"/>
      <c r="D60" s="26"/>
      <c r="E60" s="26"/>
      <c r="F60" s="26"/>
      <c r="G60" s="26"/>
      <c r="H60" s="39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</row>
    <row r="61" ht="14.25" hidden="1" customHeight="1" spans="1:19">
      <c r="A61" s="24">
        <v>45804</v>
      </c>
      <c r="B61" s="25">
        <v>45804</v>
      </c>
      <c r="C61" s="26"/>
      <c r="D61" s="26"/>
      <c r="E61" s="26"/>
      <c r="F61" s="26"/>
      <c r="G61" s="26"/>
      <c r="H61" s="39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</row>
    <row r="62" ht="14.25" hidden="1" customHeight="1" spans="1:19">
      <c r="A62" s="24">
        <v>45805</v>
      </c>
      <c r="B62" s="25">
        <v>45805</v>
      </c>
      <c r="C62" s="26"/>
      <c r="D62" s="26"/>
      <c r="E62" s="26"/>
      <c r="F62" s="26"/>
      <c r="G62" s="26"/>
      <c r="H62" s="39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</row>
    <row r="63" ht="14.25" hidden="1" customHeight="1" spans="1:19">
      <c r="A63" s="24">
        <v>45806</v>
      </c>
      <c r="B63" s="25">
        <v>45806</v>
      </c>
      <c r="C63" s="26"/>
      <c r="D63" s="26"/>
      <c r="E63" s="26"/>
      <c r="F63" s="26"/>
      <c r="G63" s="26"/>
      <c r="H63" s="39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</row>
    <row r="64" ht="14.25" hidden="1" customHeight="1" spans="1:19">
      <c r="A64" s="24">
        <v>45807</v>
      </c>
      <c r="B64" s="25">
        <v>45807</v>
      </c>
      <c r="C64" s="26"/>
      <c r="D64" s="26"/>
      <c r="E64" s="26"/>
      <c r="F64" s="26"/>
      <c r="G64" s="26"/>
      <c r="H64" s="39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</row>
    <row r="65" ht="14.25" hidden="1" customHeight="1" spans="1:19">
      <c r="A65" s="24">
        <v>45808</v>
      </c>
      <c r="B65" s="25">
        <v>45808</v>
      </c>
      <c r="C65" s="26"/>
      <c r="D65" s="26"/>
      <c r="E65" s="26"/>
      <c r="F65" s="26"/>
      <c r="G65" s="26"/>
      <c r="H65" s="39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</row>
    <row r="66" ht="14.25" hidden="1" customHeight="1" spans="1:19">
      <c r="A66" s="24">
        <v>45809</v>
      </c>
      <c r="B66" s="25">
        <v>45809</v>
      </c>
      <c r="C66" s="26"/>
      <c r="D66" s="26"/>
      <c r="E66" s="26"/>
      <c r="F66" s="26"/>
      <c r="G66" s="26"/>
      <c r="H66" s="39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</row>
    <row r="67" ht="14.25" hidden="1" customHeight="1" spans="1:19">
      <c r="A67" s="24">
        <v>45810</v>
      </c>
      <c r="B67" s="25">
        <v>45810</v>
      </c>
      <c r="C67" s="26"/>
      <c r="D67" s="26"/>
      <c r="E67" s="26"/>
      <c r="F67" s="26"/>
      <c r="G67" s="26"/>
      <c r="H67" s="39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</row>
    <row r="68" ht="14.25" hidden="1" customHeight="1" spans="1:19">
      <c r="A68" s="24">
        <v>45811</v>
      </c>
      <c r="B68" s="25">
        <v>45811</v>
      </c>
      <c r="C68" s="26"/>
      <c r="D68" s="26"/>
      <c r="E68" s="26"/>
      <c r="F68" s="26"/>
      <c r="G68" s="26"/>
      <c r="H68" s="39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</row>
    <row r="69" ht="14.25" hidden="1" customHeight="1" spans="1:19">
      <c r="A69" s="24">
        <v>45812</v>
      </c>
      <c r="B69" s="25">
        <v>45812</v>
      </c>
      <c r="C69" s="26"/>
      <c r="D69" s="26"/>
      <c r="E69" s="26"/>
      <c r="F69" s="26"/>
      <c r="G69" s="26"/>
      <c r="H69" s="39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</row>
    <row r="70" ht="14.25" hidden="1" customHeight="1" spans="1:19">
      <c r="A70" s="24">
        <v>45813</v>
      </c>
      <c r="B70" s="25">
        <v>45813</v>
      </c>
      <c r="C70" s="26"/>
      <c r="D70" s="26"/>
      <c r="E70" s="26"/>
      <c r="F70" s="26"/>
      <c r="G70" s="26"/>
      <c r="H70" s="39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</row>
    <row r="71" ht="14.25" hidden="1" customHeight="1" spans="1:19">
      <c r="A71" s="24">
        <v>45814</v>
      </c>
      <c r="B71" s="25">
        <v>45814</v>
      </c>
      <c r="C71" s="26"/>
      <c r="D71" s="26"/>
      <c r="E71" s="26"/>
      <c r="F71" s="26"/>
      <c r="G71" s="26"/>
      <c r="H71" s="39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</row>
    <row r="72" ht="14.25" hidden="1" customHeight="1" spans="1:19">
      <c r="A72" s="24">
        <v>45815</v>
      </c>
      <c r="B72" s="25">
        <v>45815</v>
      </c>
      <c r="C72" s="26"/>
      <c r="D72" s="26"/>
      <c r="E72" s="26"/>
      <c r="F72" s="26"/>
      <c r="G72" s="26"/>
      <c r="H72" s="39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</row>
    <row r="73" ht="14.25" hidden="1" customHeight="1" spans="1:19">
      <c r="A73" s="24">
        <v>45816</v>
      </c>
      <c r="B73" s="25">
        <v>45816</v>
      </c>
      <c r="C73" s="26"/>
      <c r="D73" s="26"/>
      <c r="E73" s="26"/>
      <c r="F73" s="26"/>
      <c r="G73" s="26"/>
      <c r="H73" s="39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</row>
    <row r="74" ht="14.25" hidden="1" customHeight="1" spans="1:19">
      <c r="A74" s="24">
        <v>45817</v>
      </c>
      <c r="B74" s="25">
        <v>45817</v>
      </c>
      <c r="C74" s="26"/>
      <c r="D74" s="26"/>
      <c r="E74" s="26"/>
      <c r="F74" s="26"/>
      <c r="G74" s="26"/>
      <c r="H74" s="39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</row>
    <row r="75" ht="14.25" hidden="1" customHeight="1" spans="1:19">
      <c r="A75" s="24">
        <v>45818</v>
      </c>
      <c r="B75" s="25">
        <v>45818</v>
      </c>
      <c r="C75" s="26"/>
      <c r="D75" s="26"/>
      <c r="E75" s="26"/>
      <c r="F75" s="26"/>
      <c r="G75" s="26"/>
      <c r="H75" s="39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</row>
    <row r="76" ht="14.25" hidden="1" customHeight="1" spans="1:19">
      <c r="A76" s="24">
        <v>45819</v>
      </c>
      <c r="B76" s="25">
        <v>45819</v>
      </c>
      <c r="C76" s="26"/>
      <c r="D76" s="26"/>
      <c r="E76" s="26"/>
      <c r="F76" s="26"/>
      <c r="G76" s="26"/>
      <c r="H76" s="39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</row>
    <row r="77" ht="14.25" hidden="1" customHeight="1" spans="1:19">
      <c r="A77" s="24">
        <v>45820</v>
      </c>
      <c r="B77" s="25">
        <v>45820</v>
      </c>
      <c r="C77" s="26"/>
      <c r="D77" s="26"/>
      <c r="E77" s="26"/>
      <c r="F77" s="26"/>
      <c r="G77" s="26"/>
      <c r="H77" s="39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</row>
    <row r="78" ht="14.25" hidden="1" customHeight="1" spans="1:19">
      <c r="A78" s="24">
        <v>45821</v>
      </c>
      <c r="B78" s="25">
        <v>45821</v>
      </c>
      <c r="C78" s="26"/>
      <c r="D78" s="26"/>
      <c r="E78" s="26"/>
      <c r="F78" s="26"/>
      <c r="G78" s="26"/>
      <c r="H78" s="39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</row>
    <row r="79" ht="14.25" hidden="1" customHeight="1" spans="1:19">
      <c r="A79" s="24">
        <v>45822</v>
      </c>
      <c r="B79" s="25">
        <v>45822</v>
      </c>
      <c r="C79" s="26"/>
      <c r="D79" s="26"/>
      <c r="E79" s="26"/>
      <c r="F79" s="26"/>
      <c r="G79" s="26"/>
      <c r="H79" s="39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</row>
    <row r="80" ht="14.25" hidden="1" customHeight="1" spans="1:19">
      <c r="A80" s="24">
        <v>45823</v>
      </c>
      <c r="B80" s="25">
        <v>45823</v>
      </c>
      <c r="C80" s="26"/>
      <c r="D80" s="26"/>
      <c r="E80" s="26"/>
      <c r="F80" s="26"/>
      <c r="G80" s="26"/>
      <c r="H80" s="39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</row>
    <row r="81" ht="14.25" hidden="1" customHeight="1" spans="1:19">
      <c r="A81" s="24">
        <v>45824</v>
      </c>
      <c r="B81" s="25">
        <v>45824</v>
      </c>
      <c r="C81" s="26"/>
      <c r="D81" s="26"/>
      <c r="E81" s="26"/>
      <c r="F81" s="26"/>
      <c r="G81" s="26"/>
      <c r="H81" s="39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</row>
    <row r="82" ht="14.25" hidden="1" customHeight="1" spans="1:19">
      <c r="A82" s="24">
        <v>45825</v>
      </c>
      <c r="B82" s="25">
        <v>45825</v>
      </c>
      <c r="C82" s="26"/>
      <c r="D82" s="26"/>
      <c r="E82" s="26"/>
      <c r="F82" s="26"/>
      <c r="G82" s="26"/>
      <c r="H82" s="39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</row>
    <row r="83" ht="14.25" hidden="1" customHeight="1" spans="1:19">
      <c r="A83" s="24">
        <v>45826</v>
      </c>
      <c r="B83" s="25">
        <v>45826</v>
      </c>
      <c r="C83" s="26"/>
      <c r="D83" s="26"/>
      <c r="E83" s="26"/>
      <c r="F83" s="26"/>
      <c r="G83" s="26"/>
      <c r="H83" s="39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</row>
    <row r="84" ht="14.25" hidden="1" customHeight="1" spans="1:19">
      <c r="A84" s="24">
        <v>45827</v>
      </c>
      <c r="B84" s="25">
        <v>45827</v>
      </c>
      <c r="C84" s="26"/>
      <c r="D84" s="26"/>
      <c r="E84" s="26"/>
      <c r="F84" s="26"/>
      <c r="G84" s="26"/>
      <c r="H84" s="39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</row>
    <row r="85" ht="14.25" hidden="1" customHeight="1" spans="1:19">
      <c r="A85" s="24">
        <v>45828</v>
      </c>
      <c r="B85" s="25">
        <v>45828</v>
      </c>
      <c r="C85" s="26"/>
      <c r="D85" s="26"/>
      <c r="E85" s="26"/>
      <c r="F85" s="26"/>
      <c r="G85" s="26"/>
      <c r="H85" s="39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</row>
    <row r="86" ht="14.25" hidden="1" customHeight="1" spans="1:19">
      <c r="A86" s="24">
        <v>45829</v>
      </c>
      <c r="B86" s="25">
        <v>45829</v>
      </c>
      <c r="C86" s="26"/>
      <c r="D86" s="26"/>
      <c r="E86" s="26"/>
      <c r="F86" s="26"/>
      <c r="G86" s="26"/>
      <c r="H86" s="39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</row>
    <row r="87" ht="14.25" hidden="1" customHeight="1" spans="1:19">
      <c r="A87" s="24">
        <v>45830</v>
      </c>
      <c r="B87" s="25">
        <v>45830</v>
      </c>
      <c r="C87" s="26"/>
      <c r="D87" s="26"/>
      <c r="E87" s="26"/>
      <c r="F87" s="26"/>
      <c r="G87" s="26"/>
      <c r="H87" s="39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</row>
    <row r="88" ht="14.25" hidden="1" customHeight="1" spans="1:19">
      <c r="A88" s="24">
        <v>45831</v>
      </c>
      <c r="B88" s="25">
        <v>45831</v>
      </c>
      <c r="C88" s="26"/>
      <c r="D88" s="26"/>
      <c r="E88" s="26"/>
      <c r="F88" s="26"/>
      <c r="G88" s="26"/>
      <c r="H88" s="39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</row>
    <row r="89" ht="14.25" hidden="1" customHeight="1" spans="1:19">
      <c r="A89" s="24">
        <v>45832</v>
      </c>
      <c r="B89" s="25">
        <v>45832</v>
      </c>
      <c r="C89" s="26"/>
      <c r="D89" s="26"/>
      <c r="E89" s="26"/>
      <c r="F89" s="26"/>
      <c r="G89" s="26"/>
      <c r="H89" s="39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</row>
    <row r="90" ht="14.25" hidden="1" customHeight="1" spans="1:19">
      <c r="A90" s="24">
        <v>45833</v>
      </c>
      <c r="B90" s="25">
        <v>45833</v>
      </c>
      <c r="C90" s="26"/>
      <c r="D90" s="26"/>
      <c r="E90" s="26"/>
      <c r="F90" s="26"/>
      <c r="G90" s="26"/>
      <c r="H90" s="39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</row>
    <row r="91" ht="14.25" hidden="1" customHeight="1" spans="1:19">
      <c r="A91" s="24">
        <v>45834</v>
      </c>
      <c r="B91" s="25">
        <v>45834</v>
      </c>
      <c r="C91" s="26"/>
      <c r="D91" s="26"/>
      <c r="E91" s="26"/>
      <c r="F91" s="26"/>
      <c r="G91" s="26"/>
      <c r="H91" s="39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</row>
    <row r="92" ht="14.25" hidden="1" customHeight="1" spans="1:19">
      <c r="A92" s="24">
        <v>45835</v>
      </c>
      <c r="B92" s="25">
        <v>45835</v>
      </c>
      <c r="C92" s="26"/>
      <c r="D92" s="26"/>
      <c r="E92" s="26"/>
      <c r="F92" s="26"/>
      <c r="G92" s="26"/>
      <c r="H92" s="39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</row>
    <row r="93" ht="14.25" hidden="1" customHeight="1" spans="1:19">
      <c r="A93" s="24">
        <v>45836</v>
      </c>
      <c r="B93" s="25">
        <v>45836</v>
      </c>
      <c r="C93" s="26"/>
      <c r="D93" s="26"/>
      <c r="E93" s="26"/>
      <c r="F93" s="26"/>
      <c r="G93" s="26"/>
      <c r="H93" s="39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</row>
    <row r="94" ht="14.25" customHeight="1" spans="1:19">
      <c r="A94" s="24">
        <v>45837</v>
      </c>
      <c r="B94" s="25">
        <v>45837</v>
      </c>
      <c r="C94" s="26" t="s">
        <v>162</v>
      </c>
      <c r="D94" s="26">
        <v>22</v>
      </c>
      <c r="E94" s="70">
        <v>0.28125</v>
      </c>
      <c r="F94" s="70">
        <v>0.791666666666667</v>
      </c>
      <c r="G94" s="70">
        <f>F94-E94</f>
        <v>0.510416666666667</v>
      </c>
      <c r="H94" s="39">
        <v>330</v>
      </c>
      <c r="I94" s="26"/>
      <c r="J94" s="26"/>
      <c r="K94" s="26"/>
      <c r="L94" s="71" t="s">
        <v>163</v>
      </c>
      <c r="M94" s="26" t="s">
        <v>164</v>
      </c>
      <c r="N94" s="26" t="s">
        <v>165</v>
      </c>
      <c r="O94" s="26" t="s">
        <v>166</v>
      </c>
      <c r="P94" s="26"/>
      <c r="Q94" s="26"/>
      <c r="R94" s="26"/>
      <c r="S94" s="26" t="s">
        <v>167</v>
      </c>
    </row>
    <row r="95" ht="14.25" customHeight="1" spans="1:19">
      <c r="A95" s="24">
        <v>45838</v>
      </c>
      <c r="B95" s="25">
        <v>45838</v>
      </c>
      <c r="C95" s="26" t="s">
        <v>162</v>
      </c>
      <c r="D95" s="26">
        <v>23</v>
      </c>
      <c r="E95" s="70">
        <v>0.28125</v>
      </c>
      <c r="F95" s="70">
        <v>0.569444444444444</v>
      </c>
      <c r="G95" s="70">
        <f>F95-E95</f>
        <v>0.288194444444444</v>
      </c>
      <c r="H95" s="39">
        <v>330</v>
      </c>
      <c r="I95" s="26"/>
      <c r="J95" s="26"/>
      <c r="K95" s="26"/>
      <c r="L95" s="71" t="s">
        <v>163</v>
      </c>
      <c r="M95" s="26" t="s">
        <v>164</v>
      </c>
      <c r="N95" s="26" t="s">
        <v>165</v>
      </c>
      <c r="O95" s="26" t="s">
        <v>166</v>
      </c>
      <c r="P95" s="26"/>
      <c r="Q95" s="26"/>
      <c r="R95" s="26"/>
      <c r="S95" s="26" t="s">
        <v>168</v>
      </c>
    </row>
    <row r="96" ht="14.25" hidden="1" customHeight="1" spans="1:19">
      <c r="A96" s="24">
        <v>45839</v>
      </c>
      <c r="B96" s="25">
        <v>45839</v>
      </c>
      <c r="C96" s="26"/>
      <c r="D96" s="26"/>
      <c r="E96" s="26"/>
      <c r="F96" s="26"/>
      <c r="G96" s="26"/>
      <c r="H96" s="39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</row>
    <row r="97" ht="14.25" hidden="1" customHeight="1" spans="1:19">
      <c r="A97" s="24">
        <v>45840</v>
      </c>
      <c r="B97" s="25">
        <v>45840</v>
      </c>
      <c r="C97" s="26"/>
      <c r="D97" s="26"/>
      <c r="E97" s="26"/>
      <c r="F97" s="26"/>
      <c r="G97" s="26"/>
      <c r="H97" s="39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</row>
    <row r="98" ht="14.25" hidden="1" customHeight="1" spans="1:19">
      <c r="A98" s="24">
        <v>45841</v>
      </c>
      <c r="B98" s="25">
        <v>45841</v>
      </c>
      <c r="C98" s="26"/>
      <c r="D98" s="26"/>
      <c r="E98" s="26"/>
      <c r="F98" s="26"/>
      <c r="G98" s="26"/>
      <c r="H98" s="39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</row>
    <row r="99" ht="14.25" hidden="1" customHeight="1" spans="1:19">
      <c r="A99" s="24">
        <v>45842</v>
      </c>
      <c r="B99" s="25">
        <v>45842</v>
      </c>
      <c r="C99" s="26"/>
      <c r="D99" s="26"/>
      <c r="E99" s="26"/>
      <c r="F99" s="26"/>
      <c r="G99" s="26"/>
      <c r="H99" s="39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</row>
    <row r="100" ht="14.25" hidden="1" customHeight="1" spans="1:19">
      <c r="A100" s="24">
        <v>45843</v>
      </c>
      <c r="B100" s="25">
        <v>45843</v>
      </c>
      <c r="C100" s="26"/>
      <c r="D100" s="26"/>
      <c r="E100" s="26"/>
      <c r="F100" s="26"/>
      <c r="G100" s="26"/>
      <c r="H100" s="39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</row>
    <row r="101" ht="14.25" hidden="1" customHeight="1" spans="1:19">
      <c r="A101" s="24">
        <v>45844</v>
      </c>
      <c r="B101" s="25">
        <v>45844</v>
      </c>
      <c r="C101" s="26"/>
      <c r="D101" s="26"/>
      <c r="E101" s="26"/>
      <c r="F101" s="26"/>
      <c r="G101" s="26"/>
      <c r="H101" s="39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</row>
    <row r="102" ht="15.75" hidden="1" customHeight="1" spans="1:19">
      <c r="A102" s="24">
        <v>45845</v>
      </c>
      <c r="B102" s="25">
        <v>45845</v>
      </c>
      <c r="C102" s="26"/>
      <c r="D102" s="26"/>
      <c r="E102" s="26"/>
      <c r="F102" s="26"/>
      <c r="G102" s="26"/>
      <c r="H102" s="39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</row>
    <row r="103" ht="15.75" hidden="1" customHeight="1" spans="1:19">
      <c r="A103" s="24">
        <v>45846</v>
      </c>
      <c r="B103" s="25">
        <v>45846</v>
      </c>
      <c r="C103" s="26"/>
      <c r="D103" s="26"/>
      <c r="E103" s="26"/>
      <c r="F103" s="26"/>
      <c r="G103" s="26"/>
      <c r="H103" s="39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</row>
    <row r="104" ht="15.75" hidden="1" customHeight="1" spans="1:19">
      <c r="A104" s="24">
        <v>45847</v>
      </c>
      <c r="B104" s="25">
        <v>45847</v>
      </c>
      <c r="C104" s="26"/>
      <c r="D104" s="26"/>
      <c r="E104" s="26"/>
      <c r="F104" s="26"/>
      <c r="G104" s="26"/>
      <c r="H104" s="39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</row>
    <row r="105" ht="15.75" hidden="1" customHeight="1" spans="1:19">
      <c r="A105" s="24">
        <v>45848</v>
      </c>
      <c r="B105" s="25">
        <v>45848</v>
      </c>
      <c r="C105" s="26"/>
      <c r="D105" s="26"/>
      <c r="E105" s="26"/>
      <c r="F105" s="26"/>
      <c r="G105" s="26"/>
      <c r="H105" s="39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</row>
    <row r="106" ht="15.75" hidden="1" customHeight="1" spans="1:19">
      <c r="A106" s="24">
        <v>45849</v>
      </c>
      <c r="B106" s="25">
        <v>45849</v>
      </c>
      <c r="C106" s="26"/>
      <c r="D106" s="26"/>
      <c r="E106" s="26"/>
      <c r="F106" s="26"/>
      <c r="G106" s="26"/>
      <c r="H106" s="39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</row>
    <row r="107" ht="15.75" hidden="1" customHeight="1" spans="1:19">
      <c r="A107" s="24">
        <v>45850</v>
      </c>
      <c r="B107" s="25">
        <v>45850</v>
      </c>
      <c r="C107" s="26"/>
      <c r="D107" s="26"/>
      <c r="E107" s="26"/>
      <c r="F107" s="26"/>
      <c r="G107" s="26"/>
      <c r="H107" s="39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</row>
    <row r="108" ht="15.75" hidden="1" customHeight="1" spans="1:19">
      <c r="A108" s="24">
        <v>45851</v>
      </c>
      <c r="B108" s="25">
        <v>45851</v>
      </c>
      <c r="C108" s="26"/>
      <c r="D108" s="26"/>
      <c r="E108" s="26"/>
      <c r="F108" s="26"/>
      <c r="G108" s="26"/>
      <c r="H108" s="39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</row>
    <row r="109" ht="15.75" hidden="1" customHeight="1" spans="1:19">
      <c r="A109" s="24">
        <v>45852</v>
      </c>
      <c r="B109" s="25">
        <v>45852</v>
      </c>
      <c r="C109" s="26"/>
      <c r="D109" s="26"/>
      <c r="E109" s="26"/>
      <c r="F109" s="26"/>
      <c r="G109" s="26"/>
      <c r="H109" s="39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</row>
    <row r="110" ht="15.75" hidden="1" customHeight="1" spans="1:19">
      <c r="A110" s="24">
        <v>45853</v>
      </c>
      <c r="B110" s="25">
        <v>45853</v>
      </c>
      <c r="C110" s="26"/>
      <c r="D110" s="26"/>
      <c r="E110" s="26"/>
      <c r="F110" s="26"/>
      <c r="G110" s="26"/>
      <c r="H110" s="39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</row>
    <row r="111" ht="15.75" hidden="1" customHeight="1" spans="1:19">
      <c r="A111" s="24">
        <v>45854</v>
      </c>
      <c r="B111" s="25">
        <v>45854</v>
      </c>
      <c r="C111" s="26"/>
      <c r="D111" s="26"/>
      <c r="E111" s="26"/>
      <c r="F111" s="26"/>
      <c r="G111" s="26"/>
      <c r="H111" s="39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</row>
    <row r="112" ht="15.75" hidden="1" customHeight="1" spans="1:19">
      <c r="A112" s="24">
        <v>45855</v>
      </c>
      <c r="B112" s="25">
        <v>45855</v>
      </c>
      <c r="C112" s="26"/>
      <c r="D112" s="26"/>
      <c r="E112" s="26"/>
      <c r="F112" s="26"/>
      <c r="G112" s="26"/>
      <c r="H112" s="39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</row>
    <row r="113" ht="15.75" hidden="1" customHeight="1" spans="1:19">
      <c r="A113" s="24">
        <v>45856</v>
      </c>
      <c r="B113" s="25">
        <v>45856</v>
      </c>
      <c r="C113" s="26"/>
      <c r="D113" s="26"/>
      <c r="E113" s="26"/>
      <c r="F113" s="26"/>
      <c r="G113" s="26"/>
      <c r="H113" s="39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</row>
    <row r="114" ht="15.75" hidden="1" customHeight="1" spans="1:19">
      <c r="A114" s="24">
        <v>45857</v>
      </c>
      <c r="B114" s="25">
        <v>45857</v>
      </c>
      <c r="C114" s="26"/>
      <c r="D114" s="26"/>
      <c r="E114" s="26"/>
      <c r="F114" s="26"/>
      <c r="G114" s="26"/>
      <c r="H114" s="39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</row>
    <row r="115" ht="15.75" hidden="1" customHeight="1" spans="1:19">
      <c r="A115" s="24">
        <v>45858</v>
      </c>
      <c r="B115" s="25">
        <v>45858</v>
      </c>
      <c r="C115" s="26"/>
      <c r="D115" s="26"/>
      <c r="E115" s="26"/>
      <c r="F115" s="26"/>
      <c r="G115" s="26"/>
      <c r="H115" s="39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</row>
    <row r="116" ht="15.75" hidden="1" customHeight="1" spans="1:19">
      <c r="A116" s="24">
        <v>45859</v>
      </c>
      <c r="B116" s="25">
        <v>45859</v>
      </c>
      <c r="C116" s="26"/>
      <c r="D116" s="26"/>
      <c r="E116" s="26"/>
      <c r="F116" s="26"/>
      <c r="G116" s="26"/>
      <c r="H116" s="39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</row>
    <row r="117" ht="15.75" hidden="1" customHeight="1" spans="1:19">
      <c r="A117" s="24">
        <v>45860</v>
      </c>
      <c r="B117" s="25">
        <v>45860</v>
      </c>
      <c r="C117" s="26"/>
      <c r="D117" s="26"/>
      <c r="E117" s="26"/>
      <c r="F117" s="26"/>
      <c r="G117" s="26"/>
      <c r="H117" s="39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</row>
    <row r="118" ht="15.75" hidden="1" customHeight="1" spans="1:19">
      <c r="A118" s="24">
        <v>45861</v>
      </c>
      <c r="B118" s="25">
        <v>45861</v>
      </c>
      <c r="C118" s="26"/>
      <c r="D118" s="26"/>
      <c r="E118" s="26"/>
      <c r="F118" s="26"/>
      <c r="G118" s="26"/>
      <c r="H118" s="39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</row>
    <row r="119" ht="15.75" customHeight="1" spans="1:19">
      <c r="A119" s="24">
        <v>45862</v>
      </c>
      <c r="B119" s="25">
        <v>45862</v>
      </c>
      <c r="C119" s="26" t="s">
        <v>158</v>
      </c>
      <c r="D119" s="26" t="s">
        <v>159</v>
      </c>
      <c r="E119" s="70">
        <v>0.284722222222222</v>
      </c>
      <c r="F119" s="70">
        <v>0.322916666666667</v>
      </c>
      <c r="G119" s="70">
        <f>F119-E119</f>
        <v>0.0381944444444445</v>
      </c>
      <c r="H119" s="39">
        <v>2411</v>
      </c>
      <c r="I119" s="26"/>
      <c r="J119" s="26"/>
      <c r="K119" s="26"/>
      <c r="L119" s="26" t="s">
        <v>169</v>
      </c>
      <c r="M119" s="26" t="s">
        <v>170</v>
      </c>
      <c r="N119" s="26" t="s">
        <v>171</v>
      </c>
      <c r="O119" s="26"/>
      <c r="P119" s="26"/>
      <c r="Q119" s="26"/>
      <c r="R119" s="26"/>
      <c r="S119" s="26"/>
    </row>
    <row r="120" ht="15.75" hidden="1" customHeight="1" spans="1:19">
      <c r="A120" s="24">
        <v>45863</v>
      </c>
      <c r="B120" s="25">
        <v>45863</v>
      </c>
      <c r="C120" s="26"/>
      <c r="D120" s="26"/>
      <c r="E120" s="26"/>
      <c r="F120" s="26"/>
      <c r="G120" s="26"/>
      <c r="H120" s="39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</row>
    <row r="121" ht="15.75" hidden="1" customHeight="1" spans="1:19">
      <c r="A121" s="24">
        <v>45864</v>
      </c>
      <c r="B121" s="25">
        <v>45864</v>
      </c>
      <c r="C121" s="26"/>
      <c r="D121" s="26"/>
      <c r="E121" s="26"/>
      <c r="F121" s="26"/>
      <c r="G121" s="26"/>
      <c r="H121" s="39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</row>
    <row r="122" ht="15.75" hidden="1" customHeight="1" spans="1:19">
      <c r="A122" s="24">
        <v>45865</v>
      </c>
      <c r="B122" s="25">
        <v>45865</v>
      </c>
      <c r="C122" s="26"/>
      <c r="D122" s="26"/>
      <c r="E122" s="26"/>
      <c r="F122" s="26"/>
      <c r="G122" s="26"/>
      <c r="H122" s="39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</row>
    <row r="123" ht="15.75" hidden="1" customHeight="1" spans="1:19">
      <c r="A123" s="24">
        <v>45866</v>
      </c>
      <c r="B123" s="25">
        <v>45866</v>
      </c>
      <c r="C123" s="26"/>
      <c r="D123" s="26"/>
      <c r="E123" s="26"/>
      <c r="F123" s="26"/>
      <c r="G123" s="26"/>
      <c r="H123" s="39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</row>
    <row r="124" ht="15.75" hidden="1" customHeight="1" spans="1:19">
      <c r="A124" s="24">
        <v>45867</v>
      </c>
      <c r="B124" s="25">
        <v>45867</v>
      </c>
      <c r="C124" s="26"/>
      <c r="D124" s="26"/>
      <c r="E124" s="26"/>
      <c r="F124" s="26"/>
      <c r="G124" s="26"/>
      <c r="H124" s="39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</row>
    <row r="125" ht="15.75" hidden="1" customHeight="1" spans="1:19">
      <c r="A125" s="24">
        <v>45868</v>
      </c>
      <c r="B125" s="25">
        <v>45868</v>
      </c>
      <c r="C125" s="26"/>
      <c r="D125" s="26"/>
      <c r="E125" s="26"/>
      <c r="F125" s="26"/>
      <c r="G125" s="26"/>
      <c r="H125" s="39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</row>
    <row r="126" ht="15.75" hidden="1" customHeight="1" spans="1:19">
      <c r="A126" s="24">
        <v>45869</v>
      </c>
      <c r="B126" s="25">
        <v>45869</v>
      </c>
      <c r="C126" s="26"/>
      <c r="D126" s="26"/>
      <c r="E126" s="26"/>
      <c r="F126" s="26"/>
      <c r="G126" s="26"/>
      <c r="H126" s="39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</row>
    <row r="127" ht="15.75" hidden="1" customHeight="1" spans="1:19">
      <c r="A127" s="24">
        <v>45870</v>
      </c>
      <c r="B127" s="25">
        <v>45870</v>
      </c>
      <c r="C127" s="26"/>
      <c r="D127" s="26"/>
      <c r="E127" s="26"/>
      <c r="F127" s="26"/>
      <c r="G127" s="26"/>
      <c r="H127" s="39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</row>
    <row r="128" ht="15.75" hidden="1" customHeight="1" spans="1:19">
      <c r="A128" s="24">
        <v>45871</v>
      </c>
      <c r="B128" s="25">
        <v>45871</v>
      </c>
      <c r="C128" s="26"/>
      <c r="D128" s="26"/>
      <c r="E128" s="26"/>
      <c r="F128" s="26"/>
      <c r="G128" s="26"/>
      <c r="H128" s="39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</row>
    <row r="129" ht="15.75" hidden="1" customHeight="1" spans="1:19">
      <c r="A129" s="24">
        <v>45872</v>
      </c>
      <c r="B129" s="25">
        <v>45872</v>
      </c>
      <c r="C129" s="26"/>
      <c r="D129" s="26"/>
      <c r="E129" s="26"/>
      <c r="F129" s="26"/>
      <c r="G129" s="26"/>
      <c r="H129" s="39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</row>
    <row r="130" ht="15.75" hidden="1" customHeight="1" spans="1:19">
      <c r="A130" s="24">
        <v>45873</v>
      </c>
      <c r="B130" s="25">
        <v>45873</v>
      </c>
      <c r="C130" s="26"/>
      <c r="D130" s="26"/>
      <c r="E130" s="26"/>
      <c r="F130" s="26"/>
      <c r="G130" s="26"/>
      <c r="H130" s="39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</row>
    <row r="131" ht="15.75" hidden="1" customHeight="1" spans="1:19">
      <c r="A131" s="24">
        <v>45874</v>
      </c>
      <c r="B131" s="25">
        <v>45874</v>
      </c>
      <c r="C131" s="26"/>
      <c r="D131" s="26"/>
      <c r="E131" s="26"/>
      <c r="F131" s="26"/>
      <c r="G131" s="26"/>
      <c r="H131" s="39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</row>
    <row r="132" ht="15.75" hidden="1" customHeight="1" spans="1:19">
      <c r="A132" s="24">
        <v>45875</v>
      </c>
      <c r="B132" s="25">
        <v>45875</v>
      </c>
      <c r="C132" s="26"/>
      <c r="D132" s="26"/>
      <c r="E132" s="26"/>
      <c r="F132" s="26"/>
      <c r="G132" s="26"/>
      <c r="H132" s="39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</row>
    <row r="133" ht="15.75" hidden="1" customHeight="1" spans="1:19">
      <c r="A133" s="24">
        <v>45876</v>
      </c>
      <c r="B133" s="25">
        <v>45876</v>
      </c>
      <c r="C133" s="26"/>
      <c r="D133" s="26"/>
      <c r="E133" s="26"/>
      <c r="F133" s="70"/>
      <c r="G133" s="70"/>
      <c r="H133" s="39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</row>
    <row r="134" ht="15.75" customHeight="1" spans="1:19">
      <c r="A134" s="24">
        <v>45877</v>
      </c>
      <c r="B134" s="25">
        <v>45877</v>
      </c>
      <c r="C134" s="26" t="s">
        <v>158</v>
      </c>
      <c r="D134" s="26" t="s">
        <v>159</v>
      </c>
      <c r="E134" s="70">
        <v>0.385416666666667</v>
      </c>
      <c r="F134" s="70">
        <v>0.427083333333333</v>
      </c>
      <c r="G134" s="70">
        <f>F134-E134</f>
        <v>0.0416666666666666</v>
      </c>
      <c r="H134" s="39">
        <v>2411</v>
      </c>
      <c r="I134" s="26"/>
      <c r="J134" s="26"/>
      <c r="K134" s="26"/>
      <c r="L134" s="26" t="s">
        <v>172</v>
      </c>
      <c r="M134" s="26" t="s">
        <v>173</v>
      </c>
      <c r="N134" s="26"/>
      <c r="O134" s="26"/>
      <c r="P134" s="26"/>
      <c r="Q134" s="26"/>
      <c r="R134" s="26"/>
      <c r="S134" s="26"/>
    </row>
    <row r="135" ht="15.75" hidden="1" customHeight="1" spans="1:19">
      <c r="A135" s="24">
        <v>45878</v>
      </c>
      <c r="B135" s="25">
        <v>45878</v>
      </c>
      <c r="C135" s="26"/>
      <c r="D135" s="26"/>
      <c r="E135" s="26"/>
      <c r="F135" s="26"/>
      <c r="G135" s="26"/>
      <c r="H135" s="39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</row>
    <row r="136" ht="15.75" hidden="1" customHeight="1" spans="1:19">
      <c r="A136" s="24">
        <v>45879</v>
      </c>
      <c r="B136" s="25">
        <v>45879</v>
      </c>
      <c r="C136" s="26"/>
      <c r="D136" s="26"/>
      <c r="E136" s="26"/>
      <c r="F136" s="26"/>
      <c r="G136" s="26"/>
      <c r="H136" s="39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</row>
    <row r="137" ht="15.75" hidden="1" customHeight="1" spans="1:19">
      <c r="A137" s="24">
        <v>45880</v>
      </c>
      <c r="B137" s="25">
        <v>45880</v>
      </c>
      <c r="C137" s="26"/>
      <c r="D137" s="26"/>
      <c r="E137" s="26"/>
      <c r="F137" s="26"/>
      <c r="G137" s="26"/>
      <c r="H137" s="39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</row>
    <row r="138" ht="15.75" hidden="1" customHeight="1" spans="1:19">
      <c r="A138" s="24">
        <v>45881</v>
      </c>
      <c r="B138" s="25">
        <v>45881</v>
      </c>
      <c r="C138" s="26"/>
      <c r="D138" s="26"/>
      <c r="E138" s="26"/>
      <c r="F138" s="26"/>
      <c r="G138" s="26"/>
      <c r="H138" s="39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</row>
    <row r="139" ht="15.75" hidden="1" customHeight="1" spans="1:19">
      <c r="A139" s="24">
        <v>45882</v>
      </c>
      <c r="B139" s="25">
        <v>45882</v>
      </c>
      <c r="C139" s="26"/>
      <c r="D139" s="26"/>
      <c r="E139" s="26"/>
      <c r="F139" s="26"/>
      <c r="G139" s="26"/>
      <c r="H139" s="39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</row>
    <row r="140" ht="15.75" hidden="1" customHeight="1" spans="1:19">
      <c r="A140" s="24">
        <v>45883</v>
      </c>
      <c r="B140" s="25">
        <v>45883</v>
      </c>
      <c r="C140" s="26"/>
      <c r="D140" s="26"/>
      <c r="E140" s="26"/>
      <c r="F140" s="26"/>
      <c r="G140" s="26"/>
      <c r="H140" s="39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</row>
    <row r="141" ht="15.75" customHeight="1" spans="1:19">
      <c r="A141" s="24">
        <v>45884</v>
      </c>
      <c r="B141" s="25">
        <v>45884</v>
      </c>
      <c r="C141" s="26" t="s">
        <v>158</v>
      </c>
      <c r="D141" s="26" t="s">
        <v>159</v>
      </c>
      <c r="E141" s="70">
        <v>0.572916666666667</v>
      </c>
      <c r="F141" s="70">
        <v>0.638888888888889</v>
      </c>
      <c r="G141" s="70">
        <f>F141-E141</f>
        <v>0.0659722222222223</v>
      </c>
      <c r="H141" s="39">
        <v>2411</v>
      </c>
      <c r="I141" s="26"/>
      <c r="J141" s="26"/>
      <c r="K141" s="26"/>
      <c r="L141" s="26" t="s">
        <v>174</v>
      </c>
      <c r="M141" s="26" t="s">
        <v>175</v>
      </c>
      <c r="N141" s="26"/>
      <c r="O141" s="26"/>
      <c r="P141" s="26"/>
      <c r="Q141" s="26"/>
      <c r="R141" s="26"/>
      <c r="S141" s="26" t="s">
        <v>176</v>
      </c>
    </row>
    <row r="142" ht="15.75" hidden="1" customHeight="1" spans="1:19">
      <c r="A142" s="24">
        <v>45885</v>
      </c>
      <c r="B142" s="25">
        <v>45885</v>
      </c>
      <c r="C142" s="26"/>
      <c r="D142" s="26"/>
      <c r="E142" s="26"/>
      <c r="F142" s="26"/>
      <c r="G142" s="26"/>
      <c r="H142" s="39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</row>
    <row r="143" ht="15.75" hidden="1" customHeight="1" spans="1:19">
      <c r="A143" s="24">
        <v>45886</v>
      </c>
      <c r="B143" s="25">
        <v>45886</v>
      </c>
      <c r="C143" s="26"/>
      <c r="D143" s="26"/>
      <c r="E143" s="26"/>
      <c r="F143" s="26"/>
      <c r="G143" s="26"/>
      <c r="H143" s="39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</row>
    <row r="144" ht="15.75" hidden="1" customHeight="1" spans="1:19">
      <c r="A144" s="24">
        <v>45887</v>
      </c>
      <c r="B144" s="25">
        <v>45887</v>
      </c>
      <c r="C144" s="26"/>
      <c r="D144" s="26"/>
      <c r="E144" s="26"/>
      <c r="F144" s="26"/>
      <c r="G144" s="26"/>
      <c r="H144" s="39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</row>
    <row r="145" ht="15.75" hidden="1" customHeight="1" spans="1:19">
      <c r="A145" s="24">
        <v>45888</v>
      </c>
      <c r="B145" s="25">
        <v>45888</v>
      </c>
      <c r="C145" s="26"/>
      <c r="D145" s="26"/>
      <c r="E145" s="26"/>
      <c r="F145" s="26"/>
      <c r="G145" s="26"/>
      <c r="H145" s="39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</row>
    <row r="146" ht="15.75" hidden="1" customHeight="1" spans="1:19">
      <c r="A146" s="24">
        <v>45889</v>
      </c>
      <c r="B146" s="25">
        <v>45889</v>
      </c>
      <c r="C146" s="26"/>
      <c r="D146" s="26"/>
      <c r="E146" s="26"/>
      <c r="F146" s="26"/>
      <c r="G146" s="26"/>
      <c r="H146" s="39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</row>
    <row r="147" ht="15.75" hidden="1" customHeight="1" spans="1:19">
      <c r="A147" s="24">
        <v>45890</v>
      </c>
      <c r="B147" s="25">
        <v>45890</v>
      </c>
      <c r="C147" s="26"/>
      <c r="D147" s="26"/>
      <c r="E147" s="26"/>
      <c r="F147" s="26"/>
      <c r="G147" s="26"/>
      <c r="H147" s="39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</row>
    <row r="148" ht="15.75" hidden="1" customHeight="1" spans="1:19">
      <c r="A148" s="24">
        <v>45891</v>
      </c>
      <c r="B148" s="25">
        <v>45891</v>
      </c>
      <c r="C148" s="26"/>
      <c r="D148" s="26"/>
      <c r="E148" s="26"/>
      <c r="F148" s="26"/>
      <c r="G148" s="26"/>
      <c r="H148" s="39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</row>
    <row r="149" ht="15.75" hidden="1" customHeight="1" spans="1:19">
      <c r="A149" s="24">
        <v>45892</v>
      </c>
      <c r="B149" s="25">
        <v>45892</v>
      </c>
      <c r="C149" s="26"/>
      <c r="D149" s="26"/>
      <c r="E149" s="26"/>
      <c r="F149" s="26"/>
      <c r="G149" s="26"/>
      <c r="H149" s="39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</row>
    <row r="150" ht="15.75" hidden="1" customHeight="1" spans="1:19">
      <c r="A150" s="24">
        <v>45893</v>
      </c>
      <c r="B150" s="25">
        <v>45893</v>
      </c>
      <c r="C150" s="26"/>
      <c r="D150" s="26"/>
      <c r="E150" s="26"/>
      <c r="F150" s="26"/>
      <c r="G150" s="26"/>
      <c r="H150" s="39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</row>
    <row r="151" ht="15.75" hidden="1" customHeight="1" spans="1:19">
      <c r="A151" s="24">
        <v>45894</v>
      </c>
      <c r="B151" s="25">
        <v>45894</v>
      </c>
      <c r="C151" s="26"/>
      <c r="D151" s="26"/>
      <c r="E151" s="26"/>
      <c r="F151" s="26"/>
      <c r="G151" s="26"/>
      <c r="H151" s="39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</row>
    <row r="152" ht="15.75" hidden="1" customHeight="1" spans="1:19">
      <c r="A152" s="24">
        <v>45895</v>
      </c>
      <c r="B152" s="25">
        <v>45895</v>
      </c>
      <c r="C152" s="26"/>
      <c r="D152" s="26"/>
      <c r="E152" s="26"/>
      <c r="F152" s="26"/>
      <c r="G152" s="26"/>
      <c r="H152" s="39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</row>
    <row r="153" ht="15.75" hidden="1" customHeight="1" spans="1:19">
      <c r="A153" s="24">
        <v>45896</v>
      </c>
      <c r="B153" s="25">
        <v>45896</v>
      </c>
      <c r="C153" s="26"/>
      <c r="D153" s="26"/>
      <c r="E153" s="26"/>
      <c r="F153" s="26"/>
      <c r="G153" s="26"/>
      <c r="H153" s="39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</row>
    <row r="154" ht="15.75" customHeight="1" spans="1:19">
      <c r="A154" s="24">
        <v>45897</v>
      </c>
      <c r="B154" s="25">
        <v>45897</v>
      </c>
      <c r="C154" s="26" t="s">
        <v>158</v>
      </c>
      <c r="D154" s="26" t="s">
        <v>159</v>
      </c>
      <c r="E154" s="70">
        <v>0.555555555555556</v>
      </c>
      <c r="F154" s="70">
        <v>0.579166666666667</v>
      </c>
      <c r="G154" s="70">
        <f>F154-E154</f>
        <v>0.0236111111111111</v>
      </c>
      <c r="H154" s="39">
        <v>2411</v>
      </c>
      <c r="I154" s="26"/>
      <c r="J154" s="26"/>
      <c r="K154" s="26"/>
      <c r="L154" s="26" t="s">
        <v>172</v>
      </c>
      <c r="M154" s="26" t="s">
        <v>177</v>
      </c>
      <c r="N154" s="26"/>
      <c r="O154" s="26"/>
      <c r="P154" s="26"/>
      <c r="Q154" s="26"/>
      <c r="R154" s="26"/>
      <c r="S154" s="26"/>
    </row>
    <row r="155" ht="15.75" hidden="1" customHeight="1" spans="1:19">
      <c r="A155" s="24">
        <v>45898</v>
      </c>
      <c r="B155" s="25">
        <v>45898</v>
      </c>
      <c r="C155" s="26"/>
      <c r="D155" s="26"/>
      <c r="E155" s="26"/>
      <c r="F155" s="26"/>
      <c r="G155" s="26"/>
      <c r="H155" s="39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</row>
    <row r="156" ht="15.75" hidden="1" customHeight="1" spans="1:19">
      <c r="A156" s="24">
        <v>45899</v>
      </c>
      <c r="B156" s="25">
        <v>45899</v>
      </c>
      <c r="C156" s="26"/>
      <c r="D156" s="26"/>
      <c r="E156" s="26"/>
      <c r="F156" s="26"/>
      <c r="G156" s="26"/>
      <c r="H156" s="39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</row>
    <row r="157" ht="15.75" hidden="1" customHeight="1" spans="1:19">
      <c r="A157" s="24">
        <v>45900</v>
      </c>
      <c r="B157" s="25">
        <v>45900</v>
      </c>
      <c r="C157" s="26"/>
      <c r="D157" s="26"/>
      <c r="E157" s="26"/>
      <c r="F157" s="26"/>
      <c r="G157" s="26"/>
      <c r="H157" s="39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</row>
    <row r="158" ht="15.75" hidden="1" customHeight="1" spans="1:19">
      <c r="A158" s="24">
        <v>45901</v>
      </c>
      <c r="B158" s="25">
        <v>45901</v>
      </c>
      <c r="C158" s="26"/>
      <c r="D158" s="26"/>
      <c r="E158" s="26"/>
      <c r="F158" s="26"/>
      <c r="G158" s="26"/>
      <c r="H158" s="39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</row>
    <row r="159" ht="15.75" hidden="1" customHeight="1" spans="1:19">
      <c r="A159" s="24">
        <v>45902</v>
      </c>
      <c r="B159" s="25">
        <v>45902</v>
      </c>
      <c r="C159" s="26"/>
      <c r="D159" s="26"/>
      <c r="E159" s="26"/>
      <c r="F159" s="26"/>
      <c r="G159" s="26"/>
      <c r="H159" s="39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</row>
    <row r="160" ht="15.75" hidden="1" customHeight="1" spans="1:19">
      <c r="A160" s="24">
        <v>45903</v>
      </c>
      <c r="B160" s="25">
        <v>45903</v>
      </c>
      <c r="C160" s="26"/>
      <c r="D160" s="26"/>
      <c r="E160" s="26"/>
      <c r="F160" s="26"/>
      <c r="G160" s="26"/>
      <c r="H160" s="39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</row>
    <row r="161" ht="15.75" hidden="1" customHeight="1" spans="1:19">
      <c r="A161" s="24">
        <v>45904</v>
      </c>
      <c r="B161" s="25">
        <v>45904</v>
      </c>
      <c r="C161" s="26"/>
      <c r="D161" s="26"/>
      <c r="E161" s="26"/>
      <c r="F161" s="26"/>
      <c r="G161" s="26"/>
      <c r="H161" s="39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</row>
    <row r="162" ht="15.75" hidden="1" customHeight="1" spans="1:19">
      <c r="A162" s="24">
        <v>45905</v>
      </c>
      <c r="B162" s="25">
        <v>45905</v>
      </c>
      <c r="C162" s="26"/>
      <c r="D162" s="26"/>
      <c r="E162" s="26"/>
      <c r="F162" s="26"/>
      <c r="G162" s="26"/>
      <c r="H162" s="39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</row>
    <row r="163" ht="15.75" hidden="1" customHeight="1" spans="1:19">
      <c r="A163" s="24">
        <v>45906</v>
      </c>
      <c r="B163" s="25">
        <v>45906</v>
      </c>
      <c r="C163" s="26"/>
      <c r="D163" s="26"/>
      <c r="E163" s="26"/>
      <c r="F163" s="26"/>
      <c r="G163" s="26"/>
      <c r="H163" s="39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</row>
    <row r="164" ht="15.75" hidden="1" customHeight="1" spans="1:19">
      <c r="A164" s="24">
        <v>45907</v>
      </c>
      <c r="B164" s="25">
        <v>45907</v>
      </c>
      <c r="C164" s="26"/>
      <c r="D164" s="26"/>
      <c r="E164" s="26"/>
      <c r="F164" s="26"/>
      <c r="G164" s="26"/>
      <c r="H164" s="39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</row>
    <row r="165" ht="15.75" hidden="1" customHeight="1" spans="1:19">
      <c r="A165" s="24">
        <v>45908</v>
      </c>
      <c r="B165" s="25">
        <v>45908</v>
      </c>
      <c r="C165" s="26"/>
      <c r="D165" s="26"/>
      <c r="E165" s="26"/>
      <c r="F165" s="26"/>
      <c r="G165" s="26"/>
      <c r="H165" s="39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</row>
    <row r="166" ht="15.75" hidden="1" customHeight="1" spans="1:19">
      <c r="A166" s="24">
        <v>45909</v>
      </c>
      <c r="B166" s="25">
        <v>45909</v>
      </c>
      <c r="C166" s="26"/>
      <c r="D166" s="26"/>
      <c r="E166" s="26"/>
      <c r="F166" s="26"/>
      <c r="G166" s="26"/>
      <c r="H166" s="39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</row>
    <row r="167" ht="15.75" customHeight="1" spans="1:19">
      <c r="A167" s="24">
        <v>45910</v>
      </c>
      <c r="B167" s="25">
        <v>45910</v>
      </c>
      <c r="C167" s="26" t="s">
        <v>158</v>
      </c>
      <c r="D167" s="26" t="s">
        <v>159</v>
      </c>
      <c r="E167" s="70">
        <v>0.50625</v>
      </c>
      <c r="F167" s="70">
        <v>0.53125</v>
      </c>
      <c r="G167" s="72">
        <f>F167-E167</f>
        <v>0.025</v>
      </c>
      <c r="H167" s="39">
        <v>2411</v>
      </c>
      <c r="I167" s="26"/>
      <c r="J167" s="26"/>
      <c r="K167" s="26"/>
      <c r="L167" s="26" t="s">
        <v>172</v>
      </c>
      <c r="M167" s="26" t="s">
        <v>177</v>
      </c>
      <c r="N167" s="26"/>
      <c r="O167" s="26"/>
      <c r="P167" s="26"/>
      <c r="Q167" s="26"/>
      <c r="R167" s="26"/>
      <c r="S167" s="26"/>
    </row>
    <row r="168" ht="15.75" hidden="1" customHeight="1" spans="1:19">
      <c r="A168" s="24">
        <v>45911</v>
      </c>
      <c r="B168" s="25">
        <v>45911</v>
      </c>
      <c r="C168" s="26"/>
      <c r="D168" s="26"/>
      <c r="E168" s="26"/>
      <c r="F168" s="26"/>
      <c r="G168" s="26"/>
      <c r="H168" s="39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</row>
    <row r="169" ht="15.75" hidden="1" customHeight="1" spans="1:19">
      <c r="A169" s="24">
        <v>45912</v>
      </c>
      <c r="B169" s="25">
        <v>45912</v>
      </c>
      <c r="C169" s="26"/>
      <c r="D169" s="26"/>
      <c r="E169" s="26"/>
      <c r="F169" s="26"/>
      <c r="G169" s="26"/>
      <c r="H169" s="39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</row>
    <row r="170" ht="15.75" hidden="1" customHeight="1" spans="1:19">
      <c r="A170" s="24">
        <v>45913</v>
      </c>
      <c r="B170" s="25">
        <v>45913</v>
      </c>
      <c r="C170" s="26"/>
      <c r="D170" s="26"/>
      <c r="E170" s="26"/>
      <c r="F170" s="26"/>
      <c r="G170" s="26"/>
      <c r="H170" s="39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</row>
    <row r="171" ht="15.75" hidden="1" customHeight="1" spans="1:19">
      <c r="A171" s="24">
        <v>45914</v>
      </c>
      <c r="B171" s="25">
        <v>45914</v>
      </c>
      <c r="C171" s="26"/>
      <c r="D171" s="26"/>
      <c r="E171" s="26"/>
      <c r="F171" s="26"/>
      <c r="G171" s="26"/>
      <c r="H171" s="39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</row>
    <row r="172" ht="15.75" hidden="1" customHeight="1" spans="1:19">
      <c r="A172" s="24">
        <v>45915</v>
      </c>
      <c r="B172" s="25">
        <v>45915</v>
      </c>
      <c r="C172" s="26"/>
      <c r="D172" s="26"/>
      <c r="E172" s="26"/>
      <c r="F172" s="26"/>
      <c r="G172" s="26"/>
      <c r="H172" s="39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</row>
    <row r="173" ht="15.75" hidden="1" customHeight="1" spans="1:19">
      <c r="A173" s="24">
        <v>45916</v>
      </c>
      <c r="B173" s="25">
        <v>45916</v>
      </c>
      <c r="C173" s="26"/>
      <c r="D173" s="26"/>
      <c r="E173" s="26"/>
      <c r="F173" s="26"/>
      <c r="G173" s="26"/>
      <c r="H173" s="39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</row>
    <row r="174" ht="15.75" hidden="1" customHeight="1" spans="1:19">
      <c r="A174" s="24">
        <v>45917</v>
      </c>
      <c r="B174" s="25">
        <v>45917</v>
      </c>
      <c r="C174" s="26"/>
      <c r="D174" s="26"/>
      <c r="E174" s="26"/>
      <c r="F174" s="26"/>
      <c r="G174" s="26"/>
      <c r="H174" s="39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</row>
    <row r="175" ht="15.75" hidden="1" customHeight="1" spans="1:19">
      <c r="A175" s="24">
        <v>45918</v>
      </c>
      <c r="B175" s="25">
        <v>45918</v>
      </c>
      <c r="C175" s="26"/>
      <c r="D175" s="26"/>
      <c r="E175" s="26"/>
      <c r="F175" s="26"/>
      <c r="G175" s="26"/>
      <c r="H175" s="39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</row>
    <row r="176" ht="15.75" customHeight="1" spans="1:19">
      <c r="A176" s="24">
        <v>45919</v>
      </c>
      <c r="B176" s="25">
        <v>45919</v>
      </c>
      <c r="C176" s="26" t="s">
        <v>158</v>
      </c>
      <c r="D176" s="26" t="s">
        <v>159</v>
      </c>
      <c r="E176" s="70">
        <v>0.55</v>
      </c>
      <c r="F176" s="70">
        <v>0.604166666666667</v>
      </c>
      <c r="G176" s="70">
        <f>F176-E176</f>
        <v>0.0541666666666667</v>
      </c>
      <c r="H176" s="39">
        <v>2411</v>
      </c>
      <c r="I176" s="26"/>
      <c r="J176" s="26"/>
      <c r="K176" s="26"/>
      <c r="L176" s="26" t="s">
        <v>172</v>
      </c>
      <c r="M176" s="26" t="s">
        <v>177</v>
      </c>
      <c r="N176" s="26"/>
      <c r="O176" s="26"/>
      <c r="P176" s="26"/>
      <c r="Q176" s="26"/>
      <c r="R176" s="26"/>
      <c r="S176" s="26"/>
    </row>
    <row r="177" ht="15.75" hidden="1" customHeight="1" spans="1:19">
      <c r="A177" s="24">
        <v>45920</v>
      </c>
      <c r="B177" s="25">
        <v>45920</v>
      </c>
      <c r="C177" s="26"/>
      <c r="D177" s="26"/>
      <c r="E177" s="26"/>
      <c r="F177" s="26"/>
      <c r="G177" s="70">
        <f t="shared" ref="G177:G240" si="0">F177-E177</f>
        <v>0</v>
      </c>
      <c r="H177" s="39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</row>
    <row r="178" ht="15.75" hidden="1" customHeight="1" spans="1:19">
      <c r="A178" s="24">
        <v>45921</v>
      </c>
      <c r="B178" s="25">
        <v>45921</v>
      </c>
      <c r="C178" s="26"/>
      <c r="D178" s="26"/>
      <c r="E178" s="26"/>
      <c r="F178" s="26"/>
      <c r="G178" s="70">
        <f t="shared" si="0"/>
        <v>0</v>
      </c>
      <c r="H178" s="39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</row>
    <row r="179" ht="15.75" hidden="1" customHeight="1" spans="1:19">
      <c r="A179" s="24">
        <v>45922</v>
      </c>
      <c r="B179" s="25">
        <v>45922</v>
      </c>
      <c r="C179" s="26"/>
      <c r="D179" s="26"/>
      <c r="E179" s="26"/>
      <c r="F179" s="26"/>
      <c r="G179" s="70">
        <f t="shared" si="0"/>
        <v>0</v>
      </c>
      <c r="H179" s="39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</row>
    <row r="180" ht="15.75" hidden="1" customHeight="1" spans="1:19">
      <c r="A180" s="24">
        <v>45923</v>
      </c>
      <c r="B180" s="25">
        <v>45923</v>
      </c>
      <c r="C180" s="26"/>
      <c r="D180" s="26"/>
      <c r="E180" s="26"/>
      <c r="F180" s="26"/>
      <c r="G180" s="70">
        <f t="shared" si="0"/>
        <v>0</v>
      </c>
      <c r="H180" s="39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</row>
    <row r="181" ht="15.75" hidden="1" customHeight="1" spans="1:19">
      <c r="A181" s="24">
        <v>45924</v>
      </c>
      <c r="B181" s="25">
        <v>45924</v>
      </c>
      <c r="C181" s="26"/>
      <c r="D181" s="26"/>
      <c r="E181" s="26"/>
      <c r="F181" s="26"/>
      <c r="G181" s="70">
        <f t="shared" si="0"/>
        <v>0</v>
      </c>
      <c r="H181" s="39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</row>
    <row r="182" ht="15.75" hidden="1" customHeight="1" spans="1:19">
      <c r="A182" s="24">
        <v>45925</v>
      </c>
      <c r="B182" s="25">
        <v>45925</v>
      </c>
      <c r="C182" s="26"/>
      <c r="D182" s="26"/>
      <c r="E182" s="26"/>
      <c r="F182" s="26"/>
      <c r="G182" s="70">
        <f t="shared" si="0"/>
        <v>0</v>
      </c>
      <c r="H182" s="39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</row>
    <row r="183" ht="15.75" hidden="1" customHeight="1" spans="1:19">
      <c r="A183" s="24">
        <v>45926</v>
      </c>
      <c r="B183" s="25">
        <v>45926</v>
      </c>
      <c r="C183" s="26"/>
      <c r="D183" s="26"/>
      <c r="E183" s="26"/>
      <c r="F183" s="26"/>
      <c r="G183" s="70">
        <f t="shared" si="0"/>
        <v>0</v>
      </c>
      <c r="H183" s="39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</row>
    <row r="184" ht="15.75" hidden="1" customHeight="1" spans="1:19">
      <c r="A184" s="24">
        <v>45927</v>
      </c>
      <c r="B184" s="25">
        <v>45927</v>
      </c>
      <c r="C184" s="26"/>
      <c r="D184" s="26"/>
      <c r="E184" s="26"/>
      <c r="F184" s="26"/>
      <c r="G184" s="70">
        <f t="shared" si="0"/>
        <v>0</v>
      </c>
      <c r="H184" s="39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</row>
    <row r="185" ht="15.75" hidden="1" customHeight="1" spans="1:19">
      <c r="A185" s="24">
        <v>45928</v>
      </c>
      <c r="B185" s="25">
        <v>45928</v>
      </c>
      <c r="C185" s="26"/>
      <c r="D185" s="26"/>
      <c r="E185" s="26"/>
      <c r="F185" s="26"/>
      <c r="G185" s="70">
        <f t="shared" si="0"/>
        <v>0</v>
      </c>
      <c r="H185" s="39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</row>
    <row r="186" ht="15.75" hidden="1" customHeight="1" spans="1:19">
      <c r="A186" s="24">
        <v>45929</v>
      </c>
      <c r="B186" s="25">
        <v>45929</v>
      </c>
      <c r="C186" s="26"/>
      <c r="D186" s="26"/>
      <c r="E186" s="26"/>
      <c r="F186" s="26"/>
      <c r="G186" s="70">
        <f t="shared" si="0"/>
        <v>0</v>
      </c>
      <c r="H186" s="39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</row>
    <row r="187" ht="15.75" hidden="1" customHeight="1" spans="1:19">
      <c r="A187" s="24">
        <v>45930</v>
      </c>
      <c r="B187" s="25">
        <v>45930</v>
      </c>
      <c r="C187" s="26"/>
      <c r="D187" s="26"/>
      <c r="E187" s="26"/>
      <c r="F187" s="26"/>
      <c r="G187" s="70">
        <f t="shared" si="0"/>
        <v>0</v>
      </c>
      <c r="H187" s="39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</row>
    <row r="188" ht="15.75" hidden="1" customHeight="1" spans="1:19">
      <c r="A188" s="24">
        <v>45931</v>
      </c>
      <c r="B188" s="25">
        <v>45931</v>
      </c>
      <c r="C188" s="26"/>
      <c r="D188" s="26"/>
      <c r="E188" s="26"/>
      <c r="F188" s="26"/>
      <c r="G188" s="70">
        <f t="shared" si="0"/>
        <v>0</v>
      </c>
      <c r="H188" s="39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</row>
    <row r="189" ht="15.75" hidden="1" customHeight="1" spans="1:19">
      <c r="A189" s="24">
        <v>45932</v>
      </c>
      <c r="B189" s="25">
        <v>45932</v>
      </c>
      <c r="C189" s="26"/>
      <c r="D189" s="26"/>
      <c r="E189" s="26"/>
      <c r="F189" s="26"/>
      <c r="G189" s="70">
        <f t="shared" si="0"/>
        <v>0</v>
      </c>
      <c r="H189" s="39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</row>
    <row r="190" ht="15.75" hidden="1" customHeight="1" spans="1:19">
      <c r="A190" s="24">
        <v>45933</v>
      </c>
      <c r="B190" s="25">
        <v>45933</v>
      </c>
      <c r="C190" s="26"/>
      <c r="D190" s="26"/>
      <c r="E190" s="26"/>
      <c r="F190" s="26"/>
      <c r="G190" s="70">
        <f t="shared" si="0"/>
        <v>0</v>
      </c>
      <c r="H190" s="39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</row>
    <row r="191" ht="15.75" hidden="1" customHeight="1" spans="1:19">
      <c r="A191" s="24">
        <v>45934</v>
      </c>
      <c r="B191" s="25">
        <v>45934</v>
      </c>
      <c r="C191" s="26"/>
      <c r="D191" s="26"/>
      <c r="E191" s="26"/>
      <c r="F191" s="26"/>
      <c r="G191" s="70">
        <f t="shared" si="0"/>
        <v>0</v>
      </c>
      <c r="H191" s="39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</row>
    <row r="192" ht="15.75" hidden="1" customHeight="1" spans="1:19">
      <c r="A192" s="24">
        <v>45935</v>
      </c>
      <c r="B192" s="25">
        <v>45935</v>
      </c>
      <c r="C192" s="26"/>
      <c r="D192" s="26"/>
      <c r="E192" s="26"/>
      <c r="F192" s="26"/>
      <c r="G192" s="70">
        <f t="shared" si="0"/>
        <v>0</v>
      </c>
      <c r="H192" s="39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</row>
    <row r="193" ht="15.75" hidden="1" customHeight="1" spans="1:19">
      <c r="A193" s="24">
        <v>45936</v>
      </c>
      <c r="B193" s="25">
        <v>45936</v>
      </c>
      <c r="C193" s="26"/>
      <c r="D193" s="26"/>
      <c r="E193" s="26"/>
      <c r="F193" s="26"/>
      <c r="G193" s="70">
        <f t="shared" si="0"/>
        <v>0</v>
      </c>
      <c r="H193" s="39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</row>
    <row r="194" ht="15.75" hidden="1" customHeight="1" spans="1:19">
      <c r="A194" s="24">
        <v>45937</v>
      </c>
      <c r="B194" s="25">
        <v>45937</v>
      </c>
      <c r="C194" s="26"/>
      <c r="D194" s="26"/>
      <c r="E194" s="26"/>
      <c r="F194" s="26"/>
      <c r="G194" s="70">
        <f t="shared" si="0"/>
        <v>0</v>
      </c>
      <c r="H194" s="39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</row>
    <row r="195" ht="15.75" hidden="1" customHeight="1" spans="1:19">
      <c r="A195" s="24">
        <v>45938</v>
      </c>
      <c r="B195" s="25">
        <v>45938</v>
      </c>
      <c r="C195" s="26"/>
      <c r="D195" s="26"/>
      <c r="E195" s="26"/>
      <c r="F195" s="26"/>
      <c r="G195" s="70">
        <f t="shared" si="0"/>
        <v>0</v>
      </c>
      <c r="H195" s="39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</row>
    <row r="196" ht="15.75" customHeight="1" spans="1:19">
      <c r="A196" s="24">
        <v>45938</v>
      </c>
      <c r="B196" s="25">
        <v>45939</v>
      </c>
      <c r="C196" s="26" t="s">
        <v>158</v>
      </c>
      <c r="D196" s="26" t="s">
        <v>159</v>
      </c>
      <c r="E196" s="70">
        <v>0.385416666666667</v>
      </c>
      <c r="F196" s="70">
        <v>0.416666666666667</v>
      </c>
      <c r="G196" s="70">
        <f t="shared" si="0"/>
        <v>0.03125</v>
      </c>
      <c r="H196" s="39">
        <v>2411</v>
      </c>
      <c r="I196" s="26"/>
      <c r="J196" s="26"/>
      <c r="K196" s="26"/>
      <c r="L196" s="26" t="s">
        <v>172</v>
      </c>
      <c r="M196" s="26" t="s">
        <v>177</v>
      </c>
      <c r="N196" s="26"/>
      <c r="O196" s="26"/>
      <c r="P196" s="26"/>
      <c r="Q196" s="26"/>
      <c r="R196" s="26"/>
      <c r="S196" s="26" t="s">
        <v>176</v>
      </c>
    </row>
    <row r="197" ht="15.75" hidden="1" customHeight="1" spans="1:19">
      <c r="A197" s="24">
        <v>45940</v>
      </c>
      <c r="B197" s="25">
        <v>45940</v>
      </c>
      <c r="C197" s="26"/>
      <c r="D197" s="26"/>
      <c r="E197" s="26"/>
      <c r="F197" s="26"/>
      <c r="G197" s="70">
        <f t="shared" si="0"/>
        <v>0</v>
      </c>
      <c r="H197" s="39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</row>
    <row r="198" ht="15.75" hidden="1" customHeight="1" spans="1:19">
      <c r="A198" s="24">
        <v>45941</v>
      </c>
      <c r="B198" s="25">
        <v>45941</v>
      </c>
      <c r="C198" s="26"/>
      <c r="D198" s="26"/>
      <c r="E198" s="26"/>
      <c r="F198" s="26"/>
      <c r="G198" s="70">
        <f t="shared" si="0"/>
        <v>0</v>
      </c>
      <c r="H198" s="39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</row>
    <row r="199" ht="15.75" hidden="1" customHeight="1" spans="1:19">
      <c r="A199" s="24">
        <v>45942</v>
      </c>
      <c r="B199" s="25">
        <v>45942</v>
      </c>
      <c r="C199" s="26"/>
      <c r="D199" s="26"/>
      <c r="E199" s="26"/>
      <c r="F199" s="26"/>
      <c r="G199" s="70">
        <f t="shared" si="0"/>
        <v>0</v>
      </c>
      <c r="H199" s="39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</row>
    <row r="200" ht="15.75" hidden="1" customHeight="1" spans="1:19">
      <c r="A200" s="24">
        <v>45943</v>
      </c>
      <c r="B200" s="25">
        <v>45943</v>
      </c>
      <c r="C200" s="26"/>
      <c r="D200" s="26"/>
      <c r="E200" s="26"/>
      <c r="F200" s="26"/>
      <c r="G200" s="70">
        <f t="shared" si="0"/>
        <v>0</v>
      </c>
      <c r="H200" s="39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</row>
    <row r="201" ht="15.75" hidden="1" customHeight="1" spans="1:19">
      <c r="A201" s="24">
        <v>45944</v>
      </c>
      <c r="B201" s="25">
        <v>45944</v>
      </c>
      <c r="C201" s="26"/>
      <c r="D201" s="26"/>
      <c r="E201" s="26"/>
      <c r="F201" s="26"/>
      <c r="G201" s="70">
        <f t="shared" si="0"/>
        <v>0</v>
      </c>
      <c r="H201" s="39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</row>
    <row r="202" ht="15.75" hidden="1" customHeight="1" spans="1:19">
      <c r="A202" s="24">
        <v>45945</v>
      </c>
      <c r="B202" s="25">
        <v>45945</v>
      </c>
      <c r="C202" s="26"/>
      <c r="D202" s="26"/>
      <c r="E202" s="26"/>
      <c r="F202" s="26"/>
      <c r="G202" s="70">
        <f t="shared" si="0"/>
        <v>0</v>
      </c>
      <c r="H202" s="39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</row>
    <row r="203" ht="15.75" hidden="1" customHeight="1" spans="1:19">
      <c r="A203" s="24">
        <v>45946</v>
      </c>
      <c r="B203" s="25">
        <v>45946</v>
      </c>
      <c r="C203" s="26"/>
      <c r="D203" s="26"/>
      <c r="E203" s="26"/>
      <c r="F203" s="26"/>
      <c r="G203" s="70">
        <f t="shared" si="0"/>
        <v>0</v>
      </c>
      <c r="H203" s="39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</row>
    <row r="204" ht="15.75" hidden="1" customHeight="1" spans="1:19">
      <c r="A204" s="24">
        <v>45947</v>
      </c>
      <c r="B204" s="25">
        <v>45947</v>
      </c>
      <c r="C204" s="26"/>
      <c r="D204" s="26"/>
      <c r="E204" s="26"/>
      <c r="F204" s="26"/>
      <c r="G204" s="70">
        <f t="shared" si="0"/>
        <v>0</v>
      </c>
      <c r="H204" s="39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</row>
    <row r="205" ht="15.75" hidden="1" customHeight="1" spans="1:19">
      <c r="A205" s="24">
        <v>45948</v>
      </c>
      <c r="B205" s="25">
        <v>45948</v>
      </c>
      <c r="C205" s="26"/>
      <c r="D205" s="26"/>
      <c r="E205" s="26"/>
      <c r="F205" s="26"/>
      <c r="G205" s="70">
        <f t="shared" si="0"/>
        <v>0</v>
      </c>
      <c r="H205" s="39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</row>
    <row r="206" ht="15.75" hidden="1" customHeight="1" spans="1:19">
      <c r="A206" s="24">
        <v>45949</v>
      </c>
      <c r="B206" s="25">
        <v>45949</v>
      </c>
      <c r="C206" s="26"/>
      <c r="D206" s="26"/>
      <c r="E206" s="26"/>
      <c r="F206" s="26"/>
      <c r="G206" s="70">
        <f t="shared" si="0"/>
        <v>0</v>
      </c>
      <c r="H206" s="39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</row>
    <row r="207" ht="15.75" hidden="1" customHeight="1" spans="1:19">
      <c r="A207" s="24">
        <v>45950</v>
      </c>
      <c r="B207" s="25">
        <v>45950</v>
      </c>
      <c r="C207" s="26"/>
      <c r="D207" s="26"/>
      <c r="E207" s="26"/>
      <c r="F207" s="26"/>
      <c r="G207" s="70">
        <f t="shared" si="0"/>
        <v>0</v>
      </c>
      <c r="H207" s="39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</row>
    <row r="208" ht="15.75" hidden="1" customHeight="1" spans="1:19">
      <c r="A208" s="24">
        <v>45951</v>
      </c>
      <c r="B208" s="25">
        <v>45951</v>
      </c>
      <c r="C208" s="26"/>
      <c r="D208" s="26"/>
      <c r="E208" s="26"/>
      <c r="F208" s="26"/>
      <c r="G208" s="70">
        <f t="shared" si="0"/>
        <v>0</v>
      </c>
      <c r="H208" s="39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</row>
    <row r="209" ht="15.75" hidden="1" customHeight="1" spans="1:19">
      <c r="A209" s="24">
        <v>45952</v>
      </c>
      <c r="B209" s="25">
        <v>45952</v>
      </c>
      <c r="C209" s="26"/>
      <c r="D209" s="26"/>
      <c r="E209" s="26"/>
      <c r="F209" s="26"/>
      <c r="G209" s="70">
        <f t="shared" si="0"/>
        <v>0</v>
      </c>
      <c r="H209" s="39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</row>
    <row r="210" ht="15.75" hidden="1" customHeight="1" spans="1:19">
      <c r="A210" s="24">
        <v>45953</v>
      </c>
      <c r="B210" s="25">
        <v>45953</v>
      </c>
      <c r="C210" s="26"/>
      <c r="D210" s="26"/>
      <c r="E210" s="26"/>
      <c r="F210" s="26"/>
      <c r="G210" s="70">
        <f t="shared" si="0"/>
        <v>0</v>
      </c>
      <c r="H210" s="39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</row>
    <row r="211" ht="15.75" hidden="1" customHeight="1" spans="1:19">
      <c r="A211" s="24">
        <v>45954</v>
      </c>
      <c r="B211" s="25">
        <v>45954</v>
      </c>
      <c r="C211" s="26"/>
      <c r="D211" s="26"/>
      <c r="E211" s="26"/>
      <c r="F211" s="26"/>
      <c r="G211" s="70">
        <f t="shared" si="0"/>
        <v>0</v>
      </c>
      <c r="H211" s="39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</row>
    <row r="212" ht="15.75" hidden="1" customHeight="1" spans="1:19">
      <c r="A212" s="24">
        <v>45955</v>
      </c>
      <c r="B212" s="25">
        <v>45955</v>
      </c>
      <c r="C212" s="26"/>
      <c r="D212" s="26"/>
      <c r="E212" s="26"/>
      <c r="F212" s="26"/>
      <c r="G212" s="70">
        <f t="shared" si="0"/>
        <v>0</v>
      </c>
      <c r="H212" s="39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</row>
    <row r="213" ht="15.75" hidden="1" customHeight="1" spans="1:19">
      <c r="A213" s="24">
        <v>45956</v>
      </c>
      <c r="B213" s="25">
        <v>45956</v>
      </c>
      <c r="C213" s="26"/>
      <c r="D213" s="26"/>
      <c r="E213" s="26"/>
      <c r="F213" s="26"/>
      <c r="G213" s="70">
        <f t="shared" si="0"/>
        <v>0</v>
      </c>
      <c r="H213" s="39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</row>
    <row r="214" ht="15.75" hidden="1" customHeight="1" spans="1:19">
      <c r="A214" s="24">
        <v>45957</v>
      </c>
      <c r="B214" s="25">
        <v>45957</v>
      </c>
      <c r="C214" s="26"/>
      <c r="D214" s="26"/>
      <c r="E214" s="26"/>
      <c r="F214" s="26"/>
      <c r="G214" s="70">
        <f t="shared" si="0"/>
        <v>0</v>
      </c>
      <c r="H214" s="39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</row>
    <row r="215" ht="15.75" hidden="1" customHeight="1" spans="1:19">
      <c r="A215" s="24">
        <v>45958</v>
      </c>
      <c r="B215" s="25">
        <v>45958</v>
      </c>
      <c r="C215" s="26"/>
      <c r="D215" s="26"/>
      <c r="E215" s="26"/>
      <c r="F215" s="26"/>
      <c r="G215" s="70">
        <f t="shared" si="0"/>
        <v>0</v>
      </c>
      <c r="H215" s="39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</row>
    <row r="216" ht="15.75" hidden="1" customHeight="1" spans="1:19">
      <c r="A216" s="24">
        <v>45959</v>
      </c>
      <c r="B216" s="25">
        <v>45959</v>
      </c>
      <c r="C216" s="26"/>
      <c r="D216" s="26"/>
      <c r="E216" s="26"/>
      <c r="F216" s="26"/>
      <c r="G216" s="70">
        <f t="shared" si="0"/>
        <v>0</v>
      </c>
      <c r="H216" s="39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</row>
    <row r="217" ht="15.75" hidden="1" customHeight="1" spans="1:19">
      <c r="A217" s="24">
        <v>45960</v>
      </c>
      <c r="B217" s="25">
        <v>45960</v>
      </c>
      <c r="C217" s="26"/>
      <c r="D217" s="26"/>
      <c r="E217" s="26"/>
      <c r="F217" s="26"/>
      <c r="G217" s="70">
        <f t="shared" si="0"/>
        <v>0</v>
      </c>
      <c r="H217" s="39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</row>
    <row r="218" ht="15.75" hidden="1" customHeight="1" spans="1:19">
      <c r="A218" s="24">
        <v>45961</v>
      </c>
      <c r="B218" s="25">
        <v>45961</v>
      </c>
      <c r="C218" s="26"/>
      <c r="D218" s="26"/>
      <c r="E218" s="26"/>
      <c r="F218" s="26"/>
      <c r="G218" s="70">
        <f t="shared" si="0"/>
        <v>0</v>
      </c>
      <c r="H218" s="39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</row>
    <row r="219" ht="15.75" hidden="1" customHeight="1" spans="1:19">
      <c r="A219" s="24">
        <v>45962</v>
      </c>
      <c r="B219" s="25">
        <v>45962</v>
      </c>
      <c r="C219" s="26"/>
      <c r="D219" s="26"/>
      <c r="E219" s="26"/>
      <c r="F219" s="26"/>
      <c r="G219" s="70">
        <f t="shared" si="0"/>
        <v>0</v>
      </c>
      <c r="H219" s="39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</row>
    <row r="220" ht="15.75" hidden="1" customHeight="1" spans="1:19">
      <c r="A220" s="24">
        <v>45963</v>
      </c>
      <c r="B220" s="25">
        <v>45963</v>
      </c>
      <c r="C220" s="26"/>
      <c r="D220" s="26"/>
      <c r="E220" s="26"/>
      <c r="F220" s="26"/>
      <c r="G220" s="70">
        <f t="shared" si="0"/>
        <v>0</v>
      </c>
      <c r="H220" s="39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</row>
    <row r="221" ht="15.75" hidden="1" customHeight="1" spans="1:19">
      <c r="A221" s="24">
        <v>45964</v>
      </c>
      <c r="B221" s="25">
        <v>45964</v>
      </c>
      <c r="C221" s="26"/>
      <c r="D221" s="26"/>
      <c r="E221" s="26"/>
      <c r="F221" s="26"/>
      <c r="G221" s="70">
        <f t="shared" si="0"/>
        <v>0</v>
      </c>
      <c r="H221" s="39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</row>
    <row r="222" ht="15.75" hidden="1" customHeight="1" spans="1:19">
      <c r="A222" s="24">
        <v>45965</v>
      </c>
      <c r="B222" s="25">
        <v>45965</v>
      </c>
      <c r="C222" s="26"/>
      <c r="D222" s="26"/>
      <c r="E222" s="26"/>
      <c r="F222" s="26"/>
      <c r="G222" s="70">
        <f t="shared" si="0"/>
        <v>0</v>
      </c>
      <c r="H222" s="39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</row>
    <row r="223" ht="15.75" hidden="1" customHeight="1" spans="1:19">
      <c r="A223" s="24">
        <v>45966</v>
      </c>
      <c r="B223" s="25">
        <v>45966</v>
      </c>
      <c r="C223" s="26"/>
      <c r="D223" s="26"/>
      <c r="E223" s="26"/>
      <c r="F223" s="26"/>
      <c r="G223" s="70">
        <f t="shared" si="0"/>
        <v>0</v>
      </c>
      <c r="H223" s="39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</row>
    <row r="224" ht="15.75" hidden="1" customHeight="1" spans="1:19">
      <c r="A224" s="24">
        <v>45967</v>
      </c>
      <c r="B224" s="25">
        <v>45967</v>
      </c>
      <c r="C224" s="26"/>
      <c r="D224" s="26"/>
      <c r="E224" s="26"/>
      <c r="F224" s="26"/>
      <c r="G224" s="70">
        <f t="shared" si="0"/>
        <v>0</v>
      </c>
      <c r="H224" s="39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</row>
    <row r="225" ht="15.75" hidden="1" customHeight="1" spans="1:19">
      <c r="A225" s="24">
        <v>45968</v>
      </c>
      <c r="B225" s="25">
        <v>45968</v>
      </c>
      <c r="C225" s="26"/>
      <c r="D225" s="26"/>
      <c r="E225" s="26"/>
      <c r="F225" s="26"/>
      <c r="G225" s="70">
        <f t="shared" si="0"/>
        <v>0</v>
      </c>
      <c r="H225" s="39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</row>
    <row r="226" ht="15.75" hidden="1" customHeight="1" spans="1:19">
      <c r="A226" s="24">
        <v>45969</v>
      </c>
      <c r="B226" s="25">
        <v>45969</v>
      </c>
      <c r="C226" s="26"/>
      <c r="D226" s="26"/>
      <c r="E226" s="26"/>
      <c r="F226" s="26"/>
      <c r="G226" s="70">
        <f t="shared" si="0"/>
        <v>0</v>
      </c>
      <c r="H226" s="39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</row>
    <row r="227" ht="15.75" hidden="1" customHeight="1" spans="1:19">
      <c r="A227" s="24">
        <v>45970</v>
      </c>
      <c r="B227" s="25">
        <v>45970</v>
      </c>
      <c r="C227" s="26"/>
      <c r="D227" s="26"/>
      <c r="E227" s="26"/>
      <c r="F227" s="26"/>
      <c r="G227" s="70">
        <f t="shared" si="0"/>
        <v>0</v>
      </c>
      <c r="H227" s="39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</row>
    <row r="228" ht="15.75" hidden="1" customHeight="1" spans="1:19">
      <c r="A228" s="24">
        <v>45971</v>
      </c>
      <c r="B228" s="25">
        <v>45971</v>
      </c>
      <c r="C228" s="26"/>
      <c r="D228" s="26"/>
      <c r="E228" s="26"/>
      <c r="F228" s="26"/>
      <c r="G228" s="70">
        <f t="shared" si="0"/>
        <v>0</v>
      </c>
      <c r="H228" s="39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</row>
    <row r="229" ht="15.75" hidden="1" customHeight="1" spans="1:19">
      <c r="A229" s="24">
        <v>45972</v>
      </c>
      <c r="B229" s="25">
        <v>45972</v>
      </c>
      <c r="C229" s="26"/>
      <c r="D229" s="26"/>
      <c r="E229" s="26"/>
      <c r="F229" s="26"/>
      <c r="G229" s="70">
        <f t="shared" si="0"/>
        <v>0</v>
      </c>
      <c r="H229" s="39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</row>
    <row r="230" ht="15.75" hidden="1" customHeight="1" spans="1:19">
      <c r="A230" s="24">
        <v>45973</v>
      </c>
      <c r="B230" s="25">
        <v>45973</v>
      </c>
      <c r="C230" s="26"/>
      <c r="D230" s="26"/>
      <c r="E230" s="26"/>
      <c r="F230" s="26"/>
      <c r="G230" s="70">
        <f t="shared" si="0"/>
        <v>0</v>
      </c>
      <c r="H230" s="39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</row>
    <row r="231" ht="15.75" hidden="1" customHeight="1" spans="1:19">
      <c r="A231" s="24">
        <v>45974</v>
      </c>
      <c r="B231" s="25">
        <v>45974</v>
      </c>
      <c r="C231" s="26"/>
      <c r="D231" s="26"/>
      <c r="E231" s="26"/>
      <c r="F231" s="26"/>
      <c r="G231" s="70">
        <f t="shared" si="0"/>
        <v>0</v>
      </c>
      <c r="H231" s="39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</row>
    <row r="232" ht="15.75" hidden="1" customHeight="1" spans="1:19">
      <c r="A232" s="24">
        <v>45975</v>
      </c>
      <c r="B232" s="25">
        <v>45975</v>
      </c>
      <c r="C232" s="26"/>
      <c r="D232" s="26"/>
      <c r="E232" s="26"/>
      <c r="F232" s="26"/>
      <c r="G232" s="70">
        <f t="shared" si="0"/>
        <v>0</v>
      </c>
      <c r="H232" s="39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</row>
    <row r="233" ht="15.75" hidden="1" customHeight="1" spans="1:19">
      <c r="A233" s="24">
        <v>45976</v>
      </c>
      <c r="B233" s="25">
        <v>45976</v>
      </c>
      <c r="C233" s="26"/>
      <c r="D233" s="26"/>
      <c r="E233" s="26"/>
      <c r="F233" s="26"/>
      <c r="G233" s="70">
        <f t="shared" si="0"/>
        <v>0</v>
      </c>
      <c r="H233" s="39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</row>
    <row r="234" ht="15.75" hidden="1" customHeight="1" spans="1:19">
      <c r="A234" s="24">
        <v>45977</v>
      </c>
      <c r="B234" s="25">
        <v>45977</v>
      </c>
      <c r="C234" s="26"/>
      <c r="D234" s="26"/>
      <c r="E234" s="26"/>
      <c r="F234" s="26"/>
      <c r="G234" s="70">
        <f t="shared" si="0"/>
        <v>0</v>
      </c>
      <c r="H234" s="39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</row>
    <row r="235" ht="15.75" hidden="1" customHeight="1" spans="1:19">
      <c r="A235" s="24">
        <v>45978</v>
      </c>
      <c r="B235" s="25">
        <v>45978</v>
      </c>
      <c r="C235" s="26"/>
      <c r="D235" s="26"/>
      <c r="E235" s="26"/>
      <c r="F235" s="26"/>
      <c r="G235" s="70">
        <f t="shared" si="0"/>
        <v>0</v>
      </c>
      <c r="H235" s="39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</row>
    <row r="236" ht="15.75" hidden="1" customHeight="1" spans="1:19">
      <c r="A236" s="24">
        <v>45979</v>
      </c>
      <c r="B236" s="25">
        <v>45979</v>
      </c>
      <c r="C236" s="26"/>
      <c r="D236" s="26"/>
      <c r="E236" s="26"/>
      <c r="F236" s="26"/>
      <c r="G236" s="70">
        <f t="shared" si="0"/>
        <v>0</v>
      </c>
      <c r="H236" s="39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</row>
    <row r="237" ht="15.75" hidden="1" customHeight="1" spans="1:19">
      <c r="A237" s="24">
        <v>45980</v>
      </c>
      <c r="B237" s="25">
        <v>45980</v>
      </c>
      <c r="C237" s="26"/>
      <c r="D237" s="26"/>
      <c r="E237" s="26"/>
      <c r="F237" s="26"/>
      <c r="G237" s="70">
        <f t="shared" si="0"/>
        <v>0</v>
      </c>
      <c r="H237" s="39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</row>
    <row r="238" ht="15.75" hidden="1" customHeight="1" spans="1:19">
      <c r="A238" s="24">
        <v>45981</v>
      </c>
      <c r="B238" s="25">
        <v>45981</v>
      </c>
      <c r="C238" s="26"/>
      <c r="D238" s="26"/>
      <c r="E238" s="26"/>
      <c r="F238" s="26"/>
      <c r="G238" s="70">
        <f t="shared" si="0"/>
        <v>0</v>
      </c>
      <c r="H238" s="39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</row>
    <row r="239" ht="15.75" hidden="1" customHeight="1" spans="1:19">
      <c r="A239" s="24">
        <v>45982</v>
      </c>
      <c r="B239" s="25">
        <v>45982</v>
      </c>
      <c r="C239" s="26"/>
      <c r="D239" s="26"/>
      <c r="E239" s="26"/>
      <c r="F239" s="26"/>
      <c r="G239" s="70">
        <f t="shared" si="0"/>
        <v>0</v>
      </c>
      <c r="H239" s="39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</row>
    <row r="240" ht="15.75" hidden="1" customHeight="1" spans="1:19">
      <c r="A240" s="24">
        <v>45983</v>
      </c>
      <c r="B240" s="25">
        <v>45983</v>
      </c>
      <c r="C240" s="26"/>
      <c r="D240" s="26"/>
      <c r="E240" s="26"/>
      <c r="F240" s="26"/>
      <c r="G240" s="70">
        <f t="shared" si="0"/>
        <v>0</v>
      </c>
      <c r="H240" s="39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</row>
    <row r="241" ht="15.75" hidden="1" customHeight="1" spans="1:19">
      <c r="A241" s="24">
        <v>45984</v>
      </c>
      <c r="B241" s="25">
        <v>45984</v>
      </c>
      <c r="C241" s="26"/>
      <c r="D241" s="26"/>
      <c r="E241" s="26"/>
      <c r="F241" s="26"/>
      <c r="G241" s="70">
        <f t="shared" ref="G241:G304" si="1">F241-E241</f>
        <v>0</v>
      </c>
      <c r="H241" s="39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</row>
    <row r="242" ht="15.75" hidden="1" customHeight="1" spans="1:19">
      <c r="A242" s="24">
        <v>45985</v>
      </c>
      <c r="B242" s="25">
        <v>45985</v>
      </c>
      <c r="C242" s="26"/>
      <c r="D242" s="26"/>
      <c r="E242" s="26"/>
      <c r="F242" s="26"/>
      <c r="G242" s="70">
        <f t="shared" si="1"/>
        <v>0</v>
      </c>
      <c r="H242" s="39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</row>
    <row r="243" ht="15.75" hidden="1" customHeight="1" spans="1:19">
      <c r="A243" s="24">
        <v>45986</v>
      </c>
      <c r="B243" s="25">
        <v>45986</v>
      </c>
      <c r="C243" s="26"/>
      <c r="D243" s="26"/>
      <c r="E243" s="26"/>
      <c r="F243" s="26"/>
      <c r="G243" s="70">
        <f t="shared" si="1"/>
        <v>0</v>
      </c>
      <c r="H243" s="39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</row>
    <row r="244" ht="15.75" hidden="1" customHeight="1" spans="1:19">
      <c r="A244" s="24">
        <v>45987</v>
      </c>
      <c r="B244" s="25">
        <v>45987</v>
      </c>
      <c r="C244" s="26"/>
      <c r="D244" s="26"/>
      <c r="E244" s="26"/>
      <c r="F244" s="26"/>
      <c r="G244" s="70">
        <f t="shared" si="1"/>
        <v>0</v>
      </c>
      <c r="H244" s="39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</row>
    <row r="245" ht="15.75" hidden="1" customHeight="1" spans="1:19">
      <c r="A245" s="24">
        <v>45988</v>
      </c>
      <c r="B245" s="25">
        <v>45988</v>
      </c>
      <c r="C245" s="26"/>
      <c r="D245" s="26"/>
      <c r="E245" s="26"/>
      <c r="F245" s="26"/>
      <c r="G245" s="70">
        <f t="shared" si="1"/>
        <v>0</v>
      </c>
      <c r="H245" s="39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</row>
    <row r="246" ht="15.75" hidden="1" customHeight="1" spans="1:19">
      <c r="A246" s="24">
        <v>45989</v>
      </c>
      <c r="B246" s="25">
        <v>45989</v>
      </c>
      <c r="C246" s="26"/>
      <c r="D246" s="26"/>
      <c r="E246" s="26"/>
      <c r="F246" s="26"/>
      <c r="G246" s="70">
        <f t="shared" si="1"/>
        <v>0</v>
      </c>
      <c r="H246" s="39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</row>
    <row r="247" ht="15.75" hidden="1" customHeight="1" spans="1:19">
      <c r="A247" s="24">
        <v>45990</v>
      </c>
      <c r="B247" s="25">
        <v>45990</v>
      </c>
      <c r="C247" s="26"/>
      <c r="D247" s="26"/>
      <c r="E247" s="26"/>
      <c r="F247" s="26"/>
      <c r="G247" s="70">
        <f t="shared" si="1"/>
        <v>0</v>
      </c>
      <c r="H247" s="39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</row>
    <row r="248" ht="15.75" hidden="1" customHeight="1" spans="1:19">
      <c r="A248" s="24">
        <v>45991</v>
      </c>
      <c r="B248" s="25">
        <v>45991</v>
      </c>
      <c r="C248" s="26"/>
      <c r="D248" s="26"/>
      <c r="E248" s="26"/>
      <c r="F248" s="26"/>
      <c r="G248" s="70">
        <f t="shared" si="1"/>
        <v>0</v>
      </c>
      <c r="H248" s="39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</row>
    <row r="249" ht="15.75" hidden="1" customHeight="1" spans="1:19">
      <c r="A249" s="24">
        <v>45992</v>
      </c>
      <c r="B249" s="25">
        <v>45992</v>
      </c>
      <c r="C249" s="26"/>
      <c r="D249" s="26"/>
      <c r="E249" s="26"/>
      <c r="F249" s="26"/>
      <c r="G249" s="70">
        <f t="shared" si="1"/>
        <v>0</v>
      </c>
      <c r="H249" s="39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</row>
    <row r="250" ht="15.75" hidden="1" customHeight="1" spans="1:19">
      <c r="A250" s="24">
        <v>45993</v>
      </c>
      <c r="B250" s="25">
        <v>45993</v>
      </c>
      <c r="C250" s="26"/>
      <c r="D250" s="26"/>
      <c r="E250" s="26"/>
      <c r="F250" s="26"/>
      <c r="G250" s="70">
        <f t="shared" si="1"/>
        <v>0</v>
      </c>
      <c r="H250" s="39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</row>
    <row r="251" ht="15.75" hidden="1" customHeight="1" spans="1:19">
      <c r="A251" s="24">
        <v>45994</v>
      </c>
      <c r="B251" s="25">
        <v>45994</v>
      </c>
      <c r="C251" s="26"/>
      <c r="D251" s="26"/>
      <c r="E251" s="26"/>
      <c r="F251" s="26"/>
      <c r="G251" s="70">
        <f t="shared" si="1"/>
        <v>0</v>
      </c>
      <c r="H251" s="39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</row>
    <row r="252" ht="15.75" hidden="1" customHeight="1" spans="1:19">
      <c r="A252" s="24">
        <v>45995</v>
      </c>
      <c r="B252" s="25">
        <v>45995</v>
      </c>
      <c r="C252" s="26"/>
      <c r="D252" s="26"/>
      <c r="E252" s="26"/>
      <c r="F252" s="26"/>
      <c r="G252" s="70">
        <f t="shared" si="1"/>
        <v>0</v>
      </c>
      <c r="H252" s="39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</row>
    <row r="253" ht="15.75" hidden="1" customHeight="1" spans="1:19">
      <c r="A253" s="24">
        <v>45996</v>
      </c>
      <c r="B253" s="25">
        <v>45996</v>
      </c>
      <c r="C253" s="26"/>
      <c r="D253" s="26"/>
      <c r="E253" s="26"/>
      <c r="F253" s="26"/>
      <c r="G253" s="70">
        <f t="shared" si="1"/>
        <v>0</v>
      </c>
      <c r="H253" s="39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</row>
    <row r="254" ht="15.75" hidden="1" customHeight="1" spans="1:19">
      <c r="A254" s="24">
        <v>45997</v>
      </c>
      <c r="B254" s="25">
        <v>45997</v>
      </c>
      <c r="C254" s="26"/>
      <c r="D254" s="26"/>
      <c r="E254" s="26"/>
      <c r="F254" s="26"/>
      <c r="G254" s="70">
        <f t="shared" si="1"/>
        <v>0</v>
      </c>
      <c r="H254" s="39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</row>
    <row r="255" ht="15.75" hidden="1" customHeight="1" spans="1:19">
      <c r="A255" s="24">
        <v>45998</v>
      </c>
      <c r="B255" s="25">
        <v>45998</v>
      </c>
      <c r="C255" s="26"/>
      <c r="D255" s="26"/>
      <c r="E255" s="26"/>
      <c r="F255" s="26"/>
      <c r="G255" s="70">
        <f t="shared" si="1"/>
        <v>0</v>
      </c>
      <c r="H255" s="39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</row>
    <row r="256" ht="15.75" hidden="1" customHeight="1" spans="1:19">
      <c r="A256" s="24">
        <v>45999</v>
      </c>
      <c r="B256" s="25">
        <v>45999</v>
      </c>
      <c r="C256" s="26"/>
      <c r="D256" s="26"/>
      <c r="E256" s="26"/>
      <c r="F256" s="26"/>
      <c r="G256" s="70">
        <f t="shared" si="1"/>
        <v>0</v>
      </c>
      <c r="H256" s="39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</row>
    <row r="257" ht="15.75" hidden="1" customHeight="1" spans="1:19">
      <c r="A257" s="24">
        <v>46000</v>
      </c>
      <c r="B257" s="25">
        <v>46000</v>
      </c>
      <c r="C257" s="26"/>
      <c r="D257" s="26"/>
      <c r="E257" s="26"/>
      <c r="F257" s="26"/>
      <c r="G257" s="70">
        <f t="shared" si="1"/>
        <v>0</v>
      </c>
      <c r="H257" s="39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</row>
    <row r="258" ht="15.75" hidden="1" customHeight="1" spans="1:19">
      <c r="A258" s="24">
        <v>46001</v>
      </c>
      <c r="B258" s="25">
        <v>46001</v>
      </c>
      <c r="C258" s="26"/>
      <c r="D258" s="26"/>
      <c r="E258" s="26"/>
      <c r="F258" s="26"/>
      <c r="G258" s="70">
        <f t="shared" si="1"/>
        <v>0</v>
      </c>
      <c r="H258" s="39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</row>
    <row r="259" ht="15.75" hidden="1" customHeight="1" spans="1:19">
      <c r="A259" s="24">
        <v>46002</v>
      </c>
      <c r="B259" s="25">
        <v>46002</v>
      </c>
      <c r="C259" s="26"/>
      <c r="D259" s="26"/>
      <c r="E259" s="26"/>
      <c r="F259" s="26"/>
      <c r="G259" s="70">
        <f t="shared" si="1"/>
        <v>0</v>
      </c>
      <c r="H259" s="39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</row>
    <row r="260" ht="15.75" hidden="1" customHeight="1" spans="1:19">
      <c r="A260" s="24">
        <v>46003</v>
      </c>
      <c r="B260" s="25">
        <v>46003</v>
      </c>
      <c r="C260" s="26"/>
      <c r="D260" s="26"/>
      <c r="E260" s="26"/>
      <c r="F260" s="26"/>
      <c r="G260" s="70">
        <f t="shared" si="1"/>
        <v>0</v>
      </c>
      <c r="H260" s="39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</row>
    <row r="261" ht="15.75" hidden="1" customHeight="1" spans="1:19">
      <c r="A261" s="24">
        <v>46004</v>
      </c>
      <c r="B261" s="25">
        <v>46004</v>
      </c>
      <c r="C261" s="26"/>
      <c r="D261" s="26"/>
      <c r="E261" s="26"/>
      <c r="F261" s="26"/>
      <c r="G261" s="70">
        <f t="shared" si="1"/>
        <v>0</v>
      </c>
      <c r="H261" s="39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</row>
    <row r="262" ht="15.75" hidden="1" customHeight="1" spans="1:19">
      <c r="A262" s="24">
        <v>46005</v>
      </c>
      <c r="B262" s="25">
        <v>46005</v>
      </c>
      <c r="C262" s="26"/>
      <c r="D262" s="26"/>
      <c r="E262" s="26"/>
      <c r="F262" s="26"/>
      <c r="G262" s="70">
        <f t="shared" si="1"/>
        <v>0</v>
      </c>
      <c r="H262" s="39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</row>
    <row r="263" ht="15.75" hidden="1" customHeight="1" spans="1:19">
      <c r="A263" s="24">
        <v>46006</v>
      </c>
      <c r="B263" s="25">
        <v>46006</v>
      </c>
      <c r="C263" s="26"/>
      <c r="D263" s="26"/>
      <c r="E263" s="26"/>
      <c r="F263" s="26"/>
      <c r="G263" s="70">
        <f t="shared" si="1"/>
        <v>0</v>
      </c>
      <c r="H263" s="39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</row>
    <row r="264" ht="15.75" hidden="1" customHeight="1" spans="1:19">
      <c r="A264" s="24">
        <v>46007</v>
      </c>
      <c r="B264" s="25">
        <v>46007</v>
      </c>
      <c r="C264" s="26"/>
      <c r="D264" s="26"/>
      <c r="E264" s="26"/>
      <c r="F264" s="26"/>
      <c r="G264" s="70">
        <f t="shared" si="1"/>
        <v>0</v>
      </c>
      <c r="H264" s="39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</row>
    <row r="265" ht="15.75" hidden="1" customHeight="1" spans="1:19">
      <c r="A265" s="24">
        <v>46008</v>
      </c>
      <c r="B265" s="25">
        <v>46008</v>
      </c>
      <c r="C265" s="26"/>
      <c r="D265" s="26"/>
      <c r="E265" s="26"/>
      <c r="F265" s="26"/>
      <c r="G265" s="70">
        <f t="shared" si="1"/>
        <v>0</v>
      </c>
      <c r="H265" s="39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</row>
    <row r="266" ht="15.75" hidden="1" customHeight="1" spans="1:19">
      <c r="A266" s="24">
        <v>46009</v>
      </c>
      <c r="B266" s="25">
        <v>46009</v>
      </c>
      <c r="C266" s="26"/>
      <c r="D266" s="26"/>
      <c r="E266" s="26"/>
      <c r="F266" s="26"/>
      <c r="G266" s="70">
        <f t="shared" si="1"/>
        <v>0</v>
      </c>
      <c r="H266" s="39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</row>
    <row r="267" ht="15.75" hidden="1" customHeight="1" spans="1:19">
      <c r="A267" s="24">
        <v>46010</v>
      </c>
      <c r="B267" s="25">
        <v>46010</v>
      </c>
      <c r="C267" s="26"/>
      <c r="D267" s="26"/>
      <c r="E267" s="26"/>
      <c r="F267" s="26"/>
      <c r="G267" s="70">
        <f t="shared" si="1"/>
        <v>0</v>
      </c>
      <c r="H267" s="39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</row>
    <row r="268" ht="15.75" hidden="1" customHeight="1" spans="1:19">
      <c r="A268" s="24">
        <v>46011</v>
      </c>
      <c r="B268" s="25">
        <v>46011</v>
      </c>
      <c r="C268" s="26"/>
      <c r="D268" s="26"/>
      <c r="E268" s="26"/>
      <c r="F268" s="26"/>
      <c r="G268" s="70">
        <f t="shared" si="1"/>
        <v>0</v>
      </c>
      <c r="H268" s="39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</row>
    <row r="269" ht="15.75" hidden="1" customHeight="1" spans="1:19">
      <c r="A269" s="24">
        <v>46012</v>
      </c>
      <c r="B269" s="25">
        <v>46012</v>
      </c>
      <c r="C269" s="26"/>
      <c r="D269" s="26"/>
      <c r="E269" s="26"/>
      <c r="F269" s="26"/>
      <c r="G269" s="70">
        <f t="shared" si="1"/>
        <v>0</v>
      </c>
      <c r="H269" s="39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</row>
    <row r="270" ht="15.75" hidden="1" customHeight="1" spans="1:19">
      <c r="A270" s="24">
        <v>46013</v>
      </c>
      <c r="B270" s="25">
        <v>46013</v>
      </c>
      <c r="C270" s="26"/>
      <c r="D270" s="26"/>
      <c r="E270" s="26"/>
      <c r="F270" s="26"/>
      <c r="G270" s="70">
        <f t="shared" si="1"/>
        <v>0</v>
      </c>
      <c r="H270" s="39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</row>
    <row r="271" ht="15.75" hidden="1" customHeight="1" spans="1:19">
      <c r="A271" s="24">
        <v>46014</v>
      </c>
      <c r="B271" s="25">
        <v>46014</v>
      </c>
      <c r="C271" s="26"/>
      <c r="D271" s="26"/>
      <c r="E271" s="26"/>
      <c r="F271" s="26"/>
      <c r="G271" s="70">
        <f t="shared" si="1"/>
        <v>0</v>
      </c>
      <c r="H271" s="39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</row>
    <row r="272" ht="15.75" hidden="1" customHeight="1" spans="1:19">
      <c r="A272" s="24">
        <v>46015</v>
      </c>
      <c r="B272" s="25">
        <v>46015</v>
      </c>
      <c r="C272" s="26"/>
      <c r="D272" s="26"/>
      <c r="E272" s="26"/>
      <c r="F272" s="26"/>
      <c r="G272" s="70">
        <f t="shared" si="1"/>
        <v>0</v>
      </c>
      <c r="H272" s="39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</row>
    <row r="273" ht="15.75" hidden="1" customHeight="1" spans="1:19">
      <c r="A273" s="24">
        <v>46016</v>
      </c>
      <c r="B273" s="25">
        <v>46016</v>
      </c>
      <c r="C273" s="26"/>
      <c r="D273" s="26"/>
      <c r="E273" s="26"/>
      <c r="F273" s="26"/>
      <c r="G273" s="70">
        <f t="shared" si="1"/>
        <v>0</v>
      </c>
      <c r="H273" s="39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</row>
    <row r="274" ht="15.75" hidden="1" customHeight="1" spans="1:19">
      <c r="A274" s="24">
        <v>46017</v>
      </c>
      <c r="B274" s="25">
        <v>46017</v>
      </c>
      <c r="C274" s="26"/>
      <c r="D274" s="26"/>
      <c r="E274" s="26"/>
      <c r="F274" s="26"/>
      <c r="G274" s="70">
        <f t="shared" si="1"/>
        <v>0</v>
      </c>
      <c r="H274" s="39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</row>
    <row r="275" ht="15.75" hidden="1" customHeight="1" spans="1:19">
      <c r="A275" s="24">
        <v>46018</v>
      </c>
      <c r="B275" s="25">
        <v>46018</v>
      </c>
      <c r="C275" s="26"/>
      <c r="D275" s="26"/>
      <c r="E275" s="26"/>
      <c r="F275" s="26"/>
      <c r="G275" s="70">
        <f t="shared" si="1"/>
        <v>0</v>
      </c>
      <c r="H275" s="39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</row>
    <row r="276" ht="15.75" hidden="1" customHeight="1" spans="1:19">
      <c r="A276" s="24">
        <v>46019</v>
      </c>
      <c r="B276" s="25">
        <v>46019</v>
      </c>
      <c r="C276" s="26"/>
      <c r="D276" s="26"/>
      <c r="E276" s="26"/>
      <c r="F276" s="26"/>
      <c r="G276" s="70">
        <f t="shared" si="1"/>
        <v>0</v>
      </c>
      <c r="H276" s="39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</row>
    <row r="277" ht="15.75" hidden="1" customHeight="1" spans="1:19">
      <c r="A277" s="24">
        <v>46020</v>
      </c>
      <c r="B277" s="25">
        <v>46020</v>
      </c>
      <c r="C277" s="26"/>
      <c r="D277" s="26"/>
      <c r="E277" s="26"/>
      <c r="F277" s="26"/>
      <c r="G277" s="70">
        <f t="shared" si="1"/>
        <v>0</v>
      </c>
      <c r="H277" s="39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</row>
    <row r="278" ht="15.75" hidden="1" customHeight="1" spans="1:19">
      <c r="A278" s="24">
        <v>46021</v>
      </c>
      <c r="B278" s="25">
        <v>46021</v>
      </c>
      <c r="C278" s="26"/>
      <c r="D278" s="26"/>
      <c r="E278" s="26"/>
      <c r="F278" s="26"/>
      <c r="G278" s="70">
        <f t="shared" si="1"/>
        <v>0</v>
      </c>
      <c r="H278" s="39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</row>
    <row r="279" ht="15.75" hidden="1" customHeight="1" spans="1:19">
      <c r="A279" s="24">
        <v>46022</v>
      </c>
      <c r="B279" s="25">
        <v>46022</v>
      </c>
      <c r="C279" s="26"/>
      <c r="D279" s="26"/>
      <c r="E279" s="26"/>
      <c r="F279" s="26"/>
      <c r="G279" s="70">
        <f t="shared" si="1"/>
        <v>0</v>
      </c>
      <c r="H279" s="39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</row>
    <row r="280" ht="15.75" hidden="1" customHeight="1" spans="1:19">
      <c r="A280" s="24">
        <v>46023</v>
      </c>
      <c r="B280" s="25">
        <v>46023</v>
      </c>
      <c r="C280" s="26"/>
      <c r="D280" s="26"/>
      <c r="E280" s="26"/>
      <c r="F280" s="26"/>
      <c r="G280" s="70">
        <f t="shared" si="1"/>
        <v>0</v>
      </c>
      <c r="H280" s="39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</row>
    <row r="281" ht="15.75" hidden="1" customHeight="1" spans="1:19">
      <c r="A281" s="24">
        <v>46024</v>
      </c>
      <c r="B281" s="25">
        <v>46024</v>
      </c>
      <c r="C281" s="26"/>
      <c r="D281" s="26"/>
      <c r="E281" s="26"/>
      <c r="F281" s="26"/>
      <c r="G281" s="70">
        <f t="shared" si="1"/>
        <v>0</v>
      </c>
      <c r="H281" s="39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</row>
    <row r="282" ht="15.75" hidden="1" customHeight="1" spans="1:19">
      <c r="A282" s="24">
        <v>46025</v>
      </c>
      <c r="B282" s="25">
        <v>46025</v>
      </c>
      <c r="C282" s="26"/>
      <c r="D282" s="26"/>
      <c r="E282" s="26"/>
      <c r="F282" s="26"/>
      <c r="G282" s="70">
        <f t="shared" si="1"/>
        <v>0</v>
      </c>
      <c r="H282" s="39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</row>
    <row r="283" ht="15.75" hidden="1" customHeight="1" spans="1:19">
      <c r="A283" s="24">
        <v>46026</v>
      </c>
      <c r="B283" s="25">
        <v>46026</v>
      </c>
      <c r="C283" s="26"/>
      <c r="D283" s="26"/>
      <c r="E283" s="26"/>
      <c r="F283" s="26"/>
      <c r="G283" s="70">
        <f t="shared" si="1"/>
        <v>0</v>
      </c>
      <c r="H283" s="39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</row>
    <row r="284" ht="15.75" hidden="1" customHeight="1" spans="1:19">
      <c r="A284" s="24">
        <v>46027</v>
      </c>
      <c r="B284" s="25">
        <v>46027</v>
      </c>
      <c r="C284" s="26"/>
      <c r="D284" s="26"/>
      <c r="E284" s="26"/>
      <c r="F284" s="26"/>
      <c r="G284" s="70">
        <f t="shared" si="1"/>
        <v>0</v>
      </c>
      <c r="H284" s="39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</row>
    <row r="285" ht="15.75" hidden="1" customHeight="1" spans="1:19">
      <c r="A285" s="24">
        <v>46028</v>
      </c>
      <c r="B285" s="25">
        <v>46028</v>
      </c>
      <c r="C285" s="26"/>
      <c r="D285" s="26"/>
      <c r="E285" s="26"/>
      <c r="F285" s="26"/>
      <c r="G285" s="70">
        <f t="shared" si="1"/>
        <v>0</v>
      </c>
      <c r="H285" s="39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</row>
    <row r="286" ht="15.75" hidden="1" customHeight="1" spans="1:19">
      <c r="A286" s="24">
        <v>46029</v>
      </c>
      <c r="B286" s="25">
        <v>46029</v>
      </c>
      <c r="C286" s="26"/>
      <c r="D286" s="26"/>
      <c r="E286" s="26"/>
      <c r="F286" s="26"/>
      <c r="G286" s="70">
        <f t="shared" si="1"/>
        <v>0</v>
      </c>
      <c r="H286" s="39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</row>
    <row r="287" ht="15.75" hidden="1" customHeight="1" spans="1:19">
      <c r="A287" s="24">
        <v>46030</v>
      </c>
      <c r="B287" s="25">
        <v>46030</v>
      </c>
      <c r="C287" s="26"/>
      <c r="D287" s="26"/>
      <c r="E287" s="26"/>
      <c r="F287" s="26"/>
      <c r="G287" s="70">
        <f t="shared" si="1"/>
        <v>0</v>
      </c>
      <c r="H287" s="39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</row>
    <row r="288" ht="15.75" hidden="1" customHeight="1" spans="1:19">
      <c r="A288" s="24">
        <v>46031</v>
      </c>
      <c r="B288" s="25">
        <v>46031</v>
      </c>
      <c r="C288" s="26"/>
      <c r="D288" s="26"/>
      <c r="E288" s="26"/>
      <c r="F288" s="26"/>
      <c r="G288" s="70">
        <f t="shared" si="1"/>
        <v>0</v>
      </c>
      <c r="H288" s="39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</row>
    <row r="289" ht="15.75" hidden="1" customHeight="1" spans="1:19">
      <c r="A289" s="24">
        <v>46032</v>
      </c>
      <c r="B289" s="25">
        <v>46032</v>
      </c>
      <c r="C289" s="26"/>
      <c r="D289" s="26"/>
      <c r="E289" s="26"/>
      <c r="F289" s="26"/>
      <c r="G289" s="70">
        <f t="shared" si="1"/>
        <v>0</v>
      </c>
      <c r="H289" s="39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</row>
    <row r="290" ht="15.75" hidden="1" customHeight="1" spans="1:19">
      <c r="A290" s="24">
        <v>46033</v>
      </c>
      <c r="B290" s="25">
        <v>46033</v>
      </c>
      <c r="C290" s="26"/>
      <c r="D290" s="26"/>
      <c r="E290" s="26"/>
      <c r="F290" s="26"/>
      <c r="G290" s="70">
        <f t="shared" si="1"/>
        <v>0</v>
      </c>
      <c r="H290" s="39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</row>
    <row r="291" ht="15.75" hidden="1" customHeight="1" spans="1:19">
      <c r="A291" s="24">
        <v>46034</v>
      </c>
      <c r="B291" s="25">
        <v>46034</v>
      </c>
      <c r="C291" s="26"/>
      <c r="D291" s="26"/>
      <c r="E291" s="26"/>
      <c r="F291" s="26"/>
      <c r="G291" s="70">
        <f t="shared" si="1"/>
        <v>0</v>
      </c>
      <c r="H291" s="39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</row>
    <row r="292" ht="15.75" hidden="1" customHeight="1" spans="1:19">
      <c r="A292" s="24">
        <v>46035</v>
      </c>
      <c r="B292" s="25">
        <v>46035</v>
      </c>
      <c r="C292" s="26"/>
      <c r="D292" s="26"/>
      <c r="E292" s="26"/>
      <c r="F292" s="26"/>
      <c r="G292" s="70">
        <f t="shared" si="1"/>
        <v>0</v>
      </c>
      <c r="H292" s="39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</row>
    <row r="293" ht="15.75" hidden="1" customHeight="1" spans="1:19">
      <c r="A293" s="24">
        <v>46036</v>
      </c>
      <c r="B293" s="25">
        <v>46036</v>
      </c>
      <c r="C293" s="26"/>
      <c r="D293" s="26"/>
      <c r="E293" s="26"/>
      <c r="F293" s="26"/>
      <c r="G293" s="70">
        <f t="shared" si="1"/>
        <v>0</v>
      </c>
      <c r="H293" s="39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</row>
    <row r="294" ht="15.75" hidden="1" customHeight="1" spans="1:19">
      <c r="A294" s="24">
        <v>46037</v>
      </c>
      <c r="B294" s="25">
        <v>46037</v>
      </c>
      <c r="C294" s="26"/>
      <c r="D294" s="26"/>
      <c r="E294" s="26"/>
      <c r="F294" s="26"/>
      <c r="G294" s="70">
        <f t="shared" si="1"/>
        <v>0</v>
      </c>
      <c r="H294" s="39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</row>
    <row r="295" ht="15.75" hidden="1" customHeight="1" spans="1:19">
      <c r="A295" s="24">
        <v>46038</v>
      </c>
      <c r="B295" s="25">
        <v>46038</v>
      </c>
      <c r="C295" s="26"/>
      <c r="D295" s="26"/>
      <c r="E295" s="26"/>
      <c r="F295" s="26"/>
      <c r="G295" s="70">
        <f t="shared" si="1"/>
        <v>0</v>
      </c>
      <c r="H295" s="39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</row>
    <row r="296" ht="15.75" hidden="1" customHeight="1" spans="1:19">
      <c r="A296" s="24">
        <v>46039</v>
      </c>
      <c r="B296" s="25">
        <v>46039</v>
      </c>
      <c r="C296" s="26"/>
      <c r="D296" s="26"/>
      <c r="E296" s="26"/>
      <c r="F296" s="26"/>
      <c r="G296" s="70">
        <f t="shared" si="1"/>
        <v>0</v>
      </c>
      <c r="H296" s="39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</row>
    <row r="297" ht="15.75" hidden="1" customHeight="1" spans="1:19">
      <c r="A297" s="24">
        <v>46040</v>
      </c>
      <c r="B297" s="25">
        <v>46040</v>
      </c>
      <c r="C297" s="26"/>
      <c r="D297" s="26"/>
      <c r="E297" s="26"/>
      <c r="F297" s="26"/>
      <c r="G297" s="70">
        <f t="shared" si="1"/>
        <v>0</v>
      </c>
      <c r="H297" s="39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</row>
    <row r="298" ht="15.75" hidden="1" customHeight="1" spans="1:19">
      <c r="A298" s="24">
        <v>46041</v>
      </c>
      <c r="B298" s="25">
        <v>46041</v>
      </c>
      <c r="C298" s="26"/>
      <c r="D298" s="26"/>
      <c r="E298" s="26"/>
      <c r="F298" s="26"/>
      <c r="G298" s="70">
        <f t="shared" si="1"/>
        <v>0</v>
      </c>
      <c r="H298" s="39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</row>
    <row r="299" ht="15.75" hidden="1" customHeight="1" spans="1:19">
      <c r="A299" s="24">
        <v>46042</v>
      </c>
      <c r="B299" s="25">
        <v>46042</v>
      </c>
      <c r="C299" s="26"/>
      <c r="D299" s="26"/>
      <c r="E299" s="26"/>
      <c r="F299" s="26"/>
      <c r="G299" s="70">
        <f t="shared" si="1"/>
        <v>0</v>
      </c>
      <c r="H299" s="39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</row>
    <row r="300" ht="15.75" hidden="1" customHeight="1" spans="1:19">
      <c r="A300" s="24">
        <v>46043</v>
      </c>
      <c r="B300" s="25">
        <v>46043</v>
      </c>
      <c r="C300" s="26"/>
      <c r="D300" s="26"/>
      <c r="E300" s="26"/>
      <c r="F300" s="26"/>
      <c r="G300" s="70">
        <f t="shared" si="1"/>
        <v>0</v>
      </c>
      <c r="H300" s="39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</row>
    <row r="301" ht="15.75" hidden="1" customHeight="1" spans="1:19">
      <c r="A301" s="24">
        <v>46044</v>
      </c>
      <c r="B301" s="25">
        <v>46044</v>
      </c>
      <c r="C301" s="26"/>
      <c r="D301" s="26"/>
      <c r="E301" s="26"/>
      <c r="F301" s="26"/>
      <c r="G301" s="70">
        <f t="shared" si="1"/>
        <v>0</v>
      </c>
      <c r="H301" s="39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</row>
    <row r="302" ht="15.75" hidden="1" customHeight="1" spans="1:19">
      <c r="A302" s="24">
        <v>46045</v>
      </c>
      <c r="B302" s="25">
        <v>46045</v>
      </c>
      <c r="C302" s="26"/>
      <c r="D302" s="26"/>
      <c r="E302" s="26"/>
      <c r="F302" s="26"/>
      <c r="G302" s="70">
        <f t="shared" si="1"/>
        <v>0</v>
      </c>
      <c r="H302" s="39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</row>
    <row r="303" ht="15.75" hidden="1" customHeight="1" spans="1:19">
      <c r="A303" s="24">
        <v>46046</v>
      </c>
      <c r="B303" s="25">
        <v>46046</v>
      </c>
      <c r="C303" s="26"/>
      <c r="D303" s="26"/>
      <c r="E303" s="26"/>
      <c r="F303" s="26"/>
      <c r="G303" s="70">
        <f t="shared" si="1"/>
        <v>0</v>
      </c>
      <c r="H303" s="39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</row>
    <row r="304" ht="15.75" hidden="1" customHeight="1" spans="1:19">
      <c r="A304" s="24">
        <v>46047</v>
      </c>
      <c r="B304" s="25">
        <v>46047</v>
      </c>
      <c r="C304" s="26"/>
      <c r="D304" s="26"/>
      <c r="E304" s="26"/>
      <c r="F304" s="26"/>
      <c r="G304" s="70">
        <f t="shared" si="1"/>
        <v>0</v>
      </c>
      <c r="H304" s="39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</row>
    <row r="305" ht="15.75" hidden="1" customHeight="1" spans="1:19">
      <c r="A305" s="24">
        <v>46048</v>
      </c>
      <c r="B305" s="25">
        <v>46048</v>
      </c>
      <c r="C305" s="26"/>
      <c r="D305" s="26"/>
      <c r="E305" s="26"/>
      <c r="F305" s="26"/>
      <c r="G305" s="70">
        <f t="shared" ref="G305:G368" si="2">F305-E305</f>
        <v>0</v>
      </c>
      <c r="H305" s="39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</row>
    <row r="306" ht="15.75" hidden="1" customHeight="1" spans="1:19">
      <c r="A306" s="24">
        <v>46049</v>
      </c>
      <c r="B306" s="25">
        <v>46049</v>
      </c>
      <c r="C306" s="26"/>
      <c r="D306" s="26"/>
      <c r="E306" s="26"/>
      <c r="F306" s="26"/>
      <c r="G306" s="70">
        <f t="shared" si="2"/>
        <v>0</v>
      </c>
      <c r="H306" s="39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</row>
    <row r="307" ht="15.75" hidden="1" customHeight="1" spans="1:19">
      <c r="A307" s="24">
        <v>46050</v>
      </c>
      <c r="B307" s="25">
        <v>46050</v>
      </c>
      <c r="C307" s="26"/>
      <c r="D307" s="26"/>
      <c r="E307" s="26"/>
      <c r="F307" s="26"/>
      <c r="G307" s="70">
        <f t="shared" si="2"/>
        <v>0</v>
      </c>
      <c r="H307" s="39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</row>
    <row r="308" ht="15.75" hidden="1" customHeight="1" spans="1:19">
      <c r="A308" s="24">
        <v>46051</v>
      </c>
      <c r="B308" s="25">
        <v>46051</v>
      </c>
      <c r="C308" s="26"/>
      <c r="D308" s="26"/>
      <c r="E308" s="26"/>
      <c r="F308" s="26"/>
      <c r="G308" s="70">
        <f t="shared" si="2"/>
        <v>0</v>
      </c>
      <c r="H308" s="39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</row>
    <row r="309" ht="15.75" hidden="1" customHeight="1" spans="1:19">
      <c r="A309" s="24">
        <v>46052</v>
      </c>
      <c r="B309" s="25">
        <v>46052</v>
      </c>
      <c r="C309" s="26"/>
      <c r="D309" s="26"/>
      <c r="E309" s="26"/>
      <c r="F309" s="26"/>
      <c r="G309" s="70">
        <f t="shared" si="2"/>
        <v>0</v>
      </c>
      <c r="H309" s="39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</row>
    <row r="310" ht="15.75" hidden="1" customHeight="1" spans="1:19">
      <c r="A310" s="24">
        <v>46053</v>
      </c>
      <c r="B310" s="25">
        <v>46053</v>
      </c>
      <c r="C310" s="26"/>
      <c r="D310" s="26"/>
      <c r="E310" s="26"/>
      <c r="F310" s="26"/>
      <c r="G310" s="70">
        <f t="shared" si="2"/>
        <v>0</v>
      </c>
      <c r="H310" s="39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</row>
    <row r="311" ht="15.75" hidden="1" customHeight="1" spans="1:19">
      <c r="A311" s="24">
        <v>46054</v>
      </c>
      <c r="B311" s="25">
        <v>46054</v>
      </c>
      <c r="C311" s="26"/>
      <c r="D311" s="26"/>
      <c r="E311" s="26"/>
      <c r="F311" s="26"/>
      <c r="G311" s="70">
        <f t="shared" si="2"/>
        <v>0</v>
      </c>
      <c r="H311" s="39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</row>
    <row r="312" ht="15.75" hidden="1" customHeight="1" spans="1:19">
      <c r="A312" s="24">
        <v>46055</v>
      </c>
      <c r="B312" s="25">
        <v>46055</v>
      </c>
      <c r="C312" s="26"/>
      <c r="D312" s="26"/>
      <c r="E312" s="26"/>
      <c r="F312" s="26"/>
      <c r="G312" s="70">
        <f t="shared" si="2"/>
        <v>0</v>
      </c>
      <c r="H312" s="39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</row>
    <row r="313" ht="15.75" hidden="1" customHeight="1" spans="1:19">
      <c r="A313" s="24">
        <v>46056</v>
      </c>
      <c r="B313" s="25">
        <v>46056</v>
      </c>
      <c r="C313" s="26"/>
      <c r="D313" s="26"/>
      <c r="E313" s="26"/>
      <c r="F313" s="26"/>
      <c r="G313" s="70">
        <f t="shared" si="2"/>
        <v>0</v>
      </c>
      <c r="H313" s="39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</row>
    <row r="314" ht="15.75" hidden="1" customHeight="1" spans="1:19">
      <c r="A314" s="24">
        <v>46057</v>
      </c>
      <c r="B314" s="25">
        <v>46057</v>
      </c>
      <c r="C314" s="26"/>
      <c r="D314" s="26"/>
      <c r="E314" s="26"/>
      <c r="F314" s="26"/>
      <c r="G314" s="70">
        <f t="shared" si="2"/>
        <v>0</v>
      </c>
      <c r="H314" s="39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</row>
    <row r="315" ht="15.75" hidden="1" customHeight="1" spans="1:19">
      <c r="A315" s="24">
        <v>46058</v>
      </c>
      <c r="B315" s="25">
        <v>46058</v>
      </c>
      <c r="C315" s="26"/>
      <c r="D315" s="26"/>
      <c r="E315" s="26"/>
      <c r="F315" s="26"/>
      <c r="G315" s="70">
        <f t="shared" si="2"/>
        <v>0</v>
      </c>
      <c r="H315" s="39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</row>
    <row r="316" ht="15.75" hidden="1" customHeight="1" spans="1:19">
      <c r="A316" s="24">
        <v>46059</v>
      </c>
      <c r="B316" s="25">
        <v>46059</v>
      </c>
      <c r="C316" s="26"/>
      <c r="D316" s="26"/>
      <c r="E316" s="26"/>
      <c r="F316" s="26"/>
      <c r="G316" s="70">
        <f t="shared" si="2"/>
        <v>0</v>
      </c>
      <c r="H316" s="39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</row>
    <row r="317" ht="15.75" hidden="1" customHeight="1" spans="1:19">
      <c r="A317" s="24">
        <v>46060</v>
      </c>
      <c r="B317" s="25">
        <v>46060</v>
      </c>
      <c r="C317" s="26"/>
      <c r="D317" s="26"/>
      <c r="E317" s="26"/>
      <c r="F317" s="26"/>
      <c r="G317" s="70">
        <f t="shared" si="2"/>
        <v>0</v>
      </c>
      <c r="H317" s="39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</row>
    <row r="318" ht="15.75" hidden="1" customHeight="1" spans="1:19">
      <c r="A318" s="24">
        <v>46061</v>
      </c>
      <c r="B318" s="25">
        <v>46061</v>
      </c>
      <c r="C318" s="26"/>
      <c r="D318" s="26"/>
      <c r="E318" s="26"/>
      <c r="F318" s="26"/>
      <c r="G318" s="70">
        <f t="shared" si="2"/>
        <v>0</v>
      </c>
      <c r="H318" s="39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</row>
    <row r="319" ht="15.75" hidden="1" customHeight="1" spans="1:19">
      <c r="A319" s="24">
        <v>46062</v>
      </c>
      <c r="B319" s="25">
        <v>46062</v>
      </c>
      <c r="C319" s="26"/>
      <c r="D319" s="26"/>
      <c r="E319" s="26"/>
      <c r="F319" s="26"/>
      <c r="G319" s="70">
        <f t="shared" si="2"/>
        <v>0</v>
      </c>
      <c r="H319" s="39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</row>
    <row r="320" ht="15.75" hidden="1" customHeight="1" spans="1:19">
      <c r="A320" s="24">
        <v>46063</v>
      </c>
      <c r="B320" s="25">
        <v>46063</v>
      </c>
      <c r="C320" s="26"/>
      <c r="D320" s="26"/>
      <c r="E320" s="26"/>
      <c r="F320" s="26"/>
      <c r="G320" s="70">
        <f t="shared" si="2"/>
        <v>0</v>
      </c>
      <c r="H320" s="39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</row>
    <row r="321" ht="15.75" hidden="1" customHeight="1" spans="1:19">
      <c r="A321" s="24">
        <v>46064</v>
      </c>
      <c r="B321" s="25">
        <v>46064</v>
      </c>
      <c r="C321" s="26"/>
      <c r="D321" s="26"/>
      <c r="E321" s="26"/>
      <c r="F321" s="26"/>
      <c r="G321" s="70">
        <f t="shared" si="2"/>
        <v>0</v>
      </c>
      <c r="H321" s="39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</row>
    <row r="322" ht="15.75" hidden="1" customHeight="1" spans="1:19">
      <c r="A322" s="24">
        <v>46065</v>
      </c>
      <c r="B322" s="25">
        <v>46065</v>
      </c>
      <c r="C322" s="26"/>
      <c r="D322" s="26"/>
      <c r="E322" s="26"/>
      <c r="F322" s="26"/>
      <c r="G322" s="70">
        <f t="shared" si="2"/>
        <v>0</v>
      </c>
      <c r="H322" s="39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</row>
    <row r="323" ht="15.75" hidden="1" customHeight="1" spans="1:19">
      <c r="A323" s="24">
        <v>46066</v>
      </c>
      <c r="B323" s="25">
        <v>46066</v>
      </c>
      <c r="C323" s="26"/>
      <c r="D323" s="26"/>
      <c r="E323" s="26"/>
      <c r="F323" s="26"/>
      <c r="G323" s="70">
        <f t="shared" si="2"/>
        <v>0</v>
      </c>
      <c r="H323" s="39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</row>
    <row r="324" ht="15.75" hidden="1" customHeight="1" spans="1:19">
      <c r="A324" s="24">
        <v>46067</v>
      </c>
      <c r="B324" s="25">
        <v>46067</v>
      </c>
      <c r="C324" s="26"/>
      <c r="D324" s="26"/>
      <c r="E324" s="26"/>
      <c r="F324" s="26"/>
      <c r="G324" s="70">
        <f t="shared" si="2"/>
        <v>0</v>
      </c>
      <c r="H324" s="39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</row>
    <row r="325" ht="15.75" hidden="1" customHeight="1" spans="1:19">
      <c r="A325" s="24">
        <v>46068</v>
      </c>
      <c r="B325" s="25">
        <v>46068</v>
      </c>
      <c r="C325" s="26"/>
      <c r="D325" s="26"/>
      <c r="E325" s="26"/>
      <c r="F325" s="26"/>
      <c r="G325" s="70">
        <f t="shared" si="2"/>
        <v>0</v>
      </c>
      <c r="H325" s="39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</row>
    <row r="326" ht="15.75" hidden="1" customHeight="1" spans="1:19">
      <c r="A326" s="24">
        <v>46069</v>
      </c>
      <c r="B326" s="25">
        <v>46069</v>
      </c>
      <c r="C326" s="26"/>
      <c r="D326" s="26"/>
      <c r="E326" s="26"/>
      <c r="F326" s="26"/>
      <c r="G326" s="70">
        <f t="shared" si="2"/>
        <v>0</v>
      </c>
      <c r="H326" s="39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</row>
    <row r="327" ht="15.75" hidden="1" customHeight="1" spans="1:19">
      <c r="A327" s="24">
        <v>46070</v>
      </c>
      <c r="B327" s="25">
        <v>46070</v>
      </c>
      <c r="C327" s="26"/>
      <c r="D327" s="26"/>
      <c r="E327" s="26"/>
      <c r="F327" s="26"/>
      <c r="G327" s="70">
        <f t="shared" si="2"/>
        <v>0</v>
      </c>
      <c r="H327" s="39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</row>
    <row r="328" ht="15.75" hidden="1" customHeight="1" spans="1:19">
      <c r="A328" s="24">
        <v>46071</v>
      </c>
      <c r="B328" s="25">
        <v>46071</v>
      </c>
      <c r="C328" s="26"/>
      <c r="D328" s="26"/>
      <c r="E328" s="26"/>
      <c r="F328" s="26"/>
      <c r="G328" s="70">
        <f t="shared" si="2"/>
        <v>0</v>
      </c>
      <c r="H328" s="39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</row>
    <row r="329" ht="15.75" hidden="1" customHeight="1" spans="1:19">
      <c r="A329" s="24">
        <v>46072</v>
      </c>
      <c r="B329" s="25">
        <v>46072</v>
      </c>
      <c r="C329" s="26"/>
      <c r="D329" s="26"/>
      <c r="E329" s="26"/>
      <c r="F329" s="26"/>
      <c r="G329" s="70">
        <f t="shared" si="2"/>
        <v>0</v>
      </c>
      <c r="H329" s="39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</row>
    <row r="330" ht="15.75" hidden="1" customHeight="1" spans="1:19">
      <c r="A330" s="24">
        <v>46073</v>
      </c>
      <c r="B330" s="25">
        <v>46073</v>
      </c>
      <c r="C330" s="26"/>
      <c r="D330" s="26"/>
      <c r="E330" s="26"/>
      <c r="F330" s="26"/>
      <c r="G330" s="70">
        <f t="shared" si="2"/>
        <v>0</v>
      </c>
      <c r="H330" s="39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</row>
    <row r="331" ht="15.75" hidden="1" customHeight="1" spans="1:19">
      <c r="A331" s="24">
        <v>46074</v>
      </c>
      <c r="B331" s="25">
        <v>46074</v>
      </c>
      <c r="C331" s="26"/>
      <c r="D331" s="26"/>
      <c r="E331" s="26"/>
      <c r="F331" s="26"/>
      <c r="G331" s="70">
        <f t="shared" si="2"/>
        <v>0</v>
      </c>
      <c r="H331" s="39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</row>
    <row r="332" ht="15.75" hidden="1" customHeight="1" spans="1:19">
      <c r="A332" s="24">
        <v>46075</v>
      </c>
      <c r="B332" s="25">
        <v>46075</v>
      </c>
      <c r="C332" s="26"/>
      <c r="D332" s="26"/>
      <c r="E332" s="26"/>
      <c r="F332" s="26"/>
      <c r="G332" s="70">
        <f t="shared" si="2"/>
        <v>0</v>
      </c>
      <c r="H332" s="39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</row>
    <row r="333" ht="15.75" hidden="1" customHeight="1" spans="1:19">
      <c r="A333" s="24">
        <v>46076</v>
      </c>
      <c r="B333" s="25">
        <v>46076</v>
      </c>
      <c r="C333" s="26"/>
      <c r="D333" s="26"/>
      <c r="E333" s="26"/>
      <c r="F333" s="26"/>
      <c r="G333" s="70">
        <f t="shared" si="2"/>
        <v>0</v>
      </c>
      <c r="H333" s="39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</row>
    <row r="334" ht="15.75" hidden="1" customHeight="1" spans="1:19">
      <c r="A334" s="24">
        <v>46077</v>
      </c>
      <c r="B334" s="25">
        <v>46077</v>
      </c>
      <c r="C334" s="26"/>
      <c r="D334" s="26"/>
      <c r="E334" s="26"/>
      <c r="F334" s="26"/>
      <c r="G334" s="70">
        <f t="shared" si="2"/>
        <v>0</v>
      </c>
      <c r="H334" s="39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</row>
    <row r="335" ht="15.75" hidden="1" customHeight="1" spans="1:19">
      <c r="A335" s="24">
        <v>46078</v>
      </c>
      <c r="B335" s="25">
        <v>46078</v>
      </c>
      <c r="C335" s="26"/>
      <c r="D335" s="26"/>
      <c r="E335" s="26"/>
      <c r="F335" s="26"/>
      <c r="G335" s="70">
        <f t="shared" si="2"/>
        <v>0</v>
      </c>
      <c r="H335" s="39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</row>
    <row r="336" ht="15.75" hidden="1" customHeight="1" spans="1:19">
      <c r="A336" s="24">
        <v>46079</v>
      </c>
      <c r="B336" s="25">
        <v>46079</v>
      </c>
      <c r="C336" s="26"/>
      <c r="D336" s="26"/>
      <c r="E336" s="26"/>
      <c r="F336" s="26"/>
      <c r="G336" s="70">
        <f t="shared" si="2"/>
        <v>0</v>
      </c>
      <c r="H336" s="39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</row>
    <row r="337" ht="15.75" hidden="1" customHeight="1" spans="1:19">
      <c r="A337" s="24">
        <v>46080</v>
      </c>
      <c r="B337" s="25">
        <v>46080</v>
      </c>
      <c r="C337" s="26"/>
      <c r="D337" s="26"/>
      <c r="E337" s="26"/>
      <c r="F337" s="26"/>
      <c r="G337" s="70">
        <f t="shared" si="2"/>
        <v>0</v>
      </c>
      <c r="H337" s="39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</row>
    <row r="338" ht="15.75" hidden="1" customHeight="1" spans="1:19">
      <c r="A338" s="24">
        <v>46081</v>
      </c>
      <c r="B338" s="25">
        <v>46081</v>
      </c>
      <c r="C338" s="26"/>
      <c r="D338" s="26"/>
      <c r="E338" s="26"/>
      <c r="F338" s="26"/>
      <c r="G338" s="70">
        <f t="shared" si="2"/>
        <v>0</v>
      </c>
      <c r="H338" s="39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</row>
    <row r="339" ht="15.75" hidden="1" customHeight="1" spans="1:19">
      <c r="A339" s="24">
        <v>46082</v>
      </c>
      <c r="B339" s="25">
        <v>46082</v>
      </c>
      <c r="C339" s="26"/>
      <c r="D339" s="26"/>
      <c r="E339" s="26"/>
      <c r="F339" s="26"/>
      <c r="G339" s="70">
        <f t="shared" si="2"/>
        <v>0</v>
      </c>
      <c r="H339" s="39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</row>
    <row r="340" ht="15.75" hidden="1" customHeight="1" spans="1:19">
      <c r="A340" s="24">
        <v>46083</v>
      </c>
      <c r="B340" s="25">
        <v>46083</v>
      </c>
      <c r="C340" s="26"/>
      <c r="D340" s="26"/>
      <c r="E340" s="26"/>
      <c r="F340" s="26"/>
      <c r="G340" s="70">
        <f t="shared" si="2"/>
        <v>0</v>
      </c>
      <c r="H340" s="39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</row>
    <row r="341" ht="15.75" hidden="1" customHeight="1" spans="1:19">
      <c r="A341" s="24">
        <v>46084</v>
      </c>
      <c r="B341" s="25">
        <v>46084</v>
      </c>
      <c r="C341" s="26"/>
      <c r="D341" s="26"/>
      <c r="E341" s="26"/>
      <c r="F341" s="26"/>
      <c r="G341" s="70">
        <f t="shared" si="2"/>
        <v>0</v>
      </c>
      <c r="H341" s="39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</row>
    <row r="342" ht="15.75" hidden="1" customHeight="1" spans="1:19">
      <c r="A342" s="24">
        <v>46085</v>
      </c>
      <c r="B342" s="25">
        <v>46085</v>
      </c>
      <c r="C342" s="26"/>
      <c r="D342" s="26"/>
      <c r="E342" s="26"/>
      <c r="F342" s="26"/>
      <c r="G342" s="70">
        <f t="shared" si="2"/>
        <v>0</v>
      </c>
      <c r="H342" s="39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</row>
    <row r="343" ht="15.75" hidden="1" customHeight="1" spans="1:19">
      <c r="A343" s="24">
        <v>46086</v>
      </c>
      <c r="B343" s="25">
        <v>46086</v>
      </c>
      <c r="C343" s="26"/>
      <c r="D343" s="26"/>
      <c r="E343" s="26"/>
      <c r="F343" s="26"/>
      <c r="G343" s="70">
        <f t="shared" si="2"/>
        <v>0</v>
      </c>
      <c r="H343" s="39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</row>
    <row r="344" ht="15.75" hidden="1" customHeight="1" spans="1:19">
      <c r="A344" s="24">
        <v>46087</v>
      </c>
      <c r="B344" s="25">
        <v>46087</v>
      </c>
      <c r="C344" s="26"/>
      <c r="D344" s="26"/>
      <c r="E344" s="26"/>
      <c r="F344" s="26"/>
      <c r="G344" s="70">
        <f t="shared" si="2"/>
        <v>0</v>
      </c>
      <c r="H344" s="39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</row>
    <row r="345" ht="15.75" hidden="1" customHeight="1" spans="1:19">
      <c r="A345" s="24">
        <v>46088</v>
      </c>
      <c r="B345" s="25">
        <v>46088</v>
      </c>
      <c r="C345" s="26"/>
      <c r="D345" s="26"/>
      <c r="E345" s="26"/>
      <c r="F345" s="26"/>
      <c r="G345" s="70">
        <f t="shared" si="2"/>
        <v>0</v>
      </c>
      <c r="H345" s="39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</row>
    <row r="346" ht="15.75" hidden="1" customHeight="1" spans="1:19">
      <c r="A346" s="24">
        <v>46089</v>
      </c>
      <c r="B346" s="25">
        <v>46089</v>
      </c>
      <c r="C346" s="26"/>
      <c r="D346" s="26"/>
      <c r="E346" s="26"/>
      <c r="F346" s="26"/>
      <c r="G346" s="70">
        <f t="shared" si="2"/>
        <v>0</v>
      </c>
      <c r="H346" s="39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</row>
    <row r="347" ht="15.75" hidden="1" customHeight="1" spans="1:19">
      <c r="A347" s="24">
        <v>46090</v>
      </c>
      <c r="B347" s="25">
        <v>46090</v>
      </c>
      <c r="C347" s="26"/>
      <c r="D347" s="26"/>
      <c r="E347" s="26"/>
      <c r="F347" s="26"/>
      <c r="G347" s="70">
        <f t="shared" si="2"/>
        <v>0</v>
      </c>
      <c r="H347" s="39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</row>
    <row r="348" ht="15.75" hidden="1" customHeight="1" spans="1:19">
      <c r="A348" s="24">
        <v>46091</v>
      </c>
      <c r="B348" s="25">
        <v>46091</v>
      </c>
      <c r="C348" s="26"/>
      <c r="D348" s="26"/>
      <c r="E348" s="26"/>
      <c r="F348" s="26"/>
      <c r="G348" s="70">
        <f t="shared" si="2"/>
        <v>0</v>
      </c>
      <c r="H348" s="39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</row>
    <row r="349" ht="15.75" hidden="1" customHeight="1" spans="1:19">
      <c r="A349" s="24">
        <v>46092</v>
      </c>
      <c r="B349" s="25">
        <v>46092</v>
      </c>
      <c r="C349" s="26"/>
      <c r="D349" s="26"/>
      <c r="E349" s="26"/>
      <c r="F349" s="26"/>
      <c r="G349" s="70">
        <f t="shared" si="2"/>
        <v>0</v>
      </c>
      <c r="H349" s="39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</row>
    <row r="350" ht="15.75" hidden="1" customHeight="1" spans="1:19">
      <c r="A350" s="24">
        <v>46093</v>
      </c>
      <c r="B350" s="25">
        <v>46093</v>
      </c>
      <c r="C350" s="26"/>
      <c r="D350" s="26"/>
      <c r="E350" s="26"/>
      <c r="F350" s="26"/>
      <c r="G350" s="70">
        <f t="shared" si="2"/>
        <v>0</v>
      </c>
      <c r="H350" s="39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</row>
    <row r="351" ht="15.75" hidden="1" customHeight="1" spans="1:19">
      <c r="A351" s="24">
        <v>46094</v>
      </c>
      <c r="B351" s="25">
        <v>46094</v>
      </c>
      <c r="C351" s="26"/>
      <c r="D351" s="26"/>
      <c r="E351" s="26"/>
      <c r="F351" s="26"/>
      <c r="G351" s="70">
        <f t="shared" si="2"/>
        <v>0</v>
      </c>
      <c r="H351" s="39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</row>
    <row r="352" ht="15.75" hidden="1" customHeight="1" spans="1:19">
      <c r="A352" s="24">
        <v>46095</v>
      </c>
      <c r="B352" s="25">
        <v>46095</v>
      </c>
      <c r="C352" s="26"/>
      <c r="D352" s="26"/>
      <c r="E352" s="26"/>
      <c r="F352" s="26"/>
      <c r="G352" s="70">
        <f t="shared" si="2"/>
        <v>0</v>
      </c>
      <c r="H352" s="39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</row>
    <row r="353" ht="15.75" hidden="1" customHeight="1" spans="1:19">
      <c r="A353" s="24">
        <v>46096</v>
      </c>
      <c r="B353" s="25">
        <v>46096</v>
      </c>
      <c r="C353" s="26"/>
      <c r="D353" s="26"/>
      <c r="E353" s="26"/>
      <c r="F353" s="26"/>
      <c r="G353" s="70">
        <f t="shared" si="2"/>
        <v>0</v>
      </c>
      <c r="H353" s="39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</row>
    <row r="354" ht="15.75" hidden="1" customHeight="1" spans="1:19">
      <c r="A354" s="24">
        <v>46097</v>
      </c>
      <c r="B354" s="25">
        <v>46097</v>
      </c>
      <c r="C354" s="26"/>
      <c r="D354" s="26"/>
      <c r="E354" s="26"/>
      <c r="F354" s="26"/>
      <c r="G354" s="70">
        <f t="shared" si="2"/>
        <v>0</v>
      </c>
      <c r="H354" s="39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</row>
    <row r="355" ht="15.75" hidden="1" customHeight="1" spans="1:19">
      <c r="A355" s="24">
        <v>46098</v>
      </c>
      <c r="B355" s="25">
        <v>46098</v>
      </c>
      <c r="C355" s="26"/>
      <c r="D355" s="26"/>
      <c r="E355" s="26"/>
      <c r="F355" s="26"/>
      <c r="G355" s="70">
        <f t="shared" si="2"/>
        <v>0</v>
      </c>
      <c r="H355" s="39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</row>
    <row r="356" ht="15.75" hidden="1" customHeight="1" spans="1:19">
      <c r="A356" s="24">
        <v>46099</v>
      </c>
      <c r="B356" s="25">
        <v>46099</v>
      </c>
      <c r="C356" s="26"/>
      <c r="D356" s="26"/>
      <c r="E356" s="26"/>
      <c r="F356" s="26"/>
      <c r="G356" s="70">
        <f t="shared" si="2"/>
        <v>0</v>
      </c>
      <c r="H356" s="39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</row>
    <row r="357" ht="15.75" hidden="1" customHeight="1" spans="1:19">
      <c r="A357" s="24">
        <v>46100</v>
      </c>
      <c r="B357" s="25">
        <v>46100</v>
      </c>
      <c r="C357" s="26"/>
      <c r="D357" s="26"/>
      <c r="E357" s="26"/>
      <c r="F357" s="26"/>
      <c r="G357" s="70">
        <f t="shared" si="2"/>
        <v>0</v>
      </c>
      <c r="H357" s="39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</row>
    <row r="358" ht="15.75" hidden="1" customHeight="1" spans="1:19">
      <c r="A358" s="24">
        <v>46101</v>
      </c>
      <c r="B358" s="25">
        <v>46101</v>
      </c>
      <c r="C358" s="26"/>
      <c r="D358" s="26"/>
      <c r="E358" s="26"/>
      <c r="F358" s="26"/>
      <c r="G358" s="70">
        <f t="shared" si="2"/>
        <v>0</v>
      </c>
      <c r="H358" s="39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</row>
    <row r="359" ht="15.75" hidden="1" customHeight="1" spans="1:19">
      <c r="A359" s="24">
        <v>46102</v>
      </c>
      <c r="B359" s="25">
        <v>46102</v>
      </c>
      <c r="C359" s="26"/>
      <c r="D359" s="26"/>
      <c r="E359" s="26"/>
      <c r="F359" s="26"/>
      <c r="G359" s="70">
        <f t="shared" si="2"/>
        <v>0</v>
      </c>
      <c r="H359" s="39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</row>
    <row r="360" ht="15.75" hidden="1" customHeight="1" spans="1:19">
      <c r="A360" s="24">
        <v>46103</v>
      </c>
      <c r="B360" s="25">
        <v>46103</v>
      </c>
      <c r="C360" s="26"/>
      <c r="D360" s="26"/>
      <c r="E360" s="26"/>
      <c r="F360" s="26"/>
      <c r="G360" s="70">
        <f t="shared" si="2"/>
        <v>0</v>
      </c>
      <c r="H360" s="39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</row>
    <row r="361" ht="15.75" hidden="1" customHeight="1" spans="1:19">
      <c r="A361" s="24">
        <v>46104</v>
      </c>
      <c r="B361" s="25">
        <v>46104</v>
      </c>
      <c r="C361" s="26"/>
      <c r="D361" s="26"/>
      <c r="E361" s="26"/>
      <c r="F361" s="26"/>
      <c r="G361" s="70">
        <f t="shared" si="2"/>
        <v>0</v>
      </c>
      <c r="H361" s="39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</row>
    <row r="362" ht="15.75" hidden="1" customHeight="1" spans="1:19">
      <c r="A362" s="24">
        <v>46105</v>
      </c>
      <c r="B362" s="25">
        <v>46105</v>
      </c>
      <c r="C362" s="26"/>
      <c r="D362" s="26"/>
      <c r="E362" s="26"/>
      <c r="F362" s="26"/>
      <c r="G362" s="70">
        <f t="shared" si="2"/>
        <v>0</v>
      </c>
      <c r="H362" s="39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</row>
    <row r="363" ht="15.75" hidden="1" customHeight="1" spans="1:19">
      <c r="A363" s="24">
        <v>46106</v>
      </c>
      <c r="B363" s="25">
        <v>46106</v>
      </c>
      <c r="C363" s="26"/>
      <c r="D363" s="26"/>
      <c r="E363" s="26"/>
      <c r="F363" s="26"/>
      <c r="G363" s="70">
        <f t="shared" si="2"/>
        <v>0</v>
      </c>
      <c r="H363" s="39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</row>
    <row r="364" ht="15.75" hidden="1" customHeight="1" spans="1:19">
      <c r="A364" s="24">
        <v>46107</v>
      </c>
      <c r="B364" s="25">
        <v>46107</v>
      </c>
      <c r="C364" s="26"/>
      <c r="D364" s="26"/>
      <c r="E364" s="26"/>
      <c r="F364" s="26"/>
      <c r="G364" s="70">
        <f t="shared" si="2"/>
        <v>0</v>
      </c>
      <c r="H364" s="39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</row>
    <row r="365" ht="15.75" hidden="1" customHeight="1" spans="1:19">
      <c r="A365" s="24">
        <v>46108</v>
      </c>
      <c r="B365" s="25">
        <v>46108</v>
      </c>
      <c r="C365" s="26"/>
      <c r="D365" s="26"/>
      <c r="E365" s="26"/>
      <c r="F365" s="26"/>
      <c r="G365" s="70">
        <f t="shared" si="2"/>
        <v>0</v>
      </c>
      <c r="H365" s="39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</row>
    <row r="366" ht="15.75" hidden="1" customHeight="1" spans="1:19">
      <c r="A366" s="24">
        <v>46109</v>
      </c>
      <c r="B366" s="25">
        <v>46109</v>
      </c>
      <c r="C366" s="26"/>
      <c r="D366" s="26"/>
      <c r="E366" s="26"/>
      <c r="F366" s="26"/>
      <c r="G366" s="70">
        <f t="shared" si="2"/>
        <v>0</v>
      </c>
      <c r="H366" s="39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</row>
    <row r="367" ht="15.75" hidden="1" customHeight="1" spans="1:19">
      <c r="A367" s="24">
        <v>46110</v>
      </c>
      <c r="B367" s="25">
        <v>46110</v>
      </c>
      <c r="C367" s="26"/>
      <c r="D367" s="26"/>
      <c r="E367" s="26"/>
      <c r="F367" s="26"/>
      <c r="G367" s="70">
        <f t="shared" si="2"/>
        <v>0</v>
      </c>
      <c r="H367" s="39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</row>
    <row r="368" ht="15.75" hidden="1" customHeight="1" spans="1:19">
      <c r="A368" s="24">
        <v>46111</v>
      </c>
      <c r="B368" s="25">
        <v>46111</v>
      </c>
      <c r="C368" s="26"/>
      <c r="D368" s="26"/>
      <c r="E368" s="26"/>
      <c r="F368" s="26"/>
      <c r="G368" s="70">
        <f t="shared" si="2"/>
        <v>0</v>
      </c>
      <c r="H368" s="39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</row>
    <row r="369" ht="15.75" hidden="1" customHeight="1" spans="1:19">
      <c r="A369" s="24">
        <v>46112</v>
      </c>
      <c r="B369" s="25">
        <v>46112</v>
      </c>
      <c r="C369" s="26"/>
      <c r="D369" s="26"/>
      <c r="E369" s="26"/>
      <c r="F369" s="26"/>
      <c r="G369" s="70">
        <f t="shared" ref="G369:G372" si="3">F369-E369</f>
        <v>0</v>
      </c>
      <c r="H369" s="39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</row>
    <row r="370" ht="15.75" customHeight="1" spans="1:19">
      <c r="A370" s="24">
        <v>45969</v>
      </c>
      <c r="B370" s="25">
        <v>45982</v>
      </c>
      <c r="C370" s="26" t="s">
        <v>158</v>
      </c>
      <c r="D370" s="26" t="s">
        <v>159</v>
      </c>
      <c r="E370" s="70">
        <v>0.666666666666667</v>
      </c>
      <c r="F370" s="70">
        <v>0.715277777777778</v>
      </c>
      <c r="G370" s="70">
        <f t="shared" si="3"/>
        <v>0.0486111111111112</v>
      </c>
      <c r="H370" s="39">
        <v>2411</v>
      </c>
      <c r="I370" s="26"/>
      <c r="J370" s="26"/>
      <c r="K370" s="26"/>
      <c r="L370" s="37" t="s">
        <v>178</v>
      </c>
      <c r="M370" s="37" t="s">
        <v>179</v>
      </c>
      <c r="N370" s="26"/>
      <c r="O370" s="26"/>
      <c r="P370" s="26"/>
      <c r="Q370" s="26"/>
      <c r="R370" s="26"/>
      <c r="S370" s="37" t="s">
        <v>180</v>
      </c>
    </row>
    <row r="371" ht="15.75" customHeight="1" spans="1:19">
      <c r="A371" s="73">
        <v>46082</v>
      </c>
      <c r="B371" s="73">
        <v>46025</v>
      </c>
      <c r="C371" s="26" t="s">
        <v>158</v>
      </c>
      <c r="D371" s="26" t="s">
        <v>159</v>
      </c>
      <c r="E371" s="70">
        <v>0.46875</v>
      </c>
      <c r="F371" s="70">
        <v>0.569444444444444</v>
      </c>
      <c r="G371" s="74">
        <f t="shared" si="3"/>
        <v>0.100694444444444</v>
      </c>
      <c r="H371" s="39">
        <v>2411</v>
      </c>
      <c r="I371" s="26"/>
      <c r="J371" s="26"/>
      <c r="K371" s="26"/>
      <c r="L371" s="26"/>
      <c r="M371" s="75" t="s">
        <v>181</v>
      </c>
      <c r="N371" s="26"/>
      <c r="O371" s="26"/>
      <c r="P371" s="26"/>
      <c r="Q371" s="26"/>
      <c r="R371" s="26"/>
      <c r="S371" s="26"/>
    </row>
    <row r="372" ht="15.75" customHeight="1" spans="1:19">
      <c r="A372" s="76">
        <v>46382</v>
      </c>
      <c r="B372" s="73">
        <v>46031</v>
      </c>
      <c r="C372" s="26" t="s">
        <v>158</v>
      </c>
      <c r="D372" s="26" t="s">
        <v>159</v>
      </c>
      <c r="E372" s="70">
        <v>0.348611111111111</v>
      </c>
      <c r="F372" s="70">
        <v>0.427777777777778</v>
      </c>
      <c r="G372" s="74">
        <f t="shared" si="3"/>
        <v>0.0791666666666667</v>
      </c>
      <c r="H372" s="39">
        <v>2411</v>
      </c>
      <c r="I372" s="26"/>
      <c r="J372" s="26"/>
      <c r="K372" s="26"/>
      <c r="L372" s="26"/>
      <c r="M372" s="26"/>
      <c r="N372" s="26" t="s">
        <v>182</v>
      </c>
      <c r="O372" s="26"/>
      <c r="P372" s="26"/>
      <c r="Q372" s="26"/>
      <c r="R372" s="26"/>
      <c r="S372" s="26" t="s">
        <v>183</v>
      </c>
    </row>
    <row r="373" ht="15.75" customHeight="1" spans="1:19">
      <c r="A373" s="26"/>
      <c r="B373" s="26"/>
      <c r="C373" s="26"/>
      <c r="D373" s="26"/>
      <c r="E373" s="26"/>
      <c r="F373" s="26"/>
      <c r="G373" s="26"/>
      <c r="H373" s="39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</row>
    <row r="374" ht="15.75" customHeight="1" spans="1:19">
      <c r="A374" s="26"/>
      <c r="B374" s="26"/>
      <c r="C374" s="26"/>
      <c r="D374" s="26"/>
      <c r="E374" s="26"/>
      <c r="F374" s="26"/>
      <c r="G374" s="26"/>
      <c r="H374" s="39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</row>
    <row r="375" ht="15.75" customHeight="1" spans="1:19">
      <c r="A375" s="26"/>
      <c r="B375" s="26"/>
      <c r="C375" s="26"/>
      <c r="D375" s="26"/>
      <c r="E375" s="26"/>
      <c r="F375" s="26"/>
      <c r="G375" s="26"/>
      <c r="H375" s="39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</row>
    <row r="376" ht="15.75" customHeight="1" spans="1:19">
      <c r="A376" s="26"/>
      <c r="B376" s="26"/>
      <c r="C376" s="26"/>
      <c r="D376" s="26"/>
      <c r="E376" s="26"/>
      <c r="F376" s="26"/>
      <c r="G376" s="26"/>
      <c r="H376" s="39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</row>
    <row r="377" ht="15.75" customHeight="1" spans="1:19">
      <c r="A377" s="26"/>
      <c r="B377" s="26"/>
      <c r="C377" s="26"/>
      <c r="D377" s="26"/>
      <c r="E377" s="26"/>
      <c r="F377" s="26"/>
      <c r="G377" s="26"/>
      <c r="H377" s="39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</row>
    <row r="378" ht="15.75" customHeight="1" spans="1:19">
      <c r="A378" s="26"/>
      <c r="B378" s="26"/>
      <c r="C378" s="26"/>
      <c r="D378" s="26"/>
      <c r="E378" s="26"/>
      <c r="F378" s="26"/>
      <c r="G378" s="26"/>
      <c r="H378" s="39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</row>
    <row r="379" ht="15.75" customHeight="1" spans="1:19">
      <c r="A379" s="26"/>
      <c r="B379" s="26"/>
      <c r="C379" s="26"/>
      <c r="D379" s="26"/>
      <c r="E379" s="26"/>
      <c r="F379" s="26"/>
      <c r="G379" s="26"/>
      <c r="H379" s="39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</row>
    <row r="380" ht="15.75" customHeight="1" spans="1:19">
      <c r="A380" s="26"/>
      <c r="B380" s="26"/>
      <c r="C380" s="26"/>
      <c r="D380" s="26"/>
      <c r="E380" s="26"/>
      <c r="F380" s="26"/>
      <c r="G380" s="26"/>
      <c r="H380" s="39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</row>
    <row r="381" ht="15.75" customHeight="1" spans="1:19">
      <c r="A381" s="26"/>
      <c r="B381" s="26"/>
      <c r="C381" s="26"/>
      <c r="D381" s="26"/>
      <c r="E381" s="26"/>
      <c r="F381" s="26"/>
      <c r="G381" s="26"/>
      <c r="H381" s="39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</row>
    <row r="382" ht="14.25" spans="1:19">
      <c r="A382" s="26"/>
      <c r="B382" s="26"/>
      <c r="C382" s="26"/>
      <c r="D382" s="26"/>
      <c r="E382" s="26"/>
      <c r="F382" s="26"/>
      <c r="G382" s="26"/>
      <c r="H382" s="39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</row>
    <row r="383" ht="14.25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xmlns:etc="http://www.wps.cn/officeDocument/2017/etCustomData" ref="A2:S372" etc:filterBottomFollowUsedRange="0">
    <filterColumn colId="2">
      <customFilters>
        <customFilter operator="notEqual" val=""/>
      </customFilters>
    </filterColumn>
    <extLst/>
  </autoFilter>
  <pageMargins left="0.7" right="0.7" top="0.75" bottom="0.75" header="0" footer="0"/>
  <pageSetup paperSize="9" fitToWidth="0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1000"/>
  <sheetViews>
    <sheetView workbookViewId="0">
      <selection activeCell="M19" sqref="M19"/>
    </sheetView>
  </sheetViews>
  <sheetFormatPr defaultColWidth="12" defaultRowHeight="15" customHeight="1"/>
  <cols>
    <col min="1" max="1" width="10.25" customWidth="1"/>
    <col min="2" max="2" width="9.375" customWidth="1"/>
    <col min="3" max="3" width="18" customWidth="1"/>
    <col min="4" max="4" width="14.5" customWidth="1"/>
    <col min="5" max="5" width="14.375" customWidth="1"/>
    <col min="6" max="6" width="14.75" customWidth="1"/>
    <col min="7" max="7" width="24.75" customWidth="1"/>
    <col min="8" max="8" width="22" customWidth="1"/>
    <col min="9" max="9" width="13.5" customWidth="1"/>
    <col min="10" max="10" width="15.875" customWidth="1"/>
    <col min="11" max="11" width="18.25" customWidth="1"/>
    <col min="12" max="12" width="8.25" customWidth="1"/>
    <col min="13" max="26" width="14.375" customWidth="1"/>
  </cols>
  <sheetData>
    <row r="1" ht="14.25" customHeight="1" spans="1:13">
      <c r="A1" s="54" t="s">
        <v>184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ht="14.25" customHeight="1" spans="1:1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ht="14.25" customHeight="1" spans="1:13">
      <c r="A3" s="56" t="s">
        <v>2</v>
      </c>
      <c r="B3" s="56" t="s">
        <v>1</v>
      </c>
      <c r="C3" s="56" t="s">
        <v>185</v>
      </c>
      <c r="D3" s="56" t="s">
        <v>143</v>
      </c>
      <c r="E3" s="56" t="s">
        <v>144</v>
      </c>
      <c r="F3" s="56" t="s">
        <v>145</v>
      </c>
      <c r="G3" s="57" t="s">
        <v>186</v>
      </c>
      <c r="H3" s="57" t="s">
        <v>187</v>
      </c>
      <c r="I3" s="57" t="s">
        <v>146</v>
      </c>
      <c r="J3" s="57" t="s">
        <v>147</v>
      </c>
      <c r="K3" s="57" t="s">
        <v>148</v>
      </c>
      <c r="L3" s="56" t="s">
        <v>149</v>
      </c>
      <c r="M3" s="58" t="s">
        <v>188</v>
      </c>
    </row>
    <row r="4" ht="14.25" customHeight="1" spans="1:13">
      <c r="A4" s="59" t="s">
        <v>189</v>
      </c>
      <c r="B4" s="60" t="s">
        <v>190</v>
      </c>
      <c r="C4" s="61">
        <v>1</v>
      </c>
      <c r="D4" s="62">
        <v>0.503472222222222</v>
      </c>
      <c r="E4" s="62">
        <v>0.791666666666667</v>
      </c>
      <c r="F4" s="62">
        <v>0.288194444444444</v>
      </c>
      <c r="G4" s="60"/>
      <c r="H4" s="60"/>
      <c r="I4" s="63">
        <v>2411.08</v>
      </c>
      <c r="J4" s="60"/>
      <c r="K4" s="60"/>
      <c r="L4" s="60"/>
    </row>
    <row r="5" ht="14.25" customHeight="1" spans="1:13">
      <c r="A5" s="59" t="s">
        <v>189</v>
      </c>
      <c r="B5" s="60" t="s">
        <v>191</v>
      </c>
      <c r="C5" s="61">
        <v>1</v>
      </c>
      <c r="D5" s="62">
        <v>0.25</v>
      </c>
      <c r="E5" s="62">
        <v>0.791666666666667</v>
      </c>
      <c r="F5" s="62">
        <v>0.5</v>
      </c>
      <c r="G5" s="60"/>
      <c r="H5" s="60"/>
      <c r="I5" s="63">
        <v>2411.08</v>
      </c>
      <c r="J5" s="60"/>
      <c r="K5" s="60"/>
      <c r="L5" s="60"/>
    </row>
    <row r="6" ht="14.25" customHeight="1" spans="1:13">
      <c r="A6" s="59" t="s">
        <v>189</v>
      </c>
      <c r="B6" s="60" t="s">
        <v>192</v>
      </c>
      <c r="C6" s="61">
        <v>1</v>
      </c>
      <c r="D6" s="62">
        <v>0.25</v>
      </c>
      <c r="E6" s="62">
        <v>0.791666666666667</v>
      </c>
      <c r="F6" s="62">
        <v>0.5</v>
      </c>
      <c r="G6" s="60"/>
      <c r="H6" s="60"/>
      <c r="I6" s="63">
        <v>2411.08</v>
      </c>
      <c r="J6" s="60"/>
      <c r="K6" s="60"/>
      <c r="L6" s="60"/>
    </row>
    <row r="7" ht="14.25" customHeight="1" spans="1:13">
      <c r="A7" s="59" t="s">
        <v>193</v>
      </c>
      <c r="B7" s="64">
        <v>45813</v>
      </c>
      <c r="C7" s="60">
        <v>1</v>
      </c>
      <c r="D7" s="62">
        <v>0.635416666666667</v>
      </c>
      <c r="E7" s="62">
        <v>0.784722222222222</v>
      </c>
      <c r="F7" s="62">
        <f t="shared" ref="F7:F15" si="0">E7-D7</f>
        <v>0.149305555555556</v>
      </c>
      <c r="G7" s="60"/>
      <c r="H7" s="60"/>
      <c r="I7" s="63">
        <v>2411.08</v>
      </c>
      <c r="J7" s="60"/>
      <c r="K7" s="60"/>
      <c r="L7" s="60"/>
    </row>
    <row r="8" ht="14.25" customHeight="1" spans="1:13">
      <c r="A8" s="60" t="s">
        <v>194</v>
      </c>
      <c r="B8" s="60" t="s">
        <v>195</v>
      </c>
      <c r="C8" s="60">
        <v>1</v>
      </c>
      <c r="D8" s="62">
        <v>0.270833333333333</v>
      </c>
      <c r="E8" s="62">
        <v>0.56875</v>
      </c>
      <c r="F8" s="62">
        <f t="shared" si="0"/>
        <v>0.297916666666667</v>
      </c>
      <c r="G8" s="60"/>
      <c r="H8" s="60"/>
      <c r="I8" s="63">
        <v>2411.08</v>
      </c>
      <c r="J8" s="60"/>
      <c r="K8" s="60"/>
      <c r="L8" s="60"/>
    </row>
    <row r="9" ht="14.25" customHeight="1" spans="1:13">
      <c r="A9" s="60" t="s">
        <v>196</v>
      </c>
      <c r="B9" s="64">
        <v>45694</v>
      </c>
      <c r="C9" s="60">
        <v>1</v>
      </c>
      <c r="D9" s="62">
        <v>0.520833333333333</v>
      </c>
      <c r="E9" s="62">
        <v>0.572916666666667</v>
      </c>
      <c r="F9" s="62">
        <f t="shared" si="0"/>
        <v>0.0520833333333333</v>
      </c>
      <c r="G9" s="60"/>
      <c r="H9" s="60"/>
      <c r="I9" s="63">
        <v>2411.08</v>
      </c>
      <c r="J9" s="60"/>
      <c r="K9" s="60"/>
      <c r="L9" s="60"/>
    </row>
    <row r="10" ht="14.25" customHeight="1" spans="1:13">
      <c r="A10" s="60"/>
      <c r="B10" s="64">
        <v>45862</v>
      </c>
      <c r="C10" s="60">
        <v>1</v>
      </c>
      <c r="D10" s="62">
        <v>0.666666666666667</v>
      </c>
      <c r="E10" s="62">
        <v>0.78125</v>
      </c>
      <c r="F10" s="62">
        <f t="shared" si="0"/>
        <v>0.114583333333333</v>
      </c>
      <c r="G10" s="60"/>
      <c r="H10" s="60"/>
      <c r="I10" s="63">
        <v>2411.08</v>
      </c>
      <c r="J10" s="60"/>
      <c r="K10" s="60"/>
      <c r="L10" s="60"/>
      <c r="M10" t="s">
        <v>197</v>
      </c>
    </row>
    <row r="11" ht="14.25" customHeight="1" spans="1:13">
      <c r="A11" s="60"/>
      <c r="B11" s="64">
        <v>45875</v>
      </c>
      <c r="C11" s="60">
        <v>1</v>
      </c>
      <c r="D11" s="62">
        <v>0.713888888888889</v>
      </c>
      <c r="E11" s="62">
        <v>0.727777777777778</v>
      </c>
      <c r="F11" s="62">
        <f t="shared" si="0"/>
        <v>0.0138888888888888</v>
      </c>
      <c r="G11" s="60"/>
      <c r="H11" s="60"/>
      <c r="I11" s="63">
        <v>2411.08</v>
      </c>
      <c r="J11" s="60"/>
      <c r="K11" s="60"/>
      <c r="L11" s="60"/>
      <c r="M11" t="s">
        <v>198</v>
      </c>
    </row>
    <row r="12" ht="14.25" customHeight="1" spans="1:13">
      <c r="A12" s="65">
        <v>45926</v>
      </c>
      <c r="B12" s="64">
        <v>45926</v>
      </c>
      <c r="C12" s="60">
        <v>1</v>
      </c>
      <c r="D12" s="62">
        <v>0.302083333333333</v>
      </c>
      <c r="E12" s="62">
        <v>0.59375</v>
      </c>
      <c r="F12" s="62">
        <f t="shared" si="0"/>
        <v>0.291666666666667</v>
      </c>
      <c r="G12" s="60"/>
      <c r="H12" s="60"/>
      <c r="I12" s="63">
        <v>2411.08</v>
      </c>
      <c r="J12" s="60"/>
      <c r="K12" s="60"/>
      <c r="L12" s="60"/>
      <c r="M12" t="s">
        <v>199</v>
      </c>
    </row>
    <row r="13" ht="14.25" customHeight="1" spans="1:13">
      <c r="A13" s="60"/>
      <c r="B13" s="60" t="s">
        <v>200</v>
      </c>
      <c r="C13" s="60">
        <v>1</v>
      </c>
      <c r="D13" s="62">
        <v>0.649305555555556</v>
      </c>
      <c r="E13" s="62">
        <v>0.765277777777778</v>
      </c>
      <c r="F13" s="62">
        <f t="shared" si="0"/>
        <v>0.115972222222222</v>
      </c>
      <c r="G13" s="60"/>
      <c r="H13" s="60"/>
      <c r="I13" s="63">
        <v>2411.08</v>
      </c>
      <c r="J13" s="60"/>
      <c r="K13" s="60"/>
      <c r="L13" s="60"/>
      <c r="M13" t="s">
        <v>201</v>
      </c>
    </row>
    <row r="14" ht="14.25" customHeight="1" spans="1:13">
      <c r="A14" s="60" t="s">
        <v>202</v>
      </c>
      <c r="B14" s="60" t="s">
        <v>202</v>
      </c>
      <c r="C14" s="60">
        <v>1</v>
      </c>
      <c r="D14" s="62">
        <v>0.551388888888889</v>
      </c>
      <c r="E14" s="62">
        <v>0.560416666666667</v>
      </c>
      <c r="F14" s="62">
        <f t="shared" si="0"/>
        <v>0.00902777777777786</v>
      </c>
      <c r="G14" s="60"/>
      <c r="H14" s="60"/>
      <c r="I14" s="63">
        <v>2411.08</v>
      </c>
      <c r="J14" s="60"/>
      <c r="K14" s="60"/>
      <c r="L14" s="60"/>
      <c r="M14" t="s">
        <v>203</v>
      </c>
    </row>
    <row r="15" ht="14.25" customHeight="1" spans="1:13">
      <c r="A15" s="60"/>
      <c r="B15" s="60" t="s">
        <v>204</v>
      </c>
      <c r="C15" s="60">
        <v>1</v>
      </c>
      <c r="D15" s="62">
        <v>0.517361111111111</v>
      </c>
      <c r="E15" s="62">
        <v>0.559027777777778</v>
      </c>
      <c r="F15" s="62">
        <f t="shared" si="0"/>
        <v>0.0416666666666667</v>
      </c>
      <c r="G15" s="60"/>
      <c r="H15" s="60"/>
      <c r="I15" s="63">
        <v>2411.08</v>
      </c>
      <c r="J15" s="60"/>
      <c r="K15" s="60"/>
      <c r="L15" s="60"/>
      <c r="M15" t="s">
        <v>205</v>
      </c>
    </row>
    <row r="16" ht="14.25" customHeight="1" spans="1:13">
      <c r="A16" s="60" t="s">
        <v>206</v>
      </c>
      <c r="B16" s="60" t="s">
        <v>207</v>
      </c>
      <c r="C16" s="60">
        <v>1</v>
      </c>
      <c r="D16" s="62">
        <v>0.513888888888889</v>
      </c>
      <c r="E16" s="62">
        <v>0.659722222222222</v>
      </c>
      <c r="F16" s="62">
        <v>0.145833333333333</v>
      </c>
      <c r="G16" s="60"/>
      <c r="H16" s="60"/>
      <c r="I16" s="63">
        <v>2411.08</v>
      </c>
      <c r="J16" s="60"/>
      <c r="K16" s="60"/>
      <c r="L16" s="60"/>
      <c r="M16" t="s">
        <v>208</v>
      </c>
    </row>
    <row r="17" ht="14.25" customHeight="1" spans="1:13">
      <c r="A17" s="60" t="s">
        <v>209</v>
      </c>
      <c r="B17" s="60" t="s">
        <v>210</v>
      </c>
      <c r="C17" s="60">
        <v>1</v>
      </c>
      <c r="D17" s="62">
        <v>0.6375</v>
      </c>
      <c r="E17" s="62">
        <v>0.706944444444444</v>
      </c>
      <c r="F17" s="62">
        <v>0.0694444444444444</v>
      </c>
      <c r="G17" s="60"/>
      <c r="H17" s="60"/>
      <c r="I17" s="63">
        <v>2411.08</v>
      </c>
      <c r="J17" s="60"/>
      <c r="K17" s="60"/>
      <c r="L17" s="60"/>
      <c r="M17" t="s">
        <v>211</v>
      </c>
    </row>
    <row r="18" ht="14.25" customHeight="1" spans="1:13">
      <c r="A18" s="60" t="s">
        <v>212</v>
      </c>
      <c r="B18" s="60" t="s">
        <v>213</v>
      </c>
      <c r="C18" s="60">
        <v>1</v>
      </c>
      <c r="D18" s="62">
        <v>0.571527777777778</v>
      </c>
      <c r="E18" s="62">
        <v>0.613194444444444</v>
      </c>
      <c r="F18" s="62">
        <v>0.0416666666666667</v>
      </c>
      <c r="G18" s="60"/>
      <c r="H18" s="60"/>
      <c r="I18" s="63">
        <v>2411.08</v>
      </c>
      <c r="J18" s="60"/>
      <c r="K18" s="60"/>
      <c r="L18" s="60"/>
      <c r="M18" t="s">
        <v>208</v>
      </c>
    </row>
    <row r="19" ht="14.25" customHeight="1" spans="1:13">
      <c r="A19" s="60" t="s">
        <v>212</v>
      </c>
      <c r="B19" s="60" t="s">
        <v>214</v>
      </c>
      <c r="C19" s="60">
        <v>1</v>
      </c>
      <c r="D19" s="62">
        <v>0.291666666666667</v>
      </c>
      <c r="E19" s="62">
        <v>0.6875</v>
      </c>
      <c r="F19" s="62">
        <v>0.395833333333333</v>
      </c>
      <c r="G19" s="60"/>
      <c r="H19" s="60"/>
      <c r="I19" s="63">
        <v>2411.08</v>
      </c>
      <c r="J19" s="60"/>
      <c r="K19" s="60"/>
      <c r="L19" s="60"/>
      <c r="M19" t="s">
        <v>199</v>
      </c>
    </row>
    <row r="20" ht="14.25" customHeight="1" spans="1:13">
      <c r="A20" s="60"/>
      <c r="B20" s="60"/>
      <c r="C20" s="60"/>
      <c r="D20" s="60"/>
      <c r="E20" s="60"/>
      <c r="F20" s="60"/>
      <c r="G20" s="60"/>
      <c r="H20" s="60"/>
      <c r="I20" s="63"/>
      <c r="J20" s="60"/>
      <c r="K20" s="60"/>
      <c r="L20" s="60"/>
    </row>
    <row r="21" ht="14.25" customHeight="1" spans="1:13">
      <c r="A21" s="60"/>
      <c r="B21" s="60"/>
      <c r="C21" s="60"/>
      <c r="D21" s="60"/>
      <c r="E21" s="60"/>
      <c r="F21" s="60"/>
      <c r="G21" s="60"/>
      <c r="H21" s="60"/>
      <c r="I21" s="63"/>
      <c r="J21" s="60"/>
      <c r="K21" s="60"/>
      <c r="L21" s="6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0"/>
  <sheetViews>
    <sheetView workbookViewId="0">
      <pane xSplit="2" ySplit="1" topLeftCell="C411" activePane="bottomRight" state="frozen"/>
      <selection/>
      <selection pane="topRight"/>
      <selection pane="bottomLeft"/>
      <selection pane="bottomRight" activeCell="I446" sqref="I446"/>
    </sheetView>
  </sheetViews>
  <sheetFormatPr defaultColWidth="12" defaultRowHeight="15" customHeight="1"/>
  <cols>
    <col min="1" max="11" width="16.25" customWidth="1"/>
    <col min="12" max="26" width="14.375" customWidth="1"/>
  </cols>
  <sheetData>
    <row r="1" ht="14.25" customHeight="1" spans="1:11">
      <c r="A1" s="49" t="s">
        <v>215</v>
      </c>
      <c r="B1" s="49" t="s">
        <v>1</v>
      </c>
      <c r="C1" s="49" t="s">
        <v>47</v>
      </c>
      <c r="D1" s="49" t="s">
        <v>46</v>
      </c>
      <c r="E1" s="49" t="s">
        <v>216</v>
      </c>
      <c r="F1" s="49" t="s">
        <v>217</v>
      </c>
      <c r="G1" s="49" t="s">
        <v>218</v>
      </c>
      <c r="H1" s="49" t="s">
        <v>219</v>
      </c>
      <c r="I1" s="49" t="s">
        <v>220</v>
      </c>
      <c r="J1" s="49" t="s">
        <v>221</v>
      </c>
      <c r="K1" s="49" t="s">
        <v>222</v>
      </c>
    </row>
    <row r="2" ht="14.25" customHeight="1" spans="1:11">
      <c r="A2" s="24">
        <v>45747</v>
      </c>
      <c r="B2" s="25">
        <v>45747</v>
      </c>
      <c r="C2" s="49"/>
      <c r="D2" s="49"/>
      <c r="E2" s="49"/>
      <c r="F2" s="49"/>
      <c r="G2" s="49"/>
      <c r="H2" s="49"/>
      <c r="I2" s="49"/>
      <c r="J2" s="49"/>
      <c r="K2" s="49"/>
    </row>
    <row r="3" ht="14.25" customHeight="1" spans="1:11">
      <c r="A3" s="24">
        <v>45748</v>
      </c>
      <c r="B3" s="25">
        <v>45748</v>
      </c>
      <c r="C3" s="49"/>
      <c r="D3" s="49"/>
      <c r="E3" s="49"/>
      <c r="F3" s="49"/>
      <c r="G3" s="49"/>
      <c r="H3" s="49"/>
      <c r="I3" s="49"/>
      <c r="J3" s="49"/>
      <c r="K3" s="49"/>
    </row>
    <row r="4" ht="14.25" customHeight="1" spans="1:11">
      <c r="A4" s="24">
        <v>45749</v>
      </c>
      <c r="B4" s="25">
        <v>45749</v>
      </c>
      <c r="C4" s="49"/>
      <c r="D4" s="49"/>
      <c r="E4" s="49"/>
      <c r="F4" s="49"/>
      <c r="G4" s="49"/>
      <c r="H4" s="49"/>
      <c r="I4" s="49"/>
      <c r="J4" s="49"/>
      <c r="K4" s="49"/>
    </row>
    <row r="5" ht="14.25" customHeight="1" spans="1:11">
      <c r="A5" s="24">
        <v>45750</v>
      </c>
      <c r="B5" s="25">
        <v>45750</v>
      </c>
      <c r="C5" s="49"/>
      <c r="D5" s="49"/>
      <c r="E5" s="49"/>
      <c r="F5" s="49"/>
      <c r="G5" s="49"/>
      <c r="H5" s="49"/>
      <c r="I5" s="49"/>
      <c r="J5" s="49"/>
      <c r="K5" s="49"/>
    </row>
    <row r="6" ht="14.25" customHeight="1" spans="1:11">
      <c r="A6" s="24">
        <v>45751</v>
      </c>
      <c r="B6" s="25">
        <v>45751</v>
      </c>
      <c r="C6" s="49"/>
      <c r="D6" s="49"/>
      <c r="E6" s="49"/>
      <c r="F6" s="49"/>
      <c r="G6" s="49"/>
      <c r="H6" s="49"/>
      <c r="I6" s="49"/>
      <c r="J6" s="49"/>
      <c r="K6" s="49"/>
    </row>
    <row r="7" ht="14.25" customHeight="1" spans="1:11">
      <c r="A7" s="24">
        <v>45752</v>
      </c>
      <c r="B7" s="25">
        <v>45752</v>
      </c>
      <c r="C7" s="49"/>
      <c r="D7" s="49"/>
      <c r="E7" s="49"/>
      <c r="F7" s="49"/>
      <c r="G7" s="49"/>
      <c r="H7" s="49"/>
      <c r="I7" s="49"/>
      <c r="J7" s="49"/>
      <c r="K7" s="49"/>
    </row>
    <row r="8" ht="14.25" customHeight="1" spans="1:11">
      <c r="A8" s="24">
        <v>45753</v>
      </c>
      <c r="B8" s="25">
        <v>45753</v>
      </c>
      <c r="C8" s="49"/>
      <c r="D8" s="49"/>
      <c r="E8" s="49"/>
      <c r="F8" s="49"/>
      <c r="G8" s="49"/>
      <c r="H8" s="49"/>
      <c r="I8" s="49"/>
      <c r="J8" s="49"/>
      <c r="K8" s="49"/>
    </row>
    <row r="9" ht="14.25" customHeight="1" spans="1:11">
      <c r="A9" s="24">
        <v>45754</v>
      </c>
      <c r="B9" s="25">
        <v>45754</v>
      </c>
      <c r="C9" s="49"/>
      <c r="D9" s="49"/>
      <c r="E9" s="49"/>
      <c r="F9" s="49"/>
      <c r="G9" s="49"/>
      <c r="H9" s="49"/>
      <c r="I9" s="49"/>
      <c r="J9" s="49"/>
      <c r="K9" s="49"/>
    </row>
    <row r="10" ht="14.25" customHeight="1" spans="1:11">
      <c r="A10" s="24">
        <v>45755</v>
      </c>
      <c r="B10" s="25">
        <v>45755</v>
      </c>
      <c r="C10" s="49"/>
      <c r="D10" s="49"/>
      <c r="E10" s="49"/>
      <c r="F10" s="49"/>
      <c r="G10" s="49"/>
      <c r="H10" s="49"/>
      <c r="I10" s="49"/>
      <c r="J10" s="49"/>
      <c r="K10" s="49"/>
    </row>
    <row r="11" ht="14.25" customHeight="1" spans="1:11">
      <c r="A11" s="24">
        <v>45756</v>
      </c>
      <c r="B11" s="25">
        <v>45756</v>
      </c>
      <c r="C11" s="49"/>
      <c r="D11" s="49"/>
      <c r="E11" s="49"/>
      <c r="F11" s="49"/>
      <c r="G11" s="49"/>
      <c r="H11" s="49"/>
      <c r="I11" s="49"/>
      <c r="J11" s="49"/>
      <c r="K11" s="49"/>
    </row>
    <row r="12" ht="14.25" customHeight="1" spans="1:11">
      <c r="A12" s="24">
        <v>45757</v>
      </c>
      <c r="B12" s="25">
        <v>45757</v>
      </c>
      <c r="C12" s="49">
        <v>4.9</v>
      </c>
      <c r="D12" s="49">
        <v>4.9</v>
      </c>
      <c r="E12" s="49"/>
      <c r="F12" s="49"/>
      <c r="G12" s="49"/>
      <c r="H12" s="49"/>
      <c r="I12" s="49"/>
      <c r="J12" s="49"/>
      <c r="K12" s="49"/>
    </row>
    <row r="13" ht="14.25" customHeight="1" spans="1:11">
      <c r="A13" s="24">
        <v>45758</v>
      </c>
      <c r="B13" s="25">
        <v>45758</v>
      </c>
      <c r="C13" s="49"/>
      <c r="D13" s="49">
        <v>4.92</v>
      </c>
      <c r="E13" s="49"/>
      <c r="F13" s="49"/>
      <c r="G13" s="49"/>
      <c r="H13" s="49"/>
      <c r="I13" s="49"/>
      <c r="J13" s="49"/>
      <c r="K13" s="49"/>
    </row>
    <row r="14" ht="14.25" customHeight="1" spans="1:11">
      <c r="A14" s="24">
        <v>45759</v>
      </c>
      <c r="B14" s="25">
        <v>45759</v>
      </c>
      <c r="C14" s="49"/>
      <c r="D14" s="49">
        <v>5.08</v>
      </c>
      <c r="E14" s="49"/>
      <c r="F14" s="49"/>
      <c r="G14" s="49"/>
      <c r="H14" s="49"/>
      <c r="I14" s="49"/>
      <c r="J14" s="49"/>
      <c r="K14" s="49"/>
    </row>
    <row r="15" ht="14.25" customHeight="1" spans="1:11">
      <c r="A15" s="24">
        <v>45760</v>
      </c>
      <c r="B15" s="25">
        <v>45760</v>
      </c>
      <c r="C15" s="49"/>
      <c r="D15" s="49"/>
      <c r="E15" s="49"/>
      <c r="F15" s="49"/>
      <c r="G15" s="49"/>
      <c r="H15" s="49"/>
      <c r="I15" s="49"/>
      <c r="J15" s="49"/>
      <c r="K15" s="49"/>
    </row>
    <row r="16" ht="14.25" customHeight="1" spans="1:11">
      <c r="A16" s="24">
        <v>45761</v>
      </c>
      <c r="B16" s="25">
        <v>45761</v>
      </c>
      <c r="C16" s="49"/>
      <c r="D16" s="49">
        <v>5.14</v>
      </c>
      <c r="E16" s="49"/>
      <c r="F16" s="49"/>
      <c r="G16" s="49"/>
      <c r="H16" s="49"/>
      <c r="I16" s="49"/>
      <c r="J16" s="49"/>
      <c r="K16" s="49"/>
    </row>
    <row r="17" ht="14.25" customHeight="1" spans="1:11">
      <c r="A17" s="24">
        <v>45762</v>
      </c>
      <c r="B17" s="25">
        <v>45762</v>
      </c>
      <c r="C17" s="49"/>
      <c r="D17" s="49">
        <v>5.13</v>
      </c>
      <c r="E17" s="49"/>
      <c r="F17" s="49"/>
      <c r="G17" s="49"/>
      <c r="H17" s="49"/>
      <c r="I17" s="49"/>
      <c r="J17" s="49"/>
      <c r="K17" s="49"/>
    </row>
    <row r="18" ht="14.25" customHeight="1" spans="1:11">
      <c r="A18" s="24">
        <v>45763</v>
      </c>
      <c r="B18" s="25">
        <v>45763</v>
      </c>
      <c r="C18" s="49"/>
      <c r="D18" s="49">
        <v>5.04</v>
      </c>
      <c r="E18" s="49"/>
      <c r="F18" s="49">
        <v>34.2</v>
      </c>
      <c r="G18" s="49"/>
      <c r="H18" s="49"/>
      <c r="I18" s="49"/>
      <c r="J18" s="49"/>
      <c r="K18" s="49"/>
    </row>
    <row r="19" ht="14.25" customHeight="1" spans="1:11">
      <c r="A19" s="24">
        <v>45764</v>
      </c>
      <c r="B19" s="25">
        <v>45764</v>
      </c>
      <c r="C19" s="49"/>
      <c r="D19" s="50"/>
      <c r="E19" s="49"/>
      <c r="F19" s="49">
        <v>0</v>
      </c>
      <c r="G19" s="49"/>
      <c r="H19" s="49"/>
      <c r="I19" s="49"/>
      <c r="J19" s="49"/>
      <c r="K19" s="49"/>
    </row>
    <row r="20" ht="14.25" customHeight="1" spans="1:11">
      <c r="A20" s="24">
        <v>45765</v>
      </c>
      <c r="B20" s="25">
        <v>45765</v>
      </c>
      <c r="C20" s="49"/>
      <c r="D20" s="50"/>
      <c r="E20" s="49"/>
      <c r="F20" s="49">
        <v>0</v>
      </c>
      <c r="G20" s="49"/>
      <c r="H20" s="49"/>
      <c r="I20" s="49"/>
      <c r="J20" s="49"/>
      <c r="K20" s="49"/>
    </row>
    <row r="21" ht="14.25" customHeight="1" spans="1:11">
      <c r="A21" s="24">
        <v>45766</v>
      </c>
      <c r="B21" s="25">
        <v>45766</v>
      </c>
      <c r="C21" s="49"/>
      <c r="D21" s="50"/>
      <c r="E21" s="49"/>
      <c r="F21" s="49">
        <v>0</v>
      </c>
      <c r="G21" s="49"/>
      <c r="H21" s="49"/>
      <c r="I21" s="49"/>
      <c r="J21" s="49"/>
      <c r="K21" s="49"/>
    </row>
    <row r="22" ht="14.25" customHeight="1" spans="1:11">
      <c r="A22" s="24">
        <v>45767</v>
      </c>
      <c r="B22" s="25">
        <v>45767</v>
      </c>
      <c r="C22" s="49"/>
      <c r="D22" s="49">
        <v>5.33</v>
      </c>
      <c r="E22" s="49"/>
      <c r="F22" s="49">
        <v>33.9</v>
      </c>
      <c r="G22" s="49"/>
      <c r="H22" s="49"/>
      <c r="I22" s="49"/>
      <c r="J22" s="49"/>
      <c r="K22" s="49"/>
    </row>
    <row r="23" ht="14.25" customHeight="1" spans="1:11">
      <c r="A23" s="24">
        <v>45768</v>
      </c>
      <c r="B23" s="25">
        <v>45768</v>
      </c>
      <c r="C23" s="49"/>
      <c r="D23" s="49">
        <v>5.25</v>
      </c>
      <c r="E23" s="49"/>
      <c r="F23" s="49">
        <v>35.25</v>
      </c>
      <c r="G23" s="49"/>
      <c r="H23" s="49"/>
      <c r="I23" s="49"/>
      <c r="J23" s="49"/>
      <c r="K23" s="49"/>
    </row>
    <row r="24" ht="14.25" customHeight="1" spans="1:11">
      <c r="A24" s="24">
        <v>45769</v>
      </c>
      <c r="B24" s="25">
        <v>45769</v>
      </c>
      <c r="C24" s="49"/>
      <c r="D24" s="49">
        <v>5.28</v>
      </c>
      <c r="E24" s="49"/>
      <c r="F24" s="49">
        <v>37</v>
      </c>
      <c r="G24" s="49"/>
      <c r="H24" s="49"/>
      <c r="I24" s="49"/>
      <c r="J24" s="49"/>
      <c r="K24" s="49"/>
    </row>
    <row r="25" ht="14.25" customHeight="1" spans="1:11">
      <c r="A25" s="24">
        <v>45770</v>
      </c>
      <c r="B25" s="25">
        <v>45770</v>
      </c>
      <c r="C25" s="49"/>
      <c r="D25" s="49">
        <v>5.16</v>
      </c>
      <c r="E25" s="49"/>
      <c r="F25" s="49">
        <v>37.04</v>
      </c>
      <c r="G25" s="49"/>
      <c r="H25" s="49"/>
      <c r="I25" s="49"/>
      <c r="J25" s="49"/>
      <c r="K25" s="49"/>
    </row>
    <row r="26" ht="14.25" customHeight="1" spans="1:11">
      <c r="A26" s="24">
        <v>45771</v>
      </c>
      <c r="B26" s="25">
        <v>45771</v>
      </c>
      <c r="C26" s="49"/>
      <c r="D26" s="49">
        <v>5.24</v>
      </c>
      <c r="E26" s="49"/>
      <c r="F26" s="49">
        <v>35.34</v>
      </c>
      <c r="G26" s="49"/>
      <c r="H26" s="49"/>
      <c r="I26" s="49"/>
      <c r="J26" s="49"/>
      <c r="K26" s="49"/>
    </row>
    <row r="27" ht="14.25" customHeight="1" spans="1:11">
      <c r="A27" s="24">
        <v>45772</v>
      </c>
      <c r="B27" s="25">
        <v>45772</v>
      </c>
      <c r="C27" s="49"/>
      <c r="D27" s="49">
        <v>5.36</v>
      </c>
      <c r="E27" s="49"/>
      <c r="F27" s="49">
        <v>34.27</v>
      </c>
      <c r="G27" s="49"/>
      <c r="H27" s="49"/>
      <c r="I27" s="49"/>
      <c r="J27" s="49"/>
      <c r="K27" s="49"/>
    </row>
    <row r="28" ht="14.25" customHeight="1" spans="1:11">
      <c r="A28" s="24">
        <v>45773</v>
      </c>
      <c r="B28" s="25">
        <v>45773</v>
      </c>
      <c r="C28" s="26"/>
      <c r="D28" s="26">
        <v>5.39</v>
      </c>
      <c r="E28" s="26"/>
      <c r="F28" s="26">
        <v>34.96</v>
      </c>
      <c r="G28" s="26"/>
      <c r="H28" s="26"/>
      <c r="I28" s="26"/>
      <c r="J28" s="26"/>
      <c r="K28" s="26"/>
    </row>
    <row r="29" ht="14.25" customHeight="1" spans="1:11">
      <c r="A29" s="24">
        <v>45774</v>
      </c>
      <c r="B29" s="25">
        <v>45774</v>
      </c>
      <c r="C29" s="26"/>
      <c r="D29" s="26">
        <v>5.39</v>
      </c>
      <c r="E29" s="26"/>
      <c r="F29" s="26">
        <v>35.68</v>
      </c>
      <c r="G29" s="26"/>
      <c r="H29" s="26"/>
      <c r="I29" s="26"/>
      <c r="J29" s="26"/>
      <c r="K29" s="26"/>
    </row>
    <row r="30" ht="14.25" customHeight="1" spans="1:11">
      <c r="A30" s="24">
        <v>45775</v>
      </c>
      <c r="B30" s="25">
        <v>45775</v>
      </c>
      <c r="C30" s="26"/>
      <c r="D30" s="26">
        <v>5.28</v>
      </c>
      <c r="E30" s="26"/>
      <c r="F30" s="26">
        <v>36.36</v>
      </c>
      <c r="G30" s="26"/>
      <c r="H30" s="26"/>
      <c r="I30" s="26"/>
      <c r="J30" s="26"/>
      <c r="K30" s="26"/>
    </row>
    <row r="31" ht="14.25" customHeight="1" spans="1:11">
      <c r="A31" s="24">
        <v>45776</v>
      </c>
      <c r="B31" s="25">
        <v>45776</v>
      </c>
      <c r="C31" s="26"/>
      <c r="D31" s="26">
        <v>5.55</v>
      </c>
      <c r="E31" s="26"/>
      <c r="F31" s="26">
        <v>37.01</v>
      </c>
      <c r="G31" s="26"/>
      <c r="H31" s="26"/>
      <c r="I31" s="26"/>
      <c r="J31" s="26"/>
      <c r="K31" s="26"/>
    </row>
    <row r="32" ht="14.25" customHeight="1" spans="1:11">
      <c r="A32" s="24">
        <v>45777</v>
      </c>
      <c r="B32" s="25">
        <v>45777</v>
      </c>
      <c r="C32" s="26"/>
      <c r="D32" s="26">
        <v>5.47</v>
      </c>
      <c r="E32" s="26"/>
      <c r="F32" s="26">
        <v>35.9</v>
      </c>
      <c r="G32" s="26"/>
      <c r="H32" s="26"/>
      <c r="I32" s="26"/>
      <c r="J32" s="26"/>
      <c r="K32" s="26"/>
    </row>
    <row r="33" ht="14.25" customHeight="1" spans="1:11">
      <c r="A33" s="24">
        <v>45778</v>
      </c>
      <c r="B33" s="25">
        <v>45778</v>
      </c>
      <c r="C33" s="26"/>
      <c r="D33" s="26">
        <v>5.52</v>
      </c>
      <c r="E33" s="26"/>
      <c r="F33" s="26">
        <v>35.78</v>
      </c>
      <c r="G33" s="26"/>
      <c r="H33" s="26"/>
      <c r="I33" s="26"/>
      <c r="J33" s="26"/>
      <c r="K33" s="26"/>
    </row>
    <row r="34" ht="14.25" customHeight="1" spans="1:11">
      <c r="A34" s="24">
        <v>45779</v>
      </c>
      <c r="B34" s="25">
        <v>45779</v>
      </c>
      <c r="C34" s="26"/>
      <c r="D34" s="26">
        <v>5.85</v>
      </c>
      <c r="E34" s="26"/>
      <c r="F34" s="26">
        <v>35.96</v>
      </c>
      <c r="G34" s="26"/>
      <c r="H34" s="26"/>
      <c r="I34" s="26"/>
      <c r="J34" s="26"/>
      <c r="K34" s="26"/>
    </row>
    <row r="35" ht="14.25" customHeight="1" spans="1:11">
      <c r="A35" s="24">
        <v>45780</v>
      </c>
      <c r="B35" s="25">
        <v>45780</v>
      </c>
      <c r="C35" s="26"/>
      <c r="D35" s="26">
        <v>5.39</v>
      </c>
      <c r="E35" s="26"/>
      <c r="F35" s="26">
        <v>33.54</v>
      </c>
      <c r="G35" s="26"/>
      <c r="H35" s="26"/>
      <c r="I35" s="26"/>
      <c r="J35" s="26"/>
      <c r="K35" s="26"/>
    </row>
    <row r="36" ht="14.25" customHeight="1" spans="1:11">
      <c r="A36" s="24">
        <v>45781</v>
      </c>
      <c r="B36" s="25">
        <v>45781</v>
      </c>
      <c r="C36" s="26"/>
      <c r="D36" s="26">
        <v>5.04</v>
      </c>
      <c r="E36" s="26"/>
      <c r="F36" s="26">
        <v>33.37</v>
      </c>
      <c r="G36" s="26"/>
      <c r="H36" s="26"/>
      <c r="I36" s="26"/>
      <c r="J36" s="26"/>
      <c r="K36" s="26"/>
    </row>
    <row r="37" ht="14.25" customHeight="1" spans="1:11">
      <c r="A37" s="24">
        <v>45782</v>
      </c>
      <c r="B37" s="25">
        <v>45782</v>
      </c>
      <c r="C37" s="26"/>
      <c r="D37" s="26">
        <v>4.23</v>
      </c>
      <c r="E37" s="26"/>
      <c r="F37" s="26">
        <v>31.68</v>
      </c>
      <c r="G37" s="26"/>
      <c r="H37" s="26"/>
      <c r="I37" s="26"/>
      <c r="J37" s="26"/>
      <c r="K37" s="26"/>
    </row>
    <row r="38" ht="14.25" customHeight="1" spans="1:11">
      <c r="A38" s="24">
        <v>45783</v>
      </c>
      <c r="B38" s="25">
        <v>45783</v>
      </c>
      <c r="C38" s="26"/>
      <c r="D38" s="51">
        <v>3.29</v>
      </c>
      <c r="E38" s="26"/>
      <c r="F38" s="26">
        <v>30.13</v>
      </c>
      <c r="G38" s="26"/>
      <c r="H38" s="26"/>
      <c r="I38" s="26"/>
      <c r="J38" s="26"/>
      <c r="K38" s="26"/>
    </row>
    <row r="39" ht="14.25" customHeight="1" spans="1:11">
      <c r="A39" s="24">
        <v>45784</v>
      </c>
      <c r="B39" s="25">
        <v>45784</v>
      </c>
      <c r="C39" s="26"/>
      <c r="D39" s="26">
        <v>2.65</v>
      </c>
      <c r="E39" s="26"/>
      <c r="F39" s="26">
        <v>27.47</v>
      </c>
      <c r="G39" s="26"/>
      <c r="H39" s="26"/>
      <c r="I39" s="26"/>
      <c r="J39" s="26"/>
      <c r="K39" s="26"/>
    </row>
    <row r="40" ht="14.25" customHeight="1" spans="1:11">
      <c r="A40" s="24">
        <v>45785</v>
      </c>
      <c r="B40" s="25">
        <v>45785</v>
      </c>
      <c r="C40" s="26"/>
      <c r="D40" s="26">
        <v>5.95</v>
      </c>
      <c r="E40" s="26"/>
      <c r="F40" s="26">
        <v>31.8</v>
      </c>
      <c r="G40" s="26"/>
      <c r="H40" s="26"/>
      <c r="I40" s="26"/>
      <c r="J40" s="26"/>
      <c r="K40" s="26"/>
    </row>
    <row r="41" ht="14.25" customHeight="1" spans="1:11">
      <c r="A41" s="24">
        <v>45786</v>
      </c>
      <c r="B41" s="25">
        <v>45786</v>
      </c>
      <c r="C41" s="26"/>
      <c r="D41" s="26">
        <v>5.13</v>
      </c>
      <c r="E41" s="26"/>
      <c r="F41" s="26">
        <v>31.24</v>
      </c>
      <c r="G41" s="26"/>
      <c r="H41" s="26"/>
      <c r="I41" s="26"/>
      <c r="J41" s="26"/>
      <c r="K41" s="26"/>
    </row>
    <row r="42" ht="14.25" customHeight="1" spans="1:11">
      <c r="A42" s="24">
        <v>45787</v>
      </c>
      <c r="B42" s="25">
        <v>45787</v>
      </c>
      <c r="C42" s="26"/>
      <c r="D42" s="26">
        <v>4.83</v>
      </c>
      <c r="E42" s="26"/>
      <c r="F42" s="26">
        <v>31.72</v>
      </c>
      <c r="G42" s="26"/>
      <c r="H42" s="26"/>
      <c r="I42" s="26"/>
      <c r="J42" s="26"/>
      <c r="K42" s="26"/>
    </row>
    <row r="43" ht="14.25" customHeight="1" spans="1:11">
      <c r="A43" s="24">
        <v>45788</v>
      </c>
      <c r="B43" s="25">
        <v>45788</v>
      </c>
      <c r="C43" s="26"/>
      <c r="D43" s="26">
        <v>4.04</v>
      </c>
      <c r="E43" s="26"/>
      <c r="F43" s="26">
        <v>30.1</v>
      </c>
      <c r="G43" s="26"/>
      <c r="H43" s="26"/>
      <c r="I43" s="26"/>
      <c r="J43" s="26"/>
      <c r="K43" s="26"/>
    </row>
    <row r="44" ht="14.25" customHeight="1" spans="1:11">
      <c r="A44" s="24">
        <v>45789</v>
      </c>
      <c r="B44" s="25">
        <v>45789</v>
      </c>
      <c r="C44" s="26"/>
      <c r="D44" s="26">
        <v>4.51</v>
      </c>
      <c r="E44" s="26"/>
      <c r="F44" s="26">
        <v>30.9</v>
      </c>
      <c r="G44" s="26"/>
      <c r="H44" s="26"/>
      <c r="I44" s="26"/>
      <c r="J44" s="26"/>
      <c r="K44" s="26"/>
    </row>
    <row r="45" ht="14.25" customHeight="1" spans="1:11">
      <c r="A45" s="24">
        <v>45790</v>
      </c>
      <c r="B45" s="25">
        <v>45790</v>
      </c>
      <c r="C45" s="26"/>
      <c r="D45" s="26">
        <v>6.52</v>
      </c>
      <c r="E45" s="26"/>
      <c r="F45" s="26">
        <v>34.88</v>
      </c>
      <c r="G45" s="26"/>
      <c r="H45" s="26"/>
      <c r="I45" s="26"/>
      <c r="J45" s="26"/>
      <c r="K45" s="26"/>
    </row>
    <row r="46" ht="14.25" customHeight="1" spans="1:11">
      <c r="A46" s="24">
        <v>45791</v>
      </c>
      <c r="B46" s="25">
        <v>45791</v>
      </c>
      <c r="C46" s="26"/>
      <c r="D46" s="26">
        <v>6.49</v>
      </c>
      <c r="E46" s="26"/>
      <c r="F46" s="26">
        <v>33.76</v>
      </c>
      <c r="G46" s="26"/>
      <c r="H46" s="26"/>
      <c r="I46" s="26"/>
      <c r="J46" s="26"/>
      <c r="K46" s="26"/>
    </row>
    <row r="47" ht="14.25" customHeight="1" spans="1:11">
      <c r="A47" s="24">
        <v>45792</v>
      </c>
      <c r="B47" s="25">
        <v>45792</v>
      </c>
      <c r="C47" s="26"/>
      <c r="D47" s="26">
        <v>5.76</v>
      </c>
      <c r="E47" s="26"/>
      <c r="F47" s="26">
        <v>34.11</v>
      </c>
      <c r="G47" s="26"/>
      <c r="H47" s="26"/>
      <c r="I47" s="26"/>
      <c r="J47" s="26"/>
      <c r="K47" s="26"/>
    </row>
    <row r="48" ht="14.25" customHeight="1" spans="1:11">
      <c r="A48" s="24">
        <v>45793</v>
      </c>
      <c r="B48" s="25">
        <v>45793</v>
      </c>
      <c r="C48" s="26"/>
      <c r="D48" s="26">
        <v>5.67</v>
      </c>
      <c r="E48" s="26"/>
      <c r="F48" s="26">
        <v>34.13</v>
      </c>
      <c r="G48" s="26"/>
      <c r="H48" s="26"/>
      <c r="I48" s="26"/>
      <c r="J48" s="26"/>
      <c r="K48" s="26"/>
    </row>
    <row r="49" ht="14.25" customHeight="1" spans="1:11">
      <c r="A49" s="24">
        <v>45794</v>
      </c>
      <c r="B49" s="25">
        <v>45794</v>
      </c>
      <c r="C49" s="26"/>
      <c r="D49" s="26">
        <v>6.12</v>
      </c>
      <c r="E49" s="26"/>
      <c r="F49" s="26">
        <v>34.57</v>
      </c>
      <c r="G49" s="26"/>
      <c r="H49" s="26"/>
      <c r="I49" s="26"/>
      <c r="J49" s="26"/>
      <c r="K49" s="26"/>
    </row>
    <row r="50" ht="14.25" customHeight="1" spans="1:11">
      <c r="A50" s="24">
        <v>45795</v>
      </c>
      <c r="B50" s="25">
        <v>45795</v>
      </c>
      <c r="C50" s="26"/>
      <c r="D50" s="26">
        <v>6.62</v>
      </c>
      <c r="E50" s="26"/>
      <c r="F50" s="26">
        <v>34.55</v>
      </c>
      <c r="G50" s="26"/>
      <c r="H50" s="26"/>
      <c r="I50" s="26"/>
      <c r="J50" s="26"/>
      <c r="K50" s="26"/>
    </row>
    <row r="51" ht="14.25" customHeight="1" spans="1:11">
      <c r="A51" s="24">
        <v>45796</v>
      </c>
      <c r="B51" s="25">
        <v>45796</v>
      </c>
      <c r="C51" s="26"/>
      <c r="D51" s="26">
        <v>5.94</v>
      </c>
      <c r="E51" s="26"/>
      <c r="F51" s="26">
        <v>34.18</v>
      </c>
      <c r="G51" s="26"/>
      <c r="H51" s="26"/>
      <c r="I51" s="26"/>
      <c r="J51" s="26"/>
      <c r="K51" s="26"/>
    </row>
    <row r="52" ht="14.25" customHeight="1" spans="1:11">
      <c r="A52" s="24">
        <v>45797</v>
      </c>
      <c r="B52" s="25">
        <v>45797</v>
      </c>
      <c r="C52" s="26"/>
      <c r="D52" s="26">
        <v>6.29</v>
      </c>
      <c r="E52" s="26"/>
      <c r="F52" s="26">
        <v>33.75</v>
      </c>
      <c r="G52" s="26"/>
      <c r="H52" s="26"/>
      <c r="I52" s="26"/>
      <c r="J52" s="26"/>
      <c r="K52" s="26"/>
    </row>
    <row r="53" ht="14.25" customHeight="1" spans="1:11">
      <c r="A53" s="24">
        <v>45798</v>
      </c>
      <c r="B53" s="25">
        <v>45798</v>
      </c>
      <c r="C53" s="26"/>
      <c r="D53" s="26">
        <v>4.61</v>
      </c>
      <c r="E53" s="26"/>
      <c r="F53" s="26">
        <v>32.4</v>
      </c>
      <c r="G53" s="26"/>
      <c r="H53" s="26"/>
      <c r="I53" s="26"/>
      <c r="J53" s="26"/>
      <c r="K53" s="26"/>
    </row>
    <row r="54" ht="14.25" customHeight="1" spans="1:11">
      <c r="A54" s="24">
        <v>45799</v>
      </c>
      <c r="B54" s="25">
        <v>45799</v>
      </c>
      <c r="C54" s="26"/>
      <c r="D54" s="26">
        <v>4.83</v>
      </c>
      <c r="E54" s="26"/>
      <c r="F54" s="26">
        <v>36.27</v>
      </c>
      <c r="G54" s="26"/>
      <c r="H54" s="26"/>
      <c r="I54" s="26"/>
      <c r="J54" s="26"/>
      <c r="K54" s="26"/>
    </row>
    <row r="55" ht="14.25" customHeight="1" spans="1:11">
      <c r="A55" s="24">
        <v>45800</v>
      </c>
      <c r="B55" s="25">
        <v>45800</v>
      </c>
      <c r="C55" s="26"/>
      <c r="D55" s="26">
        <v>5.14</v>
      </c>
      <c r="E55" s="26"/>
      <c r="F55" s="26">
        <v>33.67</v>
      </c>
      <c r="G55" s="26"/>
      <c r="H55" s="26"/>
      <c r="I55" s="26"/>
      <c r="J55" s="26"/>
      <c r="K55" s="26"/>
    </row>
    <row r="56" ht="14.25" customHeight="1" spans="1:11">
      <c r="A56" s="24">
        <v>45801</v>
      </c>
      <c r="B56" s="25">
        <v>45801</v>
      </c>
      <c r="C56" s="26"/>
      <c r="D56" s="26">
        <v>6.24</v>
      </c>
      <c r="E56" s="26"/>
      <c r="F56" s="26">
        <v>34.78</v>
      </c>
      <c r="G56" s="26"/>
      <c r="H56" s="26"/>
      <c r="I56" s="26"/>
      <c r="J56" s="26"/>
      <c r="K56" s="26"/>
    </row>
    <row r="57" ht="14.25" customHeight="1" spans="1:11">
      <c r="A57" s="24">
        <v>45802</v>
      </c>
      <c r="B57" s="25">
        <v>45802</v>
      </c>
      <c r="C57" s="26"/>
      <c r="D57" s="26">
        <v>6.48</v>
      </c>
      <c r="E57" s="26"/>
      <c r="F57" s="26">
        <v>34.88</v>
      </c>
      <c r="G57" s="26"/>
      <c r="H57" s="26"/>
      <c r="I57" s="26"/>
      <c r="J57" s="26"/>
      <c r="K57" s="26"/>
    </row>
    <row r="58" ht="14.25" customHeight="1" spans="1:11">
      <c r="A58" s="24">
        <v>45803</v>
      </c>
      <c r="B58" s="25">
        <v>45803</v>
      </c>
      <c r="C58" s="26"/>
      <c r="D58" s="26">
        <v>4.84</v>
      </c>
      <c r="E58" s="26"/>
      <c r="F58" s="26">
        <v>34.2</v>
      </c>
      <c r="G58" s="26"/>
      <c r="H58" s="26"/>
      <c r="I58" s="26"/>
      <c r="J58" s="26"/>
      <c r="K58" s="26"/>
    </row>
    <row r="59" ht="14.25" customHeight="1" spans="1:11">
      <c r="A59" s="24">
        <v>45804</v>
      </c>
      <c r="B59" s="25">
        <v>45804</v>
      </c>
      <c r="C59" s="26"/>
      <c r="D59" s="26">
        <v>2.27</v>
      </c>
      <c r="E59" s="26"/>
      <c r="F59" s="26">
        <v>29.95</v>
      </c>
      <c r="G59" s="26"/>
      <c r="H59" s="26"/>
      <c r="I59" s="26"/>
      <c r="J59" s="26"/>
      <c r="K59" s="26"/>
    </row>
    <row r="60" ht="14.25" customHeight="1" spans="1:11">
      <c r="A60" s="24">
        <v>45805</v>
      </c>
      <c r="B60" s="25">
        <v>45805</v>
      </c>
      <c r="C60" s="26"/>
      <c r="D60" s="26">
        <v>4.86</v>
      </c>
      <c r="E60" s="26"/>
      <c r="F60" s="26">
        <v>32.94</v>
      </c>
      <c r="G60" s="26"/>
      <c r="H60" s="26"/>
      <c r="I60" s="26"/>
      <c r="J60" s="26"/>
      <c r="K60" s="26"/>
    </row>
    <row r="61" ht="14.25" customHeight="1" spans="1:11">
      <c r="A61" s="24">
        <v>45806</v>
      </c>
      <c r="B61" s="25">
        <v>45806</v>
      </c>
      <c r="C61" s="26"/>
      <c r="D61" s="26">
        <v>5.97</v>
      </c>
      <c r="E61" s="26"/>
      <c r="F61" s="26">
        <v>33.56</v>
      </c>
      <c r="G61" s="26"/>
      <c r="H61" s="26"/>
      <c r="I61" s="26"/>
      <c r="J61" s="26"/>
      <c r="K61" s="26"/>
    </row>
    <row r="62" ht="14.25" customHeight="1" spans="1:11">
      <c r="A62" s="24">
        <v>45807</v>
      </c>
      <c r="B62" s="25">
        <v>45807</v>
      </c>
      <c r="C62" s="26"/>
      <c r="D62" s="26">
        <v>6.53</v>
      </c>
      <c r="E62" s="26"/>
      <c r="F62" s="26">
        <v>33.54</v>
      </c>
      <c r="G62" s="26"/>
      <c r="H62" s="26"/>
      <c r="I62" s="26"/>
      <c r="J62" s="26"/>
      <c r="K62" s="26"/>
    </row>
    <row r="63" ht="14.25" customHeight="1" spans="1:11">
      <c r="A63" s="24">
        <v>45808</v>
      </c>
      <c r="B63" s="25">
        <v>45808</v>
      </c>
      <c r="C63" s="26"/>
      <c r="D63" s="26">
        <v>6.74</v>
      </c>
      <c r="E63" s="26"/>
      <c r="F63" s="26">
        <v>33.52</v>
      </c>
      <c r="G63" s="26"/>
      <c r="H63" s="26"/>
      <c r="I63" s="26"/>
      <c r="J63" s="26"/>
      <c r="K63" s="26"/>
    </row>
    <row r="64" ht="14.25" customHeight="1" spans="1:11">
      <c r="A64" s="24">
        <v>45809</v>
      </c>
      <c r="B64" s="25">
        <v>45809</v>
      </c>
      <c r="C64" s="26"/>
      <c r="D64" s="26">
        <v>5.82</v>
      </c>
      <c r="E64" s="26"/>
      <c r="F64" s="26">
        <v>33.25</v>
      </c>
      <c r="G64" s="26"/>
      <c r="H64" s="26"/>
      <c r="I64" s="26"/>
      <c r="J64" s="26"/>
      <c r="K64" s="26"/>
    </row>
    <row r="65" ht="14.25" customHeight="1" spans="1:11">
      <c r="A65" s="24">
        <v>45810</v>
      </c>
      <c r="B65" s="25">
        <v>45810</v>
      </c>
      <c r="C65" s="26"/>
      <c r="D65" s="26">
        <v>6.15</v>
      </c>
      <c r="E65" s="26"/>
      <c r="F65" s="26">
        <v>33.43</v>
      </c>
      <c r="G65" s="26"/>
      <c r="H65" s="26"/>
      <c r="I65" s="26"/>
      <c r="J65" s="26"/>
      <c r="K65" s="26"/>
    </row>
    <row r="66" ht="14.25" customHeight="1" spans="1:11">
      <c r="A66" s="24">
        <v>45811</v>
      </c>
      <c r="B66" s="25">
        <v>45811</v>
      </c>
      <c r="C66" s="26"/>
      <c r="D66" s="26">
        <v>5.96</v>
      </c>
      <c r="E66" s="26"/>
      <c r="F66" s="26">
        <v>33.67</v>
      </c>
      <c r="G66" s="26"/>
      <c r="H66" s="26"/>
      <c r="I66" s="26"/>
      <c r="J66" s="26"/>
      <c r="K66" s="26"/>
    </row>
    <row r="67" ht="14.25" customHeight="1" spans="1:11">
      <c r="A67" s="24">
        <v>45812</v>
      </c>
      <c r="B67" s="25">
        <v>45812</v>
      </c>
      <c r="C67" s="26"/>
      <c r="D67" s="26">
        <v>5.73</v>
      </c>
      <c r="E67" s="26"/>
      <c r="F67" s="26">
        <v>33.09</v>
      </c>
      <c r="G67" s="26"/>
      <c r="H67" s="26"/>
      <c r="I67" s="26"/>
      <c r="J67" s="26"/>
      <c r="K67" s="26"/>
    </row>
    <row r="68" ht="14.25" customHeight="1" spans="1:11">
      <c r="A68" s="24">
        <v>45813</v>
      </c>
      <c r="B68" s="25">
        <v>45813</v>
      </c>
      <c r="C68" s="26"/>
      <c r="D68" s="26">
        <v>5.5</v>
      </c>
      <c r="E68" s="26"/>
      <c r="F68" s="26">
        <v>34.28</v>
      </c>
      <c r="G68" s="26"/>
      <c r="H68" s="26"/>
      <c r="I68" s="26"/>
      <c r="J68" s="26"/>
      <c r="K68" s="26"/>
    </row>
    <row r="69" ht="14.25" customHeight="1" spans="1:11">
      <c r="A69" s="24">
        <v>45814</v>
      </c>
      <c r="B69" s="25">
        <v>45814</v>
      </c>
      <c r="C69" s="26"/>
      <c r="D69" s="26">
        <v>5.55</v>
      </c>
      <c r="E69" s="26"/>
      <c r="F69" s="26">
        <v>34.02</v>
      </c>
      <c r="G69" s="26"/>
      <c r="H69" s="26"/>
      <c r="I69" s="26"/>
      <c r="J69" s="26"/>
      <c r="K69" s="26"/>
    </row>
    <row r="70" ht="14.25" customHeight="1" spans="1:11">
      <c r="A70" s="24">
        <v>45815</v>
      </c>
      <c r="B70" s="25">
        <v>45815</v>
      </c>
      <c r="C70" s="26"/>
      <c r="D70" s="26">
        <v>6.42</v>
      </c>
      <c r="E70" s="26"/>
      <c r="F70" s="26">
        <v>33.56</v>
      </c>
      <c r="G70" s="26"/>
      <c r="H70" s="26"/>
      <c r="I70" s="26"/>
      <c r="J70" s="26"/>
      <c r="K70" s="26"/>
    </row>
    <row r="71" ht="14.25" customHeight="1" spans="1:11">
      <c r="A71" s="24">
        <v>45816</v>
      </c>
      <c r="B71" s="25">
        <v>45816</v>
      </c>
      <c r="C71" s="26"/>
      <c r="D71" s="26">
        <v>5.67</v>
      </c>
      <c r="E71" s="26"/>
      <c r="F71" s="26">
        <v>33.7</v>
      </c>
      <c r="G71" s="26"/>
      <c r="H71" s="26"/>
      <c r="I71" s="26"/>
      <c r="J71" s="26"/>
      <c r="K71" s="26"/>
    </row>
    <row r="72" ht="14.25" customHeight="1" spans="1:11">
      <c r="A72" s="24">
        <v>45817</v>
      </c>
      <c r="B72" s="25">
        <v>45817</v>
      </c>
      <c r="C72" s="26"/>
      <c r="D72" s="26">
        <v>6.43</v>
      </c>
      <c r="E72" s="26"/>
      <c r="F72" s="26">
        <v>27</v>
      </c>
      <c r="G72" s="26"/>
      <c r="H72" s="26"/>
      <c r="I72" s="26"/>
      <c r="J72" s="26"/>
      <c r="K72" s="26"/>
    </row>
    <row r="73" ht="14.25" customHeight="1" spans="1:11">
      <c r="A73" s="24">
        <v>45818</v>
      </c>
      <c r="B73" s="25">
        <v>45818</v>
      </c>
      <c r="C73" s="26"/>
      <c r="D73" s="26">
        <v>6.73</v>
      </c>
      <c r="E73" s="26"/>
      <c r="F73" s="26">
        <v>33.35</v>
      </c>
      <c r="G73" s="26"/>
      <c r="H73" s="26"/>
      <c r="I73" s="26"/>
      <c r="J73" s="26"/>
      <c r="K73" s="26"/>
    </row>
    <row r="74" ht="14.25" customHeight="1" spans="1:11">
      <c r="A74" s="24">
        <v>45819</v>
      </c>
      <c r="B74" s="25">
        <v>45819</v>
      </c>
      <c r="C74" s="26"/>
      <c r="D74" s="26">
        <v>5.42</v>
      </c>
      <c r="E74" s="26"/>
      <c r="F74" s="26">
        <v>32.87</v>
      </c>
      <c r="G74" s="26"/>
      <c r="H74" s="26"/>
      <c r="I74" s="26"/>
      <c r="J74" s="26"/>
      <c r="K74" s="26"/>
    </row>
    <row r="75" ht="14.25" customHeight="1" spans="1:11">
      <c r="A75" s="24">
        <v>45820</v>
      </c>
      <c r="B75" s="25">
        <v>45820</v>
      </c>
      <c r="C75" s="26"/>
      <c r="D75" s="26">
        <v>5.64</v>
      </c>
      <c r="E75" s="26"/>
      <c r="F75" s="26">
        <v>34.47</v>
      </c>
      <c r="G75" s="26"/>
      <c r="H75" s="26"/>
      <c r="I75" s="26"/>
      <c r="J75" s="26"/>
      <c r="K75" s="26"/>
    </row>
    <row r="76" ht="14.25" customHeight="1" spans="1:11">
      <c r="A76" s="24">
        <v>45821</v>
      </c>
      <c r="B76" s="25">
        <v>45821</v>
      </c>
      <c r="C76" s="26"/>
      <c r="D76" s="26">
        <v>3.1</v>
      </c>
      <c r="E76" s="26"/>
      <c r="F76" s="26">
        <v>31.8</v>
      </c>
      <c r="G76" s="26"/>
      <c r="H76" s="26"/>
      <c r="I76" s="26"/>
      <c r="J76" s="26"/>
      <c r="K76" s="26"/>
    </row>
    <row r="77" ht="14.25" customHeight="1" spans="1:11">
      <c r="A77" s="24">
        <v>45822</v>
      </c>
      <c r="B77" s="25">
        <v>45822</v>
      </c>
      <c r="C77" s="26"/>
      <c r="D77" s="26">
        <v>5.13</v>
      </c>
      <c r="E77" s="26"/>
      <c r="F77" s="26">
        <v>34.68</v>
      </c>
      <c r="G77" s="26"/>
      <c r="H77" s="26"/>
      <c r="I77" s="26"/>
      <c r="J77" s="26"/>
      <c r="K77" s="26"/>
    </row>
    <row r="78" ht="14.25" customHeight="1" spans="1:11">
      <c r="A78" s="24">
        <v>45823</v>
      </c>
      <c r="B78" s="25">
        <v>45823</v>
      </c>
      <c r="C78" s="26"/>
      <c r="D78" s="26">
        <v>3.48</v>
      </c>
      <c r="E78" s="26"/>
      <c r="F78" s="26">
        <v>31.93</v>
      </c>
      <c r="G78" s="26"/>
      <c r="H78" s="26"/>
      <c r="I78" s="26"/>
      <c r="J78" s="26"/>
      <c r="K78" s="26"/>
    </row>
    <row r="79" ht="14.25" customHeight="1" spans="1:11">
      <c r="A79" s="24">
        <v>45824</v>
      </c>
      <c r="B79" s="25">
        <v>45824</v>
      </c>
      <c r="C79" s="26"/>
      <c r="D79" s="26">
        <v>0.2</v>
      </c>
      <c r="E79" s="26"/>
      <c r="F79" s="26">
        <v>25.55</v>
      </c>
      <c r="G79" s="26"/>
      <c r="H79" s="26"/>
      <c r="I79" s="26"/>
      <c r="J79" s="26"/>
      <c r="K79" s="26"/>
    </row>
    <row r="80" ht="14.25" customHeight="1" spans="1:11">
      <c r="A80" s="24">
        <v>45825</v>
      </c>
      <c r="B80" s="25">
        <v>45825</v>
      </c>
      <c r="C80" s="26"/>
      <c r="D80" s="26">
        <v>1.83</v>
      </c>
      <c r="E80" s="26"/>
      <c r="F80" s="26">
        <v>27.63</v>
      </c>
      <c r="G80" s="26"/>
      <c r="H80" s="26"/>
      <c r="I80" s="26"/>
      <c r="J80" s="26"/>
      <c r="K80" s="26"/>
    </row>
    <row r="81" ht="14.25" customHeight="1" spans="1:11">
      <c r="A81" s="24">
        <v>45826</v>
      </c>
      <c r="B81" s="25">
        <v>45826</v>
      </c>
      <c r="C81" s="26"/>
      <c r="D81" s="26">
        <v>1.4</v>
      </c>
      <c r="E81" s="26"/>
      <c r="F81" s="26">
        <v>27.66</v>
      </c>
      <c r="G81" s="26"/>
      <c r="H81" s="26"/>
      <c r="I81" s="26"/>
      <c r="J81" s="26"/>
      <c r="K81" s="26"/>
    </row>
    <row r="82" ht="14.25" customHeight="1" spans="1:11">
      <c r="A82" s="24">
        <v>45827</v>
      </c>
      <c r="B82" s="25">
        <v>45827</v>
      </c>
      <c r="C82" s="26"/>
      <c r="D82" s="26">
        <v>4.16</v>
      </c>
      <c r="E82" s="26"/>
      <c r="F82" s="26">
        <v>30.07</v>
      </c>
      <c r="G82" s="26"/>
      <c r="H82" s="26"/>
      <c r="I82" s="26"/>
      <c r="J82" s="26"/>
      <c r="K82" s="26"/>
    </row>
    <row r="83" ht="14.25" customHeight="1" spans="1:11">
      <c r="A83" s="24">
        <v>45828</v>
      </c>
      <c r="B83" s="25">
        <v>45828</v>
      </c>
      <c r="C83" s="26"/>
      <c r="D83" s="26">
        <v>4.26</v>
      </c>
      <c r="E83" s="26"/>
      <c r="F83" s="26">
        <v>30.79</v>
      </c>
      <c r="G83" s="26"/>
      <c r="H83" s="26"/>
      <c r="I83" s="26"/>
      <c r="J83" s="26"/>
      <c r="K83" s="26"/>
    </row>
    <row r="84" ht="14.25" customHeight="1" spans="1:11">
      <c r="A84" s="24">
        <v>45829</v>
      </c>
      <c r="B84" s="25">
        <v>45829</v>
      </c>
      <c r="C84" s="26"/>
      <c r="D84" s="26">
        <v>3.18</v>
      </c>
      <c r="E84" s="26"/>
      <c r="F84" s="26">
        <v>29.51</v>
      </c>
      <c r="G84" s="26"/>
      <c r="H84" s="26"/>
      <c r="I84" s="26"/>
      <c r="J84" s="26"/>
      <c r="K84" s="26"/>
    </row>
    <row r="85" ht="14.25" customHeight="1" spans="1:11">
      <c r="A85" s="24">
        <v>45830</v>
      </c>
      <c r="B85" s="25">
        <v>45830</v>
      </c>
      <c r="C85" s="26"/>
      <c r="D85" s="26">
        <v>1.74</v>
      </c>
      <c r="E85" s="26"/>
      <c r="F85" s="26">
        <v>26.54</v>
      </c>
      <c r="G85" s="26"/>
      <c r="H85" s="26"/>
      <c r="I85" s="26"/>
      <c r="J85" s="26"/>
      <c r="K85" s="26"/>
    </row>
    <row r="86" ht="14.25" customHeight="1" spans="1:11">
      <c r="A86" s="24">
        <v>45831</v>
      </c>
      <c r="B86" s="25">
        <v>45831</v>
      </c>
      <c r="C86" s="26"/>
      <c r="D86" s="26">
        <v>1.22</v>
      </c>
      <c r="E86" s="26"/>
      <c r="F86" s="26">
        <v>27.23</v>
      </c>
      <c r="G86" s="26"/>
      <c r="H86" s="26"/>
      <c r="I86" s="26"/>
      <c r="J86" s="26"/>
      <c r="K86" s="26"/>
    </row>
    <row r="87" ht="14.25" customHeight="1" spans="1:11">
      <c r="A87" s="24">
        <v>45832</v>
      </c>
      <c r="B87" s="25">
        <v>45832</v>
      </c>
      <c r="C87" s="26"/>
      <c r="D87" s="26">
        <v>2.68</v>
      </c>
      <c r="E87" s="26"/>
      <c r="F87" s="26">
        <v>29.02</v>
      </c>
      <c r="G87" s="26"/>
      <c r="H87" s="26"/>
      <c r="I87" s="26"/>
      <c r="J87" s="26"/>
      <c r="K87" s="26"/>
    </row>
    <row r="88" ht="14.25" customHeight="1" spans="1:11">
      <c r="A88" s="24">
        <v>45833</v>
      </c>
      <c r="B88" s="25">
        <v>45833</v>
      </c>
      <c r="C88" s="26"/>
      <c r="D88" s="26">
        <v>1.23</v>
      </c>
      <c r="E88" s="26"/>
      <c r="F88" s="26">
        <v>28.8</v>
      </c>
      <c r="G88" s="26"/>
      <c r="H88" s="26"/>
      <c r="I88" s="26"/>
      <c r="J88" s="26"/>
      <c r="K88" s="26"/>
    </row>
    <row r="89" ht="14.25" customHeight="1" spans="1:11">
      <c r="A89" s="24">
        <v>45834</v>
      </c>
      <c r="B89" s="25">
        <v>45834</v>
      </c>
      <c r="C89" s="26"/>
      <c r="D89" s="26">
        <v>1.4</v>
      </c>
      <c r="E89" s="26"/>
      <c r="F89" s="26">
        <v>27.06</v>
      </c>
      <c r="G89" s="26"/>
      <c r="H89" s="26"/>
      <c r="I89" s="26"/>
      <c r="J89" s="26"/>
      <c r="K89" s="26"/>
    </row>
    <row r="90" ht="14.25" customHeight="1" spans="1:11">
      <c r="A90" s="24">
        <v>45835</v>
      </c>
      <c r="B90" s="25">
        <v>45835</v>
      </c>
      <c r="C90" s="26"/>
      <c r="D90" s="26">
        <v>1.11</v>
      </c>
      <c r="E90" s="26"/>
      <c r="F90" s="26">
        <v>26.15</v>
      </c>
      <c r="G90" s="26"/>
      <c r="H90" s="26"/>
      <c r="I90" s="26"/>
      <c r="J90" s="26"/>
      <c r="K90" s="26"/>
    </row>
    <row r="91" ht="14.25" customHeight="1" spans="1:11">
      <c r="A91" s="24">
        <v>45836</v>
      </c>
      <c r="B91" s="25">
        <v>45836</v>
      </c>
      <c r="C91" s="26"/>
      <c r="D91" s="26">
        <v>2.23</v>
      </c>
      <c r="E91" s="26"/>
      <c r="F91" s="26">
        <v>27.2</v>
      </c>
      <c r="G91" s="26"/>
      <c r="H91" s="26"/>
      <c r="I91" s="26"/>
      <c r="J91" s="26"/>
      <c r="K91" s="26"/>
    </row>
    <row r="92" ht="14.25" customHeight="1" spans="1:11">
      <c r="A92" s="24">
        <v>45837</v>
      </c>
      <c r="B92" s="25">
        <v>45837</v>
      </c>
      <c r="C92" s="26"/>
      <c r="D92" s="26">
        <v>4.33</v>
      </c>
      <c r="E92" s="26"/>
      <c r="F92" s="26">
        <v>30.4</v>
      </c>
      <c r="G92" s="26"/>
      <c r="H92" s="26"/>
      <c r="I92" s="26"/>
      <c r="J92" s="26"/>
      <c r="K92" s="26"/>
    </row>
    <row r="93" ht="14.25" customHeight="1" spans="1:11">
      <c r="A93" s="24">
        <v>45838</v>
      </c>
      <c r="B93" s="25">
        <v>45838</v>
      </c>
      <c r="C93" s="26"/>
      <c r="D93" s="26">
        <v>2.55</v>
      </c>
      <c r="E93" s="26"/>
      <c r="F93" s="26">
        <v>27.95</v>
      </c>
      <c r="G93" s="26"/>
      <c r="H93" s="26"/>
      <c r="I93" s="26"/>
      <c r="J93" s="26"/>
      <c r="K93" s="26"/>
    </row>
    <row r="94" ht="14.25" customHeight="1" spans="1:11">
      <c r="A94" s="24">
        <v>45839</v>
      </c>
      <c r="B94" s="25">
        <v>45839</v>
      </c>
      <c r="C94" s="26"/>
      <c r="D94" s="26">
        <v>4.07</v>
      </c>
      <c r="E94" s="26"/>
      <c r="F94" s="26">
        <v>29.44</v>
      </c>
      <c r="G94" s="26"/>
      <c r="H94" s="26"/>
      <c r="I94" s="26"/>
      <c r="J94" s="26"/>
      <c r="K94" s="26"/>
    </row>
    <row r="95" ht="14.25" customHeight="1" spans="1:11">
      <c r="A95" s="24">
        <v>45840</v>
      </c>
      <c r="B95" s="25">
        <v>45840</v>
      </c>
      <c r="C95" s="26"/>
      <c r="D95" s="26">
        <v>1.77</v>
      </c>
      <c r="E95" s="26"/>
      <c r="F95" s="26">
        <v>27</v>
      </c>
      <c r="G95" s="26"/>
      <c r="H95" s="26"/>
      <c r="I95" s="26"/>
      <c r="J95" s="26"/>
      <c r="K95" s="26"/>
    </row>
    <row r="96" ht="14.25" customHeight="1" spans="1:11">
      <c r="A96" s="24">
        <v>45841</v>
      </c>
      <c r="B96" s="25">
        <v>45841</v>
      </c>
      <c r="C96" s="26"/>
      <c r="D96" s="26">
        <v>1.54</v>
      </c>
      <c r="E96" s="26"/>
      <c r="F96" s="26">
        <v>26.11</v>
      </c>
      <c r="G96" s="26"/>
      <c r="H96" s="26"/>
      <c r="I96" s="26"/>
      <c r="J96" s="26"/>
      <c r="K96" s="26"/>
    </row>
    <row r="97" ht="14.25" customHeight="1" spans="1:11">
      <c r="A97" s="24">
        <v>45842</v>
      </c>
      <c r="B97" s="25">
        <v>45842</v>
      </c>
      <c r="C97" s="26"/>
      <c r="D97" s="26">
        <v>1.2</v>
      </c>
      <c r="E97" s="26"/>
      <c r="F97" s="26">
        <v>26.08</v>
      </c>
      <c r="G97" s="26"/>
      <c r="H97" s="26"/>
      <c r="I97" s="26"/>
      <c r="J97" s="26"/>
      <c r="K97" s="26"/>
    </row>
    <row r="98" ht="14.25" customHeight="1" spans="1:11">
      <c r="A98" s="24">
        <v>45843</v>
      </c>
      <c r="B98" s="25">
        <v>45843</v>
      </c>
      <c r="C98" s="26"/>
      <c r="D98" s="26">
        <v>1.93</v>
      </c>
      <c r="E98" s="26"/>
      <c r="F98" s="26">
        <v>27.59</v>
      </c>
      <c r="G98" s="26"/>
      <c r="H98" s="26"/>
      <c r="I98" s="26"/>
      <c r="J98" s="26"/>
      <c r="K98" s="26"/>
    </row>
    <row r="99" ht="14.25" customHeight="1" spans="1:11">
      <c r="A99" s="24">
        <v>45844</v>
      </c>
      <c r="B99" s="25">
        <v>45844</v>
      </c>
      <c r="C99" s="26"/>
      <c r="D99" s="26">
        <v>1.43</v>
      </c>
      <c r="E99" s="26"/>
      <c r="F99" s="26">
        <v>26.05</v>
      </c>
      <c r="G99" s="26"/>
      <c r="H99" s="26"/>
      <c r="I99" s="26"/>
      <c r="J99" s="26"/>
      <c r="K99" s="26"/>
    </row>
    <row r="100" ht="14.25" customHeight="1" spans="1:11">
      <c r="A100" s="24">
        <v>45845</v>
      </c>
      <c r="B100" s="25">
        <v>45845</v>
      </c>
      <c r="C100" s="26"/>
      <c r="D100" s="52">
        <v>1.43</v>
      </c>
      <c r="F100" s="52">
        <v>26.05</v>
      </c>
      <c r="G100" s="26"/>
      <c r="H100" s="26"/>
      <c r="I100" s="26"/>
      <c r="J100" s="26"/>
      <c r="K100" s="26"/>
    </row>
    <row r="101" ht="15.75" customHeight="1" spans="1:11">
      <c r="A101" s="24">
        <v>45846</v>
      </c>
      <c r="B101" s="25">
        <v>45846</v>
      </c>
      <c r="C101" s="26"/>
      <c r="D101" s="52">
        <v>2.81</v>
      </c>
      <c r="F101" s="52">
        <v>28.49</v>
      </c>
      <c r="G101" s="26"/>
      <c r="H101" s="26"/>
      <c r="I101" s="26"/>
      <c r="J101" s="26"/>
      <c r="K101" s="26"/>
    </row>
    <row r="102" ht="15.75" customHeight="1" spans="1:11">
      <c r="A102" s="24">
        <v>45847</v>
      </c>
      <c r="B102" s="25">
        <v>45847</v>
      </c>
      <c r="C102" s="26"/>
      <c r="D102" s="52">
        <v>5.06</v>
      </c>
      <c r="F102" s="52">
        <v>31.34</v>
      </c>
      <c r="G102" s="26"/>
      <c r="H102" s="26"/>
      <c r="I102" s="26"/>
      <c r="J102" s="26"/>
      <c r="K102" s="26"/>
    </row>
    <row r="103" ht="15.75" customHeight="1" spans="1:11">
      <c r="A103" s="24">
        <v>45848</v>
      </c>
      <c r="B103" s="25">
        <v>45848</v>
      </c>
      <c r="C103" s="26"/>
      <c r="D103" s="26">
        <v>2.01</v>
      </c>
      <c r="E103" s="26"/>
      <c r="F103" s="26">
        <v>28.63</v>
      </c>
      <c r="G103" s="26"/>
      <c r="H103" s="26"/>
      <c r="I103" s="26"/>
      <c r="J103" s="26"/>
      <c r="K103" s="26"/>
    </row>
    <row r="104" ht="15.75" customHeight="1" spans="1:11">
      <c r="A104" s="24">
        <v>45849</v>
      </c>
      <c r="B104" s="25">
        <v>45849</v>
      </c>
      <c r="C104" s="26"/>
      <c r="D104" s="26">
        <v>1.32</v>
      </c>
      <c r="E104" s="26"/>
      <c r="F104" s="26">
        <v>26.45</v>
      </c>
      <c r="G104" s="26"/>
      <c r="H104" s="26"/>
      <c r="I104" s="26"/>
      <c r="J104" s="26"/>
      <c r="K104" s="26"/>
    </row>
    <row r="105" ht="15.75" customHeight="1" spans="1:11">
      <c r="A105" s="24">
        <v>45850</v>
      </c>
      <c r="B105" s="25">
        <v>45850</v>
      </c>
      <c r="C105" s="26"/>
      <c r="D105" s="26">
        <v>3.95</v>
      </c>
      <c r="E105" s="26"/>
      <c r="F105" s="26">
        <v>28.6</v>
      </c>
      <c r="G105" s="26"/>
      <c r="H105" s="26"/>
      <c r="I105" s="26"/>
      <c r="J105" s="26"/>
      <c r="K105" s="26"/>
    </row>
    <row r="106" ht="15.75" customHeight="1" spans="1:11">
      <c r="A106" s="24">
        <v>45851</v>
      </c>
      <c r="B106" s="25">
        <v>45851</v>
      </c>
      <c r="C106" s="26"/>
      <c r="D106" s="26">
        <v>6.02</v>
      </c>
      <c r="E106" s="26"/>
      <c r="F106" s="26">
        <v>30.07</v>
      </c>
      <c r="G106" s="26"/>
      <c r="H106" s="26"/>
      <c r="I106" s="26"/>
      <c r="J106" s="26"/>
      <c r="K106" s="26"/>
    </row>
    <row r="107" ht="15.75" customHeight="1" spans="1:11">
      <c r="A107" s="24">
        <v>45852</v>
      </c>
      <c r="B107" s="25">
        <v>45852</v>
      </c>
      <c r="C107" s="26"/>
      <c r="D107" s="26">
        <v>4.11</v>
      </c>
      <c r="E107" s="26"/>
      <c r="F107" s="26">
        <v>30.18</v>
      </c>
      <c r="G107" s="26"/>
      <c r="H107" s="26"/>
      <c r="I107" s="26"/>
      <c r="J107" s="26"/>
      <c r="K107" s="26"/>
    </row>
    <row r="108" ht="15.75" customHeight="1" spans="1:11">
      <c r="A108" s="24">
        <v>45853</v>
      </c>
      <c r="B108" s="25">
        <v>45853</v>
      </c>
      <c r="C108" s="26"/>
      <c r="D108" s="26">
        <v>4.66</v>
      </c>
      <c r="E108" s="26"/>
      <c r="F108" s="26">
        <v>30.3</v>
      </c>
      <c r="G108" s="26"/>
      <c r="H108" s="26"/>
      <c r="I108" s="26"/>
      <c r="J108" s="26"/>
      <c r="K108" s="26"/>
    </row>
    <row r="109" ht="15.75" customHeight="1" spans="1:11">
      <c r="A109" s="24">
        <v>45854</v>
      </c>
      <c r="B109" s="25">
        <v>45854</v>
      </c>
      <c r="C109" s="26"/>
      <c r="D109" s="26">
        <v>5.64</v>
      </c>
      <c r="E109" s="26"/>
      <c r="F109" s="26">
        <v>31.32</v>
      </c>
      <c r="G109" s="26"/>
      <c r="H109" s="26"/>
      <c r="I109" s="26"/>
      <c r="J109" s="26"/>
      <c r="K109" s="26"/>
    </row>
    <row r="110" ht="15.75" customHeight="1" spans="1:11">
      <c r="A110" s="24">
        <v>45855</v>
      </c>
      <c r="B110" s="25">
        <v>45855</v>
      </c>
      <c r="C110" s="26"/>
      <c r="D110" s="26">
        <v>4.43</v>
      </c>
      <c r="E110" s="26"/>
      <c r="F110" s="26">
        <v>31.54</v>
      </c>
      <c r="G110" s="26"/>
      <c r="H110" s="26"/>
      <c r="I110" s="26"/>
      <c r="J110" s="26"/>
      <c r="K110" s="26"/>
    </row>
    <row r="111" ht="15.75" customHeight="1" spans="1:11">
      <c r="A111" s="24">
        <v>45856</v>
      </c>
      <c r="B111" s="25">
        <v>45856</v>
      </c>
      <c r="C111" s="26"/>
      <c r="D111" s="26">
        <v>5.55</v>
      </c>
      <c r="E111" s="26"/>
      <c r="F111" s="26">
        <v>31.08</v>
      </c>
      <c r="G111" s="26"/>
      <c r="H111" s="26"/>
      <c r="I111" s="26"/>
      <c r="J111" s="26"/>
      <c r="K111" s="26"/>
    </row>
    <row r="112" ht="15.75" customHeight="1" spans="1:11">
      <c r="A112" s="24">
        <v>45857</v>
      </c>
      <c r="B112" s="25">
        <v>45857</v>
      </c>
      <c r="C112" s="26"/>
      <c r="D112" s="26">
        <v>2.7</v>
      </c>
      <c r="E112" s="26"/>
      <c r="F112" s="26">
        <v>27.93</v>
      </c>
      <c r="G112" s="26"/>
      <c r="H112" s="26"/>
      <c r="I112" s="26"/>
      <c r="J112" s="26"/>
      <c r="K112" s="26"/>
    </row>
    <row r="113" ht="15.75" customHeight="1" spans="1:11">
      <c r="A113" s="24">
        <v>45858</v>
      </c>
      <c r="B113" s="25">
        <v>45858</v>
      </c>
      <c r="C113" s="26"/>
      <c r="D113" s="26">
        <v>3.16</v>
      </c>
      <c r="E113" s="26"/>
      <c r="F113" s="26">
        <v>28.62</v>
      </c>
      <c r="G113" s="26"/>
      <c r="H113" s="26"/>
      <c r="I113" s="26"/>
      <c r="J113" s="26"/>
      <c r="K113" s="26"/>
    </row>
    <row r="114" ht="15.75" customHeight="1" spans="1:11">
      <c r="A114" s="24">
        <v>45859</v>
      </c>
      <c r="B114" s="25">
        <v>45859</v>
      </c>
      <c r="C114" s="26"/>
      <c r="D114" s="26">
        <v>3.92</v>
      </c>
      <c r="E114" s="26"/>
      <c r="F114" s="26">
        <v>29.33</v>
      </c>
      <c r="G114" s="26"/>
      <c r="H114" s="26"/>
      <c r="I114" s="26"/>
      <c r="J114" s="26"/>
      <c r="K114" s="26"/>
    </row>
    <row r="115" ht="15.75" customHeight="1" spans="1:11">
      <c r="A115" s="24">
        <v>45860</v>
      </c>
      <c r="B115" s="25">
        <v>45860</v>
      </c>
      <c r="C115" s="26"/>
      <c r="D115" s="26">
        <v>4.14</v>
      </c>
      <c r="E115" s="26"/>
      <c r="F115" s="26">
        <v>29.48</v>
      </c>
      <c r="G115" s="26"/>
      <c r="H115" s="26"/>
      <c r="I115" s="26"/>
      <c r="J115" s="26"/>
      <c r="K115" s="26"/>
    </row>
    <row r="116" ht="15.75" customHeight="1" spans="1:11">
      <c r="A116" s="24">
        <v>45861</v>
      </c>
      <c r="B116" s="25">
        <v>45861</v>
      </c>
      <c r="C116" s="26"/>
      <c r="D116" s="26">
        <v>2.6</v>
      </c>
      <c r="E116" s="26"/>
      <c r="F116" s="26">
        <v>28.33</v>
      </c>
      <c r="G116" s="26"/>
      <c r="H116" s="26"/>
      <c r="I116" s="26"/>
      <c r="J116" s="26"/>
      <c r="K116" s="26"/>
    </row>
    <row r="117" ht="15.75" customHeight="1" spans="1:11">
      <c r="A117" s="24">
        <v>45862</v>
      </c>
      <c r="B117" s="25">
        <v>45862</v>
      </c>
      <c r="C117" s="26"/>
      <c r="D117" s="26">
        <v>1.49</v>
      </c>
      <c r="E117" s="26"/>
      <c r="F117" s="26">
        <v>28.5</v>
      </c>
      <c r="G117" s="26"/>
      <c r="H117" s="26"/>
      <c r="I117" s="26"/>
      <c r="J117" s="26"/>
      <c r="K117" s="26"/>
    </row>
    <row r="118" ht="15.75" customHeight="1" spans="1:11">
      <c r="A118" s="24">
        <v>45863</v>
      </c>
      <c r="B118" s="25">
        <v>45863</v>
      </c>
      <c r="C118" s="26"/>
      <c r="D118" s="26">
        <v>3.14</v>
      </c>
      <c r="E118" s="26"/>
      <c r="F118" s="26">
        <v>28.52</v>
      </c>
      <c r="G118" s="26"/>
      <c r="H118" s="26"/>
      <c r="I118" s="26"/>
      <c r="J118" s="26"/>
      <c r="K118" s="26"/>
    </row>
    <row r="119" ht="15.75" customHeight="1" spans="1:11">
      <c r="A119" s="24">
        <v>45864</v>
      </c>
      <c r="B119" s="25">
        <v>45864</v>
      </c>
      <c r="C119" s="26"/>
      <c r="D119" s="26">
        <v>2.26</v>
      </c>
      <c r="E119" s="26"/>
      <c r="F119" s="26">
        <v>27.78</v>
      </c>
      <c r="G119" s="26"/>
      <c r="H119" s="26"/>
      <c r="I119" s="26"/>
      <c r="J119" s="26"/>
      <c r="K119" s="26"/>
    </row>
    <row r="120" ht="15.75" customHeight="1" spans="1:11">
      <c r="A120" s="24">
        <v>45865</v>
      </c>
      <c r="B120" s="25">
        <v>45865</v>
      </c>
      <c r="C120" s="26"/>
      <c r="D120" s="26">
        <v>1.6</v>
      </c>
      <c r="E120" s="26"/>
      <c r="F120" s="26">
        <v>26.63</v>
      </c>
      <c r="G120" s="26"/>
      <c r="H120" s="26"/>
      <c r="I120" s="26"/>
      <c r="J120" s="26"/>
      <c r="K120" s="26"/>
    </row>
    <row r="121" ht="15.75" customHeight="1" spans="1:11">
      <c r="A121" s="24">
        <v>45866</v>
      </c>
      <c r="B121" s="25">
        <v>45866</v>
      </c>
      <c r="C121" s="26"/>
      <c r="D121" s="26">
        <v>2.18</v>
      </c>
      <c r="E121" s="26"/>
      <c r="F121" s="26">
        <v>28.88</v>
      </c>
      <c r="G121" s="26"/>
      <c r="H121" s="26"/>
      <c r="I121" s="26"/>
      <c r="J121" s="26"/>
      <c r="K121" s="26"/>
    </row>
    <row r="122" ht="15.75" customHeight="1" spans="1:11">
      <c r="A122" s="24">
        <v>45867</v>
      </c>
      <c r="B122" s="25">
        <v>45867</v>
      </c>
      <c r="C122" s="26"/>
      <c r="D122" s="26">
        <v>1.89</v>
      </c>
      <c r="E122" s="26"/>
      <c r="F122" s="26">
        <v>26.84</v>
      </c>
      <c r="G122" s="26"/>
      <c r="H122" s="26"/>
      <c r="I122" s="26"/>
      <c r="J122" s="26"/>
      <c r="K122" s="26"/>
    </row>
    <row r="123" ht="15.75" customHeight="1" spans="1:11">
      <c r="A123" s="24">
        <v>45868</v>
      </c>
      <c r="B123" s="25">
        <v>45868</v>
      </c>
      <c r="C123" s="26"/>
      <c r="D123" s="26">
        <v>3.4</v>
      </c>
      <c r="E123" s="26"/>
      <c r="F123" s="26">
        <v>28.71</v>
      </c>
      <c r="G123" s="26"/>
      <c r="H123" s="26"/>
      <c r="I123" s="26"/>
      <c r="J123" s="26"/>
      <c r="K123" s="26"/>
    </row>
    <row r="124" ht="15.75" customHeight="1" spans="1:11">
      <c r="A124" s="24">
        <v>45869</v>
      </c>
      <c r="B124" s="25">
        <v>45869</v>
      </c>
      <c r="C124" s="26"/>
      <c r="D124" s="26">
        <v>2.19</v>
      </c>
      <c r="E124" s="26"/>
      <c r="F124" s="26">
        <v>28.27</v>
      </c>
      <c r="G124" s="26"/>
      <c r="H124" s="26"/>
      <c r="I124" s="26"/>
      <c r="J124" s="26"/>
      <c r="K124" s="26"/>
    </row>
    <row r="125" ht="15.75" customHeight="1" spans="1:11">
      <c r="A125" s="24">
        <v>45870</v>
      </c>
      <c r="B125" s="25">
        <v>45870</v>
      </c>
      <c r="C125" s="26"/>
      <c r="D125" s="26">
        <v>2.71</v>
      </c>
      <c r="E125" s="26"/>
      <c r="F125" s="26">
        <v>28.17</v>
      </c>
      <c r="G125" s="26"/>
      <c r="H125" s="26"/>
      <c r="I125" s="26"/>
      <c r="J125" s="26"/>
      <c r="K125" s="26"/>
    </row>
    <row r="126" ht="15.75" customHeight="1" spans="1:11">
      <c r="A126" s="24">
        <v>45871</v>
      </c>
      <c r="B126" s="25">
        <v>45871</v>
      </c>
      <c r="C126" s="26"/>
      <c r="D126" s="26">
        <v>3.07</v>
      </c>
      <c r="E126" s="26"/>
      <c r="F126" s="26">
        <v>28.07</v>
      </c>
      <c r="G126" s="26"/>
      <c r="H126" s="26"/>
      <c r="I126" s="26"/>
      <c r="J126" s="26"/>
      <c r="K126" s="26"/>
    </row>
    <row r="127" ht="15.75" customHeight="1" spans="1:11">
      <c r="A127" s="24">
        <v>45872</v>
      </c>
      <c r="B127" s="25">
        <v>45872</v>
      </c>
      <c r="C127" s="26"/>
      <c r="D127" s="26">
        <v>2.18</v>
      </c>
      <c r="E127" s="26"/>
      <c r="F127" s="26">
        <v>27.76</v>
      </c>
      <c r="G127" s="26"/>
      <c r="H127" s="26"/>
      <c r="I127" s="26"/>
      <c r="J127" s="26"/>
      <c r="K127" s="26"/>
    </row>
    <row r="128" ht="15.75" customHeight="1" spans="1:11">
      <c r="A128" s="24">
        <v>45873</v>
      </c>
      <c r="B128" s="25">
        <v>45873</v>
      </c>
      <c r="C128" s="26"/>
      <c r="D128" s="26">
        <v>1.96</v>
      </c>
      <c r="E128" s="26"/>
      <c r="F128" s="26">
        <v>26.72</v>
      </c>
      <c r="G128" s="26"/>
      <c r="H128" s="26"/>
      <c r="I128" s="26"/>
      <c r="J128" s="26"/>
      <c r="K128" s="26"/>
    </row>
    <row r="129" ht="15.75" customHeight="1" spans="1:11">
      <c r="A129" s="24">
        <v>45874</v>
      </c>
      <c r="B129" s="25">
        <v>45874</v>
      </c>
      <c r="C129" s="26"/>
      <c r="D129" s="26">
        <v>3</v>
      </c>
      <c r="E129" s="26"/>
      <c r="F129" s="26">
        <v>27.62</v>
      </c>
      <c r="G129" s="26"/>
      <c r="H129" s="26"/>
      <c r="I129" s="26"/>
      <c r="J129" s="26"/>
      <c r="K129" s="26"/>
    </row>
    <row r="130" ht="15.75" customHeight="1" spans="1:11">
      <c r="A130" s="24">
        <v>45875</v>
      </c>
      <c r="B130" s="25">
        <v>45875</v>
      </c>
      <c r="C130" s="26"/>
      <c r="D130" s="26">
        <v>4.33</v>
      </c>
      <c r="E130" s="26"/>
      <c r="F130" s="26">
        <v>29.27</v>
      </c>
      <c r="G130" s="26"/>
      <c r="H130" s="26"/>
      <c r="I130" s="26"/>
      <c r="J130" s="26"/>
      <c r="K130" s="26"/>
    </row>
    <row r="131" ht="15.75" customHeight="1" spans="1:11">
      <c r="A131" s="24">
        <v>45876</v>
      </c>
      <c r="B131" s="25">
        <v>45876</v>
      </c>
      <c r="C131" s="26"/>
      <c r="D131" s="26">
        <v>5.09</v>
      </c>
      <c r="E131" s="26"/>
      <c r="F131" s="26">
        <v>30.02</v>
      </c>
      <c r="G131" s="26"/>
      <c r="H131" s="26"/>
      <c r="I131" s="26"/>
      <c r="J131" s="26"/>
      <c r="K131" s="26"/>
    </row>
    <row r="132" ht="15.75" customHeight="1" spans="1:11">
      <c r="A132" s="24">
        <v>45877</v>
      </c>
      <c r="B132" s="25">
        <v>45877</v>
      </c>
      <c r="C132" s="26"/>
      <c r="D132" s="26">
        <v>4.26</v>
      </c>
      <c r="E132" s="26"/>
      <c r="F132" s="26">
        <v>30</v>
      </c>
      <c r="G132" s="26"/>
      <c r="H132" s="26"/>
      <c r="I132" s="26"/>
      <c r="J132" s="26"/>
      <c r="K132" s="26"/>
    </row>
    <row r="133" ht="15.75" customHeight="1" spans="1:11">
      <c r="A133" s="24">
        <v>45878</v>
      </c>
      <c r="B133" s="25">
        <v>45878</v>
      </c>
      <c r="C133" s="26"/>
      <c r="D133" s="26">
        <v>3.13</v>
      </c>
      <c r="E133" s="26"/>
      <c r="F133" s="26">
        <v>28.46</v>
      </c>
      <c r="G133" s="26"/>
      <c r="H133" s="26"/>
      <c r="I133" s="26"/>
      <c r="J133" s="26"/>
      <c r="K133" s="26"/>
    </row>
    <row r="134" ht="15.75" customHeight="1" spans="1:11">
      <c r="A134" s="24">
        <v>45879</v>
      </c>
      <c r="B134" s="25">
        <v>45879</v>
      </c>
      <c r="C134" s="26"/>
      <c r="D134" s="26">
        <v>3.41</v>
      </c>
      <c r="E134" s="26"/>
      <c r="F134" s="26">
        <v>27.68</v>
      </c>
      <c r="G134" s="26"/>
      <c r="H134" s="26"/>
      <c r="I134" s="26"/>
      <c r="J134" s="26"/>
      <c r="K134" s="26"/>
    </row>
    <row r="135" ht="15.75" customHeight="1" spans="1:11">
      <c r="A135" s="24">
        <v>45880</v>
      </c>
      <c r="B135" s="25">
        <v>45880</v>
      </c>
      <c r="C135" s="26"/>
      <c r="D135" s="52">
        <v>3.67</v>
      </c>
      <c r="E135" s="26"/>
      <c r="F135" s="52">
        <v>28.7</v>
      </c>
      <c r="G135" s="26"/>
      <c r="H135" s="26"/>
      <c r="I135" s="26"/>
      <c r="J135" s="26"/>
      <c r="K135" s="26"/>
    </row>
    <row r="136" ht="15.75" customHeight="1" spans="1:11">
      <c r="A136" s="24">
        <v>45881</v>
      </c>
      <c r="B136" s="25">
        <v>45881</v>
      </c>
      <c r="C136" s="26"/>
      <c r="D136" s="52">
        <v>2.94</v>
      </c>
      <c r="E136" s="26"/>
      <c r="F136" s="52">
        <v>27.14</v>
      </c>
      <c r="G136" s="26"/>
      <c r="H136" s="26"/>
      <c r="I136" s="26"/>
      <c r="J136" s="26"/>
      <c r="K136" s="26"/>
    </row>
    <row r="137" ht="15.75" customHeight="1" spans="1:11">
      <c r="A137" s="24">
        <v>45882</v>
      </c>
      <c r="B137" s="25">
        <v>45882</v>
      </c>
      <c r="C137" s="26"/>
      <c r="D137" s="52">
        <v>3.69</v>
      </c>
      <c r="E137" s="26"/>
      <c r="F137" s="52">
        <v>28.87</v>
      </c>
      <c r="G137" s="26"/>
      <c r="H137" s="26"/>
      <c r="I137" s="26"/>
      <c r="J137" s="26"/>
      <c r="K137" s="26"/>
    </row>
    <row r="138" ht="15.75" customHeight="1" spans="1:11">
      <c r="A138" s="24">
        <v>45883</v>
      </c>
      <c r="B138" s="25">
        <v>45883</v>
      </c>
      <c r="C138" s="26"/>
      <c r="D138" s="52">
        <v>2.7</v>
      </c>
      <c r="E138" s="26"/>
      <c r="F138" s="52">
        <v>28.25</v>
      </c>
      <c r="G138" s="26"/>
      <c r="H138" s="26"/>
      <c r="I138" s="26"/>
      <c r="J138" s="26"/>
      <c r="K138" s="26"/>
    </row>
    <row r="139" ht="15.75" customHeight="1" spans="1:11">
      <c r="A139" s="24">
        <v>45884</v>
      </c>
      <c r="B139" s="25">
        <v>45884</v>
      </c>
      <c r="C139" s="26"/>
      <c r="D139" s="52">
        <v>3.05</v>
      </c>
      <c r="E139" s="26"/>
      <c r="F139" s="52">
        <v>29.48</v>
      </c>
      <c r="G139" s="26"/>
      <c r="H139" s="26"/>
      <c r="I139" s="26"/>
      <c r="J139" s="26"/>
      <c r="K139" s="26"/>
    </row>
    <row r="140" ht="15.75" customHeight="1" spans="1:11">
      <c r="A140" s="24">
        <v>45885</v>
      </c>
      <c r="B140" s="25">
        <v>45885</v>
      </c>
      <c r="C140" s="26"/>
      <c r="D140" s="26">
        <v>3.53</v>
      </c>
      <c r="E140" s="26"/>
      <c r="F140" s="26">
        <v>29.46</v>
      </c>
      <c r="G140" s="26"/>
      <c r="H140" s="26"/>
      <c r="I140" s="26"/>
      <c r="J140" s="26"/>
      <c r="K140" s="26"/>
    </row>
    <row r="141" ht="15.75" customHeight="1" spans="1:11">
      <c r="A141" s="24">
        <v>45886</v>
      </c>
      <c r="B141" s="25">
        <v>45886</v>
      </c>
      <c r="C141" s="26"/>
      <c r="D141" s="26">
        <v>3.05</v>
      </c>
      <c r="E141" s="26"/>
      <c r="F141" s="26">
        <v>28.69</v>
      </c>
      <c r="G141" s="26"/>
      <c r="H141" s="26"/>
      <c r="I141" s="26"/>
      <c r="J141" s="26"/>
      <c r="K141" s="26"/>
    </row>
    <row r="142" ht="15.75" customHeight="1" spans="1:11">
      <c r="A142" s="24">
        <v>45887</v>
      </c>
      <c r="B142" s="25">
        <v>45887</v>
      </c>
      <c r="C142" s="26"/>
      <c r="D142" s="26">
        <v>3.27</v>
      </c>
      <c r="E142" s="26"/>
      <c r="F142" s="26">
        <v>30</v>
      </c>
      <c r="G142" s="26"/>
      <c r="H142" s="26"/>
      <c r="I142" s="26"/>
      <c r="J142" s="26"/>
      <c r="K142" s="26"/>
    </row>
    <row r="143" ht="15.75" customHeight="1" spans="1:11">
      <c r="A143" s="24">
        <v>45888</v>
      </c>
      <c r="B143" s="25">
        <v>45888</v>
      </c>
      <c r="C143" s="26"/>
      <c r="D143" s="26"/>
      <c r="E143" s="26"/>
      <c r="F143" s="26"/>
      <c r="G143" s="26"/>
      <c r="H143" s="26"/>
      <c r="I143" s="26"/>
      <c r="J143" s="26"/>
      <c r="K143" s="26"/>
    </row>
    <row r="144" ht="15.75" customHeight="1" spans="1:11">
      <c r="A144" s="24">
        <v>45889</v>
      </c>
      <c r="B144" s="25">
        <v>45889</v>
      </c>
      <c r="C144" s="26"/>
      <c r="D144" s="26"/>
      <c r="E144" s="26"/>
      <c r="F144" s="26"/>
      <c r="G144" s="26"/>
      <c r="H144" s="26"/>
      <c r="I144" s="26"/>
      <c r="J144" s="26"/>
      <c r="K144" s="26"/>
    </row>
    <row r="145" ht="15.75" customHeight="1" spans="1:11">
      <c r="A145" s="24">
        <v>45890</v>
      </c>
      <c r="B145" s="25">
        <v>45890</v>
      </c>
      <c r="C145" s="26"/>
      <c r="D145" s="26"/>
      <c r="E145" s="26"/>
      <c r="F145" s="26"/>
      <c r="G145" s="26"/>
      <c r="H145" s="26"/>
      <c r="I145" s="26"/>
      <c r="J145" s="26"/>
      <c r="K145" s="26"/>
    </row>
    <row r="146" ht="15.75" customHeight="1" spans="1:11">
      <c r="A146" s="24">
        <v>45891</v>
      </c>
      <c r="B146" s="25">
        <v>45891</v>
      </c>
      <c r="C146" s="26"/>
      <c r="D146" s="26"/>
      <c r="E146" s="26"/>
      <c r="F146" s="26"/>
      <c r="G146" s="26"/>
      <c r="H146" s="26"/>
      <c r="I146" s="26"/>
      <c r="J146" s="26"/>
      <c r="K146" s="26"/>
    </row>
    <row r="147" ht="15.75" customHeight="1" spans="1:11">
      <c r="A147" s="24">
        <v>45892</v>
      </c>
      <c r="B147" s="25">
        <v>45892</v>
      </c>
      <c r="C147" s="26"/>
      <c r="D147" s="26"/>
      <c r="E147" s="26"/>
      <c r="F147" s="26"/>
      <c r="G147" s="26"/>
      <c r="H147" s="26"/>
      <c r="I147" s="26"/>
      <c r="J147" s="26"/>
      <c r="K147" s="26"/>
    </row>
    <row r="148" ht="15.75" customHeight="1" spans="1:11">
      <c r="A148" s="24">
        <v>45893</v>
      </c>
      <c r="B148" s="25">
        <v>45893</v>
      </c>
      <c r="C148" s="26"/>
      <c r="D148" s="26"/>
      <c r="E148" s="26"/>
      <c r="F148" s="26"/>
      <c r="G148" s="26"/>
      <c r="H148" s="26"/>
      <c r="I148" s="26"/>
      <c r="J148" s="26"/>
      <c r="K148" s="26"/>
    </row>
    <row r="149" ht="15.75" customHeight="1" spans="1:11">
      <c r="A149" s="24">
        <v>45894</v>
      </c>
      <c r="B149" s="25">
        <v>45894</v>
      </c>
      <c r="C149" s="26"/>
      <c r="D149" s="26"/>
      <c r="E149" s="26"/>
      <c r="F149" s="26"/>
      <c r="G149" s="26"/>
      <c r="H149" s="26"/>
      <c r="I149" s="26"/>
      <c r="J149" s="26"/>
      <c r="K149" s="26"/>
    </row>
    <row r="150" ht="15.75" customHeight="1" spans="1:11">
      <c r="A150" s="24">
        <v>45895</v>
      </c>
      <c r="B150" s="25">
        <v>45895</v>
      </c>
      <c r="C150" s="26"/>
      <c r="D150" s="26"/>
      <c r="E150" s="26"/>
      <c r="F150" s="26"/>
      <c r="G150" s="26"/>
      <c r="H150" s="26"/>
      <c r="I150" s="26"/>
      <c r="J150" s="26"/>
      <c r="K150" s="26"/>
    </row>
    <row r="151" ht="15.75" customHeight="1" spans="1:11">
      <c r="A151" s="24">
        <v>45896</v>
      </c>
      <c r="B151" s="25">
        <v>45896</v>
      </c>
      <c r="C151" s="26"/>
      <c r="D151" s="26"/>
      <c r="E151" s="26"/>
      <c r="F151" s="26"/>
      <c r="G151" s="26"/>
      <c r="H151" s="26"/>
      <c r="I151" s="26"/>
      <c r="J151" s="26"/>
      <c r="K151" s="26"/>
    </row>
    <row r="152" ht="15.75" customHeight="1" spans="1:11">
      <c r="A152" s="24">
        <v>45897</v>
      </c>
      <c r="B152" s="25">
        <v>45897</v>
      </c>
      <c r="C152" s="26"/>
      <c r="D152" s="26"/>
      <c r="E152" s="26"/>
      <c r="F152" s="26"/>
      <c r="G152" s="26"/>
      <c r="H152" s="26"/>
      <c r="I152" s="26"/>
      <c r="J152" s="26"/>
      <c r="K152" s="26"/>
    </row>
    <row r="153" ht="15.75" customHeight="1" spans="1:11">
      <c r="A153" s="24">
        <v>45898</v>
      </c>
      <c r="B153" s="25">
        <v>45898</v>
      </c>
      <c r="C153" s="26"/>
      <c r="D153" s="26"/>
      <c r="E153" s="26"/>
      <c r="F153" s="26"/>
      <c r="G153" s="26"/>
      <c r="H153" s="26"/>
      <c r="I153" s="26"/>
      <c r="J153" s="26"/>
      <c r="K153" s="26"/>
    </row>
    <row r="154" ht="15.75" customHeight="1" spans="1:11">
      <c r="A154" s="24">
        <v>45899</v>
      </c>
      <c r="B154" s="25">
        <v>45899</v>
      </c>
      <c r="C154" s="26"/>
      <c r="D154" s="26"/>
      <c r="E154" s="26"/>
      <c r="F154" s="26"/>
      <c r="G154" s="26"/>
      <c r="H154" s="26"/>
      <c r="I154" s="26"/>
      <c r="J154" s="26"/>
      <c r="K154" s="26"/>
    </row>
    <row r="155" ht="15.75" customHeight="1" spans="1:11">
      <c r="A155" s="24">
        <v>45900</v>
      </c>
      <c r="B155" s="25">
        <v>45900</v>
      </c>
      <c r="C155" s="26"/>
      <c r="D155" s="26"/>
      <c r="E155" s="26"/>
      <c r="F155" s="26"/>
      <c r="G155" s="26"/>
      <c r="H155" s="26"/>
      <c r="I155" s="26"/>
      <c r="J155" s="26"/>
      <c r="K155" s="26"/>
    </row>
    <row r="156" ht="15.75" customHeight="1" spans="1:11">
      <c r="A156" s="24">
        <v>45901</v>
      </c>
      <c r="B156" s="25">
        <v>45901</v>
      </c>
      <c r="C156" s="26"/>
      <c r="D156" s="26"/>
      <c r="E156" s="26"/>
      <c r="F156" s="26"/>
      <c r="G156" s="26"/>
      <c r="H156" s="26"/>
      <c r="I156" s="26"/>
      <c r="J156" s="26"/>
      <c r="K156" s="26"/>
    </row>
    <row r="157" ht="15.75" customHeight="1" spans="1:11">
      <c r="A157" s="24">
        <v>45902</v>
      </c>
      <c r="B157" s="25">
        <v>45902</v>
      </c>
      <c r="C157" s="26"/>
      <c r="D157" s="26"/>
      <c r="E157" s="26"/>
      <c r="F157" s="26"/>
      <c r="G157" s="26"/>
      <c r="H157" s="26"/>
      <c r="I157" s="26"/>
      <c r="J157" s="26"/>
      <c r="K157" s="26"/>
    </row>
    <row r="158" ht="15.75" customHeight="1" spans="1:11">
      <c r="A158" s="24">
        <v>45903</v>
      </c>
      <c r="B158" s="25">
        <v>45903</v>
      </c>
      <c r="C158" s="26"/>
      <c r="D158" s="26"/>
      <c r="E158" s="26"/>
      <c r="F158" s="26"/>
      <c r="G158" s="26"/>
      <c r="H158" s="26"/>
      <c r="I158" s="26"/>
      <c r="J158" s="26"/>
      <c r="K158" s="26"/>
    </row>
    <row r="159" ht="15.75" customHeight="1" spans="1:11">
      <c r="A159" s="24">
        <v>45904</v>
      </c>
      <c r="B159" s="25">
        <v>45904</v>
      </c>
      <c r="C159" s="26"/>
      <c r="D159" s="26"/>
      <c r="E159" s="26"/>
      <c r="F159" s="26"/>
      <c r="G159" s="26"/>
      <c r="H159" s="26"/>
      <c r="I159" s="26"/>
      <c r="J159" s="26"/>
      <c r="K159" s="26"/>
    </row>
    <row r="160" ht="15.75" customHeight="1" spans="1:11">
      <c r="A160" s="24">
        <v>45905</v>
      </c>
      <c r="B160" s="25">
        <v>45905</v>
      </c>
      <c r="C160" s="26"/>
      <c r="D160" s="26"/>
      <c r="E160" s="26"/>
      <c r="F160" s="26"/>
      <c r="G160" s="26"/>
      <c r="H160" s="26"/>
      <c r="I160" s="26"/>
      <c r="J160" s="26"/>
      <c r="K160" s="26"/>
    </row>
    <row r="161" ht="15.75" customHeight="1" spans="1:11">
      <c r="A161" s="24">
        <v>45906</v>
      </c>
      <c r="B161" s="25">
        <v>45906</v>
      </c>
      <c r="C161" s="26"/>
      <c r="D161" s="26"/>
      <c r="E161" s="26"/>
      <c r="F161" s="26"/>
      <c r="G161" s="26"/>
      <c r="H161" s="26"/>
      <c r="I161" s="26"/>
      <c r="J161" s="26"/>
      <c r="K161" s="26"/>
    </row>
    <row r="162" ht="15.75" customHeight="1" spans="1:11">
      <c r="A162" s="24">
        <v>45907</v>
      </c>
      <c r="B162" s="25">
        <v>45907</v>
      </c>
      <c r="C162" s="26"/>
      <c r="D162" s="26"/>
      <c r="E162" s="26"/>
      <c r="F162" s="26"/>
      <c r="G162" s="26"/>
      <c r="H162" s="26"/>
      <c r="I162" s="26"/>
      <c r="J162" s="26"/>
      <c r="K162" s="26"/>
    </row>
    <row r="163" ht="15.75" customHeight="1" spans="1:11">
      <c r="A163" s="24">
        <v>45908</v>
      </c>
      <c r="B163" s="25">
        <v>45908</v>
      </c>
      <c r="C163" s="26"/>
      <c r="D163" s="26"/>
      <c r="E163" s="26"/>
      <c r="F163" s="26"/>
      <c r="G163" s="26"/>
      <c r="H163" s="26"/>
      <c r="I163" s="26"/>
      <c r="J163" s="26"/>
      <c r="K163" s="26"/>
    </row>
    <row r="164" ht="15.75" customHeight="1" spans="1:11">
      <c r="A164" s="24">
        <v>45909</v>
      </c>
      <c r="B164" s="25">
        <v>45909</v>
      </c>
      <c r="C164" s="26"/>
      <c r="D164" s="26"/>
      <c r="E164" s="26"/>
      <c r="F164" s="26"/>
      <c r="G164" s="26"/>
      <c r="H164" s="26"/>
      <c r="I164" s="26"/>
      <c r="J164" s="26"/>
      <c r="K164" s="26"/>
    </row>
    <row r="165" ht="15.75" customHeight="1" spans="1:11">
      <c r="A165" s="24">
        <v>45910</v>
      </c>
      <c r="B165" s="25">
        <v>45910</v>
      </c>
      <c r="C165" s="26"/>
      <c r="D165" s="26"/>
      <c r="E165" s="26"/>
      <c r="F165" s="26"/>
      <c r="G165" s="26"/>
      <c r="H165" s="26"/>
      <c r="I165" s="26"/>
      <c r="J165" s="26"/>
      <c r="K165" s="26"/>
    </row>
    <row r="166" ht="15.75" customHeight="1" spans="1:11">
      <c r="A166" s="24">
        <v>45911</v>
      </c>
      <c r="B166" s="25">
        <v>45911</v>
      </c>
      <c r="C166" s="26"/>
      <c r="D166" s="26"/>
      <c r="E166" s="26"/>
      <c r="F166" s="26"/>
      <c r="G166" s="26"/>
      <c r="H166" s="26"/>
      <c r="I166" s="26"/>
      <c r="J166" s="26"/>
      <c r="K166" s="26"/>
    </row>
    <row r="167" ht="15.75" customHeight="1" spans="1:11">
      <c r="A167" s="24">
        <v>45912</v>
      </c>
      <c r="B167" s="25">
        <v>45912</v>
      </c>
      <c r="C167" s="26"/>
      <c r="D167" s="26"/>
      <c r="E167" s="26"/>
      <c r="F167" s="26"/>
      <c r="G167" s="26"/>
      <c r="H167" s="26"/>
      <c r="I167" s="26"/>
      <c r="J167" s="26"/>
      <c r="K167" s="26"/>
    </row>
    <row r="168" ht="15.75" customHeight="1" spans="1:11">
      <c r="A168" s="24">
        <v>45913</v>
      </c>
      <c r="B168" s="25">
        <v>45913</v>
      </c>
      <c r="C168" s="26"/>
      <c r="D168" s="26"/>
      <c r="E168" s="26"/>
      <c r="F168" s="26"/>
      <c r="G168" s="26"/>
      <c r="H168" s="26"/>
      <c r="I168" s="26"/>
      <c r="J168" s="26"/>
      <c r="K168" s="26"/>
    </row>
    <row r="169" ht="15.75" customHeight="1" spans="1:11">
      <c r="A169" s="24">
        <v>45914</v>
      </c>
      <c r="B169" s="25">
        <v>45914</v>
      </c>
      <c r="C169" s="26"/>
      <c r="D169" s="26"/>
      <c r="E169" s="26"/>
      <c r="F169" s="26"/>
      <c r="G169" s="26"/>
      <c r="H169" s="26"/>
      <c r="I169" s="26"/>
      <c r="J169" s="26"/>
      <c r="K169" s="26"/>
    </row>
    <row r="170" ht="15.75" customHeight="1" spans="1:11">
      <c r="A170" s="24">
        <v>45915</v>
      </c>
      <c r="B170" s="25">
        <v>45915</v>
      </c>
      <c r="C170" s="26"/>
      <c r="D170" s="26"/>
      <c r="E170" s="26"/>
      <c r="F170" s="26"/>
      <c r="G170" s="26"/>
      <c r="H170" s="26"/>
      <c r="I170" s="26"/>
      <c r="J170" s="26"/>
      <c r="K170" s="26"/>
    </row>
    <row r="171" ht="15.75" customHeight="1" spans="1:11">
      <c r="A171" s="24">
        <v>45916</v>
      </c>
      <c r="B171" s="25">
        <v>45916</v>
      </c>
      <c r="C171" s="26"/>
      <c r="D171" s="26"/>
      <c r="E171" s="26"/>
      <c r="F171" s="26"/>
      <c r="G171" s="26"/>
      <c r="H171" s="26"/>
      <c r="I171" s="26"/>
      <c r="J171" s="26"/>
      <c r="K171" s="26"/>
    </row>
    <row r="172" ht="15.75" customHeight="1" spans="1:11">
      <c r="A172" s="24">
        <v>45917</v>
      </c>
      <c r="B172" s="25">
        <v>45917</v>
      </c>
      <c r="C172" s="26"/>
      <c r="D172" s="26"/>
      <c r="E172" s="26"/>
      <c r="F172" s="26"/>
      <c r="G172" s="26"/>
      <c r="H172" s="26"/>
      <c r="I172" s="26"/>
      <c r="J172" s="26"/>
      <c r="K172" s="26"/>
    </row>
    <row r="173" ht="15.75" customHeight="1" spans="1:11">
      <c r="A173" s="24">
        <v>45918</v>
      </c>
      <c r="B173" s="25">
        <v>45918</v>
      </c>
      <c r="C173" s="26"/>
      <c r="D173" s="26"/>
      <c r="E173" s="26"/>
      <c r="F173" s="26"/>
      <c r="G173" s="26"/>
      <c r="H173" s="26"/>
      <c r="I173" s="26"/>
      <c r="J173" s="26"/>
      <c r="K173" s="26"/>
    </row>
    <row r="174" ht="15.75" customHeight="1" spans="1:11">
      <c r="A174" s="24">
        <v>45919</v>
      </c>
      <c r="B174" s="25">
        <v>45919</v>
      </c>
      <c r="C174" s="26"/>
      <c r="D174" s="26"/>
      <c r="E174" s="26"/>
      <c r="F174" s="26"/>
      <c r="G174" s="26"/>
      <c r="H174" s="26"/>
      <c r="I174" s="26"/>
      <c r="J174" s="26"/>
      <c r="K174" s="26"/>
    </row>
    <row r="175" ht="15.75" customHeight="1" spans="1:11">
      <c r="A175" s="24">
        <v>45920</v>
      </c>
      <c r="B175" s="25">
        <v>45920</v>
      </c>
      <c r="C175" s="26"/>
      <c r="D175" s="26"/>
      <c r="E175" s="26"/>
      <c r="F175" s="26"/>
      <c r="G175" s="26"/>
      <c r="H175" s="26"/>
      <c r="I175" s="26"/>
      <c r="J175" s="26"/>
      <c r="K175" s="26"/>
    </row>
    <row r="176" ht="15.75" customHeight="1" spans="1:11">
      <c r="A176" s="24">
        <v>45921</v>
      </c>
      <c r="B176" s="25">
        <v>45921</v>
      </c>
      <c r="C176" s="26"/>
      <c r="D176" s="26">
        <v>3.75</v>
      </c>
      <c r="E176" s="26"/>
      <c r="F176" s="26">
        <v>29.65</v>
      </c>
      <c r="G176" s="26"/>
      <c r="H176" s="26"/>
      <c r="I176" s="26"/>
      <c r="J176" s="26"/>
      <c r="K176" s="26"/>
    </row>
    <row r="177" ht="15.75" customHeight="1" spans="1:11">
      <c r="A177" s="24">
        <v>45922</v>
      </c>
      <c r="B177" s="25">
        <v>45922</v>
      </c>
      <c r="C177" s="26"/>
      <c r="D177" s="26">
        <v>3.24</v>
      </c>
      <c r="E177" s="26"/>
      <c r="F177" s="26">
        <v>28.38</v>
      </c>
      <c r="G177" s="26"/>
      <c r="H177" s="26"/>
      <c r="I177" s="26"/>
      <c r="J177" s="26"/>
      <c r="K177" s="26"/>
    </row>
    <row r="178" ht="15.75" customHeight="1" spans="1:11">
      <c r="A178" s="24">
        <v>45923</v>
      </c>
      <c r="B178" s="25">
        <v>45923</v>
      </c>
      <c r="C178" s="26"/>
      <c r="D178" s="26">
        <v>3.71</v>
      </c>
      <c r="E178" s="26"/>
      <c r="F178" s="26">
        <v>29.73</v>
      </c>
      <c r="G178" s="26"/>
      <c r="H178" s="26"/>
      <c r="I178" s="26"/>
      <c r="J178" s="26"/>
      <c r="K178" s="26"/>
    </row>
    <row r="179" ht="15.75" customHeight="1" spans="1:11">
      <c r="A179" s="24">
        <v>45924</v>
      </c>
      <c r="B179" s="25">
        <v>45924</v>
      </c>
      <c r="C179" s="26"/>
      <c r="D179" s="26">
        <v>2.42</v>
      </c>
      <c r="E179" s="26"/>
      <c r="F179" s="26">
        <v>29.62</v>
      </c>
      <c r="G179" s="26"/>
      <c r="H179" s="26"/>
      <c r="I179" s="26"/>
      <c r="J179" s="26"/>
      <c r="K179" s="26"/>
    </row>
    <row r="180" ht="15.75" customHeight="1" spans="1:11">
      <c r="A180" s="24">
        <v>45925</v>
      </c>
      <c r="B180" s="25">
        <v>45925</v>
      </c>
      <c r="C180" s="26"/>
      <c r="D180" s="26">
        <v>4.09</v>
      </c>
      <c r="E180" s="26"/>
      <c r="F180" s="26">
        <v>30.91</v>
      </c>
      <c r="G180" s="26"/>
      <c r="H180" s="26"/>
      <c r="I180" s="26"/>
      <c r="J180" s="26"/>
      <c r="K180" s="26"/>
    </row>
    <row r="181" ht="15.75" customHeight="1" spans="1:11">
      <c r="A181" s="24">
        <v>45926</v>
      </c>
      <c r="B181" s="25">
        <v>45926</v>
      </c>
      <c r="C181" s="26"/>
      <c r="D181" s="52">
        <v>0.37</v>
      </c>
      <c r="E181" s="52"/>
      <c r="F181" s="52">
        <v>30.3</v>
      </c>
      <c r="G181" s="26"/>
      <c r="H181" s="26"/>
      <c r="I181" s="26"/>
      <c r="J181" s="26"/>
      <c r="K181" s="26"/>
    </row>
    <row r="182" ht="15.75" customHeight="1" spans="1:11">
      <c r="A182" s="24">
        <v>45927</v>
      </c>
      <c r="B182" s="25">
        <v>45927</v>
      </c>
      <c r="C182" s="26"/>
      <c r="D182" s="52">
        <v>4.13</v>
      </c>
      <c r="E182" s="52"/>
      <c r="F182" s="52">
        <v>31.4</v>
      </c>
      <c r="G182" s="26"/>
      <c r="H182" s="26"/>
      <c r="I182" s="26"/>
      <c r="J182" s="26"/>
      <c r="K182" s="26"/>
    </row>
    <row r="183" ht="15.75" customHeight="1" spans="1:11">
      <c r="A183" s="24">
        <v>45928</v>
      </c>
      <c r="B183" s="25">
        <v>45928</v>
      </c>
      <c r="C183" s="26"/>
      <c r="D183" s="26">
        <v>1.72</v>
      </c>
      <c r="E183" s="26"/>
      <c r="F183" s="26">
        <v>27.54</v>
      </c>
      <c r="G183" s="26"/>
      <c r="H183" s="26"/>
      <c r="I183" s="26"/>
      <c r="J183" s="26"/>
      <c r="K183" s="26"/>
    </row>
    <row r="184" ht="15.75" customHeight="1" spans="1:11">
      <c r="A184" s="24">
        <v>45929</v>
      </c>
      <c r="B184" s="25">
        <v>45929</v>
      </c>
      <c r="C184" s="26"/>
      <c r="D184" s="26">
        <v>1.45</v>
      </c>
      <c r="E184" s="26"/>
      <c r="F184" s="26">
        <v>26.65</v>
      </c>
      <c r="G184" s="26"/>
      <c r="H184" s="26"/>
      <c r="I184" s="26"/>
      <c r="J184" s="26"/>
      <c r="K184" s="26"/>
    </row>
    <row r="185" ht="15.75" customHeight="1" spans="1:11">
      <c r="A185" s="24">
        <v>45930</v>
      </c>
      <c r="B185" s="25">
        <v>45930</v>
      </c>
      <c r="C185" s="26"/>
      <c r="D185" s="26">
        <v>1.22</v>
      </c>
      <c r="E185" s="26"/>
      <c r="F185" s="26">
        <v>23.64</v>
      </c>
      <c r="G185" s="26"/>
      <c r="H185" s="26"/>
      <c r="I185" s="26"/>
      <c r="J185" s="26"/>
      <c r="K185" s="26"/>
    </row>
    <row r="186" ht="15.75" customHeight="1" spans="1:11">
      <c r="A186" s="24">
        <v>45931</v>
      </c>
      <c r="B186" s="25">
        <v>45931</v>
      </c>
      <c r="C186" s="26"/>
      <c r="D186" s="26">
        <v>1.61</v>
      </c>
      <c r="E186" s="26"/>
      <c r="F186" s="26">
        <v>25.44</v>
      </c>
      <c r="G186" s="26"/>
      <c r="H186" s="26"/>
      <c r="I186" s="26"/>
      <c r="J186" s="26"/>
      <c r="K186" s="26"/>
    </row>
    <row r="187" ht="15.75" customHeight="1" spans="1:11">
      <c r="A187" s="24">
        <v>45932</v>
      </c>
      <c r="B187" s="25">
        <v>45932</v>
      </c>
      <c r="C187" s="26"/>
      <c r="D187" s="26">
        <v>2.03</v>
      </c>
      <c r="E187" s="26"/>
      <c r="F187" s="26">
        <v>26.79</v>
      </c>
      <c r="G187" s="26"/>
      <c r="H187" s="26"/>
      <c r="I187" s="26"/>
      <c r="J187" s="26"/>
      <c r="K187" s="26"/>
    </row>
    <row r="188" ht="15.75" customHeight="1" spans="1:11">
      <c r="A188" s="24">
        <v>45933</v>
      </c>
      <c r="B188" s="25">
        <v>45933</v>
      </c>
      <c r="C188" s="26"/>
      <c r="D188" s="26">
        <v>4.45</v>
      </c>
      <c r="E188" s="26"/>
      <c r="F188" s="26">
        <v>28.37</v>
      </c>
      <c r="G188" s="26"/>
      <c r="H188" s="26"/>
      <c r="I188" s="26"/>
      <c r="J188" s="26"/>
      <c r="K188" s="26"/>
    </row>
    <row r="189" ht="15.75" customHeight="1" spans="1:11">
      <c r="A189" s="24">
        <v>45934</v>
      </c>
      <c r="B189" s="25">
        <v>45934</v>
      </c>
      <c r="C189" s="26"/>
      <c r="D189" s="26">
        <v>4.57</v>
      </c>
      <c r="E189" s="26"/>
      <c r="F189" s="26">
        <v>29.72</v>
      </c>
      <c r="G189" s="26"/>
      <c r="H189" s="26"/>
      <c r="I189" s="26"/>
      <c r="J189" s="26"/>
      <c r="K189" s="26"/>
    </row>
    <row r="190" ht="15.75" customHeight="1" spans="1:11">
      <c r="A190" s="24">
        <v>45935</v>
      </c>
      <c r="B190" s="25">
        <v>45935</v>
      </c>
      <c r="C190" s="26"/>
      <c r="D190" s="26">
        <v>4.59</v>
      </c>
      <c r="E190" s="26"/>
      <c r="F190" s="26">
        <v>29.51</v>
      </c>
      <c r="G190" s="26"/>
      <c r="H190" s="26"/>
      <c r="I190" s="26"/>
      <c r="J190" s="26"/>
      <c r="K190" s="26"/>
    </row>
    <row r="191" ht="15.75" customHeight="1" spans="1:11">
      <c r="A191" s="24">
        <v>45936</v>
      </c>
      <c r="B191" s="25">
        <v>45936</v>
      </c>
      <c r="C191" s="26"/>
      <c r="D191" s="26">
        <v>4.79</v>
      </c>
      <c r="E191" s="26"/>
      <c r="F191" s="26">
        <v>28.95</v>
      </c>
      <c r="G191" s="26"/>
      <c r="H191" s="26"/>
      <c r="I191" s="26"/>
      <c r="J191" s="26"/>
      <c r="K191" s="26"/>
    </row>
    <row r="192" ht="15.75" customHeight="1" spans="1:11">
      <c r="A192" s="24">
        <v>45937</v>
      </c>
      <c r="B192" s="25">
        <v>45937</v>
      </c>
      <c r="C192" s="26"/>
      <c r="D192" s="26">
        <v>4.85</v>
      </c>
      <c r="E192" s="26"/>
      <c r="F192" s="26">
        <v>29.37</v>
      </c>
      <c r="G192" s="26"/>
      <c r="H192" s="26"/>
      <c r="I192" s="26"/>
      <c r="J192" s="26"/>
      <c r="K192" s="26"/>
    </row>
    <row r="193" ht="15.75" customHeight="1" spans="1:11">
      <c r="A193" s="24">
        <v>45938</v>
      </c>
      <c r="B193" s="25">
        <v>45938</v>
      </c>
      <c r="C193" s="26"/>
      <c r="D193" s="26">
        <v>4.32</v>
      </c>
      <c r="E193" s="26"/>
      <c r="F193" s="26">
        <v>30.46</v>
      </c>
      <c r="G193" s="26" t="s">
        <v>223</v>
      </c>
      <c r="H193" s="26"/>
      <c r="I193" s="26"/>
      <c r="J193" s="26"/>
      <c r="K193" s="26"/>
    </row>
    <row r="194" ht="15.75" customHeight="1" spans="1:11">
      <c r="A194" s="24">
        <v>45939</v>
      </c>
      <c r="B194" s="25">
        <v>45939</v>
      </c>
      <c r="C194" s="26"/>
      <c r="D194" s="26">
        <v>4.69</v>
      </c>
      <c r="E194" s="26"/>
      <c r="F194" s="26">
        <v>31.57</v>
      </c>
      <c r="G194" s="26"/>
      <c r="H194" s="26"/>
      <c r="I194" s="26"/>
      <c r="J194" s="26"/>
      <c r="K194" s="26"/>
    </row>
    <row r="195" ht="15.75" customHeight="1" spans="1:11">
      <c r="A195" s="24">
        <v>45940</v>
      </c>
      <c r="B195" s="25">
        <v>45940</v>
      </c>
      <c r="C195" s="26"/>
      <c r="D195" s="26">
        <v>3.91</v>
      </c>
      <c r="E195" s="26"/>
      <c r="F195" s="26">
        <v>32</v>
      </c>
      <c r="G195" s="26"/>
      <c r="H195" s="26"/>
      <c r="I195" s="26"/>
      <c r="J195" s="26"/>
      <c r="K195" s="26"/>
    </row>
    <row r="196" ht="15.75" customHeight="1" spans="1:11">
      <c r="A196" s="24">
        <v>45941</v>
      </c>
      <c r="B196" s="25">
        <v>45941</v>
      </c>
      <c r="C196" s="26"/>
      <c r="D196" s="26">
        <v>3.48</v>
      </c>
      <c r="E196" s="26"/>
      <c r="F196" s="26">
        <v>31.72</v>
      </c>
      <c r="G196" s="26"/>
      <c r="H196" s="26"/>
      <c r="I196" s="26"/>
      <c r="J196" s="26"/>
      <c r="K196" s="26"/>
    </row>
    <row r="197" ht="15.75" customHeight="1" spans="1:11">
      <c r="A197" s="24">
        <v>45942</v>
      </c>
      <c r="B197" s="25">
        <v>45942</v>
      </c>
      <c r="C197" s="26"/>
      <c r="D197" s="26">
        <v>3.55</v>
      </c>
      <c r="E197" s="26"/>
      <c r="F197" s="26">
        <v>30.06</v>
      </c>
      <c r="G197" s="26"/>
      <c r="H197" s="26"/>
      <c r="I197" s="26"/>
      <c r="J197" s="26"/>
      <c r="K197" s="26"/>
    </row>
    <row r="198" ht="15.75" customHeight="1" spans="1:11">
      <c r="A198" s="24">
        <v>45943</v>
      </c>
      <c r="B198" s="25">
        <v>45943</v>
      </c>
      <c r="C198" s="26"/>
      <c r="D198" s="26">
        <v>3.54</v>
      </c>
      <c r="E198" s="26"/>
      <c r="F198" s="26">
        <v>30.97</v>
      </c>
      <c r="G198" s="26"/>
      <c r="H198" s="26"/>
      <c r="I198" s="26"/>
      <c r="J198" s="26"/>
      <c r="K198" s="26"/>
    </row>
    <row r="199" ht="15.75" customHeight="1" spans="1:11">
      <c r="A199" s="24">
        <v>45944</v>
      </c>
      <c r="B199" s="25">
        <v>45944</v>
      </c>
      <c r="C199" s="26"/>
      <c r="D199" s="26">
        <v>3.44</v>
      </c>
      <c r="E199" s="26"/>
      <c r="F199" s="26">
        <v>31.13</v>
      </c>
      <c r="G199" s="26"/>
      <c r="H199" s="26"/>
      <c r="I199" s="26"/>
      <c r="J199" s="26"/>
      <c r="K199" s="26"/>
    </row>
    <row r="200" ht="15.75" customHeight="1" spans="1:11">
      <c r="A200" s="24">
        <v>45945</v>
      </c>
      <c r="B200" s="25">
        <v>45945</v>
      </c>
      <c r="C200" s="26"/>
      <c r="D200" s="26">
        <v>3.55</v>
      </c>
      <c r="E200" s="26"/>
      <c r="F200" s="26">
        <v>32.65</v>
      </c>
      <c r="G200" s="26"/>
      <c r="H200" s="26"/>
      <c r="I200" s="26"/>
      <c r="J200" s="26"/>
      <c r="K200" s="26"/>
    </row>
    <row r="201" ht="15.75" customHeight="1" spans="1:11">
      <c r="A201" s="24">
        <v>45946</v>
      </c>
      <c r="B201" s="25">
        <v>45946</v>
      </c>
      <c r="C201" s="26"/>
      <c r="D201" s="26">
        <v>3.56</v>
      </c>
      <c r="E201" s="26"/>
      <c r="F201" s="26">
        <v>31.1</v>
      </c>
      <c r="G201" s="26"/>
      <c r="H201" s="26"/>
      <c r="I201" s="26"/>
      <c r="J201" s="26"/>
      <c r="K201" s="26"/>
    </row>
    <row r="202" ht="15.75" customHeight="1" spans="1:11">
      <c r="A202" s="24">
        <v>45947</v>
      </c>
      <c r="B202" s="25">
        <v>45947</v>
      </c>
      <c r="C202" s="26"/>
      <c r="D202" s="26">
        <v>3.23</v>
      </c>
      <c r="E202" s="26"/>
      <c r="F202" s="26">
        <v>32.08</v>
      </c>
      <c r="G202" s="26"/>
      <c r="H202" s="26"/>
      <c r="I202" s="26"/>
      <c r="J202" s="26"/>
      <c r="K202" s="26"/>
    </row>
    <row r="203" ht="15.75" customHeight="1" spans="1:11">
      <c r="A203" s="24">
        <v>45948</v>
      </c>
      <c r="B203" s="25">
        <v>45948</v>
      </c>
      <c r="C203" s="26"/>
      <c r="D203" s="26">
        <v>3.93</v>
      </c>
      <c r="E203" s="26"/>
      <c r="F203" s="26">
        <v>33.29</v>
      </c>
      <c r="G203" s="26"/>
      <c r="H203" s="26"/>
      <c r="I203" s="26"/>
      <c r="J203" s="26"/>
      <c r="K203" s="26"/>
    </row>
    <row r="204" ht="15.75" customHeight="1" spans="1:11">
      <c r="A204" s="24">
        <v>45949</v>
      </c>
      <c r="B204" s="25">
        <v>45949</v>
      </c>
      <c r="C204" s="26"/>
      <c r="D204" s="26">
        <v>4.46</v>
      </c>
      <c r="E204" s="26"/>
      <c r="F204" s="26">
        <v>32.68</v>
      </c>
      <c r="G204" s="26"/>
      <c r="H204" s="26"/>
      <c r="I204" s="26"/>
      <c r="J204" s="26"/>
      <c r="K204" s="26"/>
    </row>
    <row r="205" ht="15.75" customHeight="1" spans="1:11">
      <c r="A205" s="24">
        <v>45950</v>
      </c>
      <c r="B205" s="25">
        <v>45950</v>
      </c>
      <c r="C205" s="26"/>
      <c r="D205" s="52">
        <v>3.96</v>
      </c>
      <c r="E205" s="26"/>
      <c r="F205" s="52">
        <v>33.28</v>
      </c>
      <c r="G205" s="26"/>
      <c r="H205" s="26"/>
      <c r="I205" s="26"/>
      <c r="J205" s="26"/>
      <c r="K205" s="26"/>
    </row>
    <row r="206" ht="15.75" customHeight="1" spans="1:11">
      <c r="A206" s="24">
        <v>45951</v>
      </c>
      <c r="B206" s="25">
        <v>45951</v>
      </c>
      <c r="C206" s="26"/>
      <c r="D206" s="52">
        <v>3.86</v>
      </c>
      <c r="E206" s="26"/>
      <c r="F206" s="52">
        <v>32.2</v>
      </c>
      <c r="G206" s="26"/>
      <c r="H206" s="26"/>
      <c r="I206" s="26"/>
      <c r="J206" s="26"/>
      <c r="K206" s="26"/>
    </row>
    <row r="207" ht="15.75" customHeight="1" spans="1:11">
      <c r="A207" s="24">
        <v>45952</v>
      </c>
      <c r="B207" s="25">
        <v>45952</v>
      </c>
      <c r="C207" s="26"/>
      <c r="D207" s="52">
        <v>4.26</v>
      </c>
      <c r="E207" s="26"/>
      <c r="F207" s="52">
        <v>32.09</v>
      </c>
      <c r="G207" s="26"/>
      <c r="H207" s="26"/>
      <c r="I207" s="26"/>
      <c r="J207" s="26"/>
      <c r="K207" s="26"/>
    </row>
    <row r="208" ht="15.75" customHeight="1" spans="1:11">
      <c r="A208" s="24">
        <v>45953</v>
      </c>
      <c r="B208" s="25">
        <v>45953</v>
      </c>
      <c r="C208" s="26"/>
      <c r="D208" s="52">
        <v>3.78</v>
      </c>
      <c r="E208" s="26"/>
      <c r="F208" s="52">
        <v>32.28</v>
      </c>
      <c r="G208" s="26"/>
      <c r="H208" s="26"/>
      <c r="I208" s="26"/>
      <c r="J208" s="26"/>
      <c r="K208" s="26"/>
    </row>
    <row r="209" ht="15.75" customHeight="1" spans="1:11">
      <c r="A209" s="24">
        <v>45954</v>
      </c>
      <c r="B209" s="25">
        <v>45954</v>
      </c>
      <c r="C209" s="26"/>
      <c r="D209" s="52">
        <v>3.95</v>
      </c>
      <c r="E209" s="26"/>
      <c r="F209" s="52">
        <v>31.67</v>
      </c>
      <c r="G209" s="26"/>
      <c r="H209" s="26"/>
      <c r="I209" s="26"/>
      <c r="J209" s="26"/>
      <c r="K209" s="26"/>
    </row>
    <row r="210" ht="15.75" customHeight="1" spans="1:11">
      <c r="A210" s="24">
        <v>45955</v>
      </c>
      <c r="B210" s="25">
        <v>45955</v>
      </c>
      <c r="C210" s="26"/>
      <c r="D210" s="26">
        <v>3.42</v>
      </c>
      <c r="E210" s="26"/>
      <c r="F210" s="26">
        <v>31.21</v>
      </c>
      <c r="G210" s="26"/>
      <c r="H210" s="26"/>
      <c r="I210" s="26"/>
      <c r="J210" s="26"/>
      <c r="K210" s="26"/>
    </row>
    <row r="211" ht="15.75" customHeight="1" spans="1:11">
      <c r="A211" s="24">
        <v>45956</v>
      </c>
      <c r="B211" s="25">
        <v>45956</v>
      </c>
      <c r="C211" s="26"/>
      <c r="D211" s="52">
        <v>0.69</v>
      </c>
      <c r="E211" s="52"/>
      <c r="F211" s="52">
        <v>25.53</v>
      </c>
      <c r="G211" s="26"/>
      <c r="H211" s="26"/>
      <c r="I211" s="26"/>
      <c r="J211" s="26"/>
      <c r="K211" s="26"/>
    </row>
    <row r="212" ht="15.75" customHeight="1" spans="1:11">
      <c r="A212" s="24">
        <v>45957</v>
      </c>
      <c r="B212" s="25">
        <v>45957</v>
      </c>
      <c r="C212" s="26"/>
      <c r="D212" s="52">
        <v>1.38</v>
      </c>
      <c r="E212" s="52"/>
      <c r="F212" s="52">
        <v>24.59</v>
      </c>
      <c r="G212" s="26"/>
      <c r="H212" s="26"/>
      <c r="I212" s="26"/>
      <c r="J212" s="26"/>
      <c r="K212" s="26"/>
    </row>
    <row r="213" ht="15.75" customHeight="1" spans="1:11">
      <c r="A213" s="24">
        <v>45958</v>
      </c>
      <c r="B213" s="25">
        <v>45958</v>
      </c>
      <c r="C213" s="26"/>
      <c r="D213" s="52">
        <v>0.56</v>
      </c>
      <c r="E213" s="26"/>
      <c r="F213" s="52">
        <v>23.71</v>
      </c>
      <c r="G213" s="26"/>
      <c r="H213" s="26"/>
      <c r="I213" s="26"/>
      <c r="J213" s="26"/>
      <c r="K213" s="26"/>
    </row>
    <row r="214" ht="15.75" customHeight="1" spans="1:11">
      <c r="A214" s="24">
        <v>45959</v>
      </c>
      <c r="B214" s="25">
        <v>45959</v>
      </c>
      <c r="C214" s="26"/>
      <c r="D214" s="52">
        <v>1.04</v>
      </c>
      <c r="E214" s="26"/>
      <c r="F214" s="52">
        <v>24.09</v>
      </c>
      <c r="G214" s="26"/>
      <c r="H214" s="26"/>
      <c r="I214" s="26"/>
      <c r="J214" s="26"/>
      <c r="K214" s="26"/>
    </row>
    <row r="215" ht="15.75" customHeight="1" spans="1:11">
      <c r="A215" s="24">
        <v>45960</v>
      </c>
      <c r="B215" s="25">
        <v>45960</v>
      </c>
      <c r="C215" s="26"/>
      <c r="D215" s="52">
        <v>1.64</v>
      </c>
      <c r="E215" s="26"/>
      <c r="F215" s="52">
        <v>24.09</v>
      </c>
      <c r="G215" s="26"/>
      <c r="H215" s="26"/>
      <c r="I215" s="26"/>
      <c r="J215" s="26"/>
      <c r="K215" s="26"/>
    </row>
    <row r="216" ht="15.75" customHeight="1" spans="1:11">
      <c r="A216" s="24">
        <v>45961</v>
      </c>
      <c r="B216" s="25">
        <v>45961</v>
      </c>
      <c r="C216" s="26"/>
      <c r="D216" s="52">
        <v>1.47</v>
      </c>
      <c r="E216" s="52"/>
      <c r="F216" s="52">
        <v>23.88</v>
      </c>
      <c r="G216" s="26"/>
      <c r="H216" s="26"/>
      <c r="I216" s="26"/>
      <c r="J216" s="26"/>
      <c r="K216" s="26"/>
    </row>
    <row r="217" ht="15.75" customHeight="1" spans="1:11">
      <c r="A217" s="24">
        <v>45962</v>
      </c>
      <c r="B217" s="25">
        <v>45962</v>
      </c>
      <c r="C217" s="26"/>
      <c r="D217" s="52">
        <v>2.56</v>
      </c>
      <c r="E217" s="26"/>
      <c r="F217" s="52">
        <v>26.84</v>
      </c>
      <c r="G217" s="26"/>
      <c r="H217" s="26"/>
      <c r="I217" s="26"/>
      <c r="J217" s="26"/>
      <c r="K217" s="26"/>
    </row>
    <row r="218" ht="15.75" customHeight="1" spans="1:11">
      <c r="A218" s="24">
        <v>45963</v>
      </c>
      <c r="B218" s="25">
        <v>45963</v>
      </c>
      <c r="C218" s="26"/>
      <c r="D218" s="52">
        <v>2.92</v>
      </c>
      <c r="E218" s="26"/>
      <c r="F218" s="52">
        <v>29.6</v>
      </c>
      <c r="G218" s="26"/>
      <c r="H218" s="26"/>
      <c r="I218" s="26"/>
      <c r="J218" s="26"/>
      <c r="K218" s="26"/>
    </row>
    <row r="219" ht="15.75" customHeight="1" spans="1:11">
      <c r="A219" s="24">
        <v>45964</v>
      </c>
      <c r="B219" s="25">
        <v>45964</v>
      </c>
      <c r="C219" s="26"/>
      <c r="D219" s="52">
        <v>4.15</v>
      </c>
      <c r="E219" s="26"/>
      <c r="F219" s="52">
        <v>29.81</v>
      </c>
      <c r="G219" s="26"/>
      <c r="H219" s="26"/>
      <c r="I219" s="26"/>
      <c r="J219" s="26"/>
      <c r="K219" s="26"/>
    </row>
    <row r="220" ht="15.75" customHeight="1" spans="1:11">
      <c r="A220" s="24">
        <v>45965</v>
      </c>
      <c r="B220" s="25">
        <v>45965</v>
      </c>
      <c r="C220" s="26"/>
      <c r="D220" s="52">
        <v>4</v>
      </c>
      <c r="E220" s="26"/>
      <c r="F220" s="52">
        <v>28.51</v>
      </c>
      <c r="G220" s="26"/>
      <c r="H220" s="26"/>
      <c r="I220" s="26"/>
      <c r="J220" s="26"/>
      <c r="K220" s="26"/>
    </row>
    <row r="221" ht="15.75" customHeight="1" spans="1:11">
      <c r="A221" s="24">
        <v>45966</v>
      </c>
      <c r="B221" s="25">
        <v>45966</v>
      </c>
      <c r="C221" s="26"/>
      <c r="D221" s="52">
        <v>4.39</v>
      </c>
      <c r="E221" s="52"/>
      <c r="F221" s="52">
        <v>30.07</v>
      </c>
      <c r="G221" s="26"/>
      <c r="H221" s="26"/>
      <c r="I221" s="26"/>
      <c r="J221" s="26"/>
      <c r="K221" s="26"/>
    </row>
    <row r="222" ht="15.75" customHeight="1" spans="1:11">
      <c r="A222" s="24">
        <v>45967</v>
      </c>
      <c r="B222" s="25">
        <v>45967</v>
      </c>
      <c r="C222" s="26"/>
      <c r="D222" s="52">
        <v>4.39</v>
      </c>
      <c r="E222" s="52"/>
      <c r="F222" s="52">
        <v>29.55</v>
      </c>
      <c r="G222" s="26"/>
      <c r="H222" s="26"/>
      <c r="I222" s="26"/>
      <c r="J222" s="26"/>
      <c r="K222" s="26"/>
    </row>
    <row r="223" ht="15.75" customHeight="1" spans="1:11">
      <c r="A223" s="24">
        <v>45968</v>
      </c>
      <c r="B223" s="25">
        <v>45968</v>
      </c>
      <c r="C223" s="26"/>
      <c r="D223" s="52">
        <v>4.17</v>
      </c>
      <c r="E223" s="52"/>
      <c r="F223" s="52">
        <v>29.38</v>
      </c>
      <c r="G223" s="26"/>
      <c r="H223" s="26"/>
      <c r="I223" s="26"/>
      <c r="J223" s="26"/>
      <c r="K223" s="26"/>
    </row>
    <row r="224" ht="15.75" customHeight="1" spans="1:11">
      <c r="A224" s="24">
        <v>45969</v>
      </c>
      <c r="B224" s="25">
        <v>45969</v>
      </c>
      <c r="C224" s="26"/>
      <c r="D224" s="52">
        <v>4.47</v>
      </c>
      <c r="E224" s="52"/>
      <c r="F224" s="52">
        <v>29.27</v>
      </c>
      <c r="G224" s="26"/>
      <c r="H224" s="26"/>
      <c r="I224" s="26"/>
      <c r="J224" s="26"/>
      <c r="K224" s="26"/>
    </row>
    <row r="225" ht="15.75" customHeight="1" spans="1:11">
      <c r="A225" s="24">
        <v>45970</v>
      </c>
      <c r="B225" s="25">
        <v>45970</v>
      </c>
      <c r="C225" s="26"/>
      <c r="D225" s="52">
        <v>4.46</v>
      </c>
      <c r="E225" s="52"/>
      <c r="F225" s="52">
        <v>28.74</v>
      </c>
      <c r="G225" s="26"/>
      <c r="H225" s="26"/>
      <c r="I225" s="26"/>
      <c r="J225" s="26"/>
      <c r="K225" s="26"/>
    </row>
    <row r="226" ht="15.75" customHeight="1" spans="1:11">
      <c r="A226" s="24">
        <v>45971</v>
      </c>
      <c r="B226" s="25">
        <v>45971</v>
      </c>
      <c r="C226" s="26"/>
      <c r="D226" s="26">
        <v>4.42</v>
      </c>
      <c r="E226" s="26"/>
      <c r="F226" s="26">
        <v>28.67</v>
      </c>
      <c r="G226" s="26"/>
      <c r="H226" s="26"/>
      <c r="I226" s="26"/>
      <c r="J226" s="26"/>
      <c r="K226" s="26"/>
    </row>
    <row r="227" ht="15.75" customHeight="1" spans="1:11">
      <c r="A227" s="24">
        <v>45972</v>
      </c>
      <c r="B227" s="25">
        <v>45972</v>
      </c>
      <c r="C227" s="26"/>
      <c r="D227" s="26">
        <v>4.34</v>
      </c>
      <c r="E227" s="26"/>
      <c r="F227" s="26">
        <v>27.93</v>
      </c>
      <c r="G227" s="26"/>
      <c r="H227" s="26"/>
      <c r="I227" s="26"/>
      <c r="J227" s="26"/>
      <c r="K227" s="26"/>
    </row>
    <row r="228" ht="15.75" customHeight="1" spans="1:11">
      <c r="A228" s="24">
        <v>45973</v>
      </c>
      <c r="B228" s="25">
        <v>45973</v>
      </c>
      <c r="C228" s="26"/>
      <c r="D228" s="52">
        <v>4.29</v>
      </c>
      <c r="E228" s="52"/>
      <c r="F228" s="52">
        <v>28.73</v>
      </c>
      <c r="G228" s="26"/>
      <c r="H228" s="26"/>
      <c r="I228" s="26"/>
      <c r="J228" s="26"/>
      <c r="K228" s="26"/>
    </row>
    <row r="229" ht="15.75" customHeight="1" spans="1:11">
      <c r="A229" s="24">
        <v>45974</v>
      </c>
      <c r="B229" s="25">
        <v>45974</v>
      </c>
      <c r="C229" s="26"/>
      <c r="D229" s="52">
        <v>4.25</v>
      </c>
      <c r="E229" s="52"/>
      <c r="F229" s="52">
        <v>28.19</v>
      </c>
      <c r="G229" s="26"/>
      <c r="H229" s="26"/>
      <c r="I229" s="26"/>
      <c r="J229" s="26"/>
      <c r="K229" s="26"/>
    </row>
    <row r="230" ht="15.75" customHeight="1" spans="1:11">
      <c r="A230" s="24">
        <v>45975</v>
      </c>
      <c r="B230" s="25">
        <v>45975</v>
      </c>
      <c r="C230" s="26"/>
      <c r="D230" s="52">
        <v>4.27</v>
      </c>
      <c r="E230" s="52"/>
      <c r="F230" s="52">
        <v>27.97</v>
      </c>
      <c r="G230" s="26"/>
      <c r="H230" s="26"/>
      <c r="I230" s="26"/>
      <c r="J230" s="26"/>
      <c r="K230" s="26"/>
    </row>
    <row r="231" ht="15.75" customHeight="1" spans="1:11">
      <c r="A231" s="24">
        <v>45976</v>
      </c>
      <c r="B231" s="25">
        <v>45976</v>
      </c>
      <c r="C231" s="26"/>
      <c r="D231" s="52">
        <v>4.17</v>
      </c>
      <c r="E231" s="52"/>
      <c r="F231" s="52">
        <v>27.3</v>
      </c>
      <c r="G231" s="26"/>
      <c r="H231" s="26"/>
      <c r="I231" s="26"/>
      <c r="J231" s="26"/>
      <c r="K231" s="26"/>
    </row>
    <row r="232" ht="15.75" customHeight="1" spans="1:11">
      <c r="A232" s="24">
        <v>45977</v>
      </c>
      <c r="B232" s="25">
        <v>45977</v>
      </c>
      <c r="C232" s="26"/>
      <c r="D232" s="52">
        <v>4.22</v>
      </c>
      <c r="E232" s="52"/>
      <c r="F232" s="52">
        <v>25.45</v>
      </c>
      <c r="G232" s="26"/>
      <c r="H232" s="26"/>
      <c r="I232" s="26"/>
      <c r="J232" s="26"/>
      <c r="K232" s="26"/>
    </row>
    <row r="233" ht="15.75" customHeight="1" spans="1:11">
      <c r="A233" s="24">
        <v>45978</v>
      </c>
      <c r="B233" s="25">
        <v>45978</v>
      </c>
      <c r="C233" s="26"/>
      <c r="D233" s="52">
        <v>3.96</v>
      </c>
      <c r="E233" s="52"/>
      <c r="F233" s="52">
        <v>26.34</v>
      </c>
      <c r="G233" s="26"/>
      <c r="H233" s="26"/>
      <c r="I233" s="26"/>
      <c r="J233" s="26"/>
      <c r="K233" s="26"/>
    </row>
    <row r="234" ht="15.75" customHeight="1" spans="1:11">
      <c r="A234" s="24">
        <v>45979</v>
      </c>
      <c r="B234" s="25">
        <v>45979</v>
      </c>
      <c r="C234" s="26"/>
      <c r="D234" s="52">
        <v>3.97</v>
      </c>
      <c r="E234" s="52"/>
      <c r="F234" s="52">
        <v>26.27</v>
      </c>
      <c r="G234" s="26"/>
      <c r="H234" s="26"/>
      <c r="I234" s="26"/>
      <c r="J234" s="26"/>
      <c r="K234" s="26"/>
    </row>
    <row r="235" ht="15.75" customHeight="1" spans="1:11">
      <c r="A235" s="24">
        <v>45980</v>
      </c>
      <c r="B235" s="25">
        <v>45980</v>
      </c>
      <c r="C235" s="26"/>
      <c r="D235" s="52">
        <v>3.66</v>
      </c>
      <c r="E235" s="52"/>
      <c r="F235" s="52">
        <v>26.55</v>
      </c>
      <c r="G235" s="26"/>
      <c r="H235" s="26"/>
      <c r="I235" s="26"/>
      <c r="J235" s="26"/>
      <c r="K235" s="26"/>
    </row>
    <row r="236" ht="15.75" customHeight="1" spans="1:11">
      <c r="A236" s="24">
        <v>45981</v>
      </c>
      <c r="B236" s="25">
        <v>45981</v>
      </c>
      <c r="C236" s="26"/>
      <c r="D236" s="52">
        <v>3.97</v>
      </c>
      <c r="E236" s="52"/>
      <c r="F236" s="52">
        <v>26.27</v>
      </c>
      <c r="G236" s="26"/>
      <c r="H236" s="26"/>
      <c r="I236" s="26"/>
      <c r="J236" s="26"/>
      <c r="K236" s="26"/>
    </row>
    <row r="237" ht="15.75" customHeight="1" spans="1:11">
      <c r="A237" s="24">
        <v>45982</v>
      </c>
      <c r="B237" s="25">
        <v>45982</v>
      </c>
      <c r="C237" s="26"/>
      <c r="D237" s="52">
        <v>3.66</v>
      </c>
      <c r="E237" s="52"/>
      <c r="F237" s="52">
        <v>26.55</v>
      </c>
      <c r="G237" s="26"/>
      <c r="H237" s="26"/>
      <c r="I237" s="26"/>
      <c r="J237" s="26"/>
      <c r="K237" s="26"/>
    </row>
    <row r="238" ht="15.75" customHeight="1" spans="1:11">
      <c r="A238" s="24">
        <v>45983</v>
      </c>
      <c r="B238" s="25">
        <v>45983</v>
      </c>
      <c r="C238" s="26"/>
      <c r="D238" s="52">
        <v>3.92</v>
      </c>
      <c r="E238" s="52"/>
      <c r="F238" s="52">
        <v>27.17</v>
      </c>
      <c r="G238" s="26"/>
      <c r="H238" s="26"/>
      <c r="I238" s="26"/>
      <c r="J238" s="26"/>
      <c r="K238" s="26"/>
    </row>
    <row r="239" ht="15.75" customHeight="1" spans="1:11">
      <c r="A239" s="24">
        <v>45984</v>
      </c>
      <c r="B239" s="25">
        <v>45984</v>
      </c>
      <c r="C239" s="26"/>
      <c r="D239" s="52">
        <v>4.02</v>
      </c>
      <c r="E239" s="52"/>
      <c r="F239" s="52">
        <v>27.35</v>
      </c>
      <c r="G239" s="26"/>
      <c r="H239" s="26"/>
      <c r="I239" s="26"/>
      <c r="J239" s="26"/>
      <c r="K239" s="26"/>
    </row>
    <row r="240" ht="15.75" customHeight="1" spans="1:11">
      <c r="A240" s="24">
        <v>45985</v>
      </c>
      <c r="B240" s="25">
        <v>45985</v>
      </c>
      <c r="C240" s="26"/>
      <c r="D240" s="52">
        <v>4.11</v>
      </c>
      <c r="E240" s="52"/>
      <c r="F240" s="52">
        <v>27.45</v>
      </c>
      <c r="G240" s="26"/>
      <c r="H240" s="26"/>
      <c r="I240" s="26"/>
      <c r="J240" s="26"/>
      <c r="K240" s="26"/>
    </row>
    <row r="241" ht="15.75" customHeight="1" spans="1:11">
      <c r="A241" s="24">
        <v>45986</v>
      </c>
      <c r="B241" s="25">
        <v>45986</v>
      </c>
      <c r="C241" s="26">
        <v>3.9</v>
      </c>
      <c r="D241" s="52">
        <v>3.9</v>
      </c>
      <c r="E241" s="52"/>
      <c r="F241" s="52">
        <v>27.07</v>
      </c>
      <c r="G241" s="26"/>
      <c r="H241" s="26"/>
      <c r="I241" s="26"/>
      <c r="J241" s="26"/>
      <c r="K241" s="26"/>
    </row>
    <row r="242" ht="15.75" customHeight="1" spans="1:11">
      <c r="A242" s="24">
        <v>45987</v>
      </c>
      <c r="B242" s="25">
        <v>45987</v>
      </c>
      <c r="C242" s="52">
        <v>3.7</v>
      </c>
      <c r="D242" s="52">
        <v>3.7</v>
      </c>
      <c r="E242" s="52"/>
      <c r="F242" s="52">
        <v>27.04</v>
      </c>
      <c r="G242" s="26"/>
      <c r="H242" s="26"/>
      <c r="I242" s="26"/>
      <c r="J242" s="26"/>
      <c r="K242" s="26"/>
    </row>
    <row r="243" ht="15.75" customHeight="1" spans="1:11">
      <c r="A243" s="24">
        <v>45988</v>
      </c>
      <c r="B243" s="25">
        <v>45988</v>
      </c>
      <c r="C243" s="26"/>
      <c r="D243" s="52">
        <v>3.42</v>
      </c>
      <c r="E243" s="52"/>
      <c r="F243" s="52">
        <v>28.62</v>
      </c>
      <c r="G243" s="26"/>
      <c r="H243" s="26"/>
      <c r="I243" s="26"/>
      <c r="J243" s="26"/>
      <c r="K243" s="26"/>
    </row>
    <row r="244" ht="15.75" customHeight="1" spans="1:11">
      <c r="A244" s="24">
        <v>45989</v>
      </c>
      <c r="B244" s="25">
        <v>45989</v>
      </c>
      <c r="C244" s="26"/>
      <c r="D244" s="52">
        <v>3.13</v>
      </c>
      <c r="E244" s="52"/>
      <c r="F244" s="52">
        <v>28.4</v>
      </c>
      <c r="G244" s="26"/>
      <c r="H244" s="26"/>
      <c r="I244" s="26"/>
      <c r="J244" s="26"/>
      <c r="K244" s="26"/>
    </row>
    <row r="245" ht="15.75" customHeight="1" spans="1:11">
      <c r="A245" s="24">
        <v>45990</v>
      </c>
      <c r="B245" s="25">
        <v>45990</v>
      </c>
      <c r="C245" s="26"/>
      <c r="D245" s="52">
        <v>3.34</v>
      </c>
      <c r="E245" s="52"/>
      <c r="F245" s="52">
        <v>27.37</v>
      </c>
      <c r="G245" s="26"/>
      <c r="H245" s="26"/>
      <c r="I245" s="26"/>
      <c r="J245" s="26"/>
      <c r="K245" s="26"/>
    </row>
    <row r="246" ht="15.75" customHeight="1" spans="1:11">
      <c r="A246" s="24">
        <v>45991</v>
      </c>
      <c r="B246" s="25">
        <v>45991</v>
      </c>
      <c r="C246" s="26"/>
      <c r="D246" s="52">
        <v>3.55</v>
      </c>
      <c r="E246" s="52"/>
      <c r="F246" s="52">
        <v>27.29</v>
      </c>
      <c r="G246" s="26"/>
      <c r="H246" s="26"/>
      <c r="I246" s="26"/>
      <c r="J246" s="26"/>
      <c r="K246" s="26"/>
    </row>
    <row r="247" ht="15.75" customHeight="1" spans="1:11">
      <c r="A247" s="24">
        <v>45992</v>
      </c>
      <c r="B247" s="25">
        <v>45992</v>
      </c>
      <c r="C247" s="26"/>
      <c r="D247" s="52">
        <v>3.81</v>
      </c>
      <c r="E247" s="52"/>
      <c r="F247" s="52">
        <v>26.7</v>
      </c>
      <c r="G247" s="26"/>
      <c r="H247" s="26"/>
      <c r="I247" s="26"/>
      <c r="J247" s="26"/>
      <c r="K247" s="26"/>
    </row>
    <row r="248" ht="15.75" customHeight="1" spans="1:11">
      <c r="A248" s="24">
        <v>45993</v>
      </c>
      <c r="B248" s="25">
        <v>45993</v>
      </c>
      <c r="C248" s="26"/>
      <c r="D248" s="52">
        <v>3.5</v>
      </c>
      <c r="E248" s="52"/>
      <c r="F248" s="52">
        <v>26.6</v>
      </c>
      <c r="G248" s="26"/>
      <c r="H248" s="26"/>
      <c r="I248" s="26"/>
      <c r="J248" s="26"/>
      <c r="K248" s="26"/>
    </row>
    <row r="249" ht="15.75" customHeight="1" spans="1:11">
      <c r="A249" s="24">
        <v>45994</v>
      </c>
      <c r="B249" s="25">
        <v>45994</v>
      </c>
      <c r="C249" s="26"/>
      <c r="D249" s="52">
        <v>3.79</v>
      </c>
      <c r="E249" s="52"/>
      <c r="F249" s="52">
        <v>25.4</v>
      </c>
      <c r="G249" s="26"/>
      <c r="H249" s="26"/>
      <c r="I249" s="26"/>
      <c r="J249" s="26"/>
      <c r="K249" s="26"/>
    </row>
    <row r="250" ht="15.75" customHeight="1" spans="1:11">
      <c r="A250" s="24">
        <v>45995</v>
      </c>
      <c r="B250" s="25">
        <v>45995</v>
      </c>
      <c r="C250" s="26"/>
      <c r="D250" s="52">
        <v>3.65</v>
      </c>
      <c r="E250" s="52"/>
      <c r="F250" s="52">
        <v>25.04</v>
      </c>
      <c r="G250" s="26"/>
      <c r="H250" s="26"/>
      <c r="I250" s="26"/>
      <c r="J250" s="26"/>
      <c r="K250" s="26"/>
    </row>
    <row r="251" ht="15.75" customHeight="1" spans="1:11">
      <c r="A251" s="24">
        <v>45996</v>
      </c>
      <c r="B251" s="25">
        <v>45996</v>
      </c>
      <c r="C251" s="26"/>
      <c r="D251" s="52">
        <v>3.71</v>
      </c>
      <c r="E251" s="52"/>
      <c r="F251" s="52">
        <v>26.35</v>
      </c>
      <c r="G251" s="26"/>
      <c r="H251" s="26"/>
      <c r="I251" s="26"/>
      <c r="J251" s="26"/>
      <c r="K251" s="26"/>
    </row>
    <row r="252" ht="15.75" customHeight="1" spans="1:11">
      <c r="A252" s="24">
        <v>45997</v>
      </c>
      <c r="B252" s="25">
        <v>45997</v>
      </c>
      <c r="C252" s="26"/>
      <c r="D252" s="52">
        <v>3.46</v>
      </c>
      <c r="E252" s="52"/>
      <c r="F252" s="52">
        <v>25.53</v>
      </c>
      <c r="G252" s="26"/>
      <c r="H252" s="26"/>
      <c r="I252" s="26"/>
      <c r="J252" s="26"/>
      <c r="K252" s="26"/>
    </row>
    <row r="253" ht="15.75" customHeight="1" spans="1:11">
      <c r="A253" s="24">
        <v>45998</v>
      </c>
      <c r="B253" s="25">
        <v>45998</v>
      </c>
      <c r="C253" s="26"/>
      <c r="D253" s="52">
        <v>3.81</v>
      </c>
      <c r="E253" s="52"/>
      <c r="F253" s="52">
        <v>25.42</v>
      </c>
      <c r="G253" s="26"/>
      <c r="H253" s="26"/>
      <c r="I253" s="26"/>
      <c r="J253" s="26"/>
      <c r="K253" s="26"/>
    </row>
    <row r="254" ht="15.75" customHeight="1" spans="1:11">
      <c r="A254" s="24">
        <v>45999</v>
      </c>
      <c r="B254" s="25">
        <v>45999</v>
      </c>
      <c r="C254" s="26"/>
      <c r="D254" s="52">
        <v>3.81</v>
      </c>
      <c r="E254" s="52"/>
      <c r="F254" s="52">
        <v>26.43</v>
      </c>
      <c r="G254" s="26"/>
      <c r="H254" s="26"/>
      <c r="I254" s="26"/>
      <c r="J254" s="26"/>
      <c r="K254" s="26"/>
    </row>
    <row r="255" ht="15.75" customHeight="1" spans="1:11">
      <c r="A255" s="24">
        <v>46000</v>
      </c>
      <c r="B255" s="25">
        <v>46000</v>
      </c>
      <c r="C255" s="26"/>
      <c r="D255" s="52">
        <v>4.15</v>
      </c>
      <c r="E255" s="52"/>
      <c r="F255" s="52">
        <v>26.55</v>
      </c>
      <c r="G255" s="26"/>
      <c r="H255" s="26"/>
      <c r="I255" s="26"/>
      <c r="J255" s="26"/>
      <c r="K255" s="26"/>
    </row>
    <row r="256" ht="15.75" customHeight="1" spans="1:11">
      <c r="A256" s="24">
        <v>46001</v>
      </c>
      <c r="B256" s="25">
        <v>46001</v>
      </c>
      <c r="C256" s="26"/>
      <c r="D256" s="52">
        <v>3.32</v>
      </c>
      <c r="E256" s="52"/>
      <c r="F256" s="52">
        <v>26.94</v>
      </c>
      <c r="G256" s="26"/>
      <c r="H256" s="26"/>
      <c r="I256" s="26"/>
      <c r="J256" s="26"/>
      <c r="K256" s="26"/>
    </row>
    <row r="257" ht="15.75" customHeight="1" spans="1:11">
      <c r="A257" s="24">
        <v>46002</v>
      </c>
      <c r="B257" s="25">
        <v>46002</v>
      </c>
      <c r="C257" s="26"/>
      <c r="D257" s="52">
        <v>4.11</v>
      </c>
      <c r="E257" s="52"/>
      <c r="F257" s="52">
        <v>26.97</v>
      </c>
      <c r="G257" s="26"/>
      <c r="H257" s="26"/>
      <c r="I257" s="26"/>
      <c r="J257" s="26"/>
      <c r="K257" s="26"/>
    </row>
    <row r="258" ht="15.75" customHeight="1" spans="1:11">
      <c r="A258" s="24">
        <v>46003</v>
      </c>
      <c r="B258" s="25">
        <v>46003</v>
      </c>
      <c r="C258" s="26"/>
      <c r="D258" s="52">
        <v>4.14</v>
      </c>
      <c r="E258" s="52"/>
      <c r="F258" s="52">
        <v>26.12</v>
      </c>
      <c r="G258" s="26"/>
      <c r="H258" s="26"/>
      <c r="I258" s="26"/>
      <c r="J258" s="26"/>
      <c r="K258" s="26"/>
    </row>
    <row r="259" ht="15.75" customHeight="1" spans="1:11">
      <c r="A259" s="24">
        <v>46004</v>
      </c>
      <c r="B259" s="25">
        <v>46004</v>
      </c>
      <c r="C259" s="26"/>
      <c r="D259" s="52">
        <v>3.94</v>
      </c>
      <c r="E259" s="52"/>
      <c r="F259" s="52">
        <v>21.31</v>
      </c>
      <c r="G259" s="26"/>
      <c r="H259" s="26"/>
      <c r="I259" s="26"/>
      <c r="J259" s="26"/>
      <c r="K259" s="26"/>
    </row>
    <row r="260" ht="15.75" customHeight="1" spans="1:11">
      <c r="A260" s="24">
        <v>46005</v>
      </c>
      <c r="B260" s="25">
        <v>46005</v>
      </c>
      <c r="C260" s="26"/>
      <c r="D260" s="52">
        <v>0.81</v>
      </c>
      <c r="E260" s="52"/>
      <c r="F260" s="52">
        <v>24.95</v>
      </c>
      <c r="G260" s="26"/>
      <c r="H260" s="26"/>
      <c r="I260" s="26"/>
      <c r="J260" s="26"/>
      <c r="K260" s="26"/>
    </row>
    <row r="261" ht="15.75" customHeight="1" spans="1:11">
      <c r="A261" s="24">
        <v>46006</v>
      </c>
      <c r="B261" s="25">
        <v>46006</v>
      </c>
      <c r="C261" s="26"/>
      <c r="D261" s="52">
        <v>3.91</v>
      </c>
      <c r="E261" s="52"/>
      <c r="F261" s="52">
        <v>26.95</v>
      </c>
      <c r="G261" s="26"/>
      <c r="H261" s="26"/>
      <c r="I261" s="26"/>
      <c r="J261" s="26"/>
      <c r="K261" s="26"/>
    </row>
    <row r="262" ht="15.75" customHeight="1" spans="1:11">
      <c r="A262" s="24">
        <v>46007</v>
      </c>
      <c r="B262" s="25">
        <v>46007</v>
      </c>
      <c r="C262" s="26"/>
      <c r="D262" s="52">
        <v>3.86</v>
      </c>
      <c r="E262" s="52"/>
      <c r="F262" s="52">
        <v>24.16</v>
      </c>
      <c r="G262" s="26"/>
      <c r="H262" s="26"/>
      <c r="I262" s="26"/>
      <c r="J262" s="26"/>
      <c r="K262" s="26"/>
    </row>
    <row r="263" ht="15.75" customHeight="1" spans="1:11">
      <c r="A263" s="24">
        <v>46008</v>
      </c>
      <c r="B263" s="25">
        <v>46008</v>
      </c>
      <c r="C263" s="26"/>
      <c r="D263" s="52">
        <v>3.62</v>
      </c>
      <c r="E263" s="26"/>
      <c r="F263" s="26"/>
      <c r="G263" s="26"/>
      <c r="H263" s="26"/>
      <c r="I263" s="26"/>
      <c r="J263" s="26"/>
      <c r="K263" s="26"/>
    </row>
    <row r="264" ht="15.75" customHeight="1" spans="1:11">
      <c r="A264" s="24">
        <v>46009</v>
      </c>
      <c r="B264" s="25">
        <v>46009</v>
      </c>
      <c r="C264" s="26"/>
      <c r="D264" s="52">
        <v>3.99</v>
      </c>
      <c r="E264" s="26"/>
      <c r="F264" s="26"/>
      <c r="G264" s="26"/>
      <c r="H264" s="26"/>
      <c r="I264" s="26"/>
      <c r="J264" s="26"/>
      <c r="K264" s="26"/>
    </row>
    <row r="265" ht="15.75" customHeight="1" spans="1:11">
      <c r="A265" s="24">
        <v>46010</v>
      </c>
      <c r="B265" s="25">
        <v>46010</v>
      </c>
      <c r="C265" s="26"/>
      <c r="D265" s="26">
        <v>3.65</v>
      </c>
      <c r="E265" s="26"/>
      <c r="F265" s="26"/>
      <c r="G265" s="26"/>
      <c r="H265" s="26"/>
      <c r="I265" s="26"/>
      <c r="J265" s="26"/>
      <c r="K265" s="26"/>
    </row>
    <row r="266" ht="15.75" customHeight="1" spans="1:11">
      <c r="A266" s="24">
        <v>46011</v>
      </c>
      <c r="B266" s="25">
        <v>46011</v>
      </c>
      <c r="C266" s="26"/>
      <c r="D266" s="52">
        <v>4.1</v>
      </c>
      <c r="E266" s="26"/>
      <c r="F266" s="26"/>
      <c r="G266" s="26"/>
      <c r="H266" s="26"/>
      <c r="I266" s="26"/>
      <c r="J266" s="26"/>
      <c r="K266" s="26"/>
    </row>
    <row r="267" ht="15.75" customHeight="1" spans="1:11">
      <c r="A267" s="24">
        <v>46012</v>
      </c>
      <c r="B267" s="25">
        <v>46012</v>
      </c>
      <c r="C267" s="26"/>
      <c r="D267" s="52">
        <v>3.36</v>
      </c>
      <c r="E267" s="26"/>
      <c r="F267" s="26"/>
      <c r="G267" s="26"/>
      <c r="H267" s="26"/>
      <c r="I267" s="26"/>
      <c r="J267" s="26"/>
      <c r="K267" s="26"/>
    </row>
    <row r="268" ht="15.75" customHeight="1" spans="1:11">
      <c r="A268" s="24">
        <v>46013</v>
      </c>
      <c r="B268" s="25">
        <v>46013</v>
      </c>
      <c r="C268" s="26"/>
      <c r="D268" s="52">
        <v>3.89</v>
      </c>
      <c r="E268" s="26"/>
      <c r="F268" s="26"/>
      <c r="G268" s="26"/>
      <c r="H268" s="26"/>
      <c r="I268" s="26"/>
      <c r="J268" s="26"/>
      <c r="K268" s="26"/>
    </row>
    <row r="269" ht="15.75" customHeight="1" spans="1:11">
      <c r="A269" s="24">
        <v>46014</v>
      </c>
      <c r="B269" s="25">
        <v>46014</v>
      </c>
      <c r="C269" s="26"/>
      <c r="D269" s="52">
        <v>3.85</v>
      </c>
      <c r="E269" s="26"/>
      <c r="F269" s="26"/>
      <c r="G269" s="26"/>
      <c r="H269" s="26"/>
      <c r="I269" s="26"/>
      <c r="J269" s="26"/>
      <c r="K269" s="26"/>
    </row>
    <row r="270" ht="15.75" customHeight="1" spans="1:11">
      <c r="A270" s="24">
        <v>46015</v>
      </c>
      <c r="B270" s="25">
        <v>46015</v>
      </c>
      <c r="C270" s="26"/>
      <c r="D270" s="52">
        <v>3.93</v>
      </c>
      <c r="E270" s="52"/>
      <c r="F270" s="52">
        <v>26.17</v>
      </c>
      <c r="G270" s="26"/>
      <c r="H270" s="26"/>
      <c r="I270" s="26"/>
      <c r="J270" s="26"/>
      <c r="K270" s="26"/>
    </row>
    <row r="271" ht="15.75" customHeight="1" spans="1:11">
      <c r="A271" s="24">
        <v>46016</v>
      </c>
      <c r="B271" s="25">
        <v>46016</v>
      </c>
      <c r="C271" s="26"/>
      <c r="D271" s="52">
        <v>3.87</v>
      </c>
      <c r="E271" s="52"/>
      <c r="F271" s="52">
        <v>26.07</v>
      </c>
      <c r="G271" s="26"/>
      <c r="H271" s="26"/>
      <c r="I271" s="26"/>
      <c r="J271" s="26"/>
      <c r="K271" s="26"/>
    </row>
    <row r="272" ht="15.75" customHeight="1" spans="1:11">
      <c r="A272" s="24">
        <v>46017</v>
      </c>
      <c r="B272" s="25">
        <v>46017</v>
      </c>
      <c r="C272" s="26"/>
      <c r="D272" s="52">
        <v>3.74</v>
      </c>
      <c r="E272" s="52"/>
      <c r="F272" s="52">
        <v>25.41</v>
      </c>
      <c r="G272" s="26"/>
      <c r="H272" s="26"/>
      <c r="I272" s="26"/>
      <c r="J272" s="26"/>
      <c r="K272" s="26"/>
    </row>
    <row r="273" ht="15.75" customHeight="1" spans="1:11">
      <c r="A273" s="24">
        <v>46018</v>
      </c>
      <c r="B273" s="25">
        <v>46018</v>
      </c>
      <c r="C273" s="26"/>
      <c r="D273" s="52">
        <v>3.62</v>
      </c>
      <c r="E273" s="52"/>
      <c r="F273" s="52">
        <v>25.19</v>
      </c>
      <c r="G273" s="26"/>
      <c r="H273" s="26"/>
      <c r="I273" s="26"/>
      <c r="J273" s="26"/>
      <c r="K273" s="26"/>
    </row>
    <row r="274" ht="15.75" customHeight="1" spans="1:11">
      <c r="A274" s="24">
        <v>46019</v>
      </c>
      <c r="B274" s="25">
        <v>46019</v>
      </c>
      <c r="C274" s="26"/>
      <c r="D274" s="52">
        <v>3.62</v>
      </c>
      <c r="E274" s="52"/>
      <c r="F274" s="52">
        <v>27.07</v>
      </c>
      <c r="G274" s="26"/>
      <c r="H274" s="26"/>
      <c r="I274" s="26"/>
      <c r="J274" s="26"/>
      <c r="K274" s="26"/>
    </row>
    <row r="275" ht="15.75" customHeight="1" spans="1:11">
      <c r="A275" s="24">
        <v>46020</v>
      </c>
      <c r="B275" s="25">
        <v>46020</v>
      </c>
      <c r="C275" s="26"/>
      <c r="D275" s="52">
        <v>3.6</v>
      </c>
      <c r="E275" s="52"/>
      <c r="F275" s="52">
        <v>25.64</v>
      </c>
      <c r="G275" s="26"/>
      <c r="H275" s="26"/>
      <c r="I275" s="26"/>
      <c r="J275" s="26"/>
      <c r="K275" s="26"/>
    </row>
    <row r="276" ht="15.75" customHeight="1" spans="1:11">
      <c r="A276" s="24">
        <v>46021</v>
      </c>
      <c r="B276" s="25">
        <v>46021</v>
      </c>
      <c r="C276" s="26"/>
      <c r="D276" s="52">
        <v>3.5</v>
      </c>
      <c r="E276" s="52"/>
      <c r="F276" s="52">
        <v>24.6</v>
      </c>
      <c r="G276" s="26"/>
      <c r="H276" s="26"/>
      <c r="I276" s="26"/>
      <c r="J276" s="26"/>
      <c r="K276" s="26"/>
    </row>
    <row r="277" ht="15.75" customHeight="1" spans="1:11">
      <c r="A277" s="24">
        <v>46022</v>
      </c>
      <c r="B277" s="25">
        <v>46022</v>
      </c>
      <c r="C277" s="26"/>
      <c r="D277" s="52">
        <v>3.1</v>
      </c>
      <c r="E277" s="52"/>
      <c r="F277" s="52">
        <v>24.92</v>
      </c>
      <c r="G277" s="26"/>
      <c r="H277" s="26"/>
      <c r="I277" s="26"/>
      <c r="J277" s="26"/>
      <c r="K277" s="26"/>
    </row>
    <row r="278" ht="15.75" customHeight="1" spans="1:11">
      <c r="A278" s="24">
        <v>46023</v>
      </c>
      <c r="B278" s="25">
        <v>46023</v>
      </c>
      <c r="C278" s="26"/>
      <c r="D278" s="52">
        <v>3.58</v>
      </c>
      <c r="E278" s="52"/>
      <c r="F278" s="52">
        <v>24.46</v>
      </c>
      <c r="G278" s="26"/>
      <c r="H278" s="26"/>
      <c r="I278" s="26"/>
      <c r="J278" s="26"/>
      <c r="K278" s="26"/>
    </row>
    <row r="279" ht="15.75" customHeight="1" spans="1:11">
      <c r="A279" s="24">
        <v>46024</v>
      </c>
      <c r="B279" s="25">
        <v>46024</v>
      </c>
      <c r="C279" s="26"/>
      <c r="D279" s="52">
        <v>3.9</v>
      </c>
      <c r="E279" s="26"/>
      <c r="F279" s="52">
        <v>23.51</v>
      </c>
      <c r="G279" s="26"/>
      <c r="H279" s="26"/>
      <c r="I279" s="26"/>
      <c r="J279" s="26"/>
      <c r="K279" s="26"/>
    </row>
    <row r="280" ht="15.75" customHeight="1" spans="1:11">
      <c r="A280" s="24">
        <v>46025</v>
      </c>
      <c r="B280" s="25">
        <v>46025</v>
      </c>
      <c r="C280" s="26"/>
      <c r="D280" s="52">
        <v>2.91</v>
      </c>
      <c r="E280" s="26"/>
      <c r="F280" s="52">
        <v>22.35</v>
      </c>
      <c r="G280" s="26"/>
      <c r="H280" s="26"/>
      <c r="I280" s="26"/>
      <c r="J280" s="26"/>
      <c r="K280" s="26"/>
    </row>
    <row r="281" ht="15.75" customHeight="1" spans="1:11">
      <c r="A281" s="24">
        <v>46026</v>
      </c>
      <c r="B281" s="25">
        <v>46026</v>
      </c>
      <c r="C281" s="26"/>
      <c r="D281" s="52">
        <v>4.15</v>
      </c>
      <c r="E281" s="26"/>
      <c r="F281" s="52">
        <v>23.9</v>
      </c>
      <c r="G281" s="26"/>
      <c r="H281" s="26"/>
      <c r="I281" s="26"/>
      <c r="J281" s="26"/>
      <c r="K281" s="26"/>
    </row>
    <row r="282" ht="15.75" customHeight="1" spans="1:11">
      <c r="A282" s="24">
        <v>46027</v>
      </c>
      <c r="B282" s="25">
        <v>46027</v>
      </c>
      <c r="C282" s="26"/>
      <c r="D282" s="52">
        <v>4</v>
      </c>
      <c r="E282" s="26"/>
      <c r="F282" s="52">
        <v>23.65</v>
      </c>
      <c r="G282" s="26"/>
      <c r="H282" s="26"/>
      <c r="I282" s="26"/>
      <c r="J282" s="26"/>
      <c r="K282" s="26"/>
    </row>
    <row r="283" ht="15.75" customHeight="1" spans="1:11">
      <c r="A283" s="24">
        <v>46028</v>
      </c>
      <c r="B283" s="25">
        <v>46028</v>
      </c>
      <c r="C283" s="26"/>
      <c r="D283" s="52">
        <v>4.02</v>
      </c>
      <c r="E283" s="52"/>
      <c r="F283" s="52">
        <v>23.75</v>
      </c>
      <c r="G283" s="26"/>
      <c r="H283" s="26"/>
      <c r="I283" s="26"/>
      <c r="J283" s="26"/>
      <c r="K283" s="26"/>
    </row>
    <row r="284" ht="15.75" customHeight="1" spans="1:11">
      <c r="A284" s="24">
        <v>46029</v>
      </c>
      <c r="B284" s="25">
        <v>46029</v>
      </c>
      <c r="C284" s="26"/>
      <c r="D284" s="52">
        <v>4.11</v>
      </c>
      <c r="E284" s="52"/>
      <c r="F284" s="52">
        <v>22.19</v>
      </c>
      <c r="G284" s="26"/>
      <c r="H284" s="26"/>
      <c r="I284" s="26"/>
      <c r="J284" s="26"/>
      <c r="K284" s="26"/>
    </row>
    <row r="285" ht="15.75" customHeight="1" spans="1:11">
      <c r="A285" s="24">
        <v>46030</v>
      </c>
      <c r="B285" s="25">
        <v>46030</v>
      </c>
      <c r="C285" s="26"/>
      <c r="D285" s="52">
        <v>4.08</v>
      </c>
      <c r="E285" s="52"/>
      <c r="F285" s="52">
        <v>21.85</v>
      </c>
      <c r="G285" s="26"/>
      <c r="H285" s="26"/>
      <c r="I285" s="26"/>
      <c r="J285" s="26"/>
      <c r="K285" s="26"/>
    </row>
    <row r="286" ht="15.75" customHeight="1" spans="1:11">
      <c r="A286" s="24">
        <v>46031</v>
      </c>
      <c r="B286" s="25">
        <v>46031</v>
      </c>
      <c r="C286" s="26"/>
      <c r="D286" s="52">
        <v>3.81</v>
      </c>
      <c r="E286" s="52"/>
      <c r="F286" s="52">
        <v>21.87</v>
      </c>
      <c r="G286" s="26"/>
      <c r="H286" s="26"/>
      <c r="I286" s="26"/>
      <c r="J286" s="26"/>
      <c r="K286" s="26"/>
    </row>
    <row r="287" ht="15.75" customHeight="1" spans="1:11">
      <c r="A287" s="24">
        <v>46032</v>
      </c>
      <c r="B287" s="25">
        <v>46032</v>
      </c>
      <c r="C287" s="26"/>
      <c r="D287" s="52">
        <v>4.11</v>
      </c>
      <c r="E287" s="52"/>
      <c r="F287" s="52">
        <v>22.19</v>
      </c>
      <c r="G287" s="26"/>
      <c r="H287" s="26"/>
      <c r="I287" s="26"/>
      <c r="J287" s="26"/>
      <c r="K287" s="26"/>
    </row>
    <row r="288" ht="15.75" customHeight="1" spans="1:11">
      <c r="A288" s="24">
        <v>46033</v>
      </c>
      <c r="B288" s="25">
        <v>46033</v>
      </c>
      <c r="C288" s="26"/>
      <c r="D288" s="52">
        <v>4.08</v>
      </c>
      <c r="E288" s="52"/>
      <c r="F288" s="52">
        <v>21.85</v>
      </c>
      <c r="G288" s="26"/>
      <c r="H288" s="26"/>
      <c r="I288" s="26"/>
      <c r="J288" s="26"/>
      <c r="K288" s="26"/>
    </row>
    <row r="289" ht="15.75" customHeight="1" spans="1:11">
      <c r="A289" s="24">
        <v>46034</v>
      </c>
      <c r="B289" s="25">
        <v>46034</v>
      </c>
      <c r="C289" s="26"/>
      <c r="D289" s="52">
        <v>3.96</v>
      </c>
      <c r="E289" s="52"/>
      <c r="F289" s="52">
        <v>23.96</v>
      </c>
      <c r="G289" s="26"/>
      <c r="H289" s="26"/>
      <c r="I289" s="26"/>
      <c r="J289" s="26"/>
      <c r="K289" s="26"/>
    </row>
    <row r="290" ht="15.75" customHeight="1" spans="1:11">
      <c r="A290" s="24">
        <v>46035</v>
      </c>
      <c r="B290" s="25">
        <v>46035</v>
      </c>
      <c r="C290" s="26"/>
      <c r="D290" s="52">
        <v>3.88</v>
      </c>
      <c r="E290" s="52"/>
      <c r="F290" s="52">
        <v>25.02</v>
      </c>
      <c r="G290" s="26"/>
      <c r="H290" s="26"/>
      <c r="I290" s="26"/>
      <c r="J290" s="26"/>
      <c r="K290" s="26"/>
    </row>
    <row r="291" ht="15.75" customHeight="1" spans="1:11">
      <c r="A291" s="24">
        <v>46036</v>
      </c>
      <c r="B291" s="25">
        <v>46036</v>
      </c>
      <c r="C291" s="26"/>
      <c r="D291" s="52">
        <v>3.65</v>
      </c>
      <c r="E291" s="52"/>
      <c r="F291" s="52">
        <v>23.31</v>
      </c>
      <c r="G291" s="26"/>
      <c r="H291" s="26"/>
      <c r="I291" s="26"/>
      <c r="J291" s="26"/>
      <c r="K291" s="26"/>
    </row>
    <row r="292" ht="15.75" customHeight="1" spans="1:11">
      <c r="A292" s="24">
        <v>46037</v>
      </c>
      <c r="B292" s="25">
        <v>46037</v>
      </c>
      <c r="C292" s="26"/>
      <c r="D292" s="52">
        <v>4.38</v>
      </c>
      <c r="E292" s="52"/>
      <c r="F292" s="52">
        <v>24.6</v>
      </c>
      <c r="G292" s="26"/>
      <c r="H292" s="26"/>
      <c r="I292" s="26"/>
      <c r="J292" s="26"/>
      <c r="K292" s="26"/>
    </row>
    <row r="293" ht="15.75" customHeight="1" spans="1:11">
      <c r="A293" s="24">
        <v>46038</v>
      </c>
      <c r="B293" s="25">
        <v>46038</v>
      </c>
      <c r="C293" s="26"/>
      <c r="D293" s="52">
        <v>4.28</v>
      </c>
      <c r="E293" s="52"/>
      <c r="F293" s="52">
        <v>25.46</v>
      </c>
      <c r="G293" s="26"/>
      <c r="H293" s="26"/>
      <c r="I293" s="26"/>
      <c r="J293" s="26"/>
      <c r="K293" s="26"/>
    </row>
    <row r="294" ht="15.75" customHeight="1" spans="1:11">
      <c r="A294" s="24">
        <v>46039</v>
      </c>
      <c r="B294" s="25">
        <v>46039</v>
      </c>
      <c r="C294" s="26"/>
      <c r="D294" s="52">
        <v>4.08</v>
      </c>
      <c r="E294" s="52"/>
      <c r="F294" s="52">
        <v>23.24</v>
      </c>
      <c r="G294" s="26"/>
      <c r="H294" s="26"/>
      <c r="I294" s="26"/>
      <c r="J294" s="26"/>
      <c r="K294" s="26"/>
    </row>
    <row r="295" ht="15.75" customHeight="1" spans="1:11">
      <c r="A295" s="24">
        <v>46040</v>
      </c>
      <c r="B295" s="25">
        <v>46040</v>
      </c>
      <c r="C295" s="26"/>
      <c r="D295" s="52">
        <v>3.94</v>
      </c>
      <c r="E295" s="52"/>
      <c r="F295" s="52">
        <v>23.6</v>
      </c>
      <c r="G295" s="26"/>
      <c r="H295" s="26"/>
      <c r="I295" s="26"/>
      <c r="J295" s="26"/>
      <c r="K295" s="26"/>
    </row>
    <row r="296" ht="15.75" customHeight="1" spans="1:11">
      <c r="A296" s="24">
        <v>46041</v>
      </c>
      <c r="B296" s="25">
        <v>46041</v>
      </c>
      <c r="C296" s="26"/>
      <c r="D296" s="52">
        <v>4.16</v>
      </c>
      <c r="E296" s="52"/>
      <c r="F296" s="52">
        <v>23.97</v>
      </c>
      <c r="G296" s="26"/>
      <c r="H296" s="26"/>
      <c r="I296" s="26"/>
      <c r="J296" s="26"/>
      <c r="K296" s="26"/>
    </row>
    <row r="297" ht="15.75" customHeight="1" spans="1:11">
      <c r="A297" s="24">
        <v>46042</v>
      </c>
      <c r="B297" s="25">
        <v>46042</v>
      </c>
      <c r="C297" s="26"/>
      <c r="D297" s="52">
        <v>3.75</v>
      </c>
      <c r="E297" s="52"/>
      <c r="F297" s="52">
        <v>23.78</v>
      </c>
      <c r="G297" s="26"/>
      <c r="H297" s="26"/>
      <c r="I297" s="26"/>
      <c r="J297" s="26"/>
      <c r="K297" s="26"/>
    </row>
    <row r="298" ht="15.75" customHeight="1" spans="1:11">
      <c r="A298" s="24">
        <v>46043</v>
      </c>
      <c r="B298" s="25">
        <v>46043</v>
      </c>
      <c r="C298" s="26"/>
      <c r="D298" s="52">
        <v>3.85</v>
      </c>
      <c r="E298" s="52"/>
      <c r="F298" s="52">
        <v>25.97</v>
      </c>
      <c r="G298" s="26"/>
      <c r="H298" s="26"/>
      <c r="I298" s="26"/>
      <c r="J298" s="26"/>
      <c r="K298" s="26"/>
    </row>
    <row r="299" ht="15.75" customHeight="1" spans="1:11">
      <c r="A299" s="24">
        <v>46044</v>
      </c>
      <c r="B299" s="25">
        <v>46044</v>
      </c>
      <c r="C299" s="26"/>
      <c r="D299" s="52">
        <v>3.81</v>
      </c>
      <c r="E299" s="52"/>
      <c r="F299" s="52">
        <v>26.21</v>
      </c>
      <c r="G299" s="26"/>
      <c r="H299" s="26"/>
      <c r="I299" s="26"/>
      <c r="J299" s="26"/>
      <c r="K299" s="26"/>
    </row>
    <row r="300" ht="15.75" customHeight="1" spans="1:11">
      <c r="A300" s="24">
        <v>46045</v>
      </c>
      <c r="B300" s="25">
        <v>46045</v>
      </c>
      <c r="C300" s="26"/>
      <c r="D300" s="52">
        <v>3.62</v>
      </c>
      <c r="E300" s="52"/>
      <c r="F300" s="52">
        <v>22</v>
      </c>
      <c r="G300" s="26"/>
      <c r="H300" s="26"/>
      <c r="I300" s="26"/>
      <c r="J300" s="26"/>
      <c r="K300" s="26"/>
    </row>
    <row r="301" ht="15.75" customHeight="1" spans="1:11">
      <c r="A301" s="24">
        <v>46046</v>
      </c>
      <c r="B301" s="25">
        <v>46046</v>
      </c>
      <c r="C301" s="26"/>
      <c r="D301" s="52">
        <v>4.03</v>
      </c>
      <c r="E301" s="52"/>
      <c r="F301" s="52">
        <v>21.03</v>
      </c>
      <c r="G301" s="26"/>
      <c r="H301" s="26"/>
      <c r="I301" s="26"/>
      <c r="J301" s="26"/>
      <c r="K301" s="26"/>
    </row>
    <row r="302" ht="15.75" customHeight="1" spans="1:11">
      <c r="A302" s="24">
        <v>46047</v>
      </c>
      <c r="B302" s="25">
        <v>46047</v>
      </c>
      <c r="C302" s="26"/>
      <c r="D302" s="52">
        <v>3.63</v>
      </c>
      <c r="E302" s="52"/>
      <c r="F302" s="52">
        <v>21.11</v>
      </c>
      <c r="G302" s="26"/>
      <c r="H302" s="26"/>
      <c r="I302" s="26"/>
      <c r="J302" s="26"/>
      <c r="K302" s="26"/>
    </row>
    <row r="303" ht="15.75" customHeight="1" spans="1:11">
      <c r="A303" s="24">
        <v>46048</v>
      </c>
      <c r="B303" s="25">
        <v>46048</v>
      </c>
      <c r="C303" s="26"/>
      <c r="D303" s="52">
        <v>3.89</v>
      </c>
      <c r="E303" s="52"/>
      <c r="F303" s="52">
        <v>24</v>
      </c>
      <c r="G303" s="26"/>
      <c r="H303" s="26"/>
      <c r="I303" s="26"/>
      <c r="J303" s="26"/>
      <c r="K303" s="26"/>
    </row>
    <row r="304" ht="15.75" customHeight="1" spans="1:11">
      <c r="A304" s="24">
        <v>46049</v>
      </c>
      <c r="B304" s="25">
        <v>46049</v>
      </c>
      <c r="C304" s="26"/>
      <c r="D304" s="52">
        <v>5.95</v>
      </c>
      <c r="E304" s="52"/>
      <c r="F304" s="52">
        <v>22.85</v>
      </c>
      <c r="G304" s="26"/>
      <c r="H304" s="26"/>
      <c r="I304" s="26"/>
      <c r="J304" s="26"/>
      <c r="K304" s="26"/>
    </row>
    <row r="305" ht="15.75" customHeight="1" spans="1:11">
      <c r="A305" s="24">
        <v>46050</v>
      </c>
      <c r="B305" s="25">
        <v>46050</v>
      </c>
      <c r="C305" s="26"/>
      <c r="D305" s="52">
        <v>4.46</v>
      </c>
      <c r="E305" s="52"/>
      <c r="F305" s="52">
        <v>22.46</v>
      </c>
      <c r="G305" s="26"/>
      <c r="H305" s="26"/>
      <c r="I305" s="26"/>
      <c r="J305" s="26"/>
      <c r="K305" s="26"/>
    </row>
    <row r="306" ht="15.75" customHeight="1" spans="1:11">
      <c r="A306" s="24">
        <v>46051</v>
      </c>
      <c r="B306" s="25">
        <v>46051</v>
      </c>
      <c r="C306" s="26"/>
      <c r="D306" s="52">
        <v>4.28</v>
      </c>
      <c r="E306" s="52"/>
      <c r="F306" s="52">
        <v>33</v>
      </c>
      <c r="G306" s="26"/>
      <c r="H306" s="26"/>
      <c r="I306" s="26"/>
      <c r="J306" s="26"/>
      <c r="K306" s="26"/>
    </row>
    <row r="307" ht="15.75" customHeight="1" spans="1:11">
      <c r="A307" s="24">
        <v>46052</v>
      </c>
      <c r="B307" s="25">
        <v>46052</v>
      </c>
      <c r="C307" s="26"/>
      <c r="D307" s="52">
        <v>3.58</v>
      </c>
      <c r="E307" s="52"/>
      <c r="F307" s="26">
        <v>25.07</v>
      </c>
      <c r="G307" s="26"/>
      <c r="H307" s="26"/>
      <c r="I307" s="26"/>
      <c r="J307" s="26"/>
      <c r="K307" s="26"/>
    </row>
    <row r="308" ht="15.75" customHeight="1" spans="1:11">
      <c r="A308" s="24">
        <v>46053</v>
      </c>
      <c r="B308" s="25">
        <v>46053</v>
      </c>
      <c r="C308" s="26"/>
      <c r="D308" s="26">
        <v>2.95</v>
      </c>
      <c r="E308" s="26"/>
      <c r="F308" s="26">
        <v>26.19</v>
      </c>
      <c r="G308" s="26"/>
      <c r="H308" s="26"/>
      <c r="I308" s="26"/>
      <c r="J308" s="26"/>
      <c r="K308" s="26"/>
    </row>
    <row r="309" ht="15.75" customHeight="1" spans="1:11">
      <c r="A309" s="24">
        <v>46054</v>
      </c>
      <c r="B309" s="25">
        <v>46054</v>
      </c>
      <c r="C309" s="26"/>
      <c r="D309" s="26">
        <v>3.54</v>
      </c>
      <c r="E309" s="26"/>
      <c r="F309" s="26">
        <v>27.34</v>
      </c>
      <c r="G309" s="26"/>
      <c r="H309" s="26"/>
      <c r="I309" s="26"/>
      <c r="J309" s="26"/>
      <c r="K309" s="26"/>
    </row>
    <row r="310" ht="15.75" customHeight="1" spans="1:11">
      <c r="A310" s="24">
        <v>46055</v>
      </c>
      <c r="B310" s="25">
        <v>46055</v>
      </c>
      <c r="C310" s="26"/>
      <c r="D310" s="26">
        <v>3.51</v>
      </c>
      <c r="E310" s="26"/>
      <c r="F310" s="26">
        <v>27.66</v>
      </c>
      <c r="G310" s="26"/>
      <c r="H310" s="26"/>
      <c r="I310" s="26"/>
      <c r="J310" s="26"/>
      <c r="K310" s="26"/>
    </row>
    <row r="311" ht="15.75" customHeight="1" spans="1:11">
      <c r="A311" s="24">
        <v>46056</v>
      </c>
      <c r="B311" s="25">
        <v>46056</v>
      </c>
      <c r="C311" s="26"/>
      <c r="D311" s="26">
        <v>3.67</v>
      </c>
      <c r="E311" s="26"/>
      <c r="F311" s="26">
        <v>26.86</v>
      </c>
      <c r="G311" s="26"/>
      <c r="H311" s="26"/>
      <c r="I311" s="26"/>
      <c r="J311" s="26"/>
      <c r="K311" s="26"/>
    </row>
    <row r="312" ht="15.75" customHeight="1" spans="1:11">
      <c r="A312" s="24">
        <v>46057</v>
      </c>
      <c r="B312" s="25">
        <v>46057</v>
      </c>
      <c r="C312" s="26"/>
      <c r="D312" s="26">
        <v>3.73</v>
      </c>
      <c r="E312" s="26"/>
      <c r="F312" s="26">
        <v>26.5</v>
      </c>
      <c r="G312" s="26"/>
      <c r="H312" s="26"/>
      <c r="I312" s="26"/>
      <c r="J312" s="26"/>
      <c r="K312" s="26"/>
    </row>
    <row r="313" ht="15.75" customHeight="1" spans="1:11">
      <c r="A313" s="24">
        <v>46058</v>
      </c>
      <c r="B313" s="25">
        <v>46058</v>
      </c>
      <c r="C313" s="26"/>
      <c r="D313" s="26">
        <v>4.02</v>
      </c>
      <c r="E313" s="26"/>
      <c r="F313" s="26">
        <v>27.11</v>
      </c>
      <c r="G313" s="26"/>
      <c r="H313" s="26"/>
      <c r="I313" s="26"/>
      <c r="J313" s="26"/>
      <c r="K313" s="26"/>
    </row>
    <row r="314" ht="15.75" customHeight="1" spans="1:11">
      <c r="A314" s="24">
        <v>46059</v>
      </c>
      <c r="B314" s="25">
        <v>46059</v>
      </c>
      <c r="C314" s="26"/>
      <c r="D314" s="53">
        <v>4.2</v>
      </c>
      <c r="E314" s="26"/>
      <c r="F314" s="26">
        <v>29.58</v>
      </c>
      <c r="G314" s="26"/>
      <c r="H314" s="26"/>
      <c r="I314" s="26"/>
      <c r="J314" s="26"/>
      <c r="K314" s="26"/>
    </row>
    <row r="315" ht="15.75" customHeight="1" spans="1:11">
      <c r="A315" s="24">
        <v>46060</v>
      </c>
      <c r="B315" s="25">
        <v>46060</v>
      </c>
      <c r="C315" s="26"/>
      <c r="D315" s="26">
        <v>4.07</v>
      </c>
      <c r="E315" s="26"/>
      <c r="F315" s="26">
        <v>28.44</v>
      </c>
      <c r="G315" s="26"/>
      <c r="H315" s="26"/>
      <c r="I315" s="26"/>
      <c r="J315" s="26"/>
      <c r="K315" s="26"/>
    </row>
    <row r="316" ht="15.75" customHeight="1" spans="1:11">
      <c r="A316" s="24">
        <v>46061</v>
      </c>
      <c r="B316" s="25">
        <v>46061</v>
      </c>
      <c r="C316" s="26"/>
      <c r="D316" s="26">
        <v>4.05</v>
      </c>
      <c r="E316" s="26"/>
      <c r="F316" s="26">
        <v>29</v>
      </c>
      <c r="G316" s="26"/>
      <c r="H316" s="26"/>
      <c r="I316" s="26"/>
      <c r="J316" s="26"/>
      <c r="K316" s="26"/>
    </row>
    <row r="317" ht="15.75" customHeight="1" spans="1:11">
      <c r="A317" s="24">
        <v>46062</v>
      </c>
      <c r="B317" s="25">
        <v>46062</v>
      </c>
      <c r="C317" s="26"/>
      <c r="D317" s="26">
        <v>4.26</v>
      </c>
      <c r="E317" s="26"/>
      <c r="F317" s="26">
        <v>27.16</v>
      </c>
      <c r="G317" s="26"/>
      <c r="H317" s="26"/>
      <c r="I317" s="26"/>
      <c r="J317" s="26"/>
      <c r="K317" s="26"/>
    </row>
    <row r="318" ht="15.75" customHeight="1" spans="1:11">
      <c r="A318" s="24">
        <v>46063</v>
      </c>
      <c r="B318" s="25">
        <v>46063</v>
      </c>
      <c r="C318" s="26"/>
      <c r="D318" s="26">
        <v>4.43</v>
      </c>
      <c r="E318" s="26"/>
      <c r="F318" s="26">
        <v>26.95</v>
      </c>
      <c r="G318" s="26"/>
      <c r="H318" s="26"/>
      <c r="I318" s="26"/>
      <c r="J318" s="26"/>
      <c r="K318" s="26"/>
    </row>
    <row r="319" ht="15.75" customHeight="1" spans="1:11">
      <c r="A319" s="24">
        <v>46064</v>
      </c>
      <c r="B319" s="25">
        <v>46064</v>
      </c>
      <c r="C319" s="26"/>
      <c r="D319" s="26">
        <v>4.39</v>
      </c>
      <c r="E319" s="26"/>
      <c r="F319" s="26">
        <v>27.6</v>
      </c>
      <c r="G319" s="26"/>
      <c r="H319" s="26"/>
      <c r="I319" s="26"/>
      <c r="J319" s="26"/>
      <c r="K319" s="26"/>
    </row>
    <row r="320" ht="15.75" customHeight="1" spans="1:11">
      <c r="A320" s="24">
        <v>46065</v>
      </c>
      <c r="B320" s="25">
        <v>46065</v>
      </c>
      <c r="C320" s="26"/>
      <c r="D320" s="26">
        <v>4.45</v>
      </c>
      <c r="E320" s="26"/>
      <c r="F320" s="26">
        <v>29.18</v>
      </c>
      <c r="G320" s="26"/>
      <c r="H320" s="26"/>
      <c r="I320" s="26"/>
      <c r="J320" s="26"/>
      <c r="K320" s="26"/>
    </row>
    <row r="321" ht="15.75" customHeight="1" spans="1:11">
      <c r="A321" s="24">
        <v>46066</v>
      </c>
      <c r="B321" s="25">
        <v>46066</v>
      </c>
      <c r="C321" s="26"/>
      <c r="D321" s="26">
        <v>4.09</v>
      </c>
      <c r="E321" s="26"/>
      <c r="F321" s="26">
        <v>29.86</v>
      </c>
      <c r="G321" s="26"/>
      <c r="H321" s="26"/>
      <c r="I321" s="26"/>
      <c r="J321" s="26"/>
      <c r="K321" s="26"/>
    </row>
    <row r="322" ht="15.75" customHeight="1" spans="1:11">
      <c r="A322" s="24">
        <v>46067</v>
      </c>
      <c r="B322" s="25">
        <v>46067</v>
      </c>
      <c r="C322" s="26"/>
      <c r="D322" s="26">
        <v>4.16</v>
      </c>
      <c r="E322" s="26"/>
      <c r="F322" s="26">
        <v>30.25</v>
      </c>
      <c r="G322" s="26"/>
      <c r="H322" s="26"/>
      <c r="I322" s="26"/>
      <c r="J322" s="26"/>
      <c r="K322" s="26"/>
    </row>
    <row r="323" ht="15.75" customHeight="1" spans="1:11">
      <c r="A323" s="24">
        <v>46068</v>
      </c>
      <c r="B323" s="25">
        <v>46068</v>
      </c>
      <c r="C323" s="26"/>
      <c r="D323" s="26">
        <v>4.36</v>
      </c>
      <c r="E323" s="26"/>
      <c r="F323" s="26">
        <v>30.41</v>
      </c>
      <c r="G323" s="26"/>
      <c r="H323" s="26"/>
      <c r="I323" s="26"/>
      <c r="J323" s="26"/>
      <c r="K323" s="26"/>
    </row>
    <row r="324" ht="15.75" customHeight="1" spans="1:11">
      <c r="A324" s="24">
        <v>46069</v>
      </c>
      <c r="B324" s="25">
        <v>46069</v>
      </c>
      <c r="C324" s="26"/>
      <c r="D324" s="26">
        <v>4.55</v>
      </c>
      <c r="E324" s="26"/>
      <c r="F324" s="26">
        <v>28.11</v>
      </c>
      <c r="G324" s="26"/>
      <c r="H324" s="26"/>
      <c r="I324" s="26"/>
      <c r="J324" s="26"/>
      <c r="K324" s="26"/>
    </row>
    <row r="325" ht="15.75" customHeight="1" spans="1:11">
      <c r="A325" s="24">
        <v>46070</v>
      </c>
      <c r="B325" s="25">
        <v>46070</v>
      </c>
      <c r="C325" s="26"/>
      <c r="D325" s="26">
        <v>4.73</v>
      </c>
      <c r="E325" s="26"/>
      <c r="F325" s="26">
        <v>25.97</v>
      </c>
      <c r="G325" s="26"/>
      <c r="H325" s="26"/>
      <c r="I325" s="26"/>
      <c r="J325" s="26"/>
      <c r="K325" s="26"/>
    </row>
    <row r="326" ht="15.75" customHeight="1" spans="1:11">
      <c r="A326" s="24">
        <v>46071</v>
      </c>
      <c r="B326" s="25">
        <v>46071</v>
      </c>
      <c r="C326" s="26"/>
      <c r="D326" s="26">
        <v>4.61</v>
      </c>
      <c r="E326" s="26"/>
      <c r="F326" s="26">
        <v>28.18</v>
      </c>
      <c r="G326" s="26"/>
      <c r="H326" s="26"/>
      <c r="I326" s="26"/>
      <c r="J326" s="26"/>
      <c r="K326" s="26"/>
    </row>
    <row r="327" ht="15.75" customHeight="1" spans="1:11">
      <c r="A327" s="24">
        <v>46072</v>
      </c>
      <c r="B327" s="25">
        <v>46072</v>
      </c>
      <c r="C327" s="26"/>
      <c r="D327" s="53">
        <v>4.4</v>
      </c>
      <c r="E327" s="26"/>
      <c r="F327" s="26">
        <v>29.04</v>
      </c>
      <c r="G327" s="26"/>
      <c r="H327" s="26"/>
      <c r="I327" s="26"/>
      <c r="J327" s="26"/>
      <c r="K327" s="26"/>
    </row>
    <row r="328" ht="15.75" customHeight="1" spans="1:11">
      <c r="A328" s="24">
        <v>46073</v>
      </c>
      <c r="B328" s="25">
        <v>46073</v>
      </c>
      <c r="C328" s="26"/>
      <c r="D328" s="26">
        <v>4.35</v>
      </c>
      <c r="E328" s="26"/>
      <c r="F328" s="26">
        <v>29.93</v>
      </c>
      <c r="G328" s="26"/>
      <c r="H328" s="26"/>
      <c r="I328" s="26"/>
      <c r="J328" s="26"/>
      <c r="K328" s="26"/>
    </row>
    <row r="329" ht="15.75" customHeight="1" spans="1:11">
      <c r="A329" s="24">
        <v>46074</v>
      </c>
      <c r="B329" s="25">
        <v>46074</v>
      </c>
      <c r="C329" s="26"/>
      <c r="D329" s="53">
        <v>4.5</v>
      </c>
      <c r="E329" s="26"/>
      <c r="F329" s="26">
        <v>30.88</v>
      </c>
      <c r="G329" s="26"/>
      <c r="H329" s="26"/>
      <c r="I329" s="26"/>
      <c r="J329" s="26"/>
      <c r="K329" s="26"/>
    </row>
    <row r="330" ht="15.75" customHeight="1" spans="1:11">
      <c r="A330" s="24">
        <v>46075</v>
      </c>
      <c r="B330" s="25">
        <v>46075</v>
      </c>
      <c r="C330" s="26"/>
      <c r="D330" s="26">
        <v>4.12</v>
      </c>
      <c r="E330" s="26"/>
      <c r="F330" s="26">
        <v>30.79</v>
      </c>
      <c r="G330" s="26"/>
      <c r="H330" s="26"/>
      <c r="I330" s="26"/>
      <c r="J330" s="26"/>
      <c r="K330" s="26"/>
    </row>
    <row r="331" ht="15.75" customHeight="1" spans="1:11">
      <c r="A331" s="24">
        <v>46076</v>
      </c>
      <c r="B331" s="25">
        <v>46076</v>
      </c>
      <c r="C331" s="26"/>
      <c r="D331" s="53">
        <v>4.2</v>
      </c>
      <c r="E331" s="26"/>
      <c r="F331" s="26">
        <v>31.32</v>
      </c>
      <c r="G331" s="26"/>
      <c r="H331" s="26"/>
      <c r="I331" s="26"/>
      <c r="J331" s="26"/>
      <c r="K331" s="26"/>
    </row>
    <row r="332" ht="15.75" customHeight="1" spans="1:11">
      <c r="A332" s="24">
        <v>46077</v>
      </c>
      <c r="B332" s="25">
        <v>46077</v>
      </c>
      <c r="C332" s="26"/>
      <c r="D332" s="53">
        <v>4.6</v>
      </c>
      <c r="E332" s="26"/>
      <c r="F332" s="26">
        <v>31.61</v>
      </c>
      <c r="G332" s="26"/>
      <c r="H332" s="26"/>
      <c r="I332" s="26"/>
      <c r="J332" s="26"/>
      <c r="K332" s="26"/>
    </row>
    <row r="333" ht="15.75" customHeight="1" spans="1:11">
      <c r="A333" s="24">
        <v>46078</v>
      </c>
      <c r="B333" s="25">
        <v>46078</v>
      </c>
      <c r="C333" s="26"/>
      <c r="D333" s="26">
        <v>4.7</v>
      </c>
      <c r="E333" s="26"/>
      <c r="F333" s="26">
        <v>30.77</v>
      </c>
      <c r="G333" s="26"/>
      <c r="H333" s="26"/>
      <c r="I333" s="26"/>
      <c r="J333" s="26"/>
      <c r="K333" s="26"/>
    </row>
    <row r="334" ht="15.75" customHeight="1" spans="1:11">
      <c r="A334" s="24">
        <v>46079</v>
      </c>
      <c r="B334" s="25">
        <v>46079</v>
      </c>
      <c r="C334" s="26"/>
      <c r="D334" s="26">
        <v>4.13</v>
      </c>
      <c r="E334" s="26"/>
      <c r="F334" s="26">
        <v>27.31</v>
      </c>
      <c r="G334" s="26"/>
      <c r="H334" s="26"/>
      <c r="I334" s="26"/>
      <c r="J334" s="26"/>
      <c r="K334" s="26"/>
    </row>
    <row r="335" ht="15.75" customHeight="1" spans="1:11">
      <c r="A335" s="24">
        <v>46080</v>
      </c>
      <c r="B335" s="25">
        <v>46080</v>
      </c>
      <c r="C335" s="26"/>
      <c r="D335" s="26">
        <v>2.44</v>
      </c>
      <c r="E335" s="26"/>
      <c r="F335" s="53">
        <v>26.4</v>
      </c>
      <c r="G335" s="26"/>
      <c r="H335" s="26"/>
      <c r="I335" s="26"/>
      <c r="J335" s="26"/>
      <c r="K335" s="26"/>
    </row>
    <row r="336" ht="15.75" customHeight="1" spans="1:11">
      <c r="A336" s="24">
        <v>46081</v>
      </c>
      <c r="B336" s="25">
        <v>46081</v>
      </c>
      <c r="C336" s="26"/>
      <c r="D336" s="26">
        <v>4.42</v>
      </c>
      <c r="E336" s="26"/>
      <c r="F336" s="26">
        <v>28.37</v>
      </c>
      <c r="G336" s="26"/>
      <c r="H336" s="26"/>
      <c r="I336" s="26"/>
      <c r="J336" s="26"/>
      <c r="K336" s="26"/>
    </row>
    <row r="337" ht="15.75" customHeight="1" spans="1:11">
      <c r="A337" s="24">
        <v>46082</v>
      </c>
      <c r="B337" s="25">
        <v>46082</v>
      </c>
      <c r="C337" s="26"/>
      <c r="D337" s="26">
        <v>4.86</v>
      </c>
      <c r="E337" s="26"/>
      <c r="F337" s="26">
        <v>28.88</v>
      </c>
      <c r="G337" s="26"/>
      <c r="H337" s="26"/>
      <c r="I337" s="26"/>
      <c r="J337" s="26"/>
      <c r="K337" s="26"/>
    </row>
    <row r="338" ht="15.75" customHeight="1" spans="1:11">
      <c r="A338" s="24">
        <v>46083</v>
      </c>
      <c r="B338" s="25">
        <v>46083</v>
      </c>
      <c r="C338" s="26"/>
      <c r="D338" s="26">
        <v>4.86</v>
      </c>
      <c r="E338" s="26"/>
      <c r="F338" s="26">
        <v>30.26</v>
      </c>
      <c r="G338" s="26"/>
      <c r="H338" s="26"/>
      <c r="I338" s="26"/>
      <c r="J338" s="26"/>
      <c r="K338" s="26"/>
    </row>
    <row r="339" ht="15.75" customHeight="1" spans="1:11">
      <c r="A339" s="24">
        <v>46084</v>
      </c>
      <c r="B339" s="25">
        <v>46084</v>
      </c>
      <c r="C339" s="26"/>
      <c r="D339" s="26">
        <v>4.61</v>
      </c>
      <c r="E339" s="26"/>
      <c r="F339" s="26">
        <v>32.46</v>
      </c>
      <c r="G339" s="26"/>
      <c r="H339" s="26"/>
      <c r="I339" s="26"/>
      <c r="J339" s="26"/>
      <c r="K339" s="26"/>
    </row>
    <row r="340" ht="15.75" customHeight="1" spans="1:11">
      <c r="A340" s="24">
        <v>46085</v>
      </c>
      <c r="B340" s="25">
        <v>46085</v>
      </c>
      <c r="C340" s="26"/>
      <c r="D340" s="26">
        <v>4.66</v>
      </c>
      <c r="E340" s="26"/>
      <c r="F340" s="26">
        <v>34.02</v>
      </c>
      <c r="G340" s="26"/>
      <c r="H340" s="26"/>
      <c r="I340" s="26"/>
      <c r="J340" s="26"/>
      <c r="K340" s="26"/>
    </row>
    <row r="341" ht="15.75" customHeight="1" spans="1:11">
      <c r="A341" s="24">
        <v>46086</v>
      </c>
      <c r="B341" s="25">
        <v>46086</v>
      </c>
      <c r="C341" s="26"/>
      <c r="D341" s="26">
        <v>4.84</v>
      </c>
      <c r="E341" s="26"/>
      <c r="F341" s="26">
        <v>32.37</v>
      </c>
      <c r="G341" s="26"/>
      <c r="H341" s="26"/>
      <c r="I341" s="26"/>
      <c r="J341" s="26"/>
      <c r="K341" s="26"/>
    </row>
    <row r="342" ht="15.75" customHeight="1" spans="1:11">
      <c r="A342" s="24">
        <v>46087</v>
      </c>
      <c r="B342" s="25">
        <v>46087</v>
      </c>
      <c r="C342" s="26"/>
      <c r="D342" s="26">
        <v>4.57</v>
      </c>
      <c r="E342" s="26"/>
      <c r="F342" s="26">
        <v>29.43</v>
      </c>
      <c r="G342" s="26"/>
      <c r="H342" s="26"/>
      <c r="I342" s="26"/>
      <c r="J342" s="26"/>
      <c r="K342" s="26"/>
    </row>
    <row r="343" ht="15.75" customHeight="1" spans="1:11">
      <c r="A343" s="24">
        <v>46088</v>
      </c>
      <c r="B343" s="25">
        <v>46088</v>
      </c>
      <c r="C343" s="26"/>
      <c r="D343" s="26">
        <v>4.98</v>
      </c>
      <c r="E343" s="26"/>
      <c r="F343" s="26">
        <v>31.2</v>
      </c>
      <c r="G343" s="26"/>
      <c r="H343" s="26"/>
      <c r="I343" s="26"/>
      <c r="J343" s="26"/>
      <c r="K343" s="26"/>
    </row>
    <row r="344" ht="15.75" customHeight="1" spans="1:11">
      <c r="A344" s="24">
        <v>46089</v>
      </c>
      <c r="B344" s="25">
        <v>46089</v>
      </c>
      <c r="C344" s="26"/>
      <c r="D344" s="26">
        <v>4.86</v>
      </c>
      <c r="E344" s="26"/>
      <c r="F344" s="26">
        <v>34.11</v>
      </c>
      <c r="G344" s="26"/>
      <c r="H344" s="26"/>
      <c r="I344" s="26"/>
      <c r="J344" s="26"/>
      <c r="K344" s="26"/>
    </row>
    <row r="345" ht="15.75" customHeight="1" spans="1:11">
      <c r="A345" s="24">
        <v>46090</v>
      </c>
      <c r="B345" s="25">
        <v>46090</v>
      </c>
      <c r="C345" s="26"/>
      <c r="D345" s="26">
        <v>4.91</v>
      </c>
      <c r="E345" s="26"/>
      <c r="F345" s="26">
        <v>36.4</v>
      </c>
      <c r="G345" s="26"/>
      <c r="H345" s="26"/>
      <c r="I345" s="26"/>
      <c r="J345" s="26"/>
      <c r="K345" s="26"/>
    </row>
    <row r="346" ht="15.75" customHeight="1" spans="1:11">
      <c r="A346" s="24">
        <v>46091</v>
      </c>
      <c r="B346" s="25">
        <v>46091</v>
      </c>
      <c r="C346" s="26"/>
      <c r="D346" s="26">
        <v>4.91</v>
      </c>
      <c r="E346" s="26"/>
      <c r="F346" s="26">
        <v>36.24</v>
      </c>
      <c r="G346" s="26"/>
      <c r="H346" s="26"/>
      <c r="I346" s="26"/>
      <c r="J346" s="26"/>
      <c r="K346" s="26"/>
    </row>
    <row r="347" ht="15.75" customHeight="1" spans="1:11">
      <c r="A347" s="24">
        <v>46092</v>
      </c>
      <c r="B347" s="25">
        <v>46092</v>
      </c>
      <c r="C347" s="26"/>
      <c r="D347" s="26">
        <v>4.88</v>
      </c>
      <c r="E347" s="26"/>
      <c r="F347" s="26">
        <v>36.08</v>
      </c>
      <c r="G347" s="26"/>
      <c r="H347" s="26"/>
      <c r="I347" s="26"/>
      <c r="J347" s="26"/>
      <c r="K347" s="26"/>
    </row>
    <row r="348" ht="15.75" customHeight="1" spans="1:11">
      <c r="A348" s="24">
        <v>46093</v>
      </c>
      <c r="B348" s="25">
        <v>46093</v>
      </c>
      <c r="C348" s="26"/>
      <c r="D348" s="26">
        <v>4.91</v>
      </c>
      <c r="E348" s="26"/>
      <c r="F348" s="26">
        <v>34.66</v>
      </c>
      <c r="G348" s="26"/>
      <c r="H348" s="26"/>
      <c r="I348" s="26"/>
      <c r="J348" s="26"/>
      <c r="K348" s="26"/>
    </row>
    <row r="349" ht="15.75" customHeight="1" spans="1:11">
      <c r="A349" s="24">
        <v>46094</v>
      </c>
      <c r="B349" s="25">
        <v>46094</v>
      </c>
      <c r="C349" s="26"/>
      <c r="D349" s="26">
        <v>5.05</v>
      </c>
      <c r="E349" s="26"/>
      <c r="F349" s="26">
        <v>33.91</v>
      </c>
      <c r="G349" s="26"/>
      <c r="H349" s="26"/>
      <c r="I349" s="26"/>
      <c r="J349" s="26"/>
      <c r="K349" s="26"/>
    </row>
    <row r="350" ht="15.75" customHeight="1" spans="1:11">
      <c r="A350" s="24">
        <v>46095</v>
      </c>
      <c r="B350" s="25">
        <v>46095</v>
      </c>
      <c r="C350" s="26"/>
      <c r="D350" s="26">
        <v>5.34</v>
      </c>
      <c r="E350" s="26"/>
      <c r="F350" s="26">
        <v>31.43</v>
      </c>
      <c r="G350" s="26"/>
      <c r="H350" s="26"/>
      <c r="I350" s="26"/>
      <c r="J350" s="26"/>
      <c r="K350" s="26"/>
    </row>
    <row r="351" ht="15.75" customHeight="1" spans="1:11">
      <c r="A351" s="24">
        <v>46096</v>
      </c>
      <c r="B351" s="25">
        <v>46096</v>
      </c>
      <c r="C351" s="26"/>
      <c r="D351" s="26">
        <v>5.09</v>
      </c>
      <c r="E351" s="26"/>
      <c r="F351" s="53">
        <v>31.8</v>
      </c>
      <c r="G351" s="26"/>
      <c r="H351" s="26"/>
      <c r="I351" s="26"/>
      <c r="J351" s="26"/>
      <c r="K351" s="26"/>
    </row>
    <row r="352" ht="15.75" customHeight="1" spans="1:11">
      <c r="A352" s="24">
        <v>46097</v>
      </c>
      <c r="B352" s="25">
        <v>46097</v>
      </c>
      <c r="C352" s="26"/>
      <c r="D352" s="26">
        <v>5.31</v>
      </c>
      <c r="E352" s="26"/>
      <c r="F352" s="26">
        <v>31.93</v>
      </c>
      <c r="G352" s="26"/>
      <c r="H352" s="26"/>
      <c r="I352" s="26"/>
      <c r="J352" s="26"/>
      <c r="K352" s="26"/>
    </row>
    <row r="353" ht="15.75" customHeight="1" spans="1:11">
      <c r="A353" s="24">
        <v>46098</v>
      </c>
      <c r="B353" s="25">
        <v>46098</v>
      </c>
      <c r="C353" s="26"/>
      <c r="D353" s="26">
        <v>5.28</v>
      </c>
      <c r="E353" s="26"/>
      <c r="F353" s="26">
        <v>30.54</v>
      </c>
      <c r="G353" s="26"/>
      <c r="H353" s="26"/>
      <c r="I353" s="26"/>
      <c r="J353" s="26"/>
      <c r="K353" s="26"/>
    </row>
    <row r="354" ht="15.75" customHeight="1" spans="1:11">
      <c r="A354" s="24">
        <v>46099</v>
      </c>
      <c r="B354" s="25">
        <v>46099</v>
      </c>
      <c r="C354" s="26"/>
      <c r="D354" s="26">
        <v>4.94</v>
      </c>
      <c r="E354" s="26"/>
      <c r="F354" s="53">
        <v>31.1</v>
      </c>
      <c r="G354" s="26"/>
      <c r="H354" s="26"/>
      <c r="I354" s="26"/>
      <c r="J354" s="26"/>
      <c r="K354" s="26"/>
    </row>
    <row r="355" ht="15.75" customHeight="1" spans="1:11">
      <c r="A355" s="24">
        <v>46100</v>
      </c>
      <c r="B355" s="25">
        <v>46100</v>
      </c>
      <c r="C355" s="26"/>
      <c r="D355" s="26">
        <v>3.22</v>
      </c>
      <c r="E355" s="26"/>
      <c r="F355" s="26">
        <v>29.16</v>
      </c>
      <c r="G355" s="26"/>
      <c r="H355" s="26"/>
      <c r="I355" s="26"/>
      <c r="J355" s="26"/>
      <c r="K355" s="26"/>
    </row>
    <row r="356" ht="15.75" customHeight="1" spans="1:11">
      <c r="A356" s="24">
        <v>46101</v>
      </c>
      <c r="B356" s="25">
        <v>46101</v>
      </c>
      <c r="C356" s="26"/>
      <c r="D356" s="26">
        <v>3.77</v>
      </c>
      <c r="E356" s="26"/>
      <c r="F356" s="26">
        <v>29.19</v>
      </c>
      <c r="G356" s="26"/>
      <c r="H356" s="26"/>
      <c r="I356" s="26"/>
      <c r="J356" s="26"/>
      <c r="K356" s="26"/>
    </row>
    <row r="357" ht="15.75" customHeight="1" spans="1:11">
      <c r="A357" s="24">
        <v>46102</v>
      </c>
      <c r="B357" s="25">
        <v>46102</v>
      </c>
      <c r="C357" s="26"/>
      <c r="D357" s="26">
        <v>4.66</v>
      </c>
      <c r="E357" s="26"/>
      <c r="F357" s="26">
        <v>31.28</v>
      </c>
      <c r="G357" s="26"/>
      <c r="H357" s="26"/>
      <c r="I357" s="26"/>
      <c r="J357" s="26"/>
      <c r="K357" s="26"/>
    </row>
    <row r="358" ht="15.75" customHeight="1" spans="1:11">
      <c r="A358" s="24">
        <v>46103</v>
      </c>
      <c r="B358" s="25">
        <v>46103</v>
      </c>
      <c r="C358" s="26"/>
      <c r="D358" s="26">
        <v>4.86</v>
      </c>
      <c r="E358" s="26"/>
      <c r="F358" s="26">
        <v>31.84</v>
      </c>
      <c r="G358" s="26"/>
      <c r="H358" s="26"/>
      <c r="I358" s="26"/>
      <c r="J358" s="26"/>
      <c r="K358" s="26"/>
    </row>
    <row r="359" ht="15.75" customHeight="1" spans="1:11">
      <c r="A359" s="24">
        <v>46104</v>
      </c>
      <c r="B359" s="25">
        <v>46104</v>
      </c>
      <c r="C359" s="26"/>
      <c r="D359" s="26">
        <v>4.53</v>
      </c>
      <c r="E359" s="26"/>
      <c r="F359" s="26">
        <v>32.09</v>
      </c>
      <c r="G359" s="26"/>
      <c r="H359" s="26"/>
      <c r="I359" s="26"/>
      <c r="J359" s="26"/>
      <c r="K359" s="26"/>
    </row>
    <row r="360" ht="15.75" customHeight="1" spans="1:11">
      <c r="A360" s="24">
        <v>46105</v>
      </c>
      <c r="B360" s="25">
        <v>46105</v>
      </c>
      <c r="C360" s="26"/>
      <c r="D360" s="26">
        <v>4.52</v>
      </c>
      <c r="E360" s="26"/>
      <c r="F360" s="26">
        <v>31.65</v>
      </c>
      <c r="G360" s="26"/>
      <c r="H360" s="26"/>
      <c r="I360" s="26"/>
      <c r="J360" s="26"/>
      <c r="K360" s="26"/>
    </row>
    <row r="361" ht="15.75" customHeight="1" spans="1:11">
      <c r="A361" s="24">
        <v>46106</v>
      </c>
      <c r="B361" s="25">
        <v>46106</v>
      </c>
      <c r="C361" s="26"/>
      <c r="D361" s="26">
        <v>5.24</v>
      </c>
      <c r="E361" s="26"/>
      <c r="F361" s="26">
        <v>33</v>
      </c>
      <c r="G361" s="26"/>
      <c r="H361" s="26"/>
      <c r="I361" s="26"/>
      <c r="J361" s="26"/>
      <c r="K361" s="26"/>
    </row>
    <row r="362" ht="15.75" customHeight="1" spans="1:11">
      <c r="A362" s="24">
        <v>46107</v>
      </c>
      <c r="B362" s="25">
        <v>46107</v>
      </c>
      <c r="C362" s="26"/>
      <c r="D362" s="26">
        <v>5.07</v>
      </c>
      <c r="E362" s="26"/>
      <c r="F362" s="26">
        <v>33.63</v>
      </c>
      <c r="G362" s="26"/>
      <c r="H362" s="26"/>
      <c r="I362" s="26"/>
      <c r="J362" s="26"/>
      <c r="K362" s="26"/>
    </row>
    <row r="363" ht="15.75" customHeight="1" spans="1:11">
      <c r="A363" s="24">
        <v>46108</v>
      </c>
      <c r="B363" s="25">
        <v>46108</v>
      </c>
      <c r="C363" s="26"/>
      <c r="D363" s="26">
        <v>5.35</v>
      </c>
      <c r="E363" s="26"/>
      <c r="F363" s="26">
        <v>33.54</v>
      </c>
      <c r="G363" s="26"/>
      <c r="H363" s="26"/>
      <c r="I363" s="26"/>
      <c r="J363" s="26"/>
      <c r="K363" s="26"/>
    </row>
    <row r="364" ht="15.75" customHeight="1" spans="1:11">
      <c r="A364" s="24">
        <v>46109</v>
      </c>
      <c r="B364" s="25">
        <v>46109</v>
      </c>
      <c r="C364" s="26"/>
      <c r="D364" s="26">
        <v>5.29</v>
      </c>
      <c r="E364" s="26"/>
      <c r="F364" s="26">
        <v>31.36</v>
      </c>
      <c r="G364" s="26"/>
      <c r="H364" s="26"/>
      <c r="I364" s="26"/>
      <c r="J364" s="26"/>
      <c r="K364" s="26"/>
    </row>
    <row r="365" ht="15.75" customHeight="1" spans="1:11">
      <c r="A365" s="24">
        <v>46110</v>
      </c>
      <c r="B365" s="25">
        <v>46110</v>
      </c>
      <c r="C365" s="26"/>
      <c r="D365" s="26">
        <v>5.33</v>
      </c>
      <c r="E365" s="26"/>
      <c r="F365" s="26">
        <v>30.56</v>
      </c>
      <c r="G365" s="26"/>
      <c r="H365" s="26"/>
      <c r="I365" s="26"/>
      <c r="J365" s="26"/>
      <c r="K365" s="26"/>
    </row>
    <row r="366" ht="15.75" customHeight="1" spans="1:11">
      <c r="A366" s="24">
        <v>46111</v>
      </c>
      <c r="B366" s="25">
        <v>46111</v>
      </c>
      <c r="C366" s="26"/>
      <c r="D366" s="26">
        <v>4.91</v>
      </c>
      <c r="E366" s="26"/>
      <c r="F366" s="26">
        <v>32.13</v>
      </c>
      <c r="G366" s="26"/>
      <c r="H366" s="26"/>
      <c r="I366" s="26"/>
      <c r="J366" s="26"/>
      <c r="K366" s="26"/>
    </row>
    <row r="367" ht="15.75" customHeight="1" spans="1:11">
      <c r="A367" s="24">
        <v>46112</v>
      </c>
      <c r="B367" s="25">
        <v>46112</v>
      </c>
      <c r="C367" s="26"/>
      <c r="D367" s="26">
        <v>5.23</v>
      </c>
      <c r="E367" s="26"/>
      <c r="F367" s="26">
        <v>30.37</v>
      </c>
      <c r="G367" s="26"/>
      <c r="H367" s="26"/>
      <c r="I367" s="26"/>
      <c r="J367" s="26"/>
      <c r="K367" s="26"/>
    </row>
    <row r="368" ht="15.75" customHeight="1" spans="1:11">
      <c r="A368" s="24">
        <v>46113</v>
      </c>
      <c r="B368" s="25">
        <v>46113</v>
      </c>
      <c r="C368" s="26"/>
      <c r="D368" s="26">
        <v>5.05</v>
      </c>
      <c r="E368" s="26"/>
      <c r="F368" s="53">
        <v>29.4</v>
      </c>
      <c r="G368" s="26"/>
      <c r="H368" s="26"/>
      <c r="I368" s="26"/>
      <c r="J368" s="26"/>
      <c r="K368" s="26"/>
    </row>
    <row r="369" ht="15.75" customHeight="1" spans="1:11">
      <c r="A369" s="24">
        <v>46114</v>
      </c>
      <c r="B369" s="25">
        <v>46114</v>
      </c>
      <c r="C369" s="26"/>
      <c r="D369" s="26">
        <v>3.98</v>
      </c>
      <c r="E369" s="26"/>
      <c r="F369" s="26">
        <v>29.12</v>
      </c>
      <c r="G369" s="26"/>
      <c r="H369" s="26"/>
      <c r="I369" s="26"/>
      <c r="J369" s="26"/>
      <c r="K369" s="26"/>
    </row>
    <row r="370" ht="15.75" customHeight="1" spans="1:11">
      <c r="A370" s="24">
        <v>46115</v>
      </c>
      <c r="B370" s="25">
        <v>46115</v>
      </c>
      <c r="C370" s="26"/>
      <c r="D370" s="26">
        <v>2.65</v>
      </c>
      <c r="E370" s="26"/>
      <c r="F370" s="26">
        <v>28.46</v>
      </c>
      <c r="G370" s="26"/>
      <c r="H370" s="26"/>
      <c r="I370" s="26"/>
      <c r="J370" s="26"/>
      <c r="K370" s="26"/>
    </row>
    <row r="371" ht="15.75" customHeight="1" spans="1:11">
      <c r="A371" s="24">
        <v>46116</v>
      </c>
      <c r="B371" s="25">
        <v>46116</v>
      </c>
      <c r="C371" s="26"/>
      <c r="D371" s="26">
        <v>5.33</v>
      </c>
      <c r="E371" s="26"/>
      <c r="F371" s="26">
        <v>30.36</v>
      </c>
      <c r="G371" s="26"/>
      <c r="H371" s="26"/>
      <c r="I371" s="26"/>
      <c r="J371" s="26"/>
      <c r="K371" s="26"/>
    </row>
    <row r="372" ht="15.75" customHeight="1" spans="1:11">
      <c r="A372" s="24">
        <v>46117</v>
      </c>
      <c r="B372" s="25">
        <v>46117</v>
      </c>
      <c r="C372" s="26"/>
      <c r="D372" s="26">
        <v>5.33</v>
      </c>
      <c r="E372" s="26"/>
      <c r="F372" s="26">
        <v>30.85</v>
      </c>
      <c r="G372" s="26"/>
      <c r="H372" s="26"/>
      <c r="I372" s="26"/>
      <c r="J372" s="26"/>
      <c r="K372" s="26"/>
    </row>
    <row r="373" ht="15.75" customHeight="1" spans="1:11">
      <c r="A373" s="24">
        <v>46118</v>
      </c>
      <c r="B373" s="25">
        <v>46118</v>
      </c>
      <c r="C373" s="26"/>
      <c r="D373" s="26">
        <v>5.25</v>
      </c>
      <c r="E373" s="26"/>
      <c r="F373" s="26">
        <v>30.44</v>
      </c>
      <c r="G373" s="26"/>
      <c r="H373" s="26"/>
      <c r="I373" s="26"/>
      <c r="J373" s="26"/>
      <c r="K373" s="26"/>
    </row>
    <row r="374" ht="15.75" customHeight="1" spans="1:11">
      <c r="A374" s="24">
        <v>46119</v>
      </c>
      <c r="B374" s="25">
        <v>46119</v>
      </c>
      <c r="C374" s="26"/>
      <c r="D374" s="26">
        <v>4.82</v>
      </c>
      <c r="E374" s="26"/>
      <c r="F374" s="26">
        <v>30.42</v>
      </c>
      <c r="G374" s="26"/>
      <c r="H374" s="26"/>
      <c r="I374" s="26"/>
      <c r="J374" s="26"/>
      <c r="K374" s="26"/>
    </row>
    <row r="375" ht="15.75" customHeight="1" spans="1:11">
      <c r="A375" s="24">
        <v>46120</v>
      </c>
      <c r="B375" s="25">
        <v>46120</v>
      </c>
      <c r="C375" s="26"/>
      <c r="D375" s="26">
        <v>5.28</v>
      </c>
      <c r="E375" s="26"/>
      <c r="F375" s="26">
        <v>30.89</v>
      </c>
      <c r="G375" s="26"/>
      <c r="H375" s="26"/>
      <c r="I375" s="26"/>
      <c r="J375" s="26"/>
      <c r="K375" s="26"/>
    </row>
    <row r="376" ht="15.75" customHeight="1" spans="1:11">
      <c r="A376" s="24">
        <v>46121</v>
      </c>
      <c r="B376" s="25">
        <v>46121</v>
      </c>
      <c r="C376" s="26"/>
      <c r="D376" s="53">
        <v>4.8</v>
      </c>
      <c r="E376" s="26"/>
      <c r="F376" s="26">
        <v>32.48</v>
      </c>
      <c r="G376" s="26"/>
      <c r="H376" s="26"/>
      <c r="I376" s="26"/>
      <c r="J376" s="26"/>
      <c r="K376" s="26"/>
    </row>
    <row r="377" ht="15.75" customHeight="1" spans="1:11">
      <c r="A377" s="24">
        <v>46122</v>
      </c>
      <c r="B377" s="25">
        <v>46122</v>
      </c>
      <c r="C377" s="26"/>
      <c r="D377" s="26">
        <v>5.15</v>
      </c>
      <c r="E377" s="26"/>
      <c r="F377" s="26">
        <v>33.78</v>
      </c>
      <c r="G377" s="26"/>
      <c r="H377" s="26"/>
      <c r="I377" s="26"/>
      <c r="J377" s="26"/>
      <c r="K377" s="26"/>
    </row>
    <row r="378" ht="15.75" customHeight="1" spans="1:11">
      <c r="A378" s="24">
        <v>46123</v>
      </c>
      <c r="B378" s="25">
        <v>46123</v>
      </c>
      <c r="C378" s="26"/>
      <c r="D378" s="26">
        <v>5.25</v>
      </c>
      <c r="E378" s="26"/>
      <c r="F378" s="26">
        <v>34.56</v>
      </c>
      <c r="G378" s="26"/>
      <c r="H378" s="26"/>
      <c r="I378" s="26"/>
      <c r="J378" s="26"/>
      <c r="K378" s="26"/>
    </row>
    <row r="379" ht="15.75" customHeight="1" spans="1:11">
      <c r="A379" s="24">
        <v>46124</v>
      </c>
      <c r="B379" s="25">
        <v>46124</v>
      </c>
      <c r="C379" s="26"/>
      <c r="D379" s="26">
        <v>5.19</v>
      </c>
      <c r="E379" s="26"/>
      <c r="F379" s="26">
        <v>35.37</v>
      </c>
      <c r="G379" s="26"/>
      <c r="H379" s="26"/>
      <c r="I379" s="26"/>
      <c r="J379" s="26"/>
      <c r="K379" s="26"/>
    </row>
    <row r="380" ht="15.75" customHeight="1" spans="1:11">
      <c r="A380" s="24">
        <v>46125</v>
      </c>
      <c r="B380" s="25">
        <v>46125</v>
      </c>
      <c r="C380" s="26"/>
      <c r="D380" s="26">
        <v>5.38</v>
      </c>
      <c r="E380" s="26"/>
      <c r="F380" s="26">
        <v>36.06</v>
      </c>
      <c r="G380" s="26"/>
      <c r="H380" s="26"/>
      <c r="I380" s="26"/>
      <c r="J380" s="26"/>
      <c r="K380" s="26"/>
    </row>
    <row r="381" ht="15.75" customHeight="1" spans="1:11">
      <c r="A381" s="24">
        <v>46126</v>
      </c>
      <c r="B381" s="25">
        <v>46126</v>
      </c>
      <c r="C381" s="26"/>
      <c r="D381" s="26">
        <v>5.38</v>
      </c>
      <c r="E381" s="26"/>
      <c r="F381" s="26">
        <v>34.95</v>
      </c>
      <c r="G381" s="26"/>
      <c r="H381" s="26"/>
      <c r="I381" s="26"/>
      <c r="J381" s="26"/>
      <c r="K381" s="26"/>
    </row>
    <row r="382" ht="15.75" customHeight="1" spans="1:11">
      <c r="A382" s="24">
        <v>46127</v>
      </c>
      <c r="B382" s="25">
        <v>46127</v>
      </c>
      <c r="C382" s="26"/>
      <c r="D382" s="26">
        <v>5.63</v>
      </c>
      <c r="E382" s="26"/>
      <c r="F382" s="26">
        <v>32.89</v>
      </c>
      <c r="G382" s="26"/>
      <c r="H382" s="26"/>
      <c r="I382" s="26"/>
      <c r="J382" s="26"/>
      <c r="K382" s="26"/>
    </row>
    <row r="383" ht="15.75" customHeight="1" spans="1:11">
      <c r="A383" s="24">
        <v>46128</v>
      </c>
      <c r="B383" s="25">
        <v>46128</v>
      </c>
      <c r="C383" s="26"/>
      <c r="D383" s="26">
        <v>5.55</v>
      </c>
      <c r="E383" s="26"/>
      <c r="F383" s="26">
        <v>34.43</v>
      </c>
      <c r="G383" s="26"/>
      <c r="H383" s="26"/>
      <c r="I383" s="26"/>
      <c r="J383" s="26"/>
      <c r="K383" s="26"/>
    </row>
    <row r="384" ht="15.75" customHeight="1" spans="1:11">
      <c r="A384" s="24">
        <v>46129</v>
      </c>
      <c r="B384" s="25">
        <v>46129</v>
      </c>
      <c r="C384" s="26"/>
      <c r="D384" s="26">
        <v>5.63</v>
      </c>
      <c r="E384" s="26"/>
      <c r="F384" s="26">
        <v>34.18</v>
      </c>
      <c r="G384" s="26"/>
      <c r="H384" s="26"/>
      <c r="I384" s="26"/>
      <c r="J384" s="26"/>
      <c r="K384" s="26"/>
    </row>
    <row r="385" ht="15.75" customHeight="1" spans="1:11">
      <c r="A385" s="24">
        <v>46130</v>
      </c>
      <c r="B385" s="25">
        <v>46130</v>
      </c>
      <c r="C385" s="26"/>
      <c r="D385" s="26">
        <v>5.41</v>
      </c>
      <c r="E385" s="26"/>
      <c r="F385" s="26">
        <v>35.25</v>
      </c>
      <c r="G385" s="26"/>
      <c r="H385" s="26"/>
      <c r="I385" s="26"/>
      <c r="J385" s="26"/>
      <c r="K385" s="26"/>
    </row>
    <row r="386" ht="15.75" customHeight="1" spans="1:11">
      <c r="A386" s="24">
        <v>46131</v>
      </c>
      <c r="B386" s="25">
        <v>46131</v>
      </c>
      <c r="C386" s="26"/>
      <c r="D386" s="26">
        <v>5.23</v>
      </c>
      <c r="E386" s="26"/>
      <c r="F386" s="26">
        <v>33.14</v>
      </c>
      <c r="G386" s="26"/>
      <c r="H386" s="26"/>
      <c r="I386" s="26"/>
      <c r="J386" s="26"/>
      <c r="K386" s="26"/>
    </row>
    <row r="387" ht="15.75" customHeight="1" spans="1:11">
      <c r="A387" s="24">
        <v>46132</v>
      </c>
      <c r="B387" s="25">
        <v>46132</v>
      </c>
      <c r="C387" s="26"/>
      <c r="D387" s="26">
        <v>5.46</v>
      </c>
      <c r="E387" s="26"/>
      <c r="F387" s="26">
        <v>34.59</v>
      </c>
      <c r="G387" s="26"/>
      <c r="H387" s="26"/>
      <c r="I387" s="26"/>
      <c r="J387" s="26"/>
      <c r="K387" s="26"/>
    </row>
    <row r="388" ht="15.75" customHeight="1" spans="1:11">
      <c r="A388" s="24">
        <v>46133</v>
      </c>
      <c r="B388" s="25">
        <v>46133</v>
      </c>
      <c r="C388" s="26"/>
      <c r="D388" s="26">
        <v>5.47</v>
      </c>
      <c r="E388" s="26"/>
      <c r="F388" s="26">
        <v>34.34</v>
      </c>
      <c r="G388" s="26"/>
      <c r="H388" s="26"/>
      <c r="I388" s="26"/>
      <c r="J388" s="26"/>
      <c r="K388" s="26"/>
    </row>
    <row r="389" ht="15.75" customHeight="1" spans="1:11">
      <c r="A389" s="24">
        <v>46134</v>
      </c>
      <c r="B389" s="25">
        <v>46134</v>
      </c>
      <c r="C389" s="26"/>
      <c r="D389" s="26">
        <v>5.52</v>
      </c>
      <c r="E389" s="26"/>
      <c r="F389" s="53">
        <v>33.2</v>
      </c>
      <c r="G389" s="26"/>
      <c r="H389" s="26"/>
      <c r="I389" s="26"/>
      <c r="J389" s="26"/>
      <c r="K389" s="26"/>
    </row>
    <row r="390" ht="15.75" customHeight="1" spans="1:11">
      <c r="A390" s="24">
        <v>46135</v>
      </c>
      <c r="B390" s="25">
        <v>46135</v>
      </c>
      <c r="C390" s="26"/>
      <c r="D390" s="26">
        <v>5.38</v>
      </c>
      <c r="E390" s="26"/>
      <c r="F390" s="26">
        <v>35.04</v>
      </c>
      <c r="G390" s="26"/>
      <c r="H390" s="26"/>
      <c r="I390" s="26"/>
      <c r="J390" s="26"/>
      <c r="K390" s="26"/>
    </row>
    <row r="391" ht="15.75" customHeight="1" spans="1:11">
      <c r="A391" s="24">
        <v>46136</v>
      </c>
      <c r="B391" s="25">
        <v>46136</v>
      </c>
      <c r="C391" s="26"/>
      <c r="D391" s="26">
        <v>5.51</v>
      </c>
      <c r="E391" s="26"/>
      <c r="F391" s="26">
        <v>35.73</v>
      </c>
      <c r="G391" s="26"/>
      <c r="H391" s="26"/>
      <c r="I391" s="26"/>
      <c r="J391" s="26"/>
      <c r="K391" s="26"/>
    </row>
    <row r="392" ht="15.75" customHeight="1" spans="1:11">
      <c r="A392" s="24">
        <v>46137</v>
      </c>
      <c r="B392" s="25">
        <v>46137</v>
      </c>
      <c r="C392" s="26"/>
      <c r="D392" s="26">
        <v>5.37</v>
      </c>
      <c r="E392" s="26"/>
      <c r="F392" s="26">
        <v>36.44</v>
      </c>
      <c r="G392" s="26"/>
      <c r="H392" s="26"/>
      <c r="I392" s="26"/>
      <c r="J392" s="26"/>
      <c r="K392" s="26"/>
    </row>
    <row r="393" ht="15.75" customHeight="1" spans="1:11">
      <c r="A393" s="24">
        <v>46138</v>
      </c>
      <c r="B393" s="25">
        <v>46138</v>
      </c>
      <c r="C393" s="26"/>
      <c r="D393" s="26">
        <v>5.27</v>
      </c>
      <c r="E393" s="26"/>
      <c r="F393" s="26">
        <v>38.36</v>
      </c>
      <c r="G393" s="26"/>
      <c r="H393" s="26"/>
      <c r="I393" s="26"/>
      <c r="J393" s="26"/>
      <c r="K393" s="26"/>
    </row>
    <row r="394" ht="15.75" customHeight="1" spans="1:11">
      <c r="A394" s="24">
        <v>46139</v>
      </c>
      <c r="B394" s="25">
        <v>46139</v>
      </c>
      <c r="C394" s="26"/>
      <c r="D394" s="26">
        <v>5.34</v>
      </c>
      <c r="E394" s="26"/>
      <c r="F394" s="26">
        <v>36.93</v>
      </c>
      <c r="G394" s="26"/>
      <c r="H394" s="26"/>
      <c r="I394" s="26"/>
      <c r="J394" s="26"/>
      <c r="K394" s="26"/>
    </row>
    <row r="395" ht="15.75" customHeight="1" spans="1:11">
      <c r="A395" s="24">
        <v>46140</v>
      </c>
      <c r="B395" s="25">
        <v>46140</v>
      </c>
      <c r="C395" s="26"/>
      <c r="D395" s="26">
        <v>5.63</v>
      </c>
      <c r="E395" s="26"/>
      <c r="F395" s="26">
        <v>36.48</v>
      </c>
      <c r="G395" s="26"/>
      <c r="H395" s="26"/>
      <c r="I395" s="26"/>
      <c r="J395" s="26"/>
      <c r="K395" s="26"/>
    </row>
    <row r="396" ht="15.75" customHeight="1" spans="1:11">
      <c r="A396" s="24">
        <v>46141</v>
      </c>
      <c r="B396" s="25">
        <v>46141</v>
      </c>
      <c r="C396" s="26"/>
      <c r="D396" s="53">
        <v>5.6</v>
      </c>
      <c r="E396" s="26"/>
      <c r="F396" s="26">
        <v>35.61</v>
      </c>
      <c r="G396" s="26"/>
      <c r="H396" s="26"/>
      <c r="I396" s="26"/>
      <c r="J396" s="26"/>
      <c r="K396" s="26"/>
    </row>
    <row r="397" ht="15.75" customHeight="1" spans="1:11">
      <c r="A397" s="24">
        <v>46142</v>
      </c>
      <c r="B397" s="25">
        <v>46142</v>
      </c>
      <c r="C397" s="26"/>
      <c r="D397" s="26">
        <v>5.55</v>
      </c>
      <c r="E397" s="26"/>
      <c r="F397" s="53">
        <v>34.4</v>
      </c>
      <c r="G397" s="26"/>
      <c r="H397" s="26"/>
      <c r="I397" s="26"/>
      <c r="J397" s="26"/>
      <c r="K397" s="26"/>
    </row>
    <row r="398" ht="15.75" customHeight="1" spans="1:11">
      <c r="A398" s="24">
        <v>46143</v>
      </c>
      <c r="B398" s="25">
        <v>46143</v>
      </c>
      <c r="C398" s="26"/>
      <c r="D398" s="26">
        <v>5.48</v>
      </c>
      <c r="E398" s="26"/>
      <c r="F398" s="26">
        <v>34.55</v>
      </c>
      <c r="G398" s="26"/>
      <c r="H398" s="26"/>
      <c r="I398" s="26"/>
      <c r="J398" s="26"/>
      <c r="K398" s="26"/>
    </row>
    <row r="399" ht="15.75" customHeight="1" spans="1:11">
      <c r="A399" s="24">
        <v>46144</v>
      </c>
      <c r="B399" s="25">
        <v>46144</v>
      </c>
      <c r="C399" s="26"/>
      <c r="D399" s="26">
        <v>5.54</v>
      </c>
      <c r="E399" s="26"/>
      <c r="F399" s="53">
        <v>35.4</v>
      </c>
      <c r="G399" s="26"/>
      <c r="H399" s="26"/>
      <c r="I399" s="26"/>
      <c r="J399" s="26"/>
      <c r="K399" s="26"/>
    </row>
    <row r="400" ht="15.75" customHeight="1" spans="1:11">
      <c r="A400" s="24">
        <v>46145</v>
      </c>
      <c r="B400" s="25">
        <v>46145</v>
      </c>
      <c r="C400" s="26"/>
      <c r="D400" s="26">
        <v>5.55</v>
      </c>
      <c r="E400" s="26"/>
      <c r="F400" s="26">
        <v>34.46</v>
      </c>
      <c r="G400" s="26"/>
      <c r="H400" s="26"/>
      <c r="I400" s="26"/>
      <c r="J400" s="26"/>
      <c r="K400" s="26"/>
    </row>
    <row r="401" ht="15.75" customHeight="1" spans="1:11">
      <c r="A401" s="24">
        <v>46146</v>
      </c>
      <c r="B401" s="25">
        <v>46146</v>
      </c>
      <c r="C401" s="26"/>
      <c r="D401" s="26">
        <v>5.53</v>
      </c>
      <c r="E401" s="26"/>
      <c r="F401" s="26">
        <v>33.62</v>
      </c>
      <c r="G401" s="26"/>
      <c r="H401" s="26"/>
      <c r="I401" s="26"/>
      <c r="J401" s="26"/>
      <c r="K401" s="26"/>
    </row>
    <row r="402" ht="15.75" customHeight="1" spans="1:11">
      <c r="A402" s="24">
        <v>46147</v>
      </c>
      <c r="B402" s="25">
        <v>46147</v>
      </c>
      <c r="C402" s="26"/>
      <c r="D402" s="26">
        <v>5.38</v>
      </c>
      <c r="E402" s="26"/>
      <c r="F402" s="26">
        <v>34.92</v>
      </c>
      <c r="G402" s="26"/>
      <c r="H402" s="26"/>
      <c r="I402" s="26"/>
      <c r="J402" s="26"/>
      <c r="K402" s="26"/>
    </row>
    <row r="403" ht="15.75" customHeight="1" spans="1:11">
      <c r="A403" s="24">
        <v>46148</v>
      </c>
      <c r="B403" s="25">
        <v>46148</v>
      </c>
      <c r="C403" s="26"/>
      <c r="D403" s="26">
        <v>5.66</v>
      </c>
      <c r="E403" s="26"/>
      <c r="F403" s="26">
        <v>35.14</v>
      </c>
      <c r="G403" s="26"/>
      <c r="H403" s="26"/>
      <c r="I403" s="26"/>
      <c r="J403" s="26"/>
      <c r="K403" s="26"/>
    </row>
    <row r="404" ht="15.75" customHeight="1" spans="1:11">
      <c r="A404" s="24">
        <v>46149</v>
      </c>
      <c r="B404" s="25">
        <v>46149</v>
      </c>
      <c r="C404" s="26"/>
      <c r="D404" s="26">
        <v>5.62</v>
      </c>
      <c r="E404" s="26"/>
      <c r="F404" s="26">
        <v>35.86</v>
      </c>
      <c r="G404" s="26"/>
      <c r="H404" s="26"/>
      <c r="I404" s="26"/>
      <c r="J404" s="26"/>
      <c r="K404" s="26"/>
    </row>
    <row r="405" ht="15.75" customHeight="1" spans="1:11">
      <c r="A405" s="24">
        <v>46150</v>
      </c>
      <c r="B405" s="25">
        <v>46150</v>
      </c>
      <c r="C405" s="26"/>
      <c r="D405" s="26">
        <v>5.84</v>
      </c>
      <c r="E405" s="26"/>
      <c r="F405" s="26">
        <v>35.67</v>
      </c>
      <c r="G405" s="26"/>
      <c r="H405" s="26"/>
      <c r="I405" s="26"/>
      <c r="J405" s="26"/>
      <c r="K405" s="26"/>
    </row>
    <row r="406" ht="15.75" customHeight="1" spans="1:11">
      <c r="A406" s="24">
        <v>46151</v>
      </c>
      <c r="B406" s="25">
        <v>46151</v>
      </c>
      <c r="C406" s="26"/>
      <c r="D406" s="26">
        <v>5.61</v>
      </c>
      <c r="E406" s="26"/>
      <c r="F406" s="26">
        <v>36.14</v>
      </c>
      <c r="G406" s="26"/>
      <c r="H406" s="26"/>
      <c r="I406" s="26"/>
      <c r="J406" s="26"/>
      <c r="K406" s="26"/>
    </row>
    <row r="407" ht="15.75" customHeight="1" spans="1:11">
      <c r="A407" s="24">
        <v>46152</v>
      </c>
      <c r="B407" s="25">
        <v>46152</v>
      </c>
      <c r="C407" s="26"/>
      <c r="D407" s="26">
        <v>5.62</v>
      </c>
      <c r="E407" s="26"/>
      <c r="F407" s="26">
        <v>37.34</v>
      </c>
      <c r="G407" s="26"/>
      <c r="H407" s="26"/>
      <c r="I407" s="26"/>
      <c r="J407" s="26"/>
      <c r="K407" s="26"/>
    </row>
    <row r="408" ht="15.75" customHeight="1" spans="1:11">
      <c r="A408" s="24">
        <v>46153</v>
      </c>
      <c r="B408" s="25">
        <v>46153</v>
      </c>
      <c r="C408" s="26"/>
      <c r="D408" s="26">
        <v>5.56</v>
      </c>
      <c r="E408" s="26"/>
      <c r="F408" s="26">
        <v>37.28</v>
      </c>
      <c r="G408" s="26"/>
      <c r="H408" s="26"/>
      <c r="I408" s="26"/>
      <c r="J408" s="26"/>
      <c r="K408" s="26"/>
    </row>
    <row r="409" ht="15.75" customHeight="1" spans="1:11">
      <c r="A409" s="24">
        <v>46154</v>
      </c>
      <c r="B409" s="25">
        <v>46154</v>
      </c>
      <c r="C409" s="26"/>
      <c r="D409" s="26">
        <v>5.56</v>
      </c>
      <c r="E409" s="26"/>
      <c r="F409" s="53">
        <v>36.4</v>
      </c>
      <c r="G409" s="26"/>
      <c r="H409" s="26"/>
      <c r="I409" s="26"/>
      <c r="J409" s="26"/>
      <c r="K409" s="26"/>
    </row>
    <row r="410" ht="15.75" customHeight="1" spans="1:11">
      <c r="A410" s="24">
        <v>46155</v>
      </c>
      <c r="B410" s="25">
        <v>46155</v>
      </c>
      <c r="C410" s="26"/>
      <c r="D410" s="26">
        <v>5.45</v>
      </c>
      <c r="E410" s="26"/>
      <c r="F410" s="26">
        <v>37.04</v>
      </c>
      <c r="G410" s="26"/>
      <c r="H410" s="26"/>
      <c r="I410" s="26"/>
      <c r="J410" s="26"/>
      <c r="K410" s="26"/>
    </row>
    <row r="411" ht="15.75" customHeight="1" spans="1:11">
      <c r="A411" s="24">
        <v>46156</v>
      </c>
      <c r="B411" s="25">
        <v>46156</v>
      </c>
      <c r="C411" s="26"/>
      <c r="D411" s="26">
        <v>5.62</v>
      </c>
      <c r="E411" s="26"/>
      <c r="F411" s="26">
        <v>36.42</v>
      </c>
      <c r="G411" s="26"/>
      <c r="H411" s="26"/>
      <c r="I411" s="26"/>
      <c r="J411" s="26"/>
      <c r="K411" s="26"/>
    </row>
    <row r="412" ht="15.75" customHeight="1" spans="1:11">
      <c r="A412" s="24">
        <v>46157</v>
      </c>
      <c r="B412" s="25">
        <v>46157</v>
      </c>
      <c r="C412" s="26"/>
      <c r="D412" s="26">
        <v>5.79</v>
      </c>
      <c r="E412" s="26"/>
      <c r="F412" s="26">
        <v>33.73</v>
      </c>
      <c r="G412" s="26"/>
      <c r="H412" s="26"/>
      <c r="I412" s="26"/>
      <c r="J412" s="26"/>
      <c r="K412" s="26"/>
    </row>
    <row r="413" ht="15.75" customHeight="1" spans="1:11">
      <c r="A413" s="24">
        <v>46158</v>
      </c>
      <c r="B413" s="25">
        <v>46158</v>
      </c>
      <c r="C413" s="26"/>
      <c r="D413" s="26">
        <v>5.72</v>
      </c>
      <c r="E413" s="26"/>
      <c r="F413" s="26">
        <v>35.69</v>
      </c>
      <c r="G413" s="26"/>
      <c r="H413" s="26"/>
      <c r="I413" s="26"/>
      <c r="J413" s="26"/>
      <c r="K413" s="26"/>
    </row>
    <row r="414" ht="15.75" customHeight="1" spans="1:11">
      <c r="A414" s="24">
        <v>46159</v>
      </c>
      <c r="B414" s="25">
        <v>46159</v>
      </c>
      <c r="C414" s="26"/>
      <c r="D414" s="53">
        <v>5.2</v>
      </c>
      <c r="E414" s="26"/>
      <c r="F414" s="26">
        <v>35.68</v>
      </c>
      <c r="G414" s="26"/>
      <c r="H414" s="26"/>
      <c r="I414" s="26"/>
      <c r="J414" s="26"/>
      <c r="K414" s="26"/>
    </row>
    <row r="415" ht="15.75" customHeight="1" spans="1:11">
      <c r="A415" s="24">
        <v>46160</v>
      </c>
      <c r="B415" s="25">
        <v>46160</v>
      </c>
      <c r="C415" s="26"/>
      <c r="D415" s="26">
        <v>5.51</v>
      </c>
      <c r="E415" s="26"/>
      <c r="F415" s="26">
        <v>35.42</v>
      </c>
      <c r="G415" s="26"/>
      <c r="H415" s="26"/>
      <c r="I415" s="26"/>
      <c r="J415" s="26"/>
      <c r="K415" s="26"/>
    </row>
    <row r="416" ht="15.75" customHeight="1" spans="1:11">
      <c r="A416" s="24">
        <v>46161</v>
      </c>
      <c r="B416" s="25">
        <v>46161</v>
      </c>
      <c r="C416" s="26"/>
      <c r="D416" s="26">
        <v>2.95</v>
      </c>
      <c r="E416" s="26"/>
      <c r="F416" s="26">
        <v>34.74</v>
      </c>
      <c r="G416" s="26"/>
      <c r="H416" s="26"/>
      <c r="I416" s="26"/>
      <c r="J416" s="26"/>
      <c r="K416" s="26"/>
    </row>
    <row r="417" ht="15.75" customHeight="1" spans="1:11">
      <c r="A417" s="24">
        <v>46162</v>
      </c>
      <c r="B417" s="25">
        <v>46162</v>
      </c>
      <c r="C417" s="26"/>
      <c r="D417" s="26">
        <v>5.83</v>
      </c>
      <c r="E417" s="26"/>
      <c r="F417" s="26">
        <v>34.73</v>
      </c>
      <c r="G417" s="26"/>
      <c r="H417" s="26"/>
      <c r="I417" s="26"/>
      <c r="J417" s="26"/>
      <c r="K417" s="26"/>
    </row>
    <row r="418" ht="15.75" customHeight="1" spans="1:11">
      <c r="A418" s="24">
        <v>46163</v>
      </c>
      <c r="B418" s="25">
        <v>46163</v>
      </c>
      <c r="C418" s="26"/>
      <c r="D418" s="26">
        <v>5.68</v>
      </c>
      <c r="E418" s="26"/>
      <c r="F418" s="26">
        <v>35.73</v>
      </c>
      <c r="G418" s="26"/>
      <c r="H418" s="26"/>
      <c r="I418" s="26"/>
      <c r="J418" s="26"/>
      <c r="K418" s="26"/>
    </row>
    <row r="419" ht="15.75" customHeight="1" spans="1:11">
      <c r="A419" s="24">
        <v>46164</v>
      </c>
      <c r="B419" s="25">
        <v>46164</v>
      </c>
      <c r="C419" s="26"/>
      <c r="D419" s="26">
        <v>0.67</v>
      </c>
      <c r="E419" s="26"/>
      <c r="F419" s="26">
        <v>34.08</v>
      </c>
      <c r="G419" s="26"/>
      <c r="H419" s="26"/>
      <c r="I419" s="26"/>
      <c r="J419" s="26"/>
      <c r="K419" s="26"/>
    </row>
    <row r="420" ht="15.75" customHeight="1" spans="1:11">
      <c r="A420" s="24">
        <v>46165</v>
      </c>
      <c r="B420" s="25">
        <v>46165</v>
      </c>
      <c r="C420" s="26"/>
      <c r="D420" s="26">
        <v>5.83</v>
      </c>
      <c r="E420" s="26"/>
      <c r="F420" s="26">
        <v>35.22</v>
      </c>
      <c r="G420" s="26"/>
      <c r="H420" s="26"/>
      <c r="I420" s="26"/>
      <c r="J420" s="26"/>
      <c r="K420" s="26"/>
    </row>
    <row r="421" ht="15.75" customHeight="1" spans="1:11">
      <c r="A421" s="24">
        <v>46166</v>
      </c>
      <c r="B421" s="25">
        <v>46166</v>
      </c>
      <c r="C421" s="26"/>
      <c r="D421" s="53">
        <v>5.1</v>
      </c>
      <c r="E421" s="26"/>
      <c r="F421" s="26">
        <v>34.04</v>
      </c>
      <c r="G421" s="26"/>
      <c r="H421" s="26"/>
      <c r="I421" s="26"/>
      <c r="J421" s="26"/>
      <c r="K421" s="26"/>
    </row>
    <row r="422" ht="15.75" customHeight="1" spans="1:11">
      <c r="A422" s="24">
        <v>46167</v>
      </c>
      <c r="B422" s="25">
        <v>46167</v>
      </c>
      <c r="C422" s="26"/>
      <c r="D422" s="26">
        <v>4.78</v>
      </c>
      <c r="E422" s="26"/>
      <c r="F422" s="26">
        <v>34.28</v>
      </c>
      <c r="G422" s="26"/>
      <c r="H422" s="26"/>
      <c r="I422" s="26"/>
      <c r="J422" s="26"/>
      <c r="K422" s="26"/>
    </row>
    <row r="423" ht="15.75" customHeight="1" spans="1:11">
      <c r="A423" s="24">
        <v>46168</v>
      </c>
      <c r="B423" s="25">
        <v>46168</v>
      </c>
      <c r="C423" s="26"/>
      <c r="D423" s="26">
        <v>5.74</v>
      </c>
      <c r="E423" s="26"/>
      <c r="F423" s="26">
        <v>34.28</v>
      </c>
      <c r="G423" s="26"/>
      <c r="H423" s="26"/>
      <c r="I423" s="26"/>
      <c r="J423" s="26"/>
      <c r="K423" s="26"/>
    </row>
    <row r="424" ht="15.75" customHeight="1" spans="1:11">
      <c r="A424" s="24">
        <v>46169</v>
      </c>
      <c r="B424" s="25">
        <v>46169</v>
      </c>
      <c r="C424" s="26"/>
      <c r="D424" s="26">
        <v>5.74</v>
      </c>
      <c r="E424" s="26"/>
      <c r="F424" s="26">
        <v>34.56</v>
      </c>
      <c r="G424" s="26"/>
      <c r="H424" s="26"/>
      <c r="I424" s="26"/>
      <c r="J424" s="26"/>
      <c r="K424" s="26"/>
    </row>
    <row r="425" ht="15.75" customHeight="1" spans="1:11">
      <c r="A425" s="24">
        <v>46170</v>
      </c>
      <c r="B425" s="25">
        <v>46170</v>
      </c>
      <c r="C425" s="26"/>
      <c r="D425" s="26">
        <v>5.79</v>
      </c>
      <c r="E425" s="26"/>
      <c r="F425" s="26">
        <v>34.25</v>
      </c>
      <c r="G425" s="26"/>
      <c r="H425" s="26"/>
      <c r="I425" s="26"/>
      <c r="J425" s="26"/>
      <c r="K425" s="26"/>
    </row>
    <row r="426" ht="15.75" customHeight="1" spans="1:11">
      <c r="A426" s="24">
        <v>46171</v>
      </c>
      <c r="B426" s="25">
        <v>46171</v>
      </c>
      <c r="C426" s="26"/>
      <c r="D426" s="26">
        <v>5.17</v>
      </c>
      <c r="E426" s="26"/>
      <c r="F426" s="26">
        <v>33.11</v>
      </c>
      <c r="G426" s="26"/>
      <c r="H426" s="26"/>
      <c r="I426" s="26"/>
      <c r="J426" s="26"/>
      <c r="K426" s="26"/>
    </row>
    <row r="427" ht="15.75" customHeight="1" spans="1:11">
      <c r="A427" s="24">
        <v>46172</v>
      </c>
      <c r="B427" s="25">
        <v>46172</v>
      </c>
      <c r="C427" s="26"/>
      <c r="D427" s="26">
        <v>4.81</v>
      </c>
      <c r="E427" s="26"/>
      <c r="F427" s="26">
        <v>33.78</v>
      </c>
      <c r="G427" s="26"/>
      <c r="H427" s="26"/>
      <c r="I427" s="26"/>
      <c r="J427" s="26"/>
      <c r="K427" s="26"/>
    </row>
    <row r="428" ht="15.75" customHeight="1" spans="1:11">
      <c r="A428" s="24">
        <v>46173</v>
      </c>
      <c r="B428" s="25">
        <v>46173</v>
      </c>
      <c r="C428" s="26"/>
      <c r="D428" s="26">
        <v>4.86</v>
      </c>
      <c r="E428" s="26"/>
      <c r="F428" s="53">
        <v>33.6</v>
      </c>
      <c r="G428" s="26"/>
      <c r="H428" s="26"/>
      <c r="I428" s="26"/>
      <c r="J428" s="26"/>
      <c r="K428" s="26"/>
    </row>
    <row r="429" ht="15.75" customHeight="1" spans="1:11">
      <c r="A429" s="24">
        <v>46174</v>
      </c>
      <c r="B429" s="25">
        <v>46174</v>
      </c>
      <c r="C429" s="26"/>
      <c r="D429" s="26">
        <v>4.64</v>
      </c>
      <c r="E429" s="26"/>
      <c r="F429" s="26">
        <v>33.96</v>
      </c>
      <c r="G429" s="26"/>
      <c r="H429" s="26"/>
      <c r="I429" s="26"/>
      <c r="J429" s="26"/>
      <c r="K429" s="26"/>
    </row>
    <row r="430" ht="15.75" customHeight="1" spans="1:11">
      <c r="A430" s="24">
        <v>46175</v>
      </c>
      <c r="B430" s="25">
        <v>46175</v>
      </c>
      <c r="C430" s="26"/>
      <c r="D430" s="26">
        <v>4.42</v>
      </c>
      <c r="E430" s="26"/>
      <c r="F430" s="26">
        <v>32.97</v>
      </c>
      <c r="G430" s="26"/>
      <c r="H430" s="26"/>
      <c r="I430" s="26"/>
      <c r="J430" s="26"/>
      <c r="K430" s="26"/>
    </row>
    <row r="431" ht="15.75" customHeight="1" spans="1:11">
      <c r="A431" s="24">
        <v>46176</v>
      </c>
      <c r="B431" s="25">
        <v>46176</v>
      </c>
      <c r="C431" s="26"/>
      <c r="D431" s="26">
        <v>5.34</v>
      </c>
      <c r="E431" s="26"/>
      <c r="F431" s="26">
        <v>35.21</v>
      </c>
      <c r="G431" s="26"/>
      <c r="H431" s="26"/>
      <c r="I431" s="26"/>
      <c r="J431" s="26"/>
      <c r="K431" s="26"/>
    </row>
    <row r="432" ht="15.75" customHeight="1" spans="1:11">
      <c r="A432" s="24">
        <v>46177</v>
      </c>
      <c r="B432" s="25">
        <v>46177</v>
      </c>
      <c r="C432" s="26"/>
      <c r="D432" s="53">
        <v>4.7</v>
      </c>
      <c r="E432" s="26"/>
      <c r="F432" s="26">
        <v>34.74</v>
      </c>
      <c r="G432" s="26"/>
      <c r="H432" s="26"/>
      <c r="I432" s="26"/>
      <c r="J432" s="26"/>
      <c r="K432" s="26"/>
    </row>
    <row r="433" ht="15.75" customHeight="1" spans="1:11">
      <c r="A433" s="24">
        <v>46178</v>
      </c>
      <c r="B433" s="25">
        <v>46178</v>
      </c>
      <c r="C433" s="26"/>
      <c r="D433" s="26">
        <v>4.64</v>
      </c>
      <c r="E433" s="26"/>
      <c r="F433" s="26">
        <v>34.64</v>
      </c>
      <c r="G433" s="26"/>
      <c r="H433" s="26"/>
      <c r="I433" s="26"/>
      <c r="J433" s="26"/>
      <c r="K433" s="26"/>
    </row>
    <row r="434" ht="15.75" customHeight="1" spans="1:11">
      <c r="A434" s="24">
        <v>46179</v>
      </c>
      <c r="B434" s="25">
        <v>46179</v>
      </c>
      <c r="C434" s="26"/>
      <c r="D434" s="26">
        <v>4.68</v>
      </c>
      <c r="E434" s="26"/>
      <c r="F434" s="26">
        <v>34.33</v>
      </c>
      <c r="G434" s="26"/>
      <c r="H434" s="26"/>
      <c r="I434" s="26"/>
      <c r="J434" s="26"/>
      <c r="K434" s="26"/>
    </row>
    <row r="435" ht="15.75" customHeight="1" spans="1:11">
      <c r="A435" s="24">
        <v>46180</v>
      </c>
      <c r="B435" s="25">
        <v>46180</v>
      </c>
      <c r="C435" s="26"/>
      <c r="D435" s="26">
        <v>5.17</v>
      </c>
      <c r="E435" s="26"/>
      <c r="F435" s="53">
        <v>33.9</v>
      </c>
      <c r="G435" s="26"/>
      <c r="H435" s="26"/>
      <c r="I435" s="26"/>
      <c r="J435" s="26"/>
      <c r="K435" s="26"/>
    </row>
    <row r="436" ht="15.75" customHeight="1" spans="1:11">
      <c r="A436" s="24">
        <v>46181</v>
      </c>
      <c r="B436" s="25">
        <v>46181</v>
      </c>
      <c r="C436" s="26"/>
      <c r="D436" s="26">
        <v>4.36</v>
      </c>
      <c r="E436" s="26"/>
      <c r="F436" s="26">
        <v>33.41</v>
      </c>
      <c r="G436" s="26"/>
      <c r="H436" s="26"/>
      <c r="I436" s="26"/>
      <c r="J436" s="26"/>
      <c r="K436" s="26"/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2:N659"/>
  <sheetViews>
    <sheetView workbookViewId="0">
      <pane xSplit="2" ySplit="3" topLeftCell="C614" activePane="bottomRight" state="frozen"/>
      <selection/>
      <selection pane="topRight"/>
      <selection pane="bottomLeft"/>
      <selection pane="bottomRight" activeCell="C637" sqref="C637"/>
    </sheetView>
  </sheetViews>
  <sheetFormatPr defaultColWidth="9" defaultRowHeight="14.25"/>
  <cols>
    <col min="2" max="2" width="9.375"/>
    <col min="3" max="3" width="9.875" customWidth="1"/>
    <col min="4" max="4" width="19.5" customWidth="1"/>
    <col min="5" max="5" width="10.25" customWidth="1"/>
    <col min="8" max="8" width="0.125" customWidth="1"/>
    <col min="11" max="11" width="15" customWidth="1"/>
    <col min="12" max="12" width="13.75" customWidth="1"/>
    <col min="14" max="14" width="23.375" customWidth="1"/>
  </cols>
  <sheetData>
    <row r="2" spans="1:14">
      <c r="C2" s="19" t="s">
        <v>224</v>
      </c>
      <c r="D2" s="19"/>
      <c r="E2" s="19"/>
    </row>
    <row r="3" s="17" customFormat="1" ht="39" customHeight="1" spans="1:14">
      <c r="A3" s="20" t="s">
        <v>215</v>
      </c>
      <c r="B3" s="20" t="s">
        <v>1</v>
      </c>
      <c r="C3" s="21" t="s">
        <v>225</v>
      </c>
      <c r="D3" s="21" t="s">
        <v>226</v>
      </c>
      <c r="E3" s="21" t="s">
        <v>227</v>
      </c>
      <c r="F3" s="22" t="s">
        <v>228</v>
      </c>
      <c r="G3" s="22" t="s">
        <v>229</v>
      </c>
      <c r="H3" s="22"/>
      <c r="I3" s="22" t="s">
        <v>230</v>
      </c>
      <c r="J3" s="22" t="s">
        <v>231</v>
      </c>
      <c r="K3" s="22" t="s">
        <v>232</v>
      </c>
      <c r="L3" s="22" t="s">
        <v>233</v>
      </c>
      <c r="M3" s="23" t="s">
        <v>234</v>
      </c>
      <c r="N3" s="21" t="s">
        <v>235</v>
      </c>
    </row>
    <row r="4" ht="15" spans="1:14">
      <c r="A4" s="24">
        <v>45747</v>
      </c>
      <c r="B4" s="25">
        <v>45747</v>
      </c>
      <c r="C4" s="26"/>
      <c r="D4" s="26"/>
      <c r="E4" s="26"/>
      <c r="F4" s="26"/>
      <c r="G4" s="26"/>
      <c r="H4" s="26"/>
      <c r="I4" s="26"/>
      <c r="J4" s="26"/>
      <c r="K4" s="27"/>
      <c r="L4" s="27"/>
      <c r="M4" s="26"/>
      <c r="N4" s="26"/>
    </row>
    <row r="5" ht="15" spans="1:14">
      <c r="A5" s="24">
        <v>45748</v>
      </c>
      <c r="B5" s="25">
        <v>45748</v>
      </c>
      <c r="C5" s="26"/>
      <c r="D5" s="26"/>
      <c r="E5" s="26"/>
      <c r="F5" s="26"/>
      <c r="G5" s="26"/>
      <c r="H5" s="26"/>
      <c r="I5" s="26"/>
      <c r="J5" s="26"/>
      <c r="K5" s="27"/>
      <c r="L5" s="27"/>
      <c r="M5" s="26"/>
      <c r="N5" s="26"/>
    </row>
    <row r="6" ht="15" spans="1:14">
      <c r="A6" s="24">
        <v>45749</v>
      </c>
      <c r="B6" s="25">
        <v>45749</v>
      </c>
      <c r="C6" s="26"/>
      <c r="D6" s="26"/>
      <c r="E6" s="26"/>
      <c r="F6" s="26"/>
      <c r="G6" s="26"/>
      <c r="H6" s="26"/>
      <c r="I6" s="26"/>
      <c r="J6" s="26"/>
      <c r="K6" s="27"/>
      <c r="L6" s="27"/>
      <c r="M6" s="26"/>
      <c r="N6" s="26"/>
    </row>
    <row r="7" ht="15" spans="1:14">
      <c r="A7" s="24">
        <v>45750</v>
      </c>
      <c r="B7" s="25">
        <v>45750</v>
      </c>
      <c r="C7" s="26"/>
      <c r="D7" s="26"/>
      <c r="E7" s="26"/>
      <c r="F7" s="26"/>
      <c r="G7" s="26"/>
      <c r="H7" s="26"/>
      <c r="I7" s="26"/>
      <c r="J7" s="26"/>
      <c r="K7" s="27"/>
      <c r="L7" s="27"/>
      <c r="M7" s="26"/>
      <c r="N7" s="26"/>
    </row>
    <row r="8" ht="15" spans="1:14">
      <c r="A8" s="24">
        <v>45751</v>
      </c>
      <c r="B8" s="25">
        <v>45751</v>
      </c>
      <c r="C8" s="26"/>
      <c r="D8" s="26"/>
      <c r="E8" s="26"/>
      <c r="F8" s="26"/>
      <c r="G8" s="26"/>
      <c r="H8" s="26"/>
      <c r="I8" s="26"/>
      <c r="J8" s="26"/>
      <c r="K8" s="27"/>
      <c r="L8" s="27"/>
      <c r="M8" s="26"/>
      <c r="N8" s="26"/>
    </row>
    <row r="9" ht="15" spans="1:14">
      <c r="A9" s="24">
        <v>45752</v>
      </c>
      <c r="B9" s="25">
        <v>45752</v>
      </c>
      <c r="C9" s="26"/>
      <c r="D9" s="26"/>
      <c r="E9" s="26"/>
      <c r="F9" s="26"/>
      <c r="G9" s="26"/>
      <c r="H9" s="26"/>
      <c r="I9" s="26"/>
      <c r="J9" s="26"/>
      <c r="K9" s="27"/>
      <c r="L9" s="27"/>
      <c r="M9" s="26"/>
      <c r="N9" s="26"/>
    </row>
    <row r="10" ht="15" spans="1:14">
      <c r="A10" s="24">
        <v>45753</v>
      </c>
      <c r="B10" s="25">
        <v>45753</v>
      </c>
      <c r="C10" s="26"/>
      <c r="D10" s="26"/>
      <c r="E10" s="26"/>
      <c r="F10" s="26"/>
      <c r="G10" s="26"/>
      <c r="H10" s="26"/>
      <c r="I10" s="26"/>
      <c r="J10" s="26"/>
      <c r="K10" s="27"/>
      <c r="L10" s="27"/>
      <c r="M10" s="26"/>
      <c r="N10" s="26"/>
    </row>
    <row r="11" ht="15" spans="1:14">
      <c r="A11" s="24">
        <v>45754</v>
      </c>
      <c r="B11" s="25">
        <v>45754</v>
      </c>
      <c r="C11" s="26"/>
      <c r="D11" s="26"/>
      <c r="E11" s="26"/>
      <c r="F11" s="26"/>
      <c r="G11" s="26"/>
      <c r="H11" s="26"/>
      <c r="I11" s="26"/>
      <c r="J11" s="26"/>
      <c r="K11" s="27"/>
      <c r="L11" s="27"/>
      <c r="M11" s="26"/>
      <c r="N11" s="26"/>
    </row>
    <row r="12" ht="15" spans="1:14">
      <c r="A12" s="24">
        <v>45755</v>
      </c>
      <c r="B12" s="25">
        <v>45755</v>
      </c>
      <c r="C12" s="26"/>
      <c r="D12" s="26"/>
      <c r="E12" s="26"/>
      <c r="F12" s="26"/>
      <c r="G12" s="26"/>
      <c r="H12" s="26"/>
      <c r="I12" s="26"/>
      <c r="J12" s="26"/>
      <c r="K12" s="27"/>
      <c r="L12" s="27"/>
      <c r="M12" s="26"/>
      <c r="N12" s="26"/>
    </row>
    <row r="13" ht="15" spans="1:14">
      <c r="A13" s="24">
        <v>45756</v>
      </c>
      <c r="B13" s="25">
        <v>45756</v>
      </c>
      <c r="C13" s="26"/>
      <c r="D13" s="26"/>
      <c r="E13" s="26"/>
      <c r="F13" s="26"/>
      <c r="G13" s="26"/>
      <c r="H13" s="26"/>
      <c r="I13" s="26"/>
      <c r="J13" s="26"/>
      <c r="K13" s="27"/>
      <c r="L13" s="27"/>
      <c r="M13" s="26"/>
      <c r="N13" s="26"/>
    </row>
    <row r="14" ht="15" spans="1:14">
      <c r="A14" s="24">
        <v>45757</v>
      </c>
      <c r="B14" s="25">
        <v>45757</v>
      </c>
      <c r="C14" s="26">
        <v>2</v>
      </c>
      <c r="D14" s="26">
        <v>2000</v>
      </c>
      <c r="E14" s="26"/>
      <c r="F14" s="26">
        <v>1</v>
      </c>
      <c r="G14" s="26" t="s">
        <v>37</v>
      </c>
      <c r="H14" s="26">
        <f>IFERROR(VLOOKUP(G14,Basic_Data!$E$2:$I$9,5,0),"")</f>
        <v>4</v>
      </c>
      <c r="I14" s="26">
        <f>IFERROR(VLOOKUP($G14,Basic_Data!$E$2:$H$10,4,0),"")</f>
        <v>616</v>
      </c>
      <c r="J14" s="26">
        <v>616</v>
      </c>
      <c r="K14" s="27">
        <f>IFERROR(VLOOKUP($B14-1,Inverter_PR!$B:$I,Module_Cleaning!H14,0),"")</f>
        <v>1.11293401280888</v>
      </c>
      <c r="L14" s="27">
        <f>IFERROR(VLOOKUP($B14+1,Inverter_PR!$B:$I,Module_Cleaning!H14,0),"")</f>
        <v>1.19063965422211</v>
      </c>
      <c r="M14" s="26">
        <f t="shared" ref="M14:M96" si="0">IFERROR(I14-J14,"")</f>
        <v>0</v>
      </c>
      <c r="N14" s="26"/>
    </row>
    <row r="16" ht="15" spans="1:14">
      <c r="A16" s="24">
        <v>45759</v>
      </c>
      <c r="B16" s="25">
        <v>45759</v>
      </c>
      <c r="C16" s="26"/>
      <c r="D16" s="26"/>
      <c r="E16" s="26"/>
      <c r="F16" s="26"/>
      <c r="G16" s="26"/>
      <c r="H16" s="26" t="str">
        <f>IFERROR(VLOOKUP(G16,Basic_Data!$E$2:$I$9,5,0),"")</f>
        <v/>
      </c>
      <c r="I16" s="26" t="str">
        <f>IFERROR(VLOOKUP($G16,Basic_Data!$E$2:$H$10,4,0),"")</f>
        <v/>
      </c>
      <c r="J16" s="26"/>
      <c r="K16" s="27" t="str">
        <f>IFERROR(VLOOKUP($B16-1,Inverter_PR!$B:$I,Module_Cleaning!H16,0),"")</f>
        <v/>
      </c>
      <c r="L16" s="27" t="str">
        <f>IFERROR(VLOOKUP($B16+1,Inverter_PR!$B:$I,Module_Cleaning!H16,0),"")</f>
        <v/>
      </c>
      <c r="M16" s="26" t="str">
        <f t="shared" si="0"/>
        <v/>
      </c>
      <c r="N16" s="26"/>
    </row>
    <row r="17" ht="15" spans="1:14">
      <c r="A17" s="24">
        <v>45760</v>
      </c>
      <c r="B17" s="25">
        <v>45760</v>
      </c>
      <c r="C17" s="26"/>
      <c r="D17" s="26"/>
      <c r="E17" s="26"/>
      <c r="F17" s="26"/>
      <c r="G17" s="26"/>
      <c r="H17" s="26" t="str">
        <f>IFERROR(VLOOKUP(G17,Basic_Data!$E$2:$I$9,5,0),"")</f>
        <v/>
      </c>
      <c r="I17" s="26" t="str">
        <f>IFERROR(VLOOKUP($G17,Basic_Data!$E$2:$H$10,4,0),"")</f>
        <v/>
      </c>
      <c r="J17" s="26"/>
      <c r="K17" s="27" t="str">
        <f>IFERROR(VLOOKUP($B17-1,Inverter_PR!$B:$I,Module_Cleaning!H17,0),"")</f>
        <v/>
      </c>
      <c r="L17" s="27" t="str">
        <f>IFERROR(VLOOKUP($B17+1,Inverter_PR!$B:$I,Module_Cleaning!H17,0),"")</f>
        <v/>
      </c>
      <c r="M17" s="26" t="str">
        <f t="shared" si="0"/>
        <v/>
      </c>
      <c r="N17" s="26"/>
    </row>
    <row r="18" ht="15" customHeight="1" spans="1:14">
      <c r="A18" s="28">
        <v>45761</v>
      </c>
      <c r="B18" s="29">
        <v>45761</v>
      </c>
      <c r="C18" s="26"/>
      <c r="D18" s="26"/>
      <c r="E18" s="26"/>
      <c r="F18" s="26">
        <v>1</v>
      </c>
      <c r="G18" s="26" t="s">
        <v>40</v>
      </c>
      <c r="H18" s="26">
        <f>IFERROR(VLOOKUP(G18,Basic_Data!$E$2:$I$9,5,0),"")</f>
        <v>7</v>
      </c>
      <c r="I18" s="26">
        <f>IFERROR(VLOOKUP($G18,Basic_Data!$E$2:$H$10,4,0),"")</f>
        <v>644</v>
      </c>
      <c r="J18" s="26">
        <v>644</v>
      </c>
      <c r="K18" s="27">
        <f>IFERROR(VLOOKUP($B18-1,Inverter_PR!$B:$I,Module_Cleaning!H18,0),"")</f>
        <v>1.1309545228392</v>
      </c>
      <c r="L18" s="27">
        <f>IFERROR(VLOOKUP($B18+1,Inverter_PR!$B:$I,Module_Cleaning!H18,0),"")</f>
        <v>1.19270053874215</v>
      </c>
      <c r="M18" s="26">
        <f t="shared" si="0"/>
        <v>0</v>
      </c>
      <c r="N18" s="26" t="s">
        <v>236</v>
      </c>
    </row>
    <row r="19" ht="15" customHeight="1" spans="1:14">
      <c r="A19" s="30"/>
      <c r="B19" s="31"/>
      <c r="C19" s="26"/>
      <c r="D19" s="26"/>
      <c r="E19" s="26"/>
      <c r="F19" s="26">
        <v>1</v>
      </c>
      <c r="G19" s="26" t="s">
        <v>41</v>
      </c>
      <c r="H19" s="26"/>
      <c r="I19" s="26">
        <f>IFERROR(VLOOKUP($G19,Basic_Data!$E$2:$H$10,4,0),"")</f>
        <v>644</v>
      </c>
      <c r="J19" s="26">
        <v>644</v>
      </c>
      <c r="K19" s="27" t="str">
        <f>IFERROR(VLOOKUP($B19-1,Inverter_PR!$B:$I,Module_Cleaning!H19,0),"")</f>
        <v/>
      </c>
      <c r="L19" s="27" t="str">
        <f>IFERROR(VLOOKUP($B19+1,Inverter_PR!$B:$I,Module_Cleaning!H19,0),"")</f>
        <v/>
      </c>
      <c r="M19" s="26">
        <f t="shared" ref="M19" si="1">IFERROR(I19-J19,"")</f>
        <v>0</v>
      </c>
      <c r="N19" s="26" t="s">
        <v>236</v>
      </c>
    </row>
    <row r="20" ht="15" customHeight="1" spans="1:14">
      <c r="A20" s="28">
        <v>45762</v>
      </c>
      <c r="B20" s="29">
        <v>45762</v>
      </c>
      <c r="C20" s="26"/>
      <c r="D20" s="26"/>
      <c r="E20" s="26"/>
      <c r="F20" s="32">
        <v>1</v>
      </c>
      <c r="G20" s="26" t="s">
        <v>35</v>
      </c>
      <c r="H20" s="26">
        <f>IFERROR(VLOOKUP(G20,Basic_Data!$E$2:$I$9,5,0),"")</f>
        <v>2</v>
      </c>
      <c r="I20" s="26">
        <f>IFERROR(VLOOKUP($G20,Basic_Data!$E$2:$H$10,4,0),"")</f>
        <v>616</v>
      </c>
      <c r="J20" s="26">
        <v>616</v>
      </c>
      <c r="K20" s="27">
        <f>IFERROR(VLOOKUP($B20-1,Inverter_PR!$B:$I,Module_Cleaning!H20,0),"")</f>
        <v>1.21857268494544</v>
      </c>
      <c r="L20" s="27">
        <f>IFERROR(VLOOKUP($B20+1,Inverter_PR!$B:$I,Module_Cleaning!H20,0),"")</f>
        <v>1.20891559292608</v>
      </c>
      <c r="M20" s="26">
        <f t="shared" si="0"/>
        <v>0</v>
      </c>
      <c r="N20" s="26"/>
    </row>
    <row r="21" ht="15" customHeight="1" spans="1:14">
      <c r="A21" s="33"/>
      <c r="B21" s="34"/>
      <c r="C21" s="26"/>
      <c r="D21" s="26"/>
      <c r="E21" s="26"/>
      <c r="F21" s="35"/>
      <c r="G21" s="26" t="s">
        <v>36</v>
      </c>
      <c r="H21" s="26"/>
      <c r="I21" s="26">
        <f>IFERROR(VLOOKUP($G21,Basic_Data!$E$2:$H$10,4,0),"")</f>
        <v>616</v>
      </c>
      <c r="J21" s="26">
        <v>616</v>
      </c>
      <c r="K21" s="27" t="str">
        <f>IFERROR(VLOOKUP($B21-1,Inverter_PR!$B:$I,Module_Cleaning!H21,0),"")</f>
        <v/>
      </c>
      <c r="L21" s="27"/>
      <c r="M21" s="26"/>
      <c r="N21" s="26"/>
    </row>
    <row r="22" ht="15" customHeight="1" spans="1:14">
      <c r="A22" s="33"/>
      <c r="B22" s="34"/>
      <c r="C22" s="26"/>
      <c r="D22" s="26"/>
      <c r="E22" s="26"/>
      <c r="F22" s="35"/>
      <c r="G22" s="26" t="s">
        <v>37</v>
      </c>
      <c r="H22" s="26"/>
      <c r="I22" s="26">
        <f>IFERROR(VLOOKUP($G22,Basic_Data!$E$2:$H$10,4,0),"")</f>
        <v>616</v>
      </c>
      <c r="J22" s="26">
        <v>616</v>
      </c>
      <c r="K22" s="27"/>
      <c r="L22" s="27"/>
      <c r="M22" s="26"/>
      <c r="N22" s="26"/>
    </row>
    <row r="23" ht="15" customHeight="1" spans="1:14">
      <c r="A23" s="33"/>
      <c r="B23" s="34"/>
      <c r="C23" s="26"/>
      <c r="D23" s="26"/>
      <c r="E23" s="26"/>
      <c r="F23" s="35"/>
      <c r="G23" s="26" t="s">
        <v>38</v>
      </c>
      <c r="H23" s="26"/>
      <c r="I23" s="26">
        <f>IFERROR(VLOOKUP($G23,Basic_Data!$E$2:$H$10,4,0),"")</f>
        <v>644</v>
      </c>
      <c r="J23" s="26">
        <v>644</v>
      </c>
      <c r="K23" s="27"/>
      <c r="L23" s="27"/>
      <c r="M23" s="26"/>
      <c r="N23" s="26"/>
    </row>
    <row r="24" ht="15" customHeight="1" spans="1:14">
      <c r="A24" s="33"/>
      <c r="B24" s="34"/>
      <c r="C24" s="26"/>
      <c r="D24" s="26"/>
      <c r="E24" s="26"/>
      <c r="F24" s="35"/>
      <c r="G24" s="26" t="s">
        <v>39</v>
      </c>
      <c r="H24" s="26"/>
      <c r="I24" s="26">
        <f>IFERROR(VLOOKUP($G24,Basic_Data!$E$2:$H$10,4,0),"")</f>
        <v>644</v>
      </c>
      <c r="J24" s="26">
        <v>644</v>
      </c>
      <c r="K24" s="27"/>
      <c r="L24" s="27"/>
      <c r="M24" s="26"/>
      <c r="N24" s="26"/>
    </row>
    <row r="25" ht="15" customHeight="1" spans="1:14">
      <c r="A25" s="33"/>
      <c r="B25" s="34"/>
      <c r="C25" s="26"/>
      <c r="D25" s="26"/>
      <c r="E25" s="26"/>
      <c r="F25" s="35"/>
      <c r="G25" s="26" t="s">
        <v>40</v>
      </c>
      <c r="H25" s="26"/>
      <c r="I25" s="26">
        <f>IFERROR(VLOOKUP($G25,Basic_Data!$E$2:$H$10,4,0),"")</f>
        <v>644</v>
      </c>
      <c r="J25" s="26">
        <v>644</v>
      </c>
      <c r="K25" s="27"/>
      <c r="L25" s="27"/>
      <c r="M25" s="26"/>
      <c r="N25" s="26"/>
    </row>
    <row r="26" ht="15" customHeight="1" spans="1:14">
      <c r="A26" s="30"/>
      <c r="B26" s="31"/>
      <c r="C26" s="26"/>
      <c r="D26" s="26"/>
      <c r="E26" s="26"/>
      <c r="F26" s="36"/>
      <c r="G26" s="26" t="s">
        <v>41</v>
      </c>
      <c r="H26" s="26"/>
      <c r="I26" s="26">
        <f>IFERROR(VLOOKUP($G26,Basic_Data!$E$2:$H$10,4,0),"")</f>
        <v>644</v>
      </c>
      <c r="J26" s="26">
        <v>644</v>
      </c>
      <c r="K26" s="27"/>
      <c r="L26" s="27"/>
      <c r="M26" s="26"/>
      <c r="N26" s="26"/>
    </row>
    <row r="27" ht="15" customHeight="1" spans="1:14">
      <c r="A27" s="28">
        <v>45763</v>
      </c>
      <c r="B27" s="29">
        <v>45763</v>
      </c>
      <c r="C27" s="32">
        <v>2</v>
      </c>
      <c r="D27" s="32">
        <v>3000</v>
      </c>
      <c r="E27" s="26"/>
      <c r="F27" s="32">
        <v>2</v>
      </c>
      <c r="G27" s="26" t="s">
        <v>35</v>
      </c>
      <c r="H27" s="26">
        <f>IFERROR(VLOOKUP(G27,Basic_Data!$E$2:$I$9,5,0),"")</f>
        <v>2</v>
      </c>
      <c r="I27" s="26">
        <f>IFERROR(VLOOKUP($G27,Basic_Data!$E$2:$H$10,4,0),"")</f>
        <v>616</v>
      </c>
      <c r="J27" s="26">
        <v>616</v>
      </c>
      <c r="K27" s="27">
        <f>IFERROR(VLOOKUP($B27-1,Inverter_PR!$B:$I,Module_Cleaning!H27,0),"")</f>
        <v>1.21063594023517</v>
      </c>
      <c r="L27" s="27" t="str">
        <f>IFERROR(VLOOKUP($B27+1,Inverter_PR!$B:$I,Module_Cleaning!H27,0),"")</f>
        <v/>
      </c>
      <c r="M27" s="26">
        <f t="shared" si="0"/>
        <v>0</v>
      </c>
      <c r="N27" s="26"/>
    </row>
    <row r="28" ht="15" customHeight="1" spans="1:14">
      <c r="A28" s="33"/>
      <c r="B28" s="34"/>
      <c r="C28" s="35"/>
      <c r="D28" s="35"/>
      <c r="E28" s="26"/>
      <c r="F28" s="35"/>
      <c r="G28" s="26" t="s">
        <v>36</v>
      </c>
      <c r="H28" s="26"/>
      <c r="I28" s="26">
        <f>IFERROR(VLOOKUP($G28,Basic_Data!$E$2:$H$10,4,0),"")</f>
        <v>616</v>
      </c>
      <c r="J28" s="26">
        <v>616</v>
      </c>
      <c r="K28" s="27"/>
      <c r="L28" s="27"/>
      <c r="M28" s="26"/>
      <c r="N28" s="26"/>
    </row>
    <row r="29" ht="15" customHeight="1" spans="1:14">
      <c r="A29" s="33"/>
      <c r="B29" s="34"/>
      <c r="C29" s="35"/>
      <c r="D29" s="35"/>
      <c r="E29" s="26"/>
      <c r="F29" s="35"/>
      <c r="G29" s="26" t="s">
        <v>37</v>
      </c>
      <c r="H29" s="26"/>
      <c r="I29" s="26">
        <f>IFERROR(VLOOKUP($G29,Basic_Data!$E$2:$H$10,4,0),"")</f>
        <v>616</v>
      </c>
      <c r="J29" s="26">
        <v>616</v>
      </c>
      <c r="K29" s="27"/>
      <c r="L29" s="27"/>
      <c r="M29" s="26"/>
      <c r="N29" s="26"/>
    </row>
    <row r="30" ht="15" spans="1:14">
      <c r="A30" s="24">
        <v>45764</v>
      </c>
      <c r="B30" s="25">
        <v>45764</v>
      </c>
      <c r="C30" s="26">
        <v>0</v>
      </c>
      <c r="D30" s="26">
        <v>0</v>
      </c>
      <c r="E30" s="26">
        <v>0</v>
      </c>
      <c r="F30" s="26">
        <v>0</v>
      </c>
      <c r="G30" s="26"/>
      <c r="H30" s="26"/>
      <c r="I30" s="26">
        <v>0</v>
      </c>
      <c r="J30" s="26">
        <v>0</v>
      </c>
      <c r="K30" s="27" t="str">
        <f>IFERROR(VLOOKUP($B30-1,Inverter_PR!$B:$I,Module_Cleaning!H30,0),"")</f>
        <v/>
      </c>
      <c r="L30" s="27" t="str">
        <f>IFERROR(VLOOKUP($B30+1,Inverter_PR!$B:$I,Module_Cleaning!H30,0),"")</f>
        <v/>
      </c>
      <c r="M30" s="26">
        <f t="shared" si="0"/>
        <v>0</v>
      </c>
      <c r="N30" s="26" t="s">
        <v>237</v>
      </c>
    </row>
    <row r="31" ht="15" spans="1:14">
      <c r="A31" s="24">
        <v>45765</v>
      </c>
      <c r="B31" s="25">
        <v>45765</v>
      </c>
      <c r="C31" s="26">
        <v>0</v>
      </c>
      <c r="D31" s="26">
        <v>0</v>
      </c>
      <c r="E31" s="26">
        <v>0</v>
      </c>
      <c r="F31" s="26">
        <v>0</v>
      </c>
      <c r="G31" s="26"/>
      <c r="H31" s="26"/>
      <c r="I31" s="26">
        <v>0</v>
      </c>
      <c r="J31" s="26">
        <v>0</v>
      </c>
      <c r="K31" s="27" t="str">
        <f>IFERROR(VLOOKUP($B31-1,Inverter_PR!$B:$I,Module_Cleaning!H31,0),"")</f>
        <v/>
      </c>
      <c r="L31" s="27" t="str">
        <f>IFERROR(VLOOKUP($B31+1,Inverter_PR!$B:$I,Module_Cleaning!H31,0),"")</f>
        <v/>
      </c>
      <c r="M31" s="26">
        <f t="shared" ref="M31:M37" si="2">IFERROR(I31-J31,"")</f>
        <v>0</v>
      </c>
      <c r="N31" s="26" t="s">
        <v>237</v>
      </c>
    </row>
    <row r="32" ht="15" spans="1:14">
      <c r="A32" s="24">
        <v>45766</v>
      </c>
      <c r="B32" s="25">
        <v>45766</v>
      </c>
      <c r="C32" s="26">
        <v>0</v>
      </c>
      <c r="D32" s="26">
        <v>0</v>
      </c>
      <c r="E32" s="26">
        <v>0</v>
      </c>
      <c r="F32" s="26">
        <v>0</v>
      </c>
      <c r="G32" s="26"/>
      <c r="H32" s="26"/>
      <c r="I32" s="26">
        <v>0</v>
      </c>
      <c r="J32" s="26">
        <v>0</v>
      </c>
      <c r="K32" s="27" t="str">
        <f>IFERROR(VLOOKUP($B32-1,Inverter_PR!$B:$I,Module_Cleaning!H32,0),"")</f>
        <v/>
      </c>
      <c r="L32" s="27" t="str">
        <f>IFERROR(VLOOKUP($B32+1,Inverter_PR!$B:$I,Module_Cleaning!H32,0),"")</f>
        <v/>
      </c>
      <c r="M32" s="26">
        <f t="shared" si="2"/>
        <v>0</v>
      </c>
      <c r="N32" s="26" t="s">
        <v>237</v>
      </c>
    </row>
    <row r="33" ht="15" spans="1:14">
      <c r="A33" s="24">
        <v>45767</v>
      </c>
      <c r="B33" s="25">
        <v>45767</v>
      </c>
      <c r="C33" s="26">
        <v>0</v>
      </c>
      <c r="D33" s="26">
        <v>0</v>
      </c>
      <c r="E33" s="26">
        <v>0</v>
      </c>
      <c r="F33" s="26">
        <v>0</v>
      </c>
      <c r="G33" s="26"/>
      <c r="H33" s="26"/>
      <c r="I33" s="26">
        <v>0</v>
      </c>
      <c r="J33" s="26">
        <v>0</v>
      </c>
      <c r="K33" s="27" t="str">
        <f>IFERROR(VLOOKUP($B33-1,Inverter_PR!$B:$I,Module_Cleaning!H33,0),"")</f>
        <v/>
      </c>
      <c r="L33" s="27" t="str">
        <f>IFERROR(VLOOKUP($B33+1,Inverter_PR!$B:$I,Module_Cleaning!H33,0),"")</f>
        <v/>
      </c>
      <c r="M33" s="26">
        <f t="shared" si="2"/>
        <v>0</v>
      </c>
      <c r="N33" s="26" t="s">
        <v>237</v>
      </c>
    </row>
    <row r="34" ht="15" spans="1:14">
      <c r="A34" s="24">
        <v>45768</v>
      </c>
      <c r="B34" s="25">
        <v>45768</v>
      </c>
      <c r="C34" s="26">
        <v>0</v>
      </c>
      <c r="D34" s="26">
        <v>0</v>
      </c>
      <c r="E34" s="26">
        <v>0</v>
      </c>
      <c r="F34" s="26">
        <v>0</v>
      </c>
      <c r="G34" s="26"/>
      <c r="H34" s="26"/>
      <c r="I34" s="26">
        <v>0</v>
      </c>
      <c r="J34" s="26">
        <v>0</v>
      </c>
      <c r="K34" s="27" t="str">
        <f>IFERROR(VLOOKUP($B34-1,Inverter_PR!$B:$I,Module_Cleaning!H34,0),"")</f>
        <v/>
      </c>
      <c r="L34" s="27" t="str">
        <f>IFERROR(VLOOKUP($B34+1,Inverter_PR!$B:$I,Module_Cleaning!H34,0),"")</f>
        <v/>
      </c>
      <c r="M34" s="26">
        <f t="shared" si="2"/>
        <v>0</v>
      </c>
      <c r="N34" s="26" t="s">
        <v>237</v>
      </c>
    </row>
    <row r="35" ht="15" spans="1:14">
      <c r="A35" s="24">
        <v>45769</v>
      </c>
      <c r="B35" s="25">
        <v>45769</v>
      </c>
      <c r="C35" s="26"/>
      <c r="D35" s="26"/>
      <c r="E35" s="26"/>
      <c r="F35" s="26">
        <v>3</v>
      </c>
      <c r="G35" s="26" t="s">
        <v>35</v>
      </c>
      <c r="H35" s="26"/>
      <c r="I35" s="26">
        <v>616</v>
      </c>
      <c r="J35" s="26">
        <v>616</v>
      </c>
      <c r="K35" s="27"/>
      <c r="L35" s="27"/>
      <c r="M35" s="26">
        <f t="shared" si="2"/>
        <v>0</v>
      </c>
      <c r="N35" s="37" t="s">
        <v>236</v>
      </c>
    </row>
    <row r="36" ht="15" spans="1:14">
      <c r="A36" s="24"/>
      <c r="B36" s="25"/>
      <c r="C36" s="26"/>
      <c r="D36" s="26"/>
      <c r="E36" s="26"/>
      <c r="F36" s="26">
        <v>3</v>
      </c>
      <c r="G36" s="26" t="s">
        <v>36</v>
      </c>
      <c r="H36" s="26"/>
      <c r="I36" s="26">
        <v>616</v>
      </c>
      <c r="J36" s="26">
        <v>616</v>
      </c>
      <c r="K36" s="27"/>
      <c r="L36" s="27"/>
      <c r="M36" s="26">
        <f t="shared" si="2"/>
        <v>0</v>
      </c>
      <c r="N36" s="37" t="s">
        <v>236</v>
      </c>
    </row>
    <row r="37" ht="15" spans="1:14">
      <c r="A37" s="24"/>
      <c r="B37" s="25"/>
      <c r="C37" s="26"/>
      <c r="D37" s="26"/>
      <c r="E37" s="26"/>
      <c r="F37" s="26">
        <v>3</v>
      </c>
      <c r="G37" s="26" t="s">
        <v>37</v>
      </c>
      <c r="H37" s="26"/>
      <c r="I37" s="26">
        <v>616</v>
      </c>
      <c r="J37" s="26">
        <v>616</v>
      </c>
      <c r="K37" s="27"/>
      <c r="L37" s="27"/>
      <c r="M37" s="26">
        <f t="shared" si="2"/>
        <v>0</v>
      </c>
      <c r="N37" s="37" t="s">
        <v>236</v>
      </c>
    </row>
    <row r="38" ht="15" spans="1:14">
      <c r="A38" s="24"/>
      <c r="B38" s="25"/>
      <c r="C38" s="26"/>
      <c r="D38" s="26"/>
      <c r="E38" s="26"/>
      <c r="F38" s="26"/>
      <c r="G38" s="26"/>
      <c r="H38" s="26"/>
      <c r="I38" s="26"/>
      <c r="J38" s="26"/>
      <c r="K38" s="27"/>
      <c r="L38" s="27"/>
      <c r="M38" s="26"/>
      <c r="N38" s="26"/>
    </row>
    <row r="39" ht="15" spans="1:14">
      <c r="A39" s="24">
        <v>45770</v>
      </c>
      <c r="B39" s="38">
        <v>45770</v>
      </c>
      <c r="C39" s="26"/>
      <c r="D39" s="26"/>
      <c r="E39" s="26"/>
      <c r="F39" s="26">
        <v>3</v>
      </c>
      <c r="G39" s="26" t="s">
        <v>38</v>
      </c>
      <c r="H39" s="26">
        <f>IFERROR(VLOOKUP(G39,Basic_Data!$E$2:$I$9,5,0),"")</f>
        <v>5</v>
      </c>
      <c r="I39" s="26">
        <f>IFERROR(VLOOKUP($G39,Basic_Data!$E$2:$H$10,4,0),"")</f>
        <v>644</v>
      </c>
      <c r="J39" s="26">
        <v>644</v>
      </c>
      <c r="K39" s="27">
        <f>IFERROR(VLOOKUP($B39-1,Inverter_PR!$B:$I,Module_Cleaning!H39,0),"")</f>
        <v>1.18159413382788</v>
      </c>
      <c r="L39" s="27">
        <f>IFERROR(VLOOKUP($B39+1,Inverter_PR!$B:$I,Module_Cleaning!H39,0),"")</f>
        <v>1.18451324296332</v>
      </c>
      <c r="M39" s="26">
        <f t="shared" si="0"/>
        <v>0</v>
      </c>
      <c r="N39" s="26" t="s">
        <v>236</v>
      </c>
    </row>
    <row r="40" ht="15" spans="1:14">
      <c r="A40" s="24"/>
      <c r="B40" s="38"/>
      <c r="C40" s="26"/>
      <c r="D40" s="26"/>
      <c r="E40" s="26"/>
      <c r="F40" s="26">
        <v>3</v>
      </c>
      <c r="G40" s="26" t="s">
        <v>39</v>
      </c>
      <c r="H40" s="26"/>
      <c r="I40" s="26">
        <v>644</v>
      </c>
      <c r="J40" s="26">
        <v>644</v>
      </c>
      <c r="K40" s="27"/>
      <c r="L40" s="27"/>
      <c r="M40" s="26">
        <f t="shared" si="0"/>
        <v>0</v>
      </c>
      <c r="N40" s="26" t="s">
        <v>236</v>
      </c>
    </row>
    <row r="41" ht="15" spans="1:14">
      <c r="A41" s="24"/>
      <c r="B41" s="38"/>
      <c r="C41" s="26"/>
      <c r="D41" s="26"/>
      <c r="E41" s="26"/>
      <c r="F41" s="26">
        <v>3</v>
      </c>
      <c r="G41" s="26" t="s">
        <v>40</v>
      </c>
      <c r="H41" s="26"/>
      <c r="I41" s="26">
        <v>644</v>
      </c>
      <c r="J41" s="26">
        <v>644</v>
      </c>
      <c r="K41" s="27"/>
      <c r="L41" s="27"/>
      <c r="M41" s="26">
        <f t="shared" si="0"/>
        <v>0</v>
      </c>
      <c r="N41" s="26" t="s">
        <v>236</v>
      </c>
    </row>
    <row r="42" ht="15" spans="1:14">
      <c r="A42" s="24">
        <v>45771</v>
      </c>
      <c r="B42" s="25">
        <v>45771</v>
      </c>
      <c r="C42" s="26"/>
      <c r="D42" s="26"/>
      <c r="E42" s="26"/>
      <c r="F42" s="26">
        <v>3</v>
      </c>
      <c r="G42" s="26" t="s">
        <v>41</v>
      </c>
      <c r="H42" s="26">
        <f>IFERROR(VLOOKUP(G42,Basic_Data!$E$2:$I$9,5,0),"")</f>
        <v>8</v>
      </c>
      <c r="I42" s="26">
        <f>IFERROR(VLOOKUP($G42,Basic_Data!$E$2:$H$10,4,0),"")</f>
        <v>644</v>
      </c>
      <c r="J42" s="26">
        <v>644</v>
      </c>
      <c r="K42" s="27">
        <f>IFERROR(VLOOKUP($B42-1,Inverter_PR!$B:$I,Module_Cleaning!H42,0),"")</f>
        <v>1.15042775025057</v>
      </c>
      <c r="L42" s="27">
        <f>IFERROR(VLOOKUP($B42+1,Inverter_PR!$B:$I,Module_Cleaning!H42,0),"")</f>
        <v>1.17706137101829</v>
      </c>
      <c r="M42" s="26">
        <f t="shared" si="0"/>
        <v>0</v>
      </c>
      <c r="N42" s="26" t="s">
        <v>236</v>
      </c>
    </row>
    <row r="43" ht="15" spans="1:14">
      <c r="A43" s="24">
        <v>45772</v>
      </c>
      <c r="B43" s="25">
        <v>45772</v>
      </c>
      <c r="C43" s="26">
        <v>0</v>
      </c>
      <c r="D43" s="26">
        <v>0</v>
      </c>
      <c r="E43" s="26">
        <v>0</v>
      </c>
      <c r="F43" s="26">
        <v>0</v>
      </c>
      <c r="G43" s="26"/>
      <c r="H43" s="26" t="str">
        <f>IFERROR(VLOOKUP(G43,Basic_Data!$E$2:$I$9,5,0),"")</f>
        <v/>
      </c>
      <c r="I43" s="26">
        <v>0</v>
      </c>
      <c r="J43" s="26">
        <v>0</v>
      </c>
      <c r="K43" s="27" t="str">
        <f>IFERROR(VLOOKUP($B43-1,Inverter_PR!$B:$I,Module_Cleaning!H43,0),"")</f>
        <v/>
      </c>
      <c r="L43" s="27" t="str">
        <f>IFERROR(VLOOKUP($B43+1,Inverter_PR!$B:$I,Module_Cleaning!H43,0),"")</f>
        <v/>
      </c>
      <c r="M43" s="26">
        <f t="shared" si="0"/>
        <v>0</v>
      </c>
      <c r="N43" s="26" t="s">
        <v>237</v>
      </c>
    </row>
    <row r="44" ht="15" spans="1:14">
      <c r="A44" s="24">
        <v>45773</v>
      </c>
      <c r="B44" s="25">
        <v>45773</v>
      </c>
      <c r="C44" s="26">
        <v>0</v>
      </c>
      <c r="D44" s="26">
        <v>0</v>
      </c>
      <c r="E44" s="26">
        <v>0</v>
      </c>
      <c r="F44" s="26">
        <v>0</v>
      </c>
      <c r="G44" s="26"/>
      <c r="H44" s="26" t="str">
        <f>IFERROR(VLOOKUP(G44,Basic_Data!$E$2:$I$9,5,0),"")</f>
        <v/>
      </c>
      <c r="I44" s="26">
        <v>0</v>
      </c>
      <c r="J44" s="26">
        <v>0</v>
      </c>
      <c r="K44" s="27" t="str">
        <f>IFERROR(VLOOKUP($B44-1,Inverter_PR!$B:$I,Module_Cleaning!H44,0),"")</f>
        <v/>
      </c>
      <c r="L44" s="27" t="str">
        <f>IFERROR(VLOOKUP($B44+1,Inverter_PR!$B:$I,Module_Cleaning!H44,0),"")</f>
        <v/>
      </c>
      <c r="M44" s="26">
        <f t="shared" si="0"/>
        <v>0</v>
      </c>
      <c r="N44" s="26" t="s">
        <v>237</v>
      </c>
    </row>
    <row r="45" ht="15" spans="1:14">
      <c r="A45" s="24">
        <v>45774</v>
      </c>
      <c r="B45" s="25">
        <v>45774</v>
      </c>
      <c r="C45" s="26">
        <v>0</v>
      </c>
      <c r="D45" s="26">
        <v>0</v>
      </c>
      <c r="E45" s="26">
        <v>0</v>
      </c>
      <c r="F45" s="26">
        <v>0</v>
      </c>
      <c r="G45" s="26"/>
      <c r="H45" s="26" t="str">
        <f>IFERROR(VLOOKUP(G45,Basic_Data!$E$2:$I$9,5,0),"")</f>
        <v/>
      </c>
      <c r="I45" s="26">
        <v>0</v>
      </c>
      <c r="J45" s="26">
        <v>0</v>
      </c>
      <c r="K45" s="27" t="str">
        <f>IFERROR(VLOOKUP($B45-1,Inverter_PR!$B:$I,Module_Cleaning!H45,0),"")</f>
        <v/>
      </c>
      <c r="L45" s="27" t="str">
        <f>IFERROR(VLOOKUP($B45+1,Inverter_PR!$B:$I,Module_Cleaning!H45,0),"")</f>
        <v/>
      </c>
      <c r="M45" s="26">
        <f t="shared" si="0"/>
        <v>0</v>
      </c>
      <c r="N45" s="26" t="s">
        <v>237</v>
      </c>
    </row>
    <row r="46" ht="15" spans="1:14">
      <c r="A46" s="24">
        <v>45775</v>
      </c>
      <c r="B46" s="25">
        <v>45775</v>
      </c>
      <c r="C46" s="26"/>
      <c r="D46" s="26"/>
      <c r="E46" s="26"/>
      <c r="F46" s="26">
        <v>4</v>
      </c>
      <c r="G46" s="26" t="s">
        <v>35</v>
      </c>
      <c r="H46" s="26">
        <f>IFERROR(VLOOKUP(G46,Basic_Data!$E$2:$I$9,5,0),"")</f>
        <v>2</v>
      </c>
      <c r="I46" s="26">
        <f>IFERROR(VLOOKUP($G46,Basic_Data!$E$2:$H$10,4,0),"")</f>
        <v>616</v>
      </c>
      <c r="J46" s="26">
        <v>616</v>
      </c>
      <c r="K46" s="27">
        <f>IFERROR(VLOOKUP($B46-1,Inverter_PR!$B:$I,Module_Cleaning!H46,0),"")</f>
        <v>1.13841665474829</v>
      </c>
      <c r="L46" s="27">
        <f>IFERROR(VLOOKUP($B46+1,Inverter_PR!$B:$I,Module_Cleaning!H46,0),"")</f>
        <v>1.13867948730334</v>
      </c>
      <c r="M46" s="26">
        <f t="shared" si="0"/>
        <v>0</v>
      </c>
      <c r="N46" s="26" t="s">
        <v>236</v>
      </c>
    </row>
    <row r="47" ht="15" spans="1:14">
      <c r="A47" s="24">
        <v>45775</v>
      </c>
      <c r="B47" s="25">
        <v>45775</v>
      </c>
      <c r="C47" s="26"/>
      <c r="D47" s="26"/>
      <c r="E47" s="26"/>
      <c r="F47" s="26">
        <v>4</v>
      </c>
      <c r="G47" s="26" t="s">
        <v>36</v>
      </c>
      <c r="H47" s="26"/>
      <c r="I47" s="26">
        <v>616</v>
      </c>
      <c r="J47" s="26">
        <v>616</v>
      </c>
      <c r="K47" s="27"/>
      <c r="L47" s="27"/>
      <c r="M47" s="26"/>
      <c r="N47" s="26" t="s">
        <v>236</v>
      </c>
    </row>
    <row r="48" ht="15" spans="1:14">
      <c r="A48" s="24">
        <v>45776</v>
      </c>
      <c r="B48" s="25">
        <v>45776</v>
      </c>
      <c r="C48" s="26"/>
      <c r="D48" s="26"/>
      <c r="E48" s="26"/>
      <c r="F48" s="26">
        <v>4</v>
      </c>
      <c r="G48" s="26" t="s">
        <v>37</v>
      </c>
      <c r="H48" s="26">
        <f>IFERROR(VLOOKUP(G48,Basic_Data!$E$2:$I$9,5,0),"")</f>
        <v>4</v>
      </c>
      <c r="I48" s="26">
        <f>IFERROR(VLOOKUP($G48,Basic_Data!$E$2:$H$10,4,0),"")</f>
        <v>616</v>
      </c>
      <c r="J48" s="26">
        <v>616</v>
      </c>
      <c r="K48" s="27">
        <f>IFERROR(VLOOKUP($B48-1,Inverter_PR!$B:$I,Module_Cleaning!H48,0),"")</f>
        <v>1.00722012210753</v>
      </c>
      <c r="L48" s="27">
        <f>IFERROR(VLOOKUP($B48+1,Inverter_PR!$B:$I,Module_Cleaning!H48,0),"")</f>
        <v>1.12801300639886</v>
      </c>
      <c r="M48" s="26">
        <f t="shared" si="0"/>
        <v>0</v>
      </c>
      <c r="N48" s="26" t="s">
        <v>236</v>
      </c>
    </row>
    <row r="49" ht="15" spans="1:14">
      <c r="A49" s="24"/>
      <c r="B49" s="25"/>
      <c r="C49" s="26"/>
      <c r="D49" s="26"/>
      <c r="E49" s="26"/>
      <c r="F49" s="26">
        <v>4</v>
      </c>
      <c r="G49" s="26" t="s">
        <v>38</v>
      </c>
      <c r="H49" s="26"/>
      <c r="I49" s="26">
        <v>644</v>
      </c>
      <c r="J49" s="26">
        <v>644</v>
      </c>
      <c r="K49" s="27"/>
      <c r="L49" s="27"/>
      <c r="M49" s="26"/>
      <c r="N49" s="26" t="s">
        <v>236</v>
      </c>
    </row>
    <row r="50" ht="15" spans="1:14">
      <c r="A50" s="24">
        <v>45777</v>
      </c>
      <c r="B50" s="25">
        <v>45777</v>
      </c>
      <c r="C50" s="26"/>
      <c r="D50" s="26"/>
      <c r="E50" s="26"/>
      <c r="F50" s="26">
        <v>4</v>
      </c>
      <c r="G50" s="26" t="s">
        <v>39</v>
      </c>
      <c r="H50" s="26">
        <f>IFERROR(VLOOKUP(G50,Basic_Data!$E$2:$I$9,5,0),"")</f>
        <v>6</v>
      </c>
      <c r="I50" s="26">
        <f>IFERROR(VLOOKUP($G50,Basic_Data!$E$2:$H$10,4,0),"")</f>
        <v>644</v>
      </c>
      <c r="J50" s="26">
        <v>644</v>
      </c>
      <c r="K50" s="27">
        <f>IFERROR(VLOOKUP($B50-1,Inverter_PR!$B:$I,Module_Cleaning!H50,0),"")</f>
        <v>1.10671843420148</v>
      </c>
      <c r="L50" s="27">
        <f>IFERROR(VLOOKUP($B50+1,Inverter_PR!$B:$I,Module_Cleaning!H50,0),"")</f>
        <v>1.11282095432995</v>
      </c>
      <c r="M50" s="26">
        <f t="shared" si="0"/>
        <v>0</v>
      </c>
      <c r="N50" s="26" t="s">
        <v>236</v>
      </c>
    </row>
    <row r="51" ht="15" spans="1:14">
      <c r="A51" s="24"/>
      <c r="B51" s="25"/>
      <c r="C51" s="26"/>
      <c r="D51" s="26"/>
      <c r="E51" s="26"/>
      <c r="F51" s="26">
        <v>4</v>
      </c>
      <c r="G51" s="26" t="s">
        <v>40</v>
      </c>
      <c r="H51" s="26"/>
      <c r="I51" s="26">
        <f>IFERROR(VLOOKUP($G51,Basic_Data!$E$2:$H$10,4,0),"")</f>
        <v>644</v>
      </c>
      <c r="J51" s="26">
        <v>644</v>
      </c>
      <c r="K51" s="27"/>
      <c r="L51" s="27"/>
      <c r="M51" s="26"/>
      <c r="N51" s="26" t="s">
        <v>236</v>
      </c>
    </row>
    <row r="52" ht="15" spans="1:14">
      <c r="A52" s="24"/>
      <c r="B52" s="25"/>
      <c r="C52" s="26"/>
      <c r="D52" s="26"/>
      <c r="E52" s="26"/>
      <c r="F52" s="26">
        <v>4</v>
      </c>
      <c r="G52" s="26" t="s">
        <v>41</v>
      </c>
      <c r="H52" s="26"/>
      <c r="I52" s="26">
        <f>IFERROR(VLOOKUP($G52,Basic_Data!$E$2:$H$10,4,0),"")</f>
        <v>644</v>
      </c>
      <c r="J52" s="26">
        <v>644</v>
      </c>
      <c r="K52" s="27"/>
      <c r="L52" s="27"/>
      <c r="M52" s="26"/>
      <c r="N52" s="26" t="s">
        <v>236</v>
      </c>
    </row>
    <row r="53" ht="13.5" customHeight="1" spans="1:14">
      <c r="A53" s="24">
        <v>45778</v>
      </c>
      <c r="B53" s="25">
        <v>45778</v>
      </c>
      <c r="C53" s="26">
        <v>0</v>
      </c>
      <c r="D53" s="26">
        <v>0</v>
      </c>
      <c r="E53" s="26">
        <v>0</v>
      </c>
      <c r="F53" s="26">
        <v>0</v>
      </c>
      <c r="G53" s="26"/>
      <c r="H53" s="26" t="str">
        <f>IFERROR(VLOOKUP(G53,Basic_Data!$E$2:$I$9,5,0),"")</f>
        <v/>
      </c>
      <c r="I53" s="26">
        <v>0</v>
      </c>
      <c r="J53" s="26">
        <v>0</v>
      </c>
      <c r="K53" s="27" t="str">
        <f>IFERROR(VLOOKUP($B53-1,Inverter_PR!$B:$I,Module_Cleaning!H53,0),"")</f>
        <v/>
      </c>
      <c r="L53" s="27" t="str">
        <f>IFERROR(VLOOKUP($B53+1,Inverter_PR!$B:$I,Module_Cleaning!H53,0),"")</f>
        <v/>
      </c>
      <c r="M53" s="26">
        <f t="shared" si="0"/>
        <v>0</v>
      </c>
      <c r="N53" s="26" t="s">
        <v>237</v>
      </c>
    </row>
    <row r="54" ht="15" spans="1:14">
      <c r="A54" s="24">
        <v>45779</v>
      </c>
      <c r="B54" s="25">
        <v>45779</v>
      </c>
      <c r="C54" s="26">
        <v>0</v>
      </c>
      <c r="D54" s="26">
        <v>0</v>
      </c>
      <c r="E54" s="26">
        <v>0</v>
      </c>
      <c r="F54" s="26">
        <v>0</v>
      </c>
      <c r="G54" s="26"/>
      <c r="H54" s="26" t="str">
        <f>IFERROR(VLOOKUP(G54,Basic_Data!$E$2:$I$9,5,0),"")</f>
        <v/>
      </c>
      <c r="I54" s="26">
        <v>0</v>
      </c>
      <c r="J54" s="26">
        <v>0</v>
      </c>
      <c r="K54" s="27" t="str">
        <f>IFERROR(VLOOKUP($B54-1,Inverter_PR!$B:$I,Module_Cleaning!H54,0),"")</f>
        <v/>
      </c>
      <c r="L54" s="27" t="str">
        <f>IFERROR(VLOOKUP($B54+1,Inverter_PR!$B:$I,Module_Cleaning!H54,0),"")</f>
        <v/>
      </c>
      <c r="M54" s="26">
        <f t="shared" si="0"/>
        <v>0</v>
      </c>
      <c r="N54" s="26" t="s">
        <v>237</v>
      </c>
    </row>
    <row r="55" ht="15" spans="1:14">
      <c r="A55" s="24">
        <v>45780</v>
      </c>
      <c r="B55" s="25">
        <v>45780</v>
      </c>
      <c r="C55" s="26">
        <v>0</v>
      </c>
      <c r="D55" s="26">
        <v>0</v>
      </c>
      <c r="E55" s="26">
        <v>0</v>
      </c>
      <c r="F55" s="26">
        <v>0</v>
      </c>
      <c r="G55" s="26"/>
      <c r="H55" s="26" t="str">
        <f>IFERROR(VLOOKUP(G55,Basic_Data!$E$2:$I$9,5,0),"")</f>
        <v/>
      </c>
      <c r="I55" s="26">
        <v>0</v>
      </c>
      <c r="J55" s="26">
        <v>0</v>
      </c>
      <c r="K55" s="27" t="str">
        <f>IFERROR(VLOOKUP($B55-1,Inverter_PR!$B:$I,Module_Cleaning!H55,0),"")</f>
        <v/>
      </c>
      <c r="L55" s="27" t="str">
        <f>IFERROR(VLOOKUP($B55+1,Inverter_PR!$B:$I,Module_Cleaning!H55,0),"")</f>
        <v/>
      </c>
      <c r="M55" s="26">
        <f t="shared" si="0"/>
        <v>0</v>
      </c>
      <c r="N55" s="26" t="s">
        <v>237</v>
      </c>
    </row>
    <row r="56" ht="15" spans="1:14">
      <c r="A56" s="24">
        <v>45781</v>
      </c>
      <c r="B56" s="25">
        <v>45781</v>
      </c>
      <c r="C56" s="26">
        <v>0</v>
      </c>
      <c r="D56" s="26">
        <v>0</v>
      </c>
      <c r="E56" s="26">
        <v>0</v>
      </c>
      <c r="F56" s="26">
        <v>0</v>
      </c>
      <c r="G56" s="26"/>
      <c r="H56" s="26" t="str">
        <f>IFERROR(VLOOKUP(G56,Basic_Data!$E$2:$I$9,5,0),"")</f>
        <v/>
      </c>
      <c r="I56" s="26">
        <v>0</v>
      </c>
      <c r="J56" s="26">
        <v>0</v>
      </c>
      <c r="K56" s="27"/>
      <c r="L56" s="27" t="str">
        <f>IFERROR(VLOOKUP($B56+1,Inverter_PR!$B:$I,Module_Cleaning!H56,0),"")</f>
        <v/>
      </c>
      <c r="M56" s="26">
        <f t="shared" si="0"/>
        <v>0</v>
      </c>
      <c r="N56" s="26" t="s">
        <v>237</v>
      </c>
    </row>
    <row r="57" ht="15" spans="1:14">
      <c r="A57" s="24">
        <v>45782</v>
      </c>
      <c r="B57" s="25">
        <v>45782</v>
      </c>
      <c r="C57" s="26">
        <v>0</v>
      </c>
      <c r="D57" s="26">
        <v>0</v>
      </c>
      <c r="E57" s="26">
        <v>0</v>
      </c>
      <c r="F57" s="26">
        <v>0</v>
      </c>
      <c r="G57" s="26"/>
      <c r="H57" s="26" t="str">
        <f>IFERROR(VLOOKUP(G57,Basic_Data!$E$2:$I$9,5,0),"")</f>
        <v/>
      </c>
      <c r="I57" s="26">
        <v>0</v>
      </c>
      <c r="J57" s="26">
        <v>0</v>
      </c>
      <c r="K57" s="27" t="str">
        <f>IFERROR(VLOOKUP($B57-1,Inverter_PR!$B:$I,Module_Cleaning!H57,0),"")</f>
        <v/>
      </c>
      <c r="L57" s="27" t="str">
        <f>IFERROR(VLOOKUP($B57+1,Inverter_PR!$B:$I,Module_Cleaning!H57,0),"")</f>
        <v/>
      </c>
      <c r="M57" s="26">
        <f t="shared" si="0"/>
        <v>0</v>
      </c>
      <c r="N57" s="26" t="s">
        <v>237</v>
      </c>
    </row>
    <row r="58" ht="15" spans="1:14">
      <c r="A58" s="24">
        <v>45783</v>
      </c>
      <c r="B58" s="25">
        <v>45783</v>
      </c>
      <c r="C58" s="26">
        <v>0</v>
      </c>
      <c r="D58" s="26">
        <v>0</v>
      </c>
      <c r="E58" s="26">
        <v>0</v>
      </c>
      <c r="F58" s="26">
        <v>0</v>
      </c>
      <c r="G58" s="26"/>
      <c r="H58" s="26" t="str">
        <f>IFERROR(VLOOKUP(G58,Basic_Data!$E$2:$I$9,5,0),"")</f>
        <v/>
      </c>
      <c r="I58" s="26">
        <v>0</v>
      </c>
      <c r="J58" s="26">
        <v>0</v>
      </c>
      <c r="K58" s="27" t="str">
        <f>IFERROR(VLOOKUP($B58-1,Inverter_PR!$B:$I,Module_Cleaning!H58,0),"")</f>
        <v/>
      </c>
      <c r="L58" s="27" t="str">
        <f>IFERROR(VLOOKUP($B58+1,Inverter_PR!$B:$I,Module_Cleaning!H58,0),"")</f>
        <v/>
      </c>
      <c r="M58" s="26">
        <f t="shared" si="0"/>
        <v>0</v>
      </c>
      <c r="N58" s="26" t="s">
        <v>237</v>
      </c>
    </row>
    <row r="59" ht="15" spans="1:14">
      <c r="A59" s="24">
        <v>45784</v>
      </c>
      <c r="B59" s="25">
        <v>45784</v>
      </c>
      <c r="C59" s="39"/>
      <c r="D59" s="39"/>
      <c r="E59" s="39"/>
      <c r="F59" s="39"/>
      <c r="G59" s="39"/>
      <c r="H59" s="39" t="str">
        <f>IFERROR(VLOOKUP(G59,Basic_Data!$E$2:$I$9,5,0),"")</f>
        <v/>
      </c>
      <c r="I59" s="39" t="str">
        <f>IFERROR(VLOOKUP($G59,Basic_Data!$E$2:$H$10,4,0),"")</f>
        <v/>
      </c>
      <c r="J59" s="39"/>
      <c r="K59" s="40" t="str">
        <f>IFERROR(VLOOKUP($B59-1,Inverter_PR!$B:$I,Module_Cleaning!H59,0),"")</f>
        <v/>
      </c>
      <c r="L59" s="40" t="str">
        <f>IFERROR(VLOOKUP($B59+1,Inverter_PR!$B:$I,Module_Cleaning!H59,0),"")</f>
        <v/>
      </c>
      <c r="M59" s="39" t="str">
        <f t="shared" si="0"/>
        <v/>
      </c>
      <c r="N59" s="39" t="s">
        <v>238</v>
      </c>
    </row>
    <row r="60" ht="15" spans="1:14">
      <c r="A60" s="24">
        <v>45785</v>
      </c>
      <c r="B60" s="25">
        <v>45785</v>
      </c>
      <c r="C60" s="26">
        <v>0</v>
      </c>
      <c r="D60" s="26">
        <v>0</v>
      </c>
      <c r="E60" s="26">
        <v>0</v>
      </c>
      <c r="F60" s="26">
        <v>0</v>
      </c>
      <c r="G60" s="26"/>
      <c r="H60" s="26" t="str">
        <f>IFERROR(VLOOKUP(G60,Basic_Data!$E$2:$I$9,5,0),"")</f>
        <v/>
      </c>
      <c r="I60" s="26">
        <v>0</v>
      </c>
      <c r="J60" s="26">
        <v>0</v>
      </c>
      <c r="K60" s="27" t="str">
        <f>IFERROR(VLOOKUP($B60-1,Inverter_PR!$B:$I,Module_Cleaning!H60,0),"")</f>
        <v/>
      </c>
      <c r="L60" s="27" t="str">
        <f>IFERROR(VLOOKUP($B60+1,Inverter_PR!$B:$I,Module_Cleaning!H60,0),"")</f>
        <v/>
      </c>
      <c r="M60" s="26">
        <f t="shared" si="0"/>
        <v>0</v>
      </c>
      <c r="N60" s="26" t="s">
        <v>237</v>
      </c>
    </row>
    <row r="61" ht="15" spans="1:14">
      <c r="A61" s="24">
        <v>45786</v>
      </c>
      <c r="B61" s="25">
        <v>45786</v>
      </c>
      <c r="C61" s="39"/>
      <c r="D61" s="39"/>
      <c r="E61" s="39"/>
      <c r="F61" s="39"/>
      <c r="G61" s="39"/>
      <c r="H61" s="39" t="str">
        <f>IFERROR(VLOOKUP(G61,Basic_Data!$E$2:$I$9,5,0),"")</f>
        <v/>
      </c>
      <c r="I61" s="39" t="str">
        <f>IFERROR(VLOOKUP($G61,Basic_Data!$E$2:$H$10,4,0),"")</f>
        <v/>
      </c>
      <c r="J61" s="39"/>
      <c r="K61" s="40" t="str">
        <f>IFERROR(VLOOKUP($B61-1,Inverter_PR!$B:$I,Module_Cleaning!H61,0),"")</f>
        <v/>
      </c>
      <c r="L61" s="40" t="str">
        <f>IFERROR(VLOOKUP($B61+1,Inverter_PR!$B:$I,Module_Cleaning!H61,0),"")</f>
        <v/>
      </c>
      <c r="M61" s="39" t="str">
        <f t="shared" si="0"/>
        <v/>
      </c>
      <c r="N61" s="39" t="s">
        <v>238</v>
      </c>
    </row>
    <row r="62" ht="15" spans="1:14">
      <c r="A62" s="24">
        <v>45787</v>
      </c>
      <c r="B62" s="25">
        <v>45787</v>
      </c>
      <c r="C62" s="39"/>
      <c r="D62" s="39"/>
      <c r="E62" s="39"/>
      <c r="F62" s="39"/>
      <c r="G62" s="39"/>
      <c r="H62" s="39" t="str">
        <f>IFERROR(VLOOKUP(G62,Basic_Data!$E$2:$I$9,5,0),"")</f>
        <v/>
      </c>
      <c r="I62" s="39" t="str">
        <f>IFERROR(VLOOKUP($G62,Basic_Data!$E$2:$H$10,4,0),"")</f>
        <v/>
      </c>
      <c r="J62" s="39"/>
      <c r="K62" s="40" t="str">
        <f>IFERROR(VLOOKUP($B62-1,Inverter_PR!$B:$I,Module_Cleaning!H62,0),"")</f>
        <v/>
      </c>
      <c r="L62" s="40" t="str">
        <f>IFERROR(VLOOKUP($B62+1,Inverter_PR!$B:$I,Module_Cleaning!H62,0),"")</f>
        <v/>
      </c>
      <c r="M62" s="39" t="str">
        <f t="shared" ref="M62" si="3">IFERROR(I62-J62,"")</f>
        <v/>
      </c>
      <c r="N62" s="39" t="s">
        <v>238</v>
      </c>
    </row>
    <row r="63" ht="15" spans="1:14">
      <c r="A63" s="24">
        <v>45788</v>
      </c>
      <c r="B63" s="25">
        <v>45788</v>
      </c>
      <c r="C63" s="39"/>
      <c r="D63" s="39"/>
      <c r="E63" s="39"/>
      <c r="F63" s="39"/>
      <c r="G63" s="39"/>
      <c r="H63" s="39" t="str">
        <f>IFERROR(VLOOKUP(G63,Basic_Data!$E$2:$I$9,5,0),"")</f>
        <v/>
      </c>
      <c r="I63" s="39" t="str">
        <f>IFERROR(VLOOKUP($G63,Basic_Data!$E$2:$H$10,4,0),"")</f>
        <v/>
      </c>
      <c r="J63" s="39"/>
      <c r="K63" s="40" t="str">
        <f>IFERROR(VLOOKUP($B63-1,Inverter_PR!$B:$I,Module_Cleaning!H63,0),"")</f>
        <v/>
      </c>
      <c r="L63" s="40" t="str">
        <f>IFERROR(VLOOKUP($B63+1,Inverter_PR!$B:$I,Module_Cleaning!H63,0),"")</f>
        <v/>
      </c>
      <c r="M63" s="39" t="str">
        <f t="shared" ref="M63:M64" si="4">IFERROR(I63-J63,"")</f>
        <v/>
      </c>
      <c r="N63" s="39" t="s">
        <v>238</v>
      </c>
    </row>
    <row r="64" ht="15" spans="1:14">
      <c r="A64" s="24">
        <v>45789</v>
      </c>
      <c r="B64" s="25">
        <v>45789</v>
      </c>
      <c r="C64" s="26">
        <v>0</v>
      </c>
      <c r="D64" s="26">
        <v>0</v>
      </c>
      <c r="E64" s="26">
        <v>0</v>
      </c>
      <c r="F64" s="26">
        <v>0</v>
      </c>
      <c r="G64" s="26"/>
      <c r="H64" s="26" t="str">
        <f>IFERROR(VLOOKUP(G64,Basic_Data!$E$2:$I$9,5,0),"")</f>
        <v/>
      </c>
      <c r="I64" s="26">
        <v>0</v>
      </c>
      <c r="J64" s="26">
        <v>0</v>
      </c>
      <c r="K64" s="27" t="str">
        <f>IFERROR(VLOOKUP($B64-1,Inverter_PR!$B:$I,Module_Cleaning!H64,0),"")</f>
        <v/>
      </c>
      <c r="L64" s="27" t="str">
        <f>IFERROR(VLOOKUP($B64+1,Inverter_PR!$B:$I,Module_Cleaning!H64,0),"")</f>
        <v/>
      </c>
      <c r="M64" s="26">
        <f t="shared" si="4"/>
        <v>0</v>
      </c>
      <c r="N64" s="26" t="s">
        <v>237</v>
      </c>
    </row>
    <row r="65" ht="15" spans="1:14">
      <c r="A65" s="24">
        <v>45790</v>
      </c>
      <c r="B65" s="25">
        <v>45790</v>
      </c>
      <c r="C65" s="26">
        <v>0</v>
      </c>
      <c r="D65" s="26">
        <v>0</v>
      </c>
      <c r="E65" s="26">
        <v>0</v>
      </c>
      <c r="F65" s="26">
        <v>0</v>
      </c>
      <c r="G65" s="26"/>
      <c r="H65" s="26" t="str">
        <f>IFERROR(VLOOKUP(G65,Basic_Data!$E$2:$I$9,5,0),"")</f>
        <v/>
      </c>
      <c r="I65" s="26">
        <v>0</v>
      </c>
      <c r="J65" s="26">
        <v>0</v>
      </c>
      <c r="K65" s="27" t="str">
        <f>IFERROR(VLOOKUP($B65-1,Inverter_PR!$B:$I,Module_Cleaning!H65,0),"")</f>
        <v/>
      </c>
      <c r="L65" s="27" t="str">
        <f>IFERROR(VLOOKUP($B65+1,Inverter_PR!$B:$I,Module_Cleaning!H65,0),"")</f>
        <v/>
      </c>
      <c r="M65" s="26">
        <f t="shared" ref="M65" si="5">IFERROR(I65-J65,"")</f>
        <v>0</v>
      </c>
      <c r="N65" s="26" t="s">
        <v>237</v>
      </c>
    </row>
    <row r="66" ht="15" spans="1:14">
      <c r="A66" s="24">
        <v>45791</v>
      </c>
      <c r="B66" s="25">
        <v>45791</v>
      </c>
      <c r="C66" s="26">
        <v>0</v>
      </c>
      <c r="D66" s="26">
        <v>0</v>
      </c>
      <c r="E66" s="26">
        <v>0</v>
      </c>
      <c r="F66" s="26">
        <v>0</v>
      </c>
      <c r="G66" s="26"/>
      <c r="H66" s="26" t="str">
        <f>IFERROR(VLOOKUP(G66,Basic_Data!$E$2:$I$9,5,0),"")</f>
        <v/>
      </c>
      <c r="I66" s="26">
        <v>0</v>
      </c>
      <c r="J66" s="26">
        <v>0</v>
      </c>
      <c r="K66" s="27" t="str">
        <f>IFERROR(VLOOKUP($B66-1,Inverter_PR!$B:$I,Module_Cleaning!H66,0),"")</f>
        <v/>
      </c>
      <c r="L66" s="27" t="str">
        <f>IFERROR(VLOOKUP($B66+1,Inverter_PR!$B:$I,Module_Cleaning!H66,0),"")</f>
        <v/>
      </c>
      <c r="M66" s="26">
        <f t="shared" ref="M66" si="6">IFERROR(I66-J66,"")</f>
        <v>0</v>
      </c>
      <c r="N66" s="26" t="s">
        <v>237</v>
      </c>
    </row>
    <row r="67" ht="15" spans="1:14">
      <c r="A67" s="24">
        <v>45792</v>
      </c>
      <c r="B67" s="25">
        <v>45792</v>
      </c>
      <c r="C67" s="26">
        <v>0</v>
      </c>
      <c r="D67" s="26">
        <v>0</v>
      </c>
      <c r="E67" s="26">
        <v>0</v>
      </c>
      <c r="F67" s="26">
        <v>0</v>
      </c>
      <c r="G67" s="26"/>
      <c r="H67" s="26" t="str">
        <f>IFERROR(VLOOKUP(G67,Basic_Data!$E$2:$I$9,5,0),"")</f>
        <v/>
      </c>
      <c r="I67" s="26">
        <v>0</v>
      </c>
      <c r="J67" s="26">
        <v>0</v>
      </c>
      <c r="K67" s="27" t="str">
        <f>IFERROR(VLOOKUP($B67-1,Inverter_PR!$B:$I,Module_Cleaning!H67,0),"")</f>
        <v/>
      </c>
      <c r="L67" s="27" t="str">
        <f>IFERROR(VLOOKUP($B67+1,Inverter_PR!$B:$I,Module_Cleaning!H67,0),"")</f>
        <v/>
      </c>
      <c r="M67" s="26">
        <f t="shared" ref="M67" si="7">IFERROR(I67-J67,"")</f>
        <v>0</v>
      </c>
      <c r="N67" s="26" t="s">
        <v>237</v>
      </c>
    </row>
    <row r="68" ht="15" spans="1:14">
      <c r="A68" s="24">
        <v>45793</v>
      </c>
      <c r="B68" s="25">
        <v>45793</v>
      </c>
      <c r="C68" s="26"/>
      <c r="D68" s="26"/>
      <c r="E68" s="26"/>
      <c r="F68" s="26">
        <v>1</v>
      </c>
      <c r="G68" s="26" t="s">
        <v>35</v>
      </c>
      <c r="H68" s="26">
        <f>IFERROR(VLOOKUP(G68,Basic_Data!$E$2:$I$9,5,0),"")</f>
        <v>2</v>
      </c>
      <c r="I68" s="26">
        <f>IFERROR(VLOOKUP($G68,Basic_Data!$E$2:$H$10,4,0),"")</f>
        <v>616</v>
      </c>
      <c r="J68" s="26">
        <v>616</v>
      </c>
      <c r="K68" s="27">
        <f>IFERROR(VLOOKUP($B68-1,Inverter_PR!$B:$I,Module_Cleaning!H68,0),"")</f>
        <v>0.905837122866939</v>
      </c>
      <c r="L68" s="27">
        <f>IFERROR(VLOOKUP($B68+1,Inverter_PR!$B:$I,Module_Cleaning!H68,0),"")</f>
        <v>0.916219281707679</v>
      </c>
      <c r="M68" s="26">
        <f t="shared" si="0"/>
        <v>0</v>
      </c>
      <c r="N68" s="26" t="s">
        <v>236</v>
      </c>
    </row>
    <row r="69" ht="15" spans="1:14">
      <c r="A69" s="24"/>
      <c r="B69" s="25"/>
      <c r="C69" s="26"/>
      <c r="D69" s="26"/>
      <c r="E69" s="26"/>
      <c r="F69" s="26">
        <v>1</v>
      </c>
      <c r="G69" s="26" t="s">
        <v>36</v>
      </c>
      <c r="H69" s="26"/>
      <c r="I69" s="26">
        <f>IFERROR(VLOOKUP($G69,Basic_Data!$E$2:$H$10,4,0),"")</f>
        <v>616</v>
      </c>
      <c r="J69" s="26">
        <v>616</v>
      </c>
      <c r="K69" s="27"/>
      <c r="L69" s="27"/>
      <c r="M69" s="26">
        <f t="shared" si="0"/>
        <v>0</v>
      </c>
      <c r="N69" s="26" t="s">
        <v>236</v>
      </c>
    </row>
    <row r="70" ht="15" spans="1:14">
      <c r="A70" s="24">
        <v>45794</v>
      </c>
      <c r="B70" s="25">
        <v>45794</v>
      </c>
      <c r="C70" s="26">
        <v>0</v>
      </c>
      <c r="D70" s="26">
        <v>0</v>
      </c>
      <c r="E70" s="26">
        <v>0</v>
      </c>
      <c r="F70" s="26">
        <v>0</v>
      </c>
      <c r="G70" s="26"/>
      <c r="H70" s="26" t="str">
        <f>IFERROR(VLOOKUP(G70,Basic_Data!$E$2:$I$9,5,0),"")</f>
        <v/>
      </c>
      <c r="I70" s="26">
        <v>0</v>
      </c>
      <c r="J70" s="26">
        <v>0</v>
      </c>
      <c r="K70" s="27" t="str">
        <f>IFERROR(VLOOKUP($B70-1,Inverter_PR!$B:$I,Module_Cleaning!H70,0),"")</f>
        <v/>
      </c>
      <c r="L70" s="27" t="str">
        <f>IFERROR(VLOOKUP($B70+1,Inverter_PR!$B:$I,Module_Cleaning!H70,0),"")</f>
        <v/>
      </c>
      <c r="M70" s="26">
        <f t="shared" si="0"/>
        <v>0</v>
      </c>
      <c r="N70" s="26" t="s">
        <v>237</v>
      </c>
    </row>
    <row r="71" ht="15" spans="1:14">
      <c r="A71" s="24">
        <v>45795</v>
      </c>
      <c r="B71" s="25">
        <v>45795</v>
      </c>
      <c r="C71" s="26">
        <v>0</v>
      </c>
      <c r="D71" s="26">
        <v>0</v>
      </c>
      <c r="E71" s="26">
        <v>0</v>
      </c>
      <c r="F71" s="26">
        <v>0</v>
      </c>
      <c r="G71" s="26"/>
      <c r="H71" s="26" t="str">
        <f>IFERROR(VLOOKUP(G71,Basic_Data!$E$2:$I$9,5,0),"")</f>
        <v/>
      </c>
      <c r="I71" s="26">
        <v>0</v>
      </c>
      <c r="J71" s="26">
        <v>0</v>
      </c>
      <c r="K71" s="27" t="str">
        <f>IFERROR(VLOOKUP($B71-1,Inverter_PR!$B:$I,Module_Cleaning!H71,0),"")</f>
        <v/>
      </c>
      <c r="L71" s="27" t="str">
        <f>IFERROR(VLOOKUP($B71+1,Inverter_PR!$B:$I,Module_Cleaning!H71,0),"")</f>
        <v/>
      </c>
      <c r="M71" s="26">
        <f t="shared" ref="M71" si="8">IFERROR(I71-J71,"")</f>
        <v>0</v>
      </c>
      <c r="N71" s="26" t="s">
        <v>237</v>
      </c>
    </row>
    <row r="72" ht="15" spans="1:14">
      <c r="A72" s="24">
        <v>45796</v>
      </c>
      <c r="B72" s="25">
        <v>45796</v>
      </c>
      <c r="C72" s="26">
        <v>0</v>
      </c>
      <c r="D72" s="26">
        <v>0</v>
      </c>
      <c r="E72" s="26">
        <v>0</v>
      </c>
      <c r="F72" s="26">
        <v>0</v>
      </c>
      <c r="G72" s="26"/>
      <c r="H72" s="26" t="str">
        <f>IFERROR(VLOOKUP(G72,Basic_Data!$E$2:$I$9,5,0),"")</f>
        <v/>
      </c>
      <c r="I72" s="26">
        <v>0</v>
      </c>
      <c r="J72" s="26">
        <v>0</v>
      </c>
      <c r="K72" s="27" t="str">
        <f>IFERROR(VLOOKUP($B72-1,Inverter_PR!$B:$I,Module_Cleaning!H72,0),"")</f>
        <v/>
      </c>
      <c r="L72" s="27" t="str">
        <f>IFERROR(VLOOKUP($B72+1,Inverter_PR!$B:$I,Module_Cleaning!H72,0),"")</f>
        <v/>
      </c>
      <c r="M72" s="26">
        <f t="shared" ref="M72" si="9">IFERROR(I72-J72,"")</f>
        <v>0</v>
      </c>
      <c r="N72" s="26" t="s">
        <v>237</v>
      </c>
    </row>
    <row r="73" ht="15" spans="1:14">
      <c r="A73" s="24">
        <v>45797</v>
      </c>
      <c r="B73" s="25">
        <v>45797</v>
      </c>
      <c r="C73" s="26">
        <v>5</v>
      </c>
      <c r="D73" s="26">
        <v>5000</v>
      </c>
      <c r="E73" s="26"/>
      <c r="F73" s="26">
        <v>1</v>
      </c>
      <c r="G73" s="26" t="s">
        <v>35</v>
      </c>
      <c r="H73" s="26">
        <f>IFERROR(VLOOKUP(G73,Basic_Data!$E$2:$I$9,5,0),"")</f>
        <v>2</v>
      </c>
      <c r="I73" s="26">
        <f>IFERROR(VLOOKUP($G73,Basic_Data!$E$2:$H$10,4,0),"")</f>
        <v>616</v>
      </c>
      <c r="J73" s="26">
        <v>616</v>
      </c>
      <c r="K73" s="27">
        <f>IFERROR(VLOOKUP($B73-1,Inverter_PR!$B:$I,Module_Cleaning!H73,0),"")</f>
        <v>0.923990290128739</v>
      </c>
      <c r="L73" s="27">
        <f>IFERROR(VLOOKUP($B73+1,Inverter_PR!$B:$I,Module_Cleaning!H73,0),"")</f>
        <v>0.961717142138643</v>
      </c>
      <c r="M73" s="26">
        <f t="shared" si="0"/>
        <v>0</v>
      </c>
      <c r="N73" s="26" t="s">
        <v>239</v>
      </c>
    </row>
    <row r="74" ht="15" spans="1:14">
      <c r="A74" s="24"/>
      <c r="B74" s="25"/>
      <c r="C74" s="26"/>
      <c r="D74" s="26"/>
      <c r="E74" s="26"/>
      <c r="F74" s="26"/>
      <c r="G74" s="26" t="s">
        <v>36</v>
      </c>
      <c r="H74" s="26"/>
      <c r="I74" s="26"/>
      <c r="J74" s="26"/>
      <c r="K74" s="27"/>
      <c r="L74" s="27"/>
      <c r="M74" s="26"/>
      <c r="N74" s="26" t="s">
        <v>239</v>
      </c>
    </row>
    <row r="75" ht="15" spans="1:14">
      <c r="A75" s="24"/>
      <c r="B75" s="25"/>
      <c r="C75" s="26"/>
      <c r="D75" s="26"/>
      <c r="E75" s="26"/>
      <c r="F75" s="26"/>
      <c r="G75" s="26" t="s">
        <v>37</v>
      </c>
      <c r="H75" s="26"/>
      <c r="I75" s="26"/>
      <c r="J75" s="26"/>
      <c r="K75" s="27"/>
      <c r="L75" s="27"/>
      <c r="M75" s="26"/>
      <c r="N75" s="26" t="s">
        <v>239</v>
      </c>
    </row>
    <row r="76" ht="15" spans="1:14">
      <c r="A76" s="24"/>
      <c r="B76" s="25"/>
      <c r="C76" s="26"/>
      <c r="D76" s="26"/>
      <c r="E76" s="26"/>
      <c r="F76" s="26"/>
      <c r="G76" s="26" t="s">
        <v>38</v>
      </c>
      <c r="H76" s="26"/>
      <c r="I76" s="26"/>
      <c r="J76" s="26"/>
      <c r="K76" s="27"/>
      <c r="L76" s="27"/>
      <c r="M76" s="26"/>
      <c r="N76" s="26" t="s">
        <v>239</v>
      </c>
    </row>
    <row r="77" ht="15" spans="1:14">
      <c r="A77" s="24"/>
      <c r="B77" s="25"/>
      <c r="C77" s="26"/>
      <c r="D77" s="26"/>
      <c r="E77" s="26"/>
      <c r="F77" s="26"/>
      <c r="G77" s="26" t="s">
        <v>39</v>
      </c>
      <c r="H77" s="26"/>
      <c r="I77" s="26"/>
      <c r="J77" s="26"/>
      <c r="K77" s="27"/>
      <c r="L77" s="27"/>
      <c r="M77" s="26"/>
      <c r="N77" s="26" t="s">
        <v>239</v>
      </c>
    </row>
    <row r="78" ht="15" spans="1:14">
      <c r="A78" s="24"/>
      <c r="B78" s="25"/>
      <c r="C78" s="26"/>
      <c r="D78" s="26"/>
      <c r="E78" s="26"/>
      <c r="F78" s="26"/>
      <c r="G78" s="26" t="s">
        <v>40</v>
      </c>
      <c r="H78" s="26"/>
      <c r="I78" s="26"/>
      <c r="J78" s="26"/>
      <c r="K78" s="27"/>
      <c r="L78" s="27"/>
      <c r="M78" s="26"/>
      <c r="N78" s="26" t="s">
        <v>239</v>
      </c>
    </row>
    <row r="79" ht="15" spans="1:14">
      <c r="A79" s="24"/>
      <c r="B79" s="25"/>
      <c r="C79" s="26"/>
      <c r="D79" s="26"/>
      <c r="E79" s="26"/>
      <c r="F79" s="26"/>
      <c r="G79" s="26" t="s">
        <v>41</v>
      </c>
      <c r="H79" s="26"/>
      <c r="I79" s="26"/>
      <c r="J79" s="26"/>
      <c r="K79" s="27"/>
      <c r="L79" s="27"/>
      <c r="M79" s="26"/>
      <c r="N79" s="26" t="s">
        <v>239</v>
      </c>
    </row>
    <row r="80" ht="15" spans="1:14">
      <c r="A80" s="24">
        <v>45798</v>
      </c>
      <c r="B80" s="25">
        <v>45798</v>
      </c>
      <c r="C80" s="26">
        <v>0</v>
      </c>
      <c r="D80" s="26">
        <v>0</v>
      </c>
      <c r="E80" s="26">
        <v>0</v>
      </c>
      <c r="F80" s="26">
        <v>0</v>
      </c>
      <c r="G80" s="26"/>
      <c r="H80" s="26" t="str">
        <f>IFERROR(VLOOKUP(G80,Basic_Data!$E$2:$I$9,5,0),"")</f>
        <v/>
      </c>
      <c r="I80" s="26">
        <v>0</v>
      </c>
      <c r="J80" s="26">
        <v>0</v>
      </c>
      <c r="K80" s="27" t="str">
        <f>IFERROR(VLOOKUP($B80-1,Inverter_PR!$B:$I,Module_Cleaning!H80,0),"")</f>
        <v/>
      </c>
      <c r="L80" s="27" t="str">
        <f>IFERROR(VLOOKUP($B80+1,Inverter_PR!$B:$I,Module_Cleaning!H80,0),"")</f>
        <v/>
      </c>
      <c r="M80" s="26">
        <f t="shared" ref="M80" si="10">IFERROR(I80-J80,"")</f>
        <v>0</v>
      </c>
      <c r="N80" s="26" t="s">
        <v>237</v>
      </c>
    </row>
    <row r="81" ht="15" spans="1:14">
      <c r="A81" s="24">
        <v>45799</v>
      </c>
      <c r="B81" s="25">
        <v>45799</v>
      </c>
      <c r="C81" s="26">
        <v>0</v>
      </c>
      <c r="D81" s="26">
        <v>0</v>
      </c>
      <c r="E81" s="26">
        <v>0</v>
      </c>
      <c r="F81" s="26">
        <v>0</v>
      </c>
      <c r="G81" s="26"/>
      <c r="H81" s="26" t="str">
        <f>IFERROR(VLOOKUP(G81,Basic_Data!$E$2:$I$9,5,0),"")</f>
        <v/>
      </c>
      <c r="I81" s="26">
        <v>0</v>
      </c>
      <c r="J81" s="26">
        <v>0</v>
      </c>
      <c r="K81" s="27" t="str">
        <f>IFERROR(VLOOKUP($B81-1,Inverter_PR!$B:$I,Module_Cleaning!H81,0),"")</f>
        <v/>
      </c>
      <c r="L81" s="27" t="str">
        <f>IFERROR(VLOOKUP($B81+1,Inverter_PR!$B:$I,Module_Cleaning!H81,0),"")</f>
        <v/>
      </c>
      <c r="M81" s="26">
        <f t="shared" ref="M81" si="11">IFERROR(I81-J81,"")</f>
        <v>0</v>
      </c>
      <c r="N81" s="26" t="s">
        <v>237</v>
      </c>
    </row>
    <row r="82" ht="15" spans="1:14">
      <c r="A82" s="24">
        <v>45800</v>
      </c>
      <c r="B82" s="25">
        <v>45800</v>
      </c>
      <c r="C82" s="26">
        <v>0</v>
      </c>
      <c r="D82" s="26">
        <v>0</v>
      </c>
      <c r="E82" s="26">
        <v>0</v>
      </c>
      <c r="F82" s="26">
        <v>0</v>
      </c>
      <c r="G82" s="26"/>
      <c r="H82" s="26" t="str">
        <f>IFERROR(VLOOKUP(G82,Basic_Data!$E$2:$I$9,5,0),"")</f>
        <v/>
      </c>
      <c r="I82" s="26">
        <v>0</v>
      </c>
      <c r="J82" s="26">
        <v>0</v>
      </c>
      <c r="K82" s="27" t="str">
        <f>IFERROR(VLOOKUP($B82-1,Inverter_PR!$B:$I,Module_Cleaning!H82,0),"")</f>
        <v/>
      </c>
      <c r="L82" s="27" t="str">
        <f>IFERROR(VLOOKUP($B82+1,Inverter_PR!$B:$I,Module_Cleaning!H82,0),"")</f>
        <v/>
      </c>
      <c r="M82" s="26">
        <f t="shared" ref="M82" si="12">IFERROR(I82-J82,"")</f>
        <v>0</v>
      </c>
      <c r="N82" s="26" t="s">
        <v>237</v>
      </c>
    </row>
    <row r="83" ht="15" spans="1:14">
      <c r="A83" s="24">
        <v>45801</v>
      </c>
      <c r="B83" s="25">
        <v>45801</v>
      </c>
      <c r="C83" s="26">
        <v>0</v>
      </c>
      <c r="D83" s="26">
        <v>0</v>
      </c>
      <c r="E83" s="26">
        <v>0</v>
      </c>
      <c r="F83" s="26">
        <v>0</v>
      </c>
      <c r="G83" s="26"/>
      <c r="H83" s="26" t="str">
        <f>IFERROR(VLOOKUP(G83,Basic_Data!$E$2:$I$9,5,0),"")</f>
        <v/>
      </c>
      <c r="I83" s="26">
        <v>0</v>
      </c>
      <c r="J83" s="26">
        <v>0</v>
      </c>
      <c r="K83" s="27" t="str">
        <f>IFERROR(VLOOKUP($B83-1,Inverter_PR!$B:$I,Module_Cleaning!H83,0),"")</f>
        <v/>
      </c>
      <c r="L83" s="27" t="str">
        <f>IFERROR(VLOOKUP($B83+1,Inverter_PR!$B:$I,Module_Cleaning!H83,0),"")</f>
        <v/>
      </c>
      <c r="M83" s="26">
        <f t="shared" ref="M83" si="13">IFERROR(I83-J83,"")</f>
        <v>0</v>
      </c>
      <c r="N83" s="26" t="s">
        <v>237</v>
      </c>
    </row>
    <row r="84" ht="15" spans="1:14">
      <c r="A84" s="24">
        <v>45802</v>
      </c>
      <c r="B84" s="25">
        <v>45802</v>
      </c>
      <c r="C84" s="26">
        <v>0</v>
      </c>
      <c r="D84" s="26">
        <v>0</v>
      </c>
      <c r="E84" s="26">
        <v>0</v>
      </c>
      <c r="F84" s="26">
        <v>0</v>
      </c>
      <c r="G84" s="26"/>
      <c r="H84" s="26" t="str">
        <f>IFERROR(VLOOKUP(G84,Basic_Data!$E$2:$I$9,5,0),"")</f>
        <v/>
      </c>
      <c r="I84" s="26">
        <v>0</v>
      </c>
      <c r="J84" s="26">
        <v>0</v>
      </c>
      <c r="K84" s="27" t="str">
        <f>IFERROR(VLOOKUP($B84-1,Inverter_PR!$B:$I,Module_Cleaning!H84,0),"")</f>
        <v/>
      </c>
      <c r="L84" s="27" t="str">
        <f>IFERROR(VLOOKUP($B84+1,Inverter_PR!$B:$I,Module_Cleaning!H84,0),"")</f>
        <v/>
      </c>
      <c r="M84" s="26">
        <f t="shared" ref="M84" si="14">IFERROR(I84-J84,"")</f>
        <v>0</v>
      </c>
      <c r="N84" s="26" t="s">
        <v>237</v>
      </c>
    </row>
    <row r="85" ht="15" spans="1:14">
      <c r="A85" s="24">
        <v>45803</v>
      </c>
      <c r="B85" s="25">
        <v>45803</v>
      </c>
      <c r="C85" s="26">
        <v>0</v>
      </c>
      <c r="D85" s="26">
        <v>0</v>
      </c>
      <c r="E85" s="26">
        <v>0</v>
      </c>
      <c r="F85" s="26">
        <v>0</v>
      </c>
      <c r="G85" s="26"/>
      <c r="H85" s="26" t="str">
        <f>IFERROR(VLOOKUP(G85,Basic_Data!$E$2:$I$9,5,0),"")</f>
        <v/>
      </c>
      <c r="I85" s="26">
        <v>0</v>
      </c>
      <c r="J85" s="26">
        <v>0</v>
      </c>
      <c r="K85" s="27" t="str">
        <f>IFERROR(VLOOKUP($B85-1,Inverter_PR!$B:$I,Module_Cleaning!H85,0),"")</f>
        <v/>
      </c>
      <c r="L85" s="27" t="str">
        <f>IFERROR(VLOOKUP($B85+1,Inverter_PR!$B:$I,Module_Cleaning!H85,0),"")</f>
        <v/>
      </c>
      <c r="M85" s="26">
        <f t="shared" ref="M85" si="15">IFERROR(I85-J85,"")</f>
        <v>0</v>
      </c>
      <c r="N85" s="26" t="s">
        <v>237</v>
      </c>
    </row>
    <row r="86" ht="15" spans="1:14">
      <c r="A86" s="24">
        <v>45804</v>
      </c>
      <c r="B86" s="25">
        <v>45804</v>
      </c>
      <c r="C86" s="26">
        <v>0</v>
      </c>
      <c r="D86" s="26">
        <v>0</v>
      </c>
      <c r="E86" s="26">
        <v>0</v>
      </c>
      <c r="F86" s="26">
        <v>2</v>
      </c>
      <c r="G86" s="26" t="s">
        <v>35</v>
      </c>
      <c r="H86" s="26">
        <f>IFERROR(VLOOKUP(G86,Basic_Data!$E$2:$I$9,5,0),"")</f>
        <v>2</v>
      </c>
      <c r="I86" s="26">
        <f>IFERROR(VLOOKUP($G86,Basic_Data!$E$2:$H$10,4,0),"")</f>
        <v>616</v>
      </c>
      <c r="J86" s="26">
        <v>616</v>
      </c>
      <c r="K86" s="27">
        <f>IFERROR(VLOOKUP($B86-1,Inverter_PR!$B:$I,Module_Cleaning!H86,0),"")</f>
        <v>0.889669224550565</v>
      </c>
      <c r="L86" s="27">
        <f>IFERROR(VLOOKUP($B86+1,Inverter_PR!$B:$I,Module_Cleaning!H86,0),"")</f>
        <v>0.961057102749253</v>
      </c>
      <c r="M86" s="26">
        <f t="shared" si="0"/>
        <v>0</v>
      </c>
      <c r="N86" s="26" t="s">
        <v>236</v>
      </c>
    </row>
    <row r="87" ht="15" spans="1:14">
      <c r="A87" s="24">
        <v>45804</v>
      </c>
      <c r="B87" s="25">
        <v>45804</v>
      </c>
      <c r="C87" s="26">
        <v>0</v>
      </c>
      <c r="D87" s="26">
        <v>0</v>
      </c>
      <c r="E87" s="26">
        <v>0</v>
      </c>
      <c r="F87" s="26">
        <v>2</v>
      </c>
      <c r="G87" s="26" t="s">
        <v>36</v>
      </c>
      <c r="H87" s="26">
        <v>3</v>
      </c>
      <c r="I87" s="26">
        <v>616</v>
      </c>
      <c r="J87" s="26">
        <v>616</v>
      </c>
      <c r="K87" s="27">
        <f>IFERROR(VLOOKUP($B87-1,Inverter_PR!$B:$I,Module_Cleaning!H87,0),"")</f>
        <v>0.893891062307925</v>
      </c>
      <c r="L87" s="27">
        <f>IFERROR(VLOOKUP($B87+1,Inverter_PR!$B:$I,Module_Cleaning!H87,0),"")</f>
        <v>0.957140699750282</v>
      </c>
      <c r="M87" s="26">
        <v>0</v>
      </c>
      <c r="N87" s="26" t="s">
        <v>236</v>
      </c>
    </row>
    <row r="88" ht="15" spans="1:14">
      <c r="A88" s="24">
        <v>45805</v>
      </c>
      <c r="B88" s="25">
        <v>45805</v>
      </c>
      <c r="C88" s="26">
        <v>0</v>
      </c>
      <c r="D88" s="26">
        <v>0</v>
      </c>
      <c r="E88" s="26">
        <v>0</v>
      </c>
      <c r="F88" s="26">
        <v>2</v>
      </c>
      <c r="G88" s="26" t="s">
        <v>37</v>
      </c>
      <c r="H88" s="26">
        <f>IFERROR(VLOOKUP(G88,Basic_Data!$E$2:$I$9,5,0),"")</f>
        <v>4</v>
      </c>
      <c r="I88" s="26">
        <f>IFERROR(VLOOKUP($G88,Basic_Data!$E$2:$H$10,4,0),"")</f>
        <v>616</v>
      </c>
      <c r="J88" s="26">
        <v>616</v>
      </c>
      <c r="K88" s="27">
        <f>IFERROR(VLOOKUP($B88-1,Inverter_PR!$B:$I,Module_Cleaning!H88,0),"")</f>
        <v>0.986557394430328</v>
      </c>
      <c r="L88" s="27">
        <f>IFERROR(VLOOKUP($B88+1,Inverter_PR!$B:$I,Module_Cleaning!H88,0),"")</f>
        <v>0.930658096072323</v>
      </c>
      <c r="M88" s="26">
        <f t="shared" si="0"/>
        <v>0</v>
      </c>
      <c r="N88" s="26" t="s">
        <v>236</v>
      </c>
    </row>
    <row r="89" ht="15" spans="1:14">
      <c r="A89" s="24">
        <v>45805</v>
      </c>
      <c r="B89" s="25">
        <v>45805</v>
      </c>
      <c r="C89" s="26">
        <v>0</v>
      </c>
      <c r="D89" s="26">
        <v>0</v>
      </c>
      <c r="E89" s="26">
        <v>0</v>
      </c>
      <c r="F89" s="26">
        <v>2</v>
      </c>
      <c r="G89" s="26" t="s">
        <v>38</v>
      </c>
      <c r="H89" s="26">
        <f>IFERROR(VLOOKUP(G89,Basic_Data!$E$2:$I$9,5,0),"")</f>
        <v>5</v>
      </c>
      <c r="I89" s="26">
        <f>IFERROR(VLOOKUP($G89,Basic_Data!$E$2:$H$10,4,0),"")</f>
        <v>644</v>
      </c>
      <c r="J89" s="26">
        <v>644</v>
      </c>
      <c r="K89" s="27">
        <f>IFERROR(VLOOKUP($B89-1,Inverter_PR!$B:$I,Module_Cleaning!H89,0),"")</f>
        <v>0.983225571295276</v>
      </c>
      <c r="L89" s="27">
        <f>IFERROR(VLOOKUP($B89+1,Inverter_PR!$B:$I,Module_Cleaning!H89,0),"")</f>
        <v>0.928570140004255</v>
      </c>
      <c r="M89" s="26">
        <f t="shared" ref="M89" si="16">IFERROR(I89-J89,"")</f>
        <v>0</v>
      </c>
      <c r="N89" s="26" t="s">
        <v>236</v>
      </c>
    </row>
    <row r="90" ht="15" spans="1:14">
      <c r="A90" s="24">
        <v>45805</v>
      </c>
      <c r="B90" s="25">
        <v>45805</v>
      </c>
      <c r="C90" s="26">
        <v>0</v>
      </c>
      <c r="D90" s="26">
        <v>0</v>
      </c>
      <c r="E90" s="26">
        <v>0</v>
      </c>
      <c r="F90" s="26">
        <v>2</v>
      </c>
      <c r="G90" s="26" t="s">
        <v>39</v>
      </c>
      <c r="H90" s="26">
        <f>IFERROR(VLOOKUP(G90,Basic_Data!$E$2:$I$9,5,0),"")</f>
        <v>6</v>
      </c>
      <c r="I90" s="26">
        <f>IFERROR(VLOOKUP($G90,Basic_Data!$E$2:$H$10,4,0),"")</f>
        <v>644</v>
      </c>
      <c r="J90" s="26">
        <v>644</v>
      </c>
      <c r="K90" s="27">
        <f>IFERROR(VLOOKUP($B90-1,Inverter_PR!$B:$I,Module_Cleaning!H90,0),"")</f>
        <v>0.980150481107273</v>
      </c>
      <c r="L90" s="27">
        <f>IFERROR(VLOOKUP($B90+1,Inverter_PR!$B:$I,Module_Cleaning!H90,0),"")</f>
        <v>0.92052852634781</v>
      </c>
      <c r="M90" s="26">
        <f t="shared" ref="M90" si="17">IFERROR(I90-J90,"")</f>
        <v>0</v>
      </c>
      <c r="N90" s="26" t="s">
        <v>236</v>
      </c>
    </row>
    <row r="91" ht="15" spans="1:14">
      <c r="A91" s="24">
        <v>45806</v>
      </c>
      <c r="B91" s="25">
        <v>45806</v>
      </c>
      <c r="C91" s="26">
        <v>0</v>
      </c>
      <c r="D91" s="26">
        <v>0</v>
      </c>
      <c r="E91" s="26">
        <v>0</v>
      </c>
      <c r="F91" s="26">
        <v>2</v>
      </c>
      <c r="G91" s="26" t="s">
        <v>40</v>
      </c>
      <c r="H91" s="26">
        <f>IFERROR(VLOOKUP(G91,Basic_Data!$E$2:$I$9,5,0),"")</f>
        <v>7</v>
      </c>
      <c r="I91" s="26">
        <f>IFERROR(VLOOKUP($G91,Basic_Data!$E$2:$H$10,4,0),"")</f>
        <v>644</v>
      </c>
      <c r="J91" s="26">
        <v>644</v>
      </c>
      <c r="K91" s="27">
        <f>IFERROR(VLOOKUP($B91-1,Inverter_PR!$B:$I,Module_Cleaning!H91,0),"")</f>
        <v>0.917566029696509</v>
      </c>
      <c r="L91" s="27">
        <f>IFERROR(VLOOKUP($B91+1,Inverter_PR!$B:$I,Module_Cleaning!H91,0),"")</f>
        <v>0.891745073976633</v>
      </c>
      <c r="M91" s="26">
        <f t="shared" si="0"/>
        <v>0</v>
      </c>
      <c r="N91" s="26" t="s">
        <v>236</v>
      </c>
    </row>
    <row r="92" ht="15" spans="1:14">
      <c r="A92" s="24">
        <v>45806</v>
      </c>
      <c r="B92" s="25">
        <v>45806</v>
      </c>
      <c r="C92" s="26">
        <v>0</v>
      </c>
      <c r="D92" s="26">
        <v>0</v>
      </c>
      <c r="E92" s="26">
        <v>0</v>
      </c>
      <c r="F92" s="26">
        <v>2</v>
      </c>
      <c r="G92" s="26" t="s">
        <v>41</v>
      </c>
      <c r="H92" s="26">
        <v>8</v>
      </c>
      <c r="I92" s="26">
        <v>644</v>
      </c>
      <c r="J92" s="26">
        <v>644</v>
      </c>
      <c r="K92" s="27">
        <f>IFERROR(VLOOKUP($B92-1,Inverter_PR!$B:$I,Module_Cleaning!H92,0),"")</f>
        <v>0.922906748816424</v>
      </c>
      <c r="L92" s="27">
        <f>IFERROR(VLOOKUP($B92+1,Inverter_PR!$B:$I,Module_Cleaning!H92,0),"")</f>
        <v>0.900244574434637</v>
      </c>
      <c r="M92" s="26">
        <v>0</v>
      </c>
      <c r="N92" s="26" t="s">
        <v>236</v>
      </c>
    </row>
    <row r="93" ht="15" spans="1:14">
      <c r="A93" s="24">
        <v>45807</v>
      </c>
      <c r="B93" s="25">
        <v>45807</v>
      </c>
      <c r="C93" s="26">
        <v>0</v>
      </c>
      <c r="D93" s="26">
        <v>0</v>
      </c>
      <c r="E93" s="26">
        <v>0</v>
      </c>
      <c r="F93" s="26">
        <v>0</v>
      </c>
      <c r="G93" s="26"/>
      <c r="H93" s="26" t="str">
        <f>IFERROR(VLOOKUP(G93,Basic_Data!$E$2:$I$9,5,0),"")</f>
        <v/>
      </c>
      <c r="I93" s="26">
        <v>0</v>
      </c>
      <c r="J93" s="26">
        <v>0</v>
      </c>
      <c r="K93" s="27" t="str">
        <f>IFERROR(VLOOKUP($B93-1,Inverter_PR!$B:$I,Module_Cleaning!H93,0),"")</f>
        <v/>
      </c>
      <c r="L93" s="27">
        <v>0</v>
      </c>
      <c r="M93" s="26">
        <f t="shared" si="0"/>
        <v>0</v>
      </c>
      <c r="N93" s="26" t="s">
        <v>237</v>
      </c>
    </row>
    <row r="94" ht="15" spans="1:14">
      <c r="A94" s="24">
        <v>45808</v>
      </c>
      <c r="B94" s="25">
        <v>45808</v>
      </c>
      <c r="C94" s="26">
        <v>0</v>
      </c>
      <c r="D94" s="26">
        <v>0</v>
      </c>
      <c r="E94" s="26">
        <v>0</v>
      </c>
      <c r="F94" s="26">
        <v>0</v>
      </c>
      <c r="G94" s="26"/>
      <c r="H94" s="26" t="str">
        <f>IFERROR(VLOOKUP(G94,Basic_Data!$E$2:$I$9,5,0),"")</f>
        <v/>
      </c>
      <c r="I94" s="26">
        <v>0</v>
      </c>
      <c r="J94" s="26">
        <v>0</v>
      </c>
      <c r="K94" s="27" t="str">
        <f>IFERROR(VLOOKUP($B94-1,Inverter_PR!$B:$I,Module_Cleaning!H94,0),"")</f>
        <v/>
      </c>
      <c r="L94" s="27">
        <v>0</v>
      </c>
      <c r="M94" s="26">
        <f t="shared" ref="M94" si="18">IFERROR(I94-J94,"")</f>
        <v>0</v>
      </c>
      <c r="N94" s="26" t="s">
        <v>237</v>
      </c>
    </row>
    <row r="95" ht="15" spans="1:14">
      <c r="A95" s="24">
        <v>45809</v>
      </c>
      <c r="B95" s="25">
        <v>45809</v>
      </c>
      <c r="C95" s="26">
        <v>0</v>
      </c>
      <c r="D95" s="26">
        <v>0</v>
      </c>
      <c r="E95" s="26">
        <v>0</v>
      </c>
      <c r="F95" s="26">
        <v>0</v>
      </c>
      <c r="G95" s="26"/>
      <c r="H95" s="26" t="str">
        <f>IFERROR(VLOOKUP(G95,Basic_Data!$E$2:$I$9,5,0),"")</f>
        <v/>
      </c>
      <c r="I95" s="26">
        <v>0</v>
      </c>
      <c r="J95" s="26">
        <v>0</v>
      </c>
      <c r="K95" s="27" t="str">
        <f>IFERROR(VLOOKUP($B95-1,Inverter_PR!$B:$I,Module_Cleaning!H95,0),"")</f>
        <v/>
      </c>
      <c r="L95" s="27" t="str">
        <f>IFERROR(VLOOKUP($B95+1,Inverter_PR!$B:$I,Module_Cleaning!H95,0),"")</f>
        <v/>
      </c>
      <c r="M95" s="26">
        <f t="shared" si="0"/>
        <v>0</v>
      </c>
      <c r="N95" s="26" t="s">
        <v>237</v>
      </c>
    </row>
    <row r="96" ht="15" spans="1:14">
      <c r="A96" s="24">
        <v>45810</v>
      </c>
      <c r="B96" s="25">
        <v>45810</v>
      </c>
      <c r="C96" s="26">
        <v>0</v>
      </c>
      <c r="D96" s="26">
        <v>0</v>
      </c>
      <c r="E96" s="26">
        <v>0</v>
      </c>
      <c r="F96" s="26">
        <v>0</v>
      </c>
      <c r="G96" s="26"/>
      <c r="H96" s="26" t="str">
        <f>IFERROR(VLOOKUP(G96,Basic_Data!$E$2:$I$9,5,0),"")</f>
        <v/>
      </c>
      <c r="I96" s="26">
        <v>0</v>
      </c>
      <c r="J96" s="26">
        <v>0</v>
      </c>
      <c r="K96" s="27">
        <v>0</v>
      </c>
      <c r="L96" s="27">
        <v>0</v>
      </c>
      <c r="M96" s="26">
        <f t="shared" si="0"/>
        <v>0</v>
      </c>
      <c r="N96" s="26" t="s">
        <v>237</v>
      </c>
    </row>
    <row r="97" ht="15" spans="1:14">
      <c r="A97" s="24">
        <v>45811</v>
      </c>
      <c r="B97" s="25">
        <v>45811</v>
      </c>
      <c r="C97" s="26">
        <v>0</v>
      </c>
      <c r="D97" s="26">
        <v>0</v>
      </c>
      <c r="E97" s="26">
        <v>0</v>
      </c>
      <c r="F97" s="26">
        <v>0</v>
      </c>
      <c r="G97" s="26"/>
      <c r="H97" s="26" t="str">
        <f>IFERROR(VLOOKUP(G97,Basic_Data!$E$2:$I$9,5,0),"")</f>
        <v/>
      </c>
      <c r="I97" s="26">
        <v>0</v>
      </c>
      <c r="J97" s="26">
        <v>0</v>
      </c>
      <c r="K97" s="27">
        <v>0</v>
      </c>
      <c r="L97" s="27">
        <v>0</v>
      </c>
      <c r="M97" s="26">
        <f t="shared" ref="M97" si="19">IFERROR(I97-J97,"")</f>
        <v>0</v>
      </c>
      <c r="N97" s="26" t="s">
        <v>237</v>
      </c>
    </row>
    <row r="98" ht="15" spans="1:14">
      <c r="A98" s="24">
        <v>45812</v>
      </c>
      <c r="B98" s="25">
        <v>45812</v>
      </c>
      <c r="C98" s="26">
        <v>0</v>
      </c>
      <c r="D98" s="26">
        <v>0</v>
      </c>
      <c r="E98" s="26">
        <v>0</v>
      </c>
      <c r="F98" s="26">
        <v>1</v>
      </c>
      <c r="G98" s="26" t="s">
        <v>35</v>
      </c>
      <c r="H98" s="26">
        <f>IFERROR(VLOOKUP(G98,Basic_Data!$E$2:$I$9,5,0),"")</f>
        <v>2</v>
      </c>
      <c r="I98" s="26">
        <f>IFERROR(VLOOKUP($G98,Basic_Data!$E$2:$H$10,4,0),"")</f>
        <v>616</v>
      </c>
      <c r="J98" s="26">
        <v>616</v>
      </c>
      <c r="K98" s="27">
        <f>IFERROR(VLOOKUP($B98-1,Inverter_PR!$B:$I,Module_Cleaning!H98,0),"")</f>
        <v>0.680691683785705</v>
      </c>
      <c r="L98" s="27">
        <f>IFERROR(VLOOKUP($B98+1,Inverter_PR!$B:$I,Module_Cleaning!H98,0),"")</f>
        <v>0.984066808920854</v>
      </c>
      <c r="M98" s="26">
        <f t="shared" ref="M98:M120" si="20">IFERROR(I98-J98,"")</f>
        <v>0</v>
      </c>
      <c r="N98" s="26" t="s">
        <v>236</v>
      </c>
    </row>
    <row r="99" ht="15" spans="1:14">
      <c r="A99" s="24">
        <v>45812</v>
      </c>
      <c r="B99" s="25">
        <v>45812</v>
      </c>
      <c r="C99" s="26">
        <v>0</v>
      </c>
      <c r="D99" s="26">
        <v>0</v>
      </c>
      <c r="E99" s="26">
        <v>0</v>
      </c>
      <c r="F99" s="26">
        <v>1</v>
      </c>
      <c r="G99" s="26" t="s">
        <v>36</v>
      </c>
      <c r="H99" s="26">
        <f>IFERROR(VLOOKUP(G99,Basic_Data!$E$2:$I$9,5,0),"")</f>
        <v>3</v>
      </c>
      <c r="I99" s="26">
        <f>IFERROR(VLOOKUP($G99,Basic_Data!$E$2:$H$10,4,0),"")</f>
        <v>616</v>
      </c>
      <c r="J99" s="26">
        <v>616</v>
      </c>
      <c r="K99" s="27">
        <f>IFERROR(VLOOKUP($B99-1,Inverter_PR!$B:$I,Module_Cleaning!H99,0),"")</f>
        <v>0.676323630190387</v>
      </c>
      <c r="L99" s="27">
        <f>IFERROR(VLOOKUP($B99+1,Inverter_PR!$B:$I,Module_Cleaning!H99,0),"")</f>
        <v>0.975991898010247</v>
      </c>
      <c r="M99" s="26">
        <f t="shared" ref="M99" si="21">IFERROR(I99-J99,"")</f>
        <v>0</v>
      </c>
      <c r="N99" s="26" t="s">
        <v>236</v>
      </c>
    </row>
    <row r="100" ht="15" spans="1:14">
      <c r="A100" s="24">
        <v>45813</v>
      </c>
      <c r="B100" s="25">
        <v>45813</v>
      </c>
      <c r="C100" s="26">
        <v>0</v>
      </c>
      <c r="D100" s="26">
        <v>0</v>
      </c>
      <c r="E100" s="26">
        <v>0</v>
      </c>
      <c r="F100" s="26">
        <v>1</v>
      </c>
      <c r="G100" s="26" t="s">
        <v>37</v>
      </c>
      <c r="H100" s="26">
        <f>IFERROR(VLOOKUP(G100,Basic_Data!$E$2:$I$9,5,0),"")</f>
        <v>4</v>
      </c>
      <c r="I100" s="26">
        <f>IFERROR(VLOOKUP($G100,Basic_Data!$E$2:$H$10,4,0),"")</f>
        <v>616</v>
      </c>
      <c r="J100" s="26">
        <v>616</v>
      </c>
      <c r="K100" s="27">
        <f>IFERROR(VLOOKUP($B100-1,Inverter_PR!$B:$I,Module_Cleaning!H100,0),"")</f>
        <v>0.93478339071307</v>
      </c>
      <c r="L100" s="27">
        <f>IFERROR(VLOOKUP($B100+1,Inverter_PR!$B:$I,Module_Cleaning!H100,0),"")</f>
        <v>0.911930040370407</v>
      </c>
      <c r="M100" s="26">
        <f t="shared" ref="M100" si="22">IFERROR(I100-J100,"")</f>
        <v>0</v>
      </c>
      <c r="N100" s="26" t="s">
        <v>236</v>
      </c>
    </row>
    <row r="101" ht="15" spans="1:14">
      <c r="A101" s="24">
        <v>45813</v>
      </c>
      <c r="B101" s="25">
        <v>45813</v>
      </c>
      <c r="C101" s="26">
        <v>0</v>
      </c>
      <c r="D101" s="26">
        <v>0</v>
      </c>
      <c r="E101" s="26">
        <v>0</v>
      </c>
      <c r="F101" s="26">
        <v>1</v>
      </c>
      <c r="G101" s="26" t="s">
        <v>38</v>
      </c>
      <c r="H101" s="26">
        <f>IFERROR(VLOOKUP(G101,Basic_Data!$E$2:$I$9,5,0),"")</f>
        <v>5</v>
      </c>
      <c r="I101" s="26">
        <f>IFERROR(VLOOKUP($G101,Basic_Data!$E$2:$H$10,4,0),"")</f>
        <v>644</v>
      </c>
      <c r="J101" s="26">
        <v>644</v>
      </c>
      <c r="K101" s="27">
        <f>IFERROR(VLOOKUP($B101-1,Inverter_PR!$B:$I,Module_Cleaning!H101,0),"")</f>
        <v>0.931264312331356</v>
      </c>
      <c r="L101" s="27">
        <f>IFERROR(VLOOKUP($B101+1,Inverter_PR!$B:$I,Module_Cleaning!H101,0),"")</f>
        <v>0.916948631348312</v>
      </c>
      <c r="M101" s="26">
        <f t="shared" ref="M101" si="23">IFERROR(I101-J101,"")</f>
        <v>0</v>
      </c>
      <c r="N101" s="26" t="s">
        <v>236</v>
      </c>
    </row>
    <row r="102" ht="15" spans="1:14">
      <c r="A102" s="24">
        <v>45814</v>
      </c>
      <c r="B102" s="25">
        <v>45814</v>
      </c>
      <c r="C102" s="26">
        <v>0</v>
      </c>
      <c r="D102" s="26">
        <v>0</v>
      </c>
      <c r="E102" s="26">
        <v>0</v>
      </c>
      <c r="F102" s="26">
        <v>1</v>
      </c>
      <c r="G102" s="26" t="s">
        <v>39</v>
      </c>
      <c r="H102" s="26">
        <f>IFERROR(VLOOKUP(G102,Basic_Data!$E$2:$I$9,5,0),"")</f>
        <v>6</v>
      </c>
      <c r="I102" s="26">
        <f>IFERROR(VLOOKUP($G102,Basic_Data!$E$2:$H$10,4,0),"")</f>
        <v>644</v>
      </c>
      <c r="J102" s="26">
        <v>644</v>
      </c>
      <c r="K102" s="27">
        <f>IFERROR(VLOOKUP($B102-1,Inverter_PR!$B:$I,Module_Cleaning!H102,0),"")</f>
        <v>0.965235004325551</v>
      </c>
      <c r="L102" s="27">
        <f>IFERROR(VLOOKUP($B102+1,Inverter_PR!$B:$I,Module_Cleaning!H102,0),"")</f>
        <v>0.893834601788779</v>
      </c>
      <c r="M102" s="26">
        <f t="shared" si="20"/>
        <v>0</v>
      </c>
      <c r="N102" s="26" t="s">
        <v>236</v>
      </c>
    </row>
    <row r="103" ht="15" spans="1:14">
      <c r="A103" s="24">
        <v>45814</v>
      </c>
      <c r="B103" s="25">
        <v>45814</v>
      </c>
      <c r="C103" s="26">
        <v>0</v>
      </c>
      <c r="D103" s="26">
        <v>0</v>
      </c>
      <c r="E103" s="26">
        <v>0</v>
      </c>
      <c r="F103" s="26">
        <v>1</v>
      </c>
      <c r="G103" s="26" t="s">
        <v>40</v>
      </c>
      <c r="H103" s="26">
        <f>IFERROR(VLOOKUP(G103,Basic_Data!$E$2:$I$9,5,0),"")</f>
        <v>7</v>
      </c>
      <c r="I103" s="26">
        <f>IFERROR(VLOOKUP($G103,Basic_Data!$E$2:$H$10,4,0),"")</f>
        <v>644</v>
      </c>
      <c r="J103" s="26">
        <v>644</v>
      </c>
      <c r="K103" s="27">
        <f>IFERROR(VLOOKUP($B103-1,Inverter_PR!$B:$I,Module_Cleaning!H103,0),"")</f>
        <v>0.959578116339185</v>
      </c>
      <c r="L103" s="27">
        <f>IFERROR(VLOOKUP($B103+1,Inverter_PR!$B:$I,Module_Cleaning!H103,0),"")</f>
        <v>0.89425176927833</v>
      </c>
      <c r="M103" s="26">
        <f t="shared" ref="M103:M104" si="24">IFERROR(I103-J103,"")</f>
        <v>0</v>
      </c>
      <c r="N103" s="26" t="s">
        <v>236</v>
      </c>
    </row>
    <row r="104" ht="15" spans="1:14">
      <c r="A104" s="24">
        <v>45814</v>
      </c>
      <c r="B104" s="25">
        <v>45814</v>
      </c>
      <c r="C104" s="26">
        <v>0</v>
      </c>
      <c r="D104" s="26">
        <v>0</v>
      </c>
      <c r="E104" s="26">
        <v>0</v>
      </c>
      <c r="F104" s="26">
        <v>1</v>
      </c>
      <c r="G104" s="26" t="s">
        <v>41</v>
      </c>
      <c r="H104" s="26">
        <f>IFERROR(VLOOKUP(G104,Basic_Data!$E$2:$I$9,5,0),"")</f>
        <v>8</v>
      </c>
      <c r="I104" s="26">
        <f>IFERROR(VLOOKUP($G104,Basic_Data!$E$2:$H$10,4,0),"")</f>
        <v>644</v>
      </c>
      <c r="J104" s="26">
        <v>644</v>
      </c>
      <c r="K104" s="27">
        <f>IFERROR(VLOOKUP($B104-1,Inverter_PR!$B:$I,Module_Cleaning!H104,0),"")</f>
        <v>0.957842715720657</v>
      </c>
      <c r="L104" s="27">
        <f>IFERROR(VLOOKUP($B104+1,Inverter_PR!$B:$I,Module_Cleaning!H104,0),"")</f>
        <v>0.902959031134719</v>
      </c>
      <c r="M104" s="26">
        <f t="shared" si="24"/>
        <v>0</v>
      </c>
      <c r="N104" s="26" t="s">
        <v>236</v>
      </c>
    </row>
    <row r="105" ht="15" spans="1:14">
      <c r="A105" s="24">
        <v>45815</v>
      </c>
      <c r="B105" s="25">
        <v>45815</v>
      </c>
      <c r="C105" s="26">
        <v>0</v>
      </c>
      <c r="D105" s="26">
        <v>0</v>
      </c>
      <c r="E105" s="26">
        <v>0</v>
      </c>
      <c r="F105" s="26"/>
      <c r="G105" s="26"/>
      <c r="H105" s="26" t="str">
        <f>IFERROR(VLOOKUP(G105,Basic_Data!$E$2:$I$9,5,0),"")</f>
        <v/>
      </c>
      <c r="I105" s="26" t="str">
        <f>IFERROR(VLOOKUP($G105,Basic_Data!$E$2:$H$10,4,0),"")</f>
        <v/>
      </c>
      <c r="J105" s="26">
        <v>0</v>
      </c>
      <c r="K105" s="27" t="str">
        <f>IFERROR(VLOOKUP($B105-1,Inverter_PR!$B:$I,Module_Cleaning!H105,0),"")</f>
        <v/>
      </c>
      <c r="L105" s="27" t="str">
        <f>IFERROR(VLOOKUP($B105+1,Inverter_PR!$B:$I,Module_Cleaning!H105,0),"")</f>
        <v/>
      </c>
      <c r="M105" s="26" t="str">
        <f t="shared" si="20"/>
        <v/>
      </c>
      <c r="N105" s="26" t="s">
        <v>237</v>
      </c>
    </row>
    <row r="106" ht="15" spans="1:14">
      <c r="A106" s="24">
        <v>45816</v>
      </c>
      <c r="B106" s="25">
        <v>45816</v>
      </c>
      <c r="C106" s="26">
        <v>0</v>
      </c>
      <c r="D106" s="26">
        <v>0</v>
      </c>
      <c r="E106" s="26">
        <v>0</v>
      </c>
      <c r="F106" s="26"/>
      <c r="G106" s="26"/>
      <c r="H106" s="26" t="str">
        <f>IFERROR(VLOOKUP(G106,Basic_Data!$E$2:$I$9,5,0),"")</f>
        <v/>
      </c>
      <c r="I106" s="26" t="str">
        <f>IFERROR(VLOOKUP($G106,Basic_Data!$E$2:$H$10,4,0),"")</f>
        <v/>
      </c>
      <c r="J106" s="26">
        <v>0</v>
      </c>
      <c r="K106" s="27" t="str">
        <f>IFERROR(VLOOKUP($B106-1,Inverter_PR!$B:$I,Module_Cleaning!H106,0),"")</f>
        <v/>
      </c>
      <c r="L106" s="27" t="str">
        <f>IFERROR(VLOOKUP($B106+1,Inverter_PR!$B:$I,Module_Cleaning!H106,0),"")</f>
        <v/>
      </c>
      <c r="M106" s="26" t="str">
        <f t="shared" ref="M106:M110" si="25">IFERROR(I106-J106,"")</f>
        <v/>
      </c>
      <c r="N106" s="26" t="s">
        <v>237</v>
      </c>
    </row>
    <row r="107" ht="15" spans="1:14">
      <c r="A107" s="24">
        <v>45817</v>
      </c>
      <c r="B107" s="25">
        <v>45817</v>
      </c>
      <c r="C107" s="26">
        <v>0</v>
      </c>
      <c r="D107" s="26">
        <v>0</v>
      </c>
      <c r="E107" s="26">
        <v>0</v>
      </c>
      <c r="F107" s="26">
        <v>2</v>
      </c>
      <c r="G107" s="26" t="s">
        <v>35</v>
      </c>
      <c r="H107" s="26">
        <v>2</v>
      </c>
      <c r="I107" s="26">
        <f>IFERROR(VLOOKUP($G107,Basic_Data!$E$2:$H$10,4,0),"")</f>
        <v>616</v>
      </c>
      <c r="J107" s="26">
        <v>616</v>
      </c>
      <c r="K107" s="27">
        <f>IFERROR(VLOOKUP($B107-1,Inverter_PR!$B:$I,Module_Cleaning!H107,0),"")</f>
        <v>0.967102004672996</v>
      </c>
      <c r="L107" s="27">
        <f>IFERROR(VLOOKUP($B107+1,Inverter_PR!$B:$I,Module_Cleaning!H107,0),"")</f>
        <v>0.887834782009844</v>
      </c>
      <c r="M107" s="26">
        <f t="shared" si="25"/>
        <v>0</v>
      </c>
      <c r="N107" s="26" t="s">
        <v>236</v>
      </c>
    </row>
    <row r="108" ht="15" spans="1:14">
      <c r="A108" s="24">
        <v>45818</v>
      </c>
      <c r="B108" s="25">
        <v>45818</v>
      </c>
      <c r="C108" s="26">
        <v>0</v>
      </c>
      <c r="D108" s="26">
        <v>0</v>
      </c>
      <c r="E108" s="26">
        <v>0</v>
      </c>
      <c r="F108" s="26">
        <v>2</v>
      </c>
      <c r="G108" s="26" t="s">
        <v>36</v>
      </c>
      <c r="H108" s="26">
        <v>3</v>
      </c>
      <c r="I108" s="26">
        <f>IFERROR(VLOOKUP($G108,Basic_Data!$E$2:$H$10,4,0),"")</f>
        <v>616</v>
      </c>
      <c r="J108" s="26">
        <v>616</v>
      </c>
      <c r="K108" s="27">
        <f>IFERROR(VLOOKUP($B108-1,Inverter_PR!$B:$I,Module_Cleaning!H108,0),"")</f>
        <v>0.900972057177916</v>
      </c>
      <c r="L108" s="27">
        <f>IFERROR(VLOOKUP($B108+1,Inverter_PR!$B:$I,Module_Cleaning!H108,0),"")</f>
        <v>0.924086492741491</v>
      </c>
      <c r="M108" s="26">
        <f t="shared" si="25"/>
        <v>0</v>
      </c>
      <c r="N108" s="26" t="s">
        <v>236</v>
      </c>
    </row>
    <row r="109" ht="15" spans="1:14">
      <c r="A109" s="24">
        <v>45818</v>
      </c>
      <c r="B109" s="25">
        <v>45818</v>
      </c>
      <c r="C109" s="26">
        <v>0</v>
      </c>
      <c r="D109" s="26">
        <v>0</v>
      </c>
      <c r="E109" s="26">
        <v>0</v>
      </c>
      <c r="F109" s="26">
        <v>2</v>
      </c>
      <c r="G109" s="26" t="s">
        <v>37</v>
      </c>
      <c r="H109" s="26">
        <v>4</v>
      </c>
      <c r="I109" s="26">
        <f>IFERROR(VLOOKUP($G109,Basic_Data!$E$2:$H$10,4,0),"")</f>
        <v>616</v>
      </c>
      <c r="J109" s="26">
        <v>616</v>
      </c>
      <c r="K109" s="27">
        <f>IFERROR(VLOOKUP($B109-1,Inverter_PR!$B:$I,Module_Cleaning!H109,0),"")</f>
        <v>0.898841124917287</v>
      </c>
      <c r="L109" s="27">
        <f>IFERROR(VLOOKUP($B109+1,Inverter_PR!$B:$I,Module_Cleaning!H109,0),"")</f>
        <v>0.922305883966739</v>
      </c>
      <c r="M109" s="26">
        <f t="shared" si="25"/>
        <v>0</v>
      </c>
      <c r="N109" s="26" t="s">
        <v>236</v>
      </c>
    </row>
    <row r="110" ht="15" spans="1:14">
      <c r="A110" s="24">
        <v>45818</v>
      </c>
      <c r="B110" s="25">
        <v>45818</v>
      </c>
      <c r="C110" s="26">
        <v>0</v>
      </c>
      <c r="D110" s="26">
        <v>0</v>
      </c>
      <c r="E110" s="26">
        <v>0</v>
      </c>
      <c r="F110" s="26">
        <v>2</v>
      </c>
      <c r="G110" s="26" t="s">
        <v>38</v>
      </c>
      <c r="H110" s="26">
        <v>5</v>
      </c>
      <c r="I110" s="26">
        <v>644</v>
      </c>
      <c r="J110" s="26">
        <v>644</v>
      </c>
      <c r="K110" s="27">
        <f>IFERROR(VLOOKUP($B110-1,Inverter_PR!$B:$I,Module_Cleaning!H110,0),"")</f>
        <v>0.899538612480478</v>
      </c>
      <c r="L110" s="27">
        <f>IFERROR(VLOOKUP($B110+1,Inverter_PR!$B:$I,Module_Cleaning!H110,0),"")</f>
        <v>0.923912780640143</v>
      </c>
      <c r="M110" s="26">
        <f t="shared" si="25"/>
        <v>0</v>
      </c>
      <c r="N110" s="26" t="s">
        <v>236</v>
      </c>
    </row>
    <row r="111" ht="15" spans="1:14">
      <c r="A111" s="24">
        <v>45819</v>
      </c>
      <c r="B111" s="25">
        <v>45819</v>
      </c>
      <c r="C111" s="26">
        <v>0</v>
      </c>
      <c r="D111" s="26">
        <v>0</v>
      </c>
      <c r="E111" s="26">
        <v>0</v>
      </c>
      <c r="F111" s="26">
        <v>2</v>
      </c>
      <c r="G111" s="26" t="s">
        <v>39</v>
      </c>
      <c r="H111" s="26">
        <f>IFERROR(VLOOKUP(G111,Basic_Data!$E$2:$I$9,5,0),"")</f>
        <v>6</v>
      </c>
      <c r="I111" s="26">
        <f>IFERROR(VLOOKUP($G111,Basic_Data!$E$2:$H$10,4,0),"")</f>
        <v>644</v>
      </c>
      <c r="J111" s="26">
        <v>644</v>
      </c>
      <c r="K111" s="27">
        <f>IFERROR(VLOOKUP($B111-1,Inverter_PR!$B:$I,Module_Cleaning!H111,0),"")</f>
        <v>0.864118358640383</v>
      </c>
      <c r="L111" s="27">
        <f>IFERROR(VLOOKUP($B111+1,Inverter_PR!$B:$I,Module_Cleaning!H111,0),"")</f>
        <v>0.933116756364853</v>
      </c>
      <c r="M111" s="26">
        <f t="shared" si="20"/>
        <v>0</v>
      </c>
      <c r="N111" s="26" t="s">
        <v>236</v>
      </c>
    </row>
    <row r="112" ht="15" spans="1:14">
      <c r="A112" s="24">
        <v>45819</v>
      </c>
      <c r="B112" s="25">
        <v>45819</v>
      </c>
      <c r="C112" s="26">
        <v>0</v>
      </c>
      <c r="D112" s="26">
        <v>0</v>
      </c>
      <c r="E112" s="26">
        <v>0</v>
      </c>
      <c r="F112" s="26">
        <v>2</v>
      </c>
      <c r="G112" s="26" t="s">
        <v>40</v>
      </c>
      <c r="H112" s="26">
        <f>IFERROR(VLOOKUP(G112,Basic_Data!$E$2:$I$9,5,0),"")</f>
        <v>7</v>
      </c>
      <c r="I112" s="26">
        <f>IFERROR(VLOOKUP($G112,Basic_Data!$E$2:$H$10,4,0),"")</f>
        <v>644</v>
      </c>
      <c r="J112" s="26">
        <v>644</v>
      </c>
      <c r="K112" s="27">
        <f>IFERROR(VLOOKUP($B112-1,Inverter_PR!$B:$I,Module_Cleaning!H112,0),"")</f>
        <v>0.864363903337689</v>
      </c>
      <c r="L112" s="27">
        <f>IFERROR(VLOOKUP($B112+1,Inverter_PR!$B:$I,Module_Cleaning!H112,0),"")</f>
        <v>0.930813175994753</v>
      </c>
      <c r="M112" s="26">
        <f t="shared" ref="M112:M113" si="26">IFERROR(I112-J112,"")</f>
        <v>0</v>
      </c>
      <c r="N112" s="26" t="s">
        <v>236</v>
      </c>
    </row>
    <row r="113" ht="15" spans="1:14">
      <c r="A113" s="24">
        <v>45819</v>
      </c>
      <c r="B113" s="25">
        <v>45819</v>
      </c>
      <c r="C113" s="26">
        <v>0</v>
      </c>
      <c r="D113" s="26">
        <v>0</v>
      </c>
      <c r="E113" s="26">
        <v>0</v>
      </c>
      <c r="F113" s="26">
        <v>2</v>
      </c>
      <c r="G113" s="26" t="s">
        <v>41</v>
      </c>
      <c r="H113" s="26">
        <f>IFERROR(VLOOKUP(G113,Basic_Data!$E$2:$I$9,5,0),"")</f>
        <v>8</v>
      </c>
      <c r="I113" s="26">
        <f>IFERROR(VLOOKUP($G113,Basic_Data!$E$2:$H$10,4,0),"")</f>
        <v>644</v>
      </c>
      <c r="J113" s="26">
        <v>644</v>
      </c>
      <c r="K113" s="27">
        <f>IFERROR(VLOOKUP($B113-1,Inverter_PR!$B:$I,Module_Cleaning!H113,0),"")</f>
        <v>0.872750524809455</v>
      </c>
      <c r="L113" s="27">
        <f>IFERROR(VLOOKUP($B113+1,Inverter_PR!$B:$I,Module_Cleaning!H113,0),"")</f>
        <v>0.940466996361556</v>
      </c>
      <c r="M113" s="26">
        <f t="shared" si="26"/>
        <v>0</v>
      </c>
      <c r="N113" s="26" t="s">
        <v>236</v>
      </c>
    </row>
    <row r="114" ht="15" spans="1:14">
      <c r="A114" s="24">
        <v>45820</v>
      </c>
      <c r="B114" s="25">
        <v>45820</v>
      </c>
      <c r="C114" s="26">
        <v>0</v>
      </c>
      <c r="D114" s="26">
        <v>0</v>
      </c>
      <c r="E114" s="26">
        <v>0</v>
      </c>
      <c r="F114" s="26">
        <v>0</v>
      </c>
      <c r="G114" s="26"/>
      <c r="H114" s="26" t="str">
        <f>IFERROR(VLOOKUP(G114,Basic_Data!$E$2:$I$9,5,0),"")</f>
        <v/>
      </c>
      <c r="I114" s="26">
        <v>0</v>
      </c>
      <c r="J114" s="26">
        <v>0</v>
      </c>
      <c r="K114" s="27">
        <v>0</v>
      </c>
      <c r="L114" s="27">
        <v>0</v>
      </c>
      <c r="M114" s="26">
        <v>0</v>
      </c>
      <c r="N114" s="26" t="s">
        <v>237</v>
      </c>
    </row>
    <row r="115" ht="15" spans="1:14">
      <c r="A115" s="24">
        <v>45821</v>
      </c>
      <c r="B115" s="25">
        <v>45821</v>
      </c>
      <c r="C115" s="26">
        <v>0</v>
      </c>
      <c r="D115" s="26">
        <v>0</v>
      </c>
      <c r="E115" s="26">
        <v>0</v>
      </c>
      <c r="F115" s="26">
        <v>0</v>
      </c>
      <c r="G115" s="26"/>
      <c r="H115" s="26" t="str">
        <f>IFERROR(VLOOKUP(G115,Basic_Data!$E$2:$I$9,5,0),"")</f>
        <v/>
      </c>
      <c r="I115" s="26">
        <v>0</v>
      </c>
      <c r="J115" s="26">
        <v>0</v>
      </c>
      <c r="K115" s="27">
        <v>0</v>
      </c>
      <c r="L115" s="27">
        <v>0</v>
      </c>
      <c r="M115" s="26">
        <v>0</v>
      </c>
      <c r="N115" s="26" t="s">
        <v>237</v>
      </c>
    </row>
    <row r="116" ht="15" spans="1:14">
      <c r="A116" s="24">
        <v>45822</v>
      </c>
      <c r="B116" s="25">
        <v>45822</v>
      </c>
      <c r="C116" s="26">
        <v>0</v>
      </c>
      <c r="D116" s="26">
        <v>0</v>
      </c>
      <c r="E116" s="26">
        <v>0</v>
      </c>
      <c r="F116" s="26">
        <v>0</v>
      </c>
      <c r="G116" s="26"/>
      <c r="H116" s="26" t="str">
        <f>IFERROR(VLOOKUP(G116,Basic_Data!$E$2:$I$9,5,0),"")</f>
        <v/>
      </c>
      <c r="I116" s="26">
        <v>0</v>
      </c>
      <c r="J116" s="26">
        <v>0</v>
      </c>
      <c r="K116" s="27">
        <v>0</v>
      </c>
      <c r="L116" s="27">
        <v>0</v>
      </c>
      <c r="M116" s="26">
        <v>0</v>
      </c>
      <c r="N116" s="26" t="s">
        <v>237</v>
      </c>
    </row>
    <row r="117" s="18" customFormat="1" ht="15" spans="1:14">
      <c r="A117" s="41">
        <v>45823</v>
      </c>
      <c r="B117" s="42">
        <v>45823</v>
      </c>
      <c r="C117" s="39">
        <v>0</v>
      </c>
      <c r="D117" s="39">
        <v>0</v>
      </c>
      <c r="E117" s="39">
        <v>0</v>
      </c>
      <c r="F117" s="39">
        <v>0</v>
      </c>
      <c r="G117" s="39"/>
      <c r="H117" s="39" t="str">
        <f>IFERROR(VLOOKUP(G117,Basic_Data!$E$2:$I$9,5,0),"")</f>
        <v/>
      </c>
      <c r="I117" s="39">
        <v>0</v>
      </c>
      <c r="J117" s="39">
        <v>0</v>
      </c>
      <c r="K117" s="40">
        <v>0</v>
      </c>
      <c r="L117" s="40">
        <v>0</v>
      </c>
      <c r="M117" s="39">
        <v>0</v>
      </c>
      <c r="N117" s="39" t="s">
        <v>238</v>
      </c>
    </row>
    <row r="118" ht="15" spans="1:14">
      <c r="A118" s="24">
        <v>45824</v>
      </c>
      <c r="B118" s="25">
        <v>45824</v>
      </c>
      <c r="C118" s="39">
        <v>0</v>
      </c>
      <c r="D118" s="39">
        <v>0</v>
      </c>
      <c r="E118" s="39">
        <v>0</v>
      </c>
      <c r="F118" s="39">
        <v>0</v>
      </c>
      <c r="G118" s="39"/>
      <c r="H118" s="39" t="str">
        <f>IFERROR(VLOOKUP(G118,Basic_Data!$E$2:$I$9,5,0),"")</f>
        <v/>
      </c>
      <c r="I118" s="39">
        <v>0</v>
      </c>
      <c r="J118" s="39">
        <v>0</v>
      </c>
      <c r="K118" s="40">
        <v>0</v>
      </c>
      <c r="L118" s="40">
        <v>0</v>
      </c>
      <c r="M118" s="39">
        <v>0</v>
      </c>
      <c r="N118" s="39" t="s">
        <v>238</v>
      </c>
    </row>
    <row r="119" ht="15" spans="1:14">
      <c r="A119" s="24">
        <v>45825</v>
      </c>
      <c r="B119" s="25">
        <v>45825</v>
      </c>
      <c r="C119" s="39">
        <v>0</v>
      </c>
      <c r="D119" s="39">
        <v>0</v>
      </c>
      <c r="E119" s="39">
        <v>0</v>
      </c>
      <c r="F119" s="39">
        <v>0</v>
      </c>
      <c r="G119" s="39"/>
      <c r="H119" s="39" t="str">
        <f>IFERROR(VLOOKUP(G119,Basic_Data!$E$2:$I$9,5,0),"")</f>
        <v/>
      </c>
      <c r="I119" s="39">
        <v>0</v>
      </c>
      <c r="J119" s="39">
        <v>0</v>
      </c>
      <c r="K119" s="40">
        <v>0</v>
      </c>
      <c r="L119" s="40">
        <v>0</v>
      </c>
      <c r="M119" s="39">
        <v>0</v>
      </c>
      <c r="N119" s="39" t="s">
        <v>238</v>
      </c>
    </row>
    <row r="120" ht="15" spans="1:14">
      <c r="A120" s="24">
        <v>45826</v>
      </c>
      <c r="B120" s="25">
        <v>45826</v>
      </c>
      <c r="C120" s="26">
        <v>0</v>
      </c>
      <c r="D120" s="26">
        <v>0</v>
      </c>
      <c r="E120" s="26">
        <v>0</v>
      </c>
      <c r="F120" s="26">
        <v>0</v>
      </c>
      <c r="G120" s="26"/>
      <c r="H120" s="26" t="str">
        <f>IFERROR(VLOOKUP(G120,Basic_Data!$E$2:$I$9,5,0),"")</f>
        <v/>
      </c>
      <c r="I120" s="26">
        <v>0</v>
      </c>
      <c r="J120" s="26">
        <v>0</v>
      </c>
      <c r="K120" s="27">
        <v>0</v>
      </c>
      <c r="L120" s="27">
        <v>0</v>
      </c>
      <c r="M120" s="26">
        <f t="shared" si="20"/>
        <v>0</v>
      </c>
      <c r="N120" s="26" t="s">
        <v>237</v>
      </c>
    </row>
    <row r="121" ht="15" spans="1:14">
      <c r="A121" s="24">
        <v>45827</v>
      </c>
      <c r="B121" s="25">
        <v>45827</v>
      </c>
      <c r="C121" s="26">
        <v>0</v>
      </c>
      <c r="D121" s="26">
        <v>0</v>
      </c>
      <c r="E121" s="26">
        <v>0</v>
      </c>
      <c r="F121" s="26">
        <v>0</v>
      </c>
      <c r="G121" s="26"/>
      <c r="H121" s="26" t="str">
        <f>IFERROR(VLOOKUP(G121,Basic_Data!$E$2:$I$9,5,0),"")</f>
        <v/>
      </c>
      <c r="I121" s="26">
        <v>0</v>
      </c>
      <c r="J121" s="26">
        <v>0</v>
      </c>
      <c r="K121" s="27">
        <v>0</v>
      </c>
      <c r="L121" s="27">
        <v>0</v>
      </c>
      <c r="M121" s="26">
        <f t="shared" ref="M121" si="27">IFERROR(I121-J121,"")</f>
        <v>0</v>
      </c>
      <c r="N121" s="26" t="s">
        <v>237</v>
      </c>
    </row>
    <row r="122" ht="15" spans="1:14">
      <c r="A122" s="24">
        <v>45828</v>
      </c>
      <c r="B122" s="25">
        <v>45828</v>
      </c>
      <c r="C122" s="26">
        <v>0</v>
      </c>
      <c r="D122" s="26">
        <v>0</v>
      </c>
      <c r="E122" s="26">
        <v>0</v>
      </c>
      <c r="F122" s="26">
        <v>0</v>
      </c>
      <c r="G122" s="26"/>
      <c r="H122" s="26" t="str">
        <f>IFERROR(VLOOKUP(G122,Basic_Data!$E$2:$I$9,5,0),"")</f>
        <v/>
      </c>
      <c r="I122" s="26">
        <v>0</v>
      </c>
      <c r="J122" s="26">
        <v>0</v>
      </c>
      <c r="K122" s="27">
        <v>0</v>
      </c>
      <c r="L122" s="27">
        <v>0</v>
      </c>
      <c r="M122" s="26">
        <f t="shared" ref="M122" si="28">IFERROR(I122-J122,"")</f>
        <v>0</v>
      </c>
      <c r="N122" s="26" t="s">
        <v>237</v>
      </c>
    </row>
    <row r="123" ht="15" spans="1:14">
      <c r="A123" s="24">
        <v>45829</v>
      </c>
      <c r="B123" s="25">
        <v>45829</v>
      </c>
      <c r="C123" s="26">
        <v>0</v>
      </c>
      <c r="D123" s="26">
        <v>0</v>
      </c>
      <c r="E123" s="26">
        <v>0</v>
      </c>
      <c r="F123" s="26">
        <v>0</v>
      </c>
      <c r="G123" s="26"/>
      <c r="H123" s="26" t="str">
        <f>IFERROR(VLOOKUP(G123,Basic_Data!$E$2:$I$9,5,0),"")</f>
        <v/>
      </c>
      <c r="I123" s="26">
        <v>0</v>
      </c>
      <c r="J123" s="26">
        <v>0</v>
      </c>
      <c r="K123" s="27">
        <v>0</v>
      </c>
      <c r="L123" s="27">
        <v>0</v>
      </c>
      <c r="M123" s="26">
        <f t="shared" ref="M123" si="29">IFERROR(I123-J123,"")</f>
        <v>0</v>
      </c>
      <c r="N123" s="26" t="s">
        <v>237</v>
      </c>
    </row>
    <row r="124" ht="15" spans="1:14">
      <c r="A124" s="24">
        <v>45830</v>
      </c>
      <c r="B124" s="25">
        <v>45830</v>
      </c>
      <c r="C124" s="39">
        <v>0</v>
      </c>
      <c r="D124" s="39">
        <v>0</v>
      </c>
      <c r="E124" s="39">
        <v>0</v>
      </c>
      <c r="F124" s="39">
        <v>0</v>
      </c>
      <c r="G124" s="39"/>
      <c r="H124" s="39" t="str">
        <f>IFERROR(VLOOKUP(G124,Basic_Data!$E$2:$I$9,5,0),"")</f>
        <v/>
      </c>
      <c r="I124" s="39">
        <v>0</v>
      </c>
      <c r="J124" s="39">
        <v>0</v>
      </c>
      <c r="K124" s="40">
        <v>0</v>
      </c>
      <c r="L124" s="40">
        <v>0</v>
      </c>
      <c r="M124" s="39">
        <f t="shared" ref="M124" si="30">IFERROR(I124-J124,"")</f>
        <v>0</v>
      </c>
      <c r="N124" s="39" t="s">
        <v>238</v>
      </c>
    </row>
    <row r="125" ht="15" spans="1:14">
      <c r="A125" s="24">
        <v>45831</v>
      </c>
      <c r="B125" s="25">
        <v>45831</v>
      </c>
      <c r="C125" s="39">
        <v>0</v>
      </c>
      <c r="D125" s="39">
        <v>0</v>
      </c>
      <c r="E125" s="39">
        <v>0</v>
      </c>
      <c r="F125" s="39">
        <v>0</v>
      </c>
      <c r="G125" s="39"/>
      <c r="H125" s="39" t="str">
        <f>IFERROR(VLOOKUP(G125,Basic_Data!$E$2:$I$9,5,0),"")</f>
        <v/>
      </c>
      <c r="I125" s="39">
        <v>0</v>
      </c>
      <c r="J125" s="39">
        <v>0</v>
      </c>
      <c r="K125" s="40">
        <v>0</v>
      </c>
      <c r="L125" s="40">
        <v>0</v>
      </c>
      <c r="M125" s="39">
        <f t="shared" ref="M125" si="31">IFERROR(I125-J125,"")</f>
        <v>0</v>
      </c>
      <c r="N125" s="39" t="s">
        <v>238</v>
      </c>
    </row>
    <row r="126" ht="15" spans="1:14">
      <c r="A126" s="24">
        <v>45832</v>
      </c>
      <c r="B126" s="25">
        <v>45832</v>
      </c>
      <c r="C126" s="43">
        <v>0</v>
      </c>
      <c r="D126" s="43">
        <v>0</v>
      </c>
      <c r="E126" s="43">
        <v>0</v>
      </c>
      <c r="F126" s="43">
        <v>0</v>
      </c>
      <c r="G126" s="43"/>
      <c r="H126" s="43" t="str">
        <f>IFERROR(VLOOKUP(G126,Basic_Data!$E$2:$I$9,5,0),"")</f>
        <v/>
      </c>
      <c r="I126" s="43">
        <v>0</v>
      </c>
      <c r="J126" s="43">
        <v>0</v>
      </c>
      <c r="K126" s="44">
        <v>0</v>
      </c>
      <c r="L126" s="44">
        <v>0</v>
      </c>
      <c r="M126" s="43">
        <f t="shared" ref="M126" si="32">IFERROR(I126-J126,"")</f>
        <v>0</v>
      </c>
      <c r="N126" s="43" t="s">
        <v>237</v>
      </c>
    </row>
    <row r="127" ht="15" spans="1:14">
      <c r="A127" s="24">
        <v>45833</v>
      </c>
      <c r="B127" s="25">
        <v>45833</v>
      </c>
      <c r="C127" s="39">
        <v>0</v>
      </c>
      <c r="D127" s="39">
        <v>0</v>
      </c>
      <c r="E127" s="39">
        <v>0</v>
      </c>
      <c r="F127" s="39">
        <v>0</v>
      </c>
      <c r="G127" s="39"/>
      <c r="H127" s="39" t="str">
        <f>IFERROR(VLOOKUP(G127,Basic_Data!$E$2:$I$9,5,0),"")</f>
        <v/>
      </c>
      <c r="I127" s="39">
        <v>0</v>
      </c>
      <c r="J127" s="39">
        <v>0</v>
      </c>
      <c r="K127" s="40">
        <v>0</v>
      </c>
      <c r="L127" s="40">
        <v>0</v>
      </c>
      <c r="M127" s="39">
        <f t="shared" ref="M127" si="33">IFERROR(I127-J127,"")</f>
        <v>0</v>
      </c>
      <c r="N127" s="39" t="s">
        <v>238</v>
      </c>
    </row>
    <row r="128" ht="15" spans="1:14">
      <c r="A128" s="24">
        <v>45834</v>
      </c>
      <c r="B128" s="25">
        <v>45834</v>
      </c>
      <c r="C128" s="39">
        <v>0</v>
      </c>
      <c r="D128" s="39">
        <v>0</v>
      </c>
      <c r="E128" s="39">
        <v>0</v>
      </c>
      <c r="F128" s="39">
        <v>0</v>
      </c>
      <c r="G128" s="39"/>
      <c r="H128" s="39" t="str">
        <f>IFERROR(VLOOKUP(G128,Basic_Data!$E$2:$I$9,5,0),"")</f>
        <v/>
      </c>
      <c r="I128" s="39">
        <v>0</v>
      </c>
      <c r="J128" s="39">
        <v>0</v>
      </c>
      <c r="K128" s="40">
        <v>0</v>
      </c>
      <c r="L128" s="40">
        <v>0</v>
      </c>
      <c r="M128" s="39">
        <f t="shared" ref="M128" si="34">IFERROR(I128-J128,"")</f>
        <v>0</v>
      </c>
      <c r="N128" s="39" t="s">
        <v>238</v>
      </c>
    </row>
    <row r="129" ht="15" spans="1:14">
      <c r="A129" s="24">
        <v>45835</v>
      </c>
      <c r="B129" s="25">
        <v>45835</v>
      </c>
      <c r="C129" s="39">
        <v>0</v>
      </c>
      <c r="D129" s="39">
        <v>0</v>
      </c>
      <c r="E129" s="39">
        <v>0</v>
      </c>
      <c r="F129" s="39">
        <v>0</v>
      </c>
      <c r="G129" s="39"/>
      <c r="H129" s="39" t="str">
        <f>IFERROR(VLOOKUP(G129,Basic_Data!$E$2:$I$9,5,0),"")</f>
        <v/>
      </c>
      <c r="I129" s="39">
        <v>0</v>
      </c>
      <c r="J129" s="39">
        <v>0</v>
      </c>
      <c r="K129" s="40">
        <v>0</v>
      </c>
      <c r="L129" s="40">
        <v>0</v>
      </c>
      <c r="M129" s="39">
        <f t="shared" ref="M129" si="35">IFERROR(I129-J129,"")</f>
        <v>0</v>
      </c>
      <c r="N129" s="39" t="s">
        <v>238</v>
      </c>
    </row>
    <row r="130" ht="15" spans="1:14">
      <c r="A130" s="24">
        <v>45836</v>
      </c>
      <c r="B130" s="25">
        <v>45836</v>
      </c>
      <c r="C130" s="45">
        <v>0</v>
      </c>
      <c r="D130" s="45">
        <v>0</v>
      </c>
      <c r="E130" s="45">
        <v>0</v>
      </c>
      <c r="F130" s="45">
        <v>0</v>
      </c>
      <c r="G130" s="45"/>
      <c r="H130" s="45" t="str">
        <f>IFERROR(VLOOKUP(G130,Basic_Data!$E$2:$I$9,5,0),"")</f>
        <v/>
      </c>
      <c r="I130" s="45">
        <v>0</v>
      </c>
      <c r="J130" s="45">
        <v>0</v>
      </c>
      <c r="K130" s="46">
        <v>0</v>
      </c>
      <c r="L130" s="46">
        <v>0</v>
      </c>
      <c r="M130" s="45">
        <f t="shared" ref="M130" si="36">IFERROR(I130-J130,"")</f>
        <v>0</v>
      </c>
      <c r="N130" s="45" t="s">
        <v>237</v>
      </c>
    </row>
    <row r="131" ht="15" spans="1:14">
      <c r="A131" s="24">
        <v>45837</v>
      </c>
      <c r="B131" s="25">
        <v>45837</v>
      </c>
      <c r="C131" s="45">
        <v>0</v>
      </c>
      <c r="D131" s="45">
        <v>0</v>
      </c>
      <c r="E131" s="45">
        <v>0</v>
      </c>
      <c r="F131" s="45">
        <v>0</v>
      </c>
      <c r="G131" s="45"/>
      <c r="H131" s="45" t="str">
        <f>IFERROR(VLOOKUP(G131,Basic_Data!$E$2:$I$9,5,0),"")</f>
        <v/>
      </c>
      <c r="I131" s="45">
        <v>0</v>
      </c>
      <c r="J131" s="45">
        <v>0</v>
      </c>
      <c r="K131" s="46">
        <v>0</v>
      </c>
      <c r="L131" s="46">
        <v>0</v>
      </c>
      <c r="M131" s="45">
        <f t="shared" ref="M131" si="37">IFERROR(I131-J131,"")</f>
        <v>0</v>
      </c>
      <c r="N131" s="45" t="s">
        <v>237</v>
      </c>
    </row>
    <row r="132" ht="15" spans="1:14">
      <c r="A132" s="24">
        <v>45838</v>
      </c>
      <c r="B132" s="25">
        <v>45838</v>
      </c>
      <c r="C132" s="39">
        <v>0</v>
      </c>
      <c r="D132" s="39">
        <v>0</v>
      </c>
      <c r="E132" s="39">
        <v>0</v>
      </c>
      <c r="F132" s="39">
        <v>0</v>
      </c>
      <c r="G132" s="39"/>
      <c r="H132" s="39" t="str">
        <f>IFERROR(VLOOKUP(G132,Basic_Data!$E$2:$I$9,5,0),"")</f>
        <v/>
      </c>
      <c r="I132" s="39">
        <v>0</v>
      </c>
      <c r="J132" s="39">
        <v>0</v>
      </c>
      <c r="K132" s="40">
        <v>0</v>
      </c>
      <c r="L132" s="40">
        <v>0</v>
      </c>
      <c r="M132" s="39">
        <f t="shared" ref="M132" si="38">IFERROR(I132-J132,"")</f>
        <v>0</v>
      </c>
      <c r="N132" s="39" t="s">
        <v>238</v>
      </c>
    </row>
    <row r="133" ht="15" spans="1:14">
      <c r="A133" s="24">
        <v>45839</v>
      </c>
      <c r="B133" s="25">
        <v>45839</v>
      </c>
      <c r="C133" s="45">
        <v>0</v>
      </c>
      <c r="D133" s="45">
        <v>0</v>
      </c>
      <c r="E133" s="45">
        <v>0</v>
      </c>
      <c r="F133" s="45">
        <v>0</v>
      </c>
      <c r="G133" s="45"/>
      <c r="H133" s="45" t="str">
        <f>IFERROR(VLOOKUP(G133,Basic_Data!$E$2:$I$9,5,0),"")</f>
        <v/>
      </c>
      <c r="I133" s="45">
        <v>0</v>
      </c>
      <c r="J133" s="45">
        <v>0</v>
      </c>
      <c r="K133" s="46">
        <v>0</v>
      </c>
      <c r="L133" s="46">
        <v>0</v>
      </c>
      <c r="M133" s="45">
        <f t="shared" ref="M133" si="39">IFERROR(I133-J133,"")</f>
        <v>0</v>
      </c>
      <c r="N133" s="45" t="s">
        <v>237</v>
      </c>
    </row>
    <row r="134" ht="15" spans="1:14">
      <c r="A134" s="24">
        <v>45840</v>
      </c>
      <c r="B134" s="25">
        <v>45840</v>
      </c>
      <c r="C134" s="39">
        <v>0</v>
      </c>
      <c r="D134" s="39">
        <v>0</v>
      </c>
      <c r="E134" s="39">
        <v>0</v>
      </c>
      <c r="F134" s="39">
        <v>0</v>
      </c>
      <c r="G134" s="39"/>
      <c r="H134" s="39" t="str">
        <f>IFERROR(VLOOKUP(G134,Basic_Data!$E$2:$I$9,5,0),"")</f>
        <v/>
      </c>
      <c r="I134" s="39">
        <v>0</v>
      </c>
      <c r="J134" s="39">
        <v>0</v>
      </c>
      <c r="K134" s="40">
        <v>0</v>
      </c>
      <c r="L134" s="40">
        <v>0</v>
      </c>
      <c r="M134" s="39">
        <f t="shared" ref="M134" si="40">IFERROR(I134-J134,"")</f>
        <v>0</v>
      </c>
      <c r="N134" s="39" t="s">
        <v>238</v>
      </c>
    </row>
    <row r="135" ht="15" spans="1:14">
      <c r="A135" s="24">
        <v>45841</v>
      </c>
      <c r="B135" s="25">
        <v>45841</v>
      </c>
      <c r="C135" s="39">
        <v>0</v>
      </c>
      <c r="D135" s="39">
        <v>0</v>
      </c>
      <c r="E135" s="39">
        <v>0</v>
      </c>
      <c r="F135" s="39">
        <v>0</v>
      </c>
      <c r="G135" s="39"/>
      <c r="H135" s="39" t="str">
        <f>IFERROR(VLOOKUP(G135,Basic_Data!$E$2:$I$9,5,0),"")</f>
        <v/>
      </c>
      <c r="I135" s="39">
        <v>0</v>
      </c>
      <c r="J135" s="39">
        <v>0</v>
      </c>
      <c r="K135" s="40">
        <v>0</v>
      </c>
      <c r="L135" s="40">
        <v>0</v>
      </c>
      <c r="M135" s="39">
        <f t="shared" ref="M135" si="41">IFERROR(I135-J135,"")</f>
        <v>0</v>
      </c>
      <c r="N135" s="39" t="s">
        <v>238</v>
      </c>
    </row>
    <row r="136" ht="15" spans="1:14">
      <c r="A136" s="24">
        <v>45842</v>
      </c>
      <c r="B136" s="25">
        <v>45842</v>
      </c>
      <c r="C136" s="39">
        <v>0</v>
      </c>
      <c r="D136" s="39">
        <v>0</v>
      </c>
      <c r="E136" s="39">
        <v>0</v>
      </c>
      <c r="F136" s="39">
        <v>0</v>
      </c>
      <c r="G136" s="39"/>
      <c r="H136" s="39" t="str">
        <f>IFERROR(VLOOKUP(G136,Basic_Data!$E$2:$I$9,5,0),"")</f>
        <v/>
      </c>
      <c r="I136" s="39">
        <v>0</v>
      </c>
      <c r="J136" s="39">
        <v>0</v>
      </c>
      <c r="K136" s="40">
        <v>0</v>
      </c>
      <c r="L136" s="40">
        <v>0</v>
      </c>
      <c r="M136" s="39">
        <f t="shared" ref="M136" si="42">IFERROR(I136-J136,"")</f>
        <v>0</v>
      </c>
      <c r="N136" s="39" t="s">
        <v>238</v>
      </c>
    </row>
    <row r="137" ht="15" spans="1:14">
      <c r="A137" s="24">
        <v>45843</v>
      </c>
      <c r="B137" s="25">
        <v>45843</v>
      </c>
      <c r="C137" s="45">
        <v>0</v>
      </c>
      <c r="D137" s="45">
        <v>0</v>
      </c>
      <c r="E137" s="45">
        <v>0</v>
      </c>
      <c r="F137" s="45">
        <v>0</v>
      </c>
      <c r="G137" s="45"/>
      <c r="H137" s="45" t="str">
        <f>IFERROR(VLOOKUP(G137,Basic_Data!$E$2:$I$9,5,0),"")</f>
        <v/>
      </c>
      <c r="I137" s="45">
        <v>0</v>
      </c>
      <c r="J137" s="45">
        <v>0</v>
      </c>
      <c r="K137" s="46">
        <v>0</v>
      </c>
      <c r="L137" s="46">
        <v>0</v>
      </c>
      <c r="M137" s="45">
        <f t="shared" ref="M137" si="43">IFERROR(I137-J137,"")</f>
        <v>0</v>
      </c>
      <c r="N137" s="45" t="s">
        <v>237</v>
      </c>
    </row>
    <row r="138" ht="15" spans="1:14">
      <c r="A138" s="24">
        <v>45844</v>
      </c>
      <c r="B138" s="25">
        <v>45844</v>
      </c>
      <c r="C138" s="45">
        <v>0</v>
      </c>
      <c r="D138" s="45">
        <v>0</v>
      </c>
      <c r="E138" s="45">
        <v>0</v>
      </c>
      <c r="F138" s="45">
        <v>0</v>
      </c>
      <c r="G138" s="45"/>
      <c r="H138" s="45" t="str">
        <f>IFERROR(VLOOKUP(G138,Basic_Data!$E$2:$I$9,5,0),"")</f>
        <v/>
      </c>
      <c r="I138" s="45">
        <v>0</v>
      </c>
      <c r="J138" s="45">
        <v>0</v>
      </c>
      <c r="K138" s="46">
        <v>0</v>
      </c>
      <c r="L138" s="46">
        <v>0</v>
      </c>
      <c r="M138" s="45">
        <f t="shared" ref="M138" si="44">IFERROR(I138-J138,"")</f>
        <v>0</v>
      </c>
      <c r="N138" s="45" t="s">
        <v>237</v>
      </c>
    </row>
    <row r="139" ht="15" spans="1:14">
      <c r="A139" s="24">
        <v>45845</v>
      </c>
      <c r="B139" s="25">
        <v>45845</v>
      </c>
      <c r="C139" s="39">
        <v>0</v>
      </c>
      <c r="D139" s="39">
        <v>0</v>
      </c>
      <c r="E139" s="39">
        <v>0</v>
      </c>
      <c r="F139" s="39">
        <v>0</v>
      </c>
      <c r="G139" s="39"/>
      <c r="H139" s="39" t="str">
        <f>IFERROR(VLOOKUP(G139,Basic_Data!$E$2:$I$9,5,0),"")</f>
        <v/>
      </c>
      <c r="I139" s="39">
        <v>0</v>
      </c>
      <c r="J139" s="39">
        <v>0</v>
      </c>
      <c r="K139" s="40">
        <v>0</v>
      </c>
      <c r="L139" s="40">
        <v>0</v>
      </c>
      <c r="M139" s="39">
        <f t="shared" ref="M139" si="45">IFERROR(I139-J139,"")</f>
        <v>0</v>
      </c>
      <c r="N139" s="39" t="s">
        <v>238</v>
      </c>
    </row>
    <row r="140" ht="15" spans="1:14">
      <c r="A140" s="24">
        <v>45846</v>
      </c>
      <c r="B140" s="25">
        <v>45846</v>
      </c>
      <c r="C140" s="45">
        <v>0</v>
      </c>
      <c r="D140" s="45">
        <v>0</v>
      </c>
      <c r="E140" s="45">
        <v>0</v>
      </c>
      <c r="F140" s="45">
        <v>0</v>
      </c>
      <c r="G140" s="45"/>
      <c r="H140" s="45" t="str">
        <f>IFERROR(VLOOKUP(G140,Basic_Data!$E$2:$I$9,5,0),"")</f>
        <v/>
      </c>
      <c r="I140" s="45">
        <v>0</v>
      </c>
      <c r="J140" s="45">
        <v>0</v>
      </c>
      <c r="K140" s="46">
        <v>0</v>
      </c>
      <c r="L140" s="46">
        <v>0</v>
      </c>
      <c r="M140" s="45">
        <f t="shared" ref="M140" si="46">IFERROR(I140-J140,"")</f>
        <v>0</v>
      </c>
      <c r="N140" s="45" t="s">
        <v>237</v>
      </c>
    </row>
    <row r="141" ht="15" spans="1:14">
      <c r="A141" s="24">
        <v>45847</v>
      </c>
      <c r="B141" s="25">
        <v>45847</v>
      </c>
      <c r="C141" s="45">
        <v>0</v>
      </c>
      <c r="D141" s="45">
        <v>0</v>
      </c>
      <c r="E141" s="45">
        <v>0</v>
      </c>
      <c r="F141" s="45">
        <v>0</v>
      </c>
      <c r="G141" s="45"/>
      <c r="H141" s="45" t="str">
        <f>IFERROR(VLOOKUP(G141,Basic_Data!$E$2:$I$9,5,0),"")</f>
        <v/>
      </c>
      <c r="I141" s="45">
        <v>0</v>
      </c>
      <c r="J141" s="45">
        <v>0</v>
      </c>
      <c r="K141" s="46">
        <v>0</v>
      </c>
      <c r="L141" s="46">
        <v>0</v>
      </c>
      <c r="M141" s="45">
        <f t="shared" ref="M141" si="47">IFERROR(I141-J141,"")</f>
        <v>0</v>
      </c>
      <c r="N141" s="45" t="s">
        <v>237</v>
      </c>
    </row>
    <row r="142" ht="15" spans="1:14">
      <c r="A142" s="24">
        <v>45848</v>
      </c>
      <c r="B142" s="25">
        <v>45848</v>
      </c>
      <c r="C142" s="45">
        <v>0</v>
      </c>
      <c r="D142" s="45">
        <v>0</v>
      </c>
      <c r="E142" s="45">
        <v>0</v>
      </c>
      <c r="F142" s="45">
        <v>0</v>
      </c>
      <c r="G142" s="45"/>
      <c r="H142" s="45" t="str">
        <f>IFERROR(VLOOKUP(G142,Basic_Data!$E$2:$I$9,5,0),"")</f>
        <v/>
      </c>
      <c r="I142" s="45">
        <v>0</v>
      </c>
      <c r="J142" s="45">
        <v>0</v>
      </c>
      <c r="K142" s="46">
        <v>0</v>
      </c>
      <c r="L142" s="46">
        <v>0</v>
      </c>
      <c r="M142" s="45">
        <f t="shared" ref="M142" si="48">IFERROR(I142-J142,"")</f>
        <v>0</v>
      </c>
      <c r="N142" s="45" t="s">
        <v>237</v>
      </c>
    </row>
    <row r="143" ht="15" spans="1:14">
      <c r="A143" s="24">
        <v>45849</v>
      </c>
      <c r="B143" s="25">
        <v>45849</v>
      </c>
      <c r="C143" s="45">
        <v>0</v>
      </c>
      <c r="D143" s="45">
        <v>0</v>
      </c>
      <c r="E143" s="45">
        <v>0</v>
      </c>
      <c r="F143" s="45">
        <v>0</v>
      </c>
      <c r="G143" s="45"/>
      <c r="H143" s="45" t="str">
        <f>IFERROR(VLOOKUP(G143,Basic_Data!$E$2:$I$9,5,0),"")</f>
        <v/>
      </c>
      <c r="I143" s="45">
        <v>0</v>
      </c>
      <c r="J143" s="45">
        <v>0</v>
      </c>
      <c r="K143" s="46">
        <v>0</v>
      </c>
      <c r="L143" s="46">
        <v>0</v>
      </c>
      <c r="M143" s="45">
        <f t="shared" ref="M143" si="49">IFERROR(I143-J143,"")</f>
        <v>0</v>
      </c>
      <c r="N143" s="45" t="s">
        <v>237</v>
      </c>
    </row>
    <row r="144" ht="15" spans="1:14">
      <c r="A144" s="24">
        <v>45850</v>
      </c>
      <c r="B144" s="25">
        <v>45850</v>
      </c>
      <c r="C144" s="45">
        <v>0</v>
      </c>
      <c r="D144" s="45">
        <v>0</v>
      </c>
      <c r="E144" s="45">
        <v>0</v>
      </c>
      <c r="F144" s="45">
        <v>0</v>
      </c>
      <c r="G144" s="45"/>
      <c r="H144" s="45" t="str">
        <f>IFERROR(VLOOKUP(G144,Basic_Data!$E$2:$I$9,5,0),"")</f>
        <v/>
      </c>
      <c r="I144" s="45">
        <v>0</v>
      </c>
      <c r="J144" s="45">
        <v>0</v>
      </c>
      <c r="K144" s="46">
        <v>0</v>
      </c>
      <c r="L144" s="46">
        <v>0</v>
      </c>
      <c r="M144" s="45">
        <f t="shared" ref="M144" si="50">IFERROR(I144-J144,"")</f>
        <v>0</v>
      </c>
      <c r="N144" s="45" t="s">
        <v>237</v>
      </c>
    </row>
    <row r="145" ht="15" spans="1:14">
      <c r="A145" s="24">
        <v>45851</v>
      </c>
      <c r="B145" s="25">
        <v>45851</v>
      </c>
      <c r="C145" s="45">
        <v>0</v>
      </c>
      <c r="D145" s="45">
        <v>0</v>
      </c>
      <c r="E145" s="45">
        <v>0</v>
      </c>
      <c r="F145" s="45">
        <v>0</v>
      </c>
      <c r="G145" s="45"/>
      <c r="H145" s="45" t="str">
        <f>IFERROR(VLOOKUP(G145,Basic_Data!$E$2:$I$9,5,0),"")</f>
        <v/>
      </c>
      <c r="I145" s="45">
        <v>0</v>
      </c>
      <c r="J145" s="45">
        <v>0</v>
      </c>
      <c r="K145" s="46">
        <v>0</v>
      </c>
      <c r="L145" s="46">
        <v>0</v>
      </c>
      <c r="M145" s="45">
        <f t="shared" ref="M145" si="51">IFERROR(I145-J145,"")</f>
        <v>0</v>
      </c>
      <c r="N145" s="45" t="s">
        <v>237</v>
      </c>
    </row>
    <row r="146" ht="15" spans="1:14">
      <c r="A146" s="24">
        <v>45852</v>
      </c>
      <c r="B146" s="25">
        <v>45852</v>
      </c>
      <c r="C146" s="45">
        <v>0</v>
      </c>
      <c r="D146" s="45">
        <v>0</v>
      </c>
      <c r="E146" s="45">
        <v>0</v>
      </c>
      <c r="F146" s="45">
        <v>0</v>
      </c>
      <c r="G146" s="45"/>
      <c r="H146" s="45" t="str">
        <f>IFERROR(VLOOKUP(G146,Basic_Data!$E$2:$I$9,5,0),"")</f>
        <v/>
      </c>
      <c r="I146" s="45">
        <v>0</v>
      </c>
      <c r="J146" s="45">
        <v>0</v>
      </c>
      <c r="K146" s="46">
        <v>0</v>
      </c>
      <c r="L146" s="46">
        <v>0</v>
      </c>
      <c r="M146" s="45">
        <f t="shared" ref="M146" si="52">IFERROR(I146-J146,"")</f>
        <v>0</v>
      </c>
      <c r="N146" s="45" t="s">
        <v>237</v>
      </c>
    </row>
    <row r="147" ht="15" spans="1:14">
      <c r="A147" s="24">
        <v>45853</v>
      </c>
      <c r="B147" s="25">
        <v>45853</v>
      </c>
      <c r="C147" s="45">
        <v>0</v>
      </c>
      <c r="D147" s="45">
        <v>0</v>
      </c>
      <c r="E147" s="45">
        <v>0</v>
      </c>
      <c r="F147" s="45">
        <v>0</v>
      </c>
      <c r="G147" s="45"/>
      <c r="H147" s="45" t="str">
        <f>IFERROR(VLOOKUP(G147,Basic_Data!$E$2:$I$9,5,0),"")</f>
        <v/>
      </c>
      <c r="I147" s="45">
        <v>0</v>
      </c>
      <c r="J147" s="45">
        <v>0</v>
      </c>
      <c r="K147" s="46">
        <v>0</v>
      </c>
      <c r="L147" s="46">
        <v>0</v>
      </c>
      <c r="M147" s="45">
        <f t="shared" ref="M147" si="53">IFERROR(I147-J147,"")</f>
        <v>0</v>
      </c>
      <c r="N147" s="45" t="s">
        <v>237</v>
      </c>
    </row>
    <row r="148" ht="15" spans="1:14">
      <c r="A148" s="24">
        <v>45854</v>
      </c>
      <c r="B148" s="25">
        <v>45854</v>
      </c>
      <c r="C148" s="45">
        <v>0</v>
      </c>
      <c r="D148" s="45">
        <v>0</v>
      </c>
      <c r="E148" s="45">
        <v>0</v>
      </c>
      <c r="F148" s="45">
        <v>0</v>
      </c>
      <c r="G148" s="45"/>
      <c r="H148" s="45" t="str">
        <f>IFERROR(VLOOKUP(G148,Basic_Data!$E$2:$I$9,5,0),"")</f>
        <v/>
      </c>
      <c r="I148" s="45">
        <v>0</v>
      </c>
      <c r="J148" s="45">
        <v>0</v>
      </c>
      <c r="K148" s="46">
        <v>0</v>
      </c>
      <c r="L148" s="46">
        <v>0</v>
      </c>
      <c r="M148" s="45">
        <f t="shared" ref="M148" si="54">IFERROR(I148-J148,"")</f>
        <v>0</v>
      </c>
      <c r="N148" s="45" t="s">
        <v>237</v>
      </c>
    </row>
    <row r="149" ht="15" spans="1:14">
      <c r="A149" s="24">
        <v>45855</v>
      </c>
      <c r="B149" s="25">
        <v>45855</v>
      </c>
      <c r="C149" s="45">
        <v>0</v>
      </c>
      <c r="D149" s="45">
        <v>0</v>
      </c>
      <c r="E149" s="45">
        <v>0</v>
      </c>
      <c r="F149" s="45">
        <v>0</v>
      </c>
      <c r="G149" s="45"/>
      <c r="H149" s="45" t="str">
        <f>IFERROR(VLOOKUP(G149,Basic_Data!$E$2:$I$9,5,0),"")</f>
        <v/>
      </c>
      <c r="I149" s="45">
        <v>0</v>
      </c>
      <c r="J149" s="45">
        <v>0</v>
      </c>
      <c r="K149" s="46">
        <v>0</v>
      </c>
      <c r="L149" s="46">
        <v>0</v>
      </c>
      <c r="M149" s="45">
        <f t="shared" ref="M149" si="55">IFERROR(I149-J149,"")</f>
        <v>0</v>
      </c>
      <c r="N149" s="45" t="s">
        <v>237</v>
      </c>
    </row>
    <row r="150" ht="15" spans="1:14">
      <c r="A150" s="24">
        <v>45856</v>
      </c>
      <c r="B150" s="25">
        <v>45856</v>
      </c>
      <c r="C150" s="45">
        <v>0</v>
      </c>
      <c r="D150" s="45">
        <v>0</v>
      </c>
      <c r="E150" s="45">
        <v>0</v>
      </c>
      <c r="F150" s="45">
        <v>0</v>
      </c>
      <c r="G150" s="45"/>
      <c r="H150" s="45" t="str">
        <f>IFERROR(VLOOKUP(G150,Basic_Data!$E$2:$I$9,5,0),"")</f>
        <v/>
      </c>
      <c r="I150" s="45">
        <v>0</v>
      </c>
      <c r="J150" s="45">
        <v>0</v>
      </c>
      <c r="K150" s="46">
        <v>0</v>
      </c>
      <c r="L150" s="46">
        <v>0</v>
      </c>
      <c r="M150" s="45">
        <f t="shared" ref="M150" si="56">IFERROR(I150-J150,"")</f>
        <v>0</v>
      </c>
      <c r="N150" s="45" t="s">
        <v>237</v>
      </c>
    </row>
    <row r="151" ht="15" spans="1:14">
      <c r="A151" s="24">
        <v>45857</v>
      </c>
      <c r="B151" s="25">
        <v>45857</v>
      </c>
      <c r="C151" s="45">
        <v>0</v>
      </c>
      <c r="D151" s="45">
        <v>0</v>
      </c>
      <c r="E151" s="45">
        <v>0</v>
      </c>
      <c r="F151" s="45">
        <v>0</v>
      </c>
      <c r="G151" s="45"/>
      <c r="H151" s="45" t="str">
        <f>IFERROR(VLOOKUP(G151,Basic_Data!$E$2:$I$9,5,0),"")</f>
        <v/>
      </c>
      <c r="I151" s="45">
        <v>0</v>
      </c>
      <c r="J151" s="45">
        <v>0</v>
      </c>
      <c r="K151" s="46">
        <v>0</v>
      </c>
      <c r="L151" s="46">
        <v>0</v>
      </c>
      <c r="M151" s="45">
        <f t="shared" ref="M151" si="57">IFERROR(I151-J151,"")</f>
        <v>0</v>
      </c>
      <c r="N151" s="45" t="s">
        <v>237</v>
      </c>
    </row>
    <row r="152" ht="15" spans="1:14">
      <c r="A152" s="24">
        <v>45858</v>
      </c>
      <c r="B152" s="25">
        <v>45858</v>
      </c>
      <c r="C152" s="39">
        <v>0</v>
      </c>
      <c r="D152" s="39">
        <v>0</v>
      </c>
      <c r="E152" s="39">
        <v>0</v>
      </c>
      <c r="F152" s="39">
        <v>0</v>
      </c>
      <c r="G152" s="39"/>
      <c r="H152" s="39" t="str">
        <f>IFERROR(VLOOKUP(G152,Basic_Data!$E$2:$I$9,5,0),"")</f>
        <v/>
      </c>
      <c r="I152" s="39">
        <v>0</v>
      </c>
      <c r="J152" s="39">
        <v>0</v>
      </c>
      <c r="K152" s="40">
        <v>0</v>
      </c>
      <c r="L152" s="40">
        <v>0</v>
      </c>
      <c r="M152" s="39">
        <f t="shared" ref="M152" si="58">IFERROR(I152-J152,"")</f>
        <v>0</v>
      </c>
      <c r="N152" s="39" t="s">
        <v>238</v>
      </c>
    </row>
    <row r="153" ht="15" spans="1:14">
      <c r="A153" s="24">
        <v>45859</v>
      </c>
      <c r="B153" s="25">
        <v>45859</v>
      </c>
      <c r="C153" s="43">
        <v>0</v>
      </c>
      <c r="D153" s="43">
        <v>0</v>
      </c>
      <c r="E153" s="43">
        <v>0</v>
      </c>
      <c r="F153" s="43">
        <v>0</v>
      </c>
      <c r="G153" s="43"/>
      <c r="H153" s="43" t="str">
        <f>IFERROR(VLOOKUP(G153,Basic_Data!$E$2:$I$9,5,0),"")</f>
        <v/>
      </c>
      <c r="I153" s="43">
        <v>0</v>
      </c>
      <c r="J153" s="43">
        <v>0</v>
      </c>
      <c r="K153" s="44">
        <v>0</v>
      </c>
      <c r="L153" s="44">
        <v>0</v>
      </c>
      <c r="M153" s="43">
        <f t="shared" ref="M153" si="59">IFERROR(I153-J153,"")</f>
        <v>0</v>
      </c>
      <c r="N153" s="43" t="s">
        <v>237</v>
      </c>
    </row>
    <row r="154" ht="15" spans="1:14">
      <c r="A154" s="24">
        <v>45860</v>
      </c>
      <c r="B154" s="25">
        <v>45860</v>
      </c>
      <c r="C154" s="43">
        <v>0</v>
      </c>
      <c r="D154" s="43">
        <v>0</v>
      </c>
      <c r="E154" s="43">
        <v>0</v>
      </c>
      <c r="F154" s="43">
        <v>0</v>
      </c>
      <c r="G154" s="43"/>
      <c r="H154" s="43" t="str">
        <f>IFERROR(VLOOKUP(G154,Basic_Data!$E$2:$I$9,5,0),"")</f>
        <v/>
      </c>
      <c r="I154" s="43">
        <v>0</v>
      </c>
      <c r="J154" s="43">
        <v>0</v>
      </c>
      <c r="K154" s="44">
        <v>0</v>
      </c>
      <c r="L154" s="44">
        <v>0</v>
      </c>
      <c r="M154" s="43">
        <f t="shared" ref="M154" si="60">IFERROR(I154-J154,"")</f>
        <v>0</v>
      </c>
      <c r="N154" s="43" t="s">
        <v>237</v>
      </c>
    </row>
    <row r="155" ht="15" spans="1:14">
      <c r="A155" s="24">
        <v>45861</v>
      </c>
      <c r="B155" s="25">
        <v>45861</v>
      </c>
      <c r="C155" s="43">
        <v>0</v>
      </c>
      <c r="D155" s="43">
        <v>0</v>
      </c>
      <c r="E155" s="43">
        <v>0</v>
      </c>
      <c r="F155" s="43">
        <v>0</v>
      </c>
      <c r="G155" s="43"/>
      <c r="H155" s="43" t="str">
        <f>IFERROR(VLOOKUP(G155,Basic_Data!$E$2:$I$9,5,0),"")</f>
        <v/>
      </c>
      <c r="I155" s="43">
        <v>0</v>
      </c>
      <c r="J155" s="43">
        <v>0</v>
      </c>
      <c r="K155" s="44">
        <v>0</v>
      </c>
      <c r="L155" s="44">
        <v>0</v>
      </c>
      <c r="M155" s="43">
        <f t="shared" ref="M155" si="61">IFERROR(I155-J155,"")</f>
        <v>0</v>
      </c>
      <c r="N155" s="43" t="s">
        <v>237</v>
      </c>
    </row>
    <row r="156" ht="15" spans="1:14">
      <c r="A156" s="24">
        <v>45862</v>
      </c>
      <c r="B156" s="25">
        <v>45862</v>
      </c>
      <c r="C156" s="43">
        <v>0</v>
      </c>
      <c r="D156" s="43">
        <v>0</v>
      </c>
      <c r="E156" s="43">
        <v>0</v>
      </c>
      <c r="F156" s="43">
        <v>0</v>
      </c>
      <c r="G156" s="43"/>
      <c r="H156" s="43" t="str">
        <f>IFERROR(VLOOKUP(G156,Basic_Data!$E$2:$I$9,5,0),"")</f>
        <v/>
      </c>
      <c r="I156" s="43">
        <v>0</v>
      </c>
      <c r="J156" s="43">
        <v>0</v>
      </c>
      <c r="K156" s="44">
        <v>0</v>
      </c>
      <c r="L156" s="44">
        <v>0</v>
      </c>
      <c r="M156" s="43">
        <f t="shared" ref="M156" si="62">IFERROR(I156-J156,"")</f>
        <v>0</v>
      </c>
      <c r="N156" s="43" t="s">
        <v>237</v>
      </c>
    </row>
    <row r="157" ht="15" spans="1:14">
      <c r="A157" s="24">
        <v>45863</v>
      </c>
      <c r="B157" s="25">
        <v>45863</v>
      </c>
      <c r="C157" s="39">
        <v>0</v>
      </c>
      <c r="D157" s="39">
        <v>0</v>
      </c>
      <c r="E157" s="39">
        <v>0</v>
      </c>
      <c r="F157" s="39">
        <v>0</v>
      </c>
      <c r="G157" s="39"/>
      <c r="H157" s="39" t="str">
        <f>IFERROR(VLOOKUP(G157,Basic_Data!$E$2:$I$9,5,0),"")</f>
        <v/>
      </c>
      <c r="I157" s="39">
        <v>0</v>
      </c>
      <c r="J157" s="39">
        <v>0</v>
      </c>
      <c r="K157" s="40">
        <v>0</v>
      </c>
      <c r="L157" s="40">
        <v>0</v>
      </c>
      <c r="M157" s="39">
        <f t="shared" ref="M157" si="63">IFERROR(I157-J157,"")</f>
        <v>0</v>
      </c>
      <c r="N157" s="39" t="s">
        <v>238</v>
      </c>
    </row>
    <row r="158" ht="15" spans="1:14">
      <c r="A158" s="24">
        <v>45864</v>
      </c>
      <c r="B158" s="25">
        <v>45864</v>
      </c>
      <c r="C158" s="39">
        <v>0</v>
      </c>
      <c r="D158" s="39">
        <v>0</v>
      </c>
      <c r="E158" s="39">
        <v>0</v>
      </c>
      <c r="F158" s="39">
        <v>0</v>
      </c>
      <c r="G158" s="39"/>
      <c r="H158" s="39" t="str">
        <f>IFERROR(VLOOKUP(G158,Basic_Data!$E$2:$I$9,5,0),"")</f>
        <v/>
      </c>
      <c r="I158" s="39">
        <v>0</v>
      </c>
      <c r="J158" s="39">
        <v>0</v>
      </c>
      <c r="K158" s="40">
        <v>0</v>
      </c>
      <c r="L158" s="40">
        <v>0</v>
      </c>
      <c r="M158" s="39">
        <f t="shared" ref="M158" si="64">IFERROR(I158-J158,"")</f>
        <v>0</v>
      </c>
      <c r="N158" s="39" t="s">
        <v>238</v>
      </c>
    </row>
    <row r="159" ht="15" spans="1:14">
      <c r="A159" s="24">
        <v>45865</v>
      </c>
      <c r="B159" s="25">
        <v>45865</v>
      </c>
      <c r="C159" s="39">
        <v>0</v>
      </c>
      <c r="D159" s="39">
        <v>0</v>
      </c>
      <c r="E159" s="39">
        <v>0</v>
      </c>
      <c r="F159" s="39">
        <v>0</v>
      </c>
      <c r="G159" s="39"/>
      <c r="H159" s="39" t="str">
        <f>IFERROR(VLOOKUP(G159,Basic_Data!$E$2:$I$9,5,0),"")</f>
        <v/>
      </c>
      <c r="I159" s="39">
        <v>0</v>
      </c>
      <c r="J159" s="39">
        <v>0</v>
      </c>
      <c r="K159" s="40">
        <v>0</v>
      </c>
      <c r="L159" s="40">
        <v>0</v>
      </c>
      <c r="M159" s="39">
        <f t="shared" ref="M159" si="65">IFERROR(I159-J159,"")</f>
        <v>0</v>
      </c>
      <c r="N159" s="39" t="s">
        <v>238</v>
      </c>
    </row>
    <row r="160" ht="15" spans="1:14">
      <c r="A160" s="24">
        <v>45866</v>
      </c>
      <c r="B160" s="25">
        <v>45866</v>
      </c>
      <c r="C160" s="43">
        <v>0</v>
      </c>
      <c r="D160" s="43">
        <v>0</v>
      </c>
      <c r="E160" s="43">
        <v>0</v>
      </c>
      <c r="F160" s="43">
        <v>0</v>
      </c>
      <c r="G160" s="43"/>
      <c r="H160" s="43" t="str">
        <f>IFERROR(VLOOKUP(G160,Basic_Data!$E$2:$I$9,5,0),"")</f>
        <v/>
      </c>
      <c r="I160" s="43">
        <v>0</v>
      </c>
      <c r="J160" s="43">
        <v>0</v>
      </c>
      <c r="K160" s="44">
        <v>0</v>
      </c>
      <c r="L160" s="44">
        <v>0</v>
      </c>
      <c r="M160" s="43">
        <f t="shared" ref="M160" si="66">IFERROR(I160-J160,"")</f>
        <v>0</v>
      </c>
      <c r="N160" s="43" t="s">
        <v>237</v>
      </c>
    </row>
    <row r="161" ht="15" spans="1:14">
      <c r="A161" s="24">
        <v>45867</v>
      </c>
      <c r="B161" s="25">
        <v>45867</v>
      </c>
      <c r="C161" s="43">
        <v>0</v>
      </c>
      <c r="D161" s="43">
        <v>0</v>
      </c>
      <c r="E161" s="43">
        <v>0</v>
      </c>
      <c r="F161" s="43">
        <v>0</v>
      </c>
      <c r="G161" s="43"/>
      <c r="H161" s="43" t="str">
        <f>IFERROR(VLOOKUP(G161,Basic_Data!$E$2:$I$9,5,0),"")</f>
        <v/>
      </c>
      <c r="I161" s="43">
        <v>0</v>
      </c>
      <c r="J161" s="43">
        <v>0</v>
      </c>
      <c r="K161" s="44">
        <v>0</v>
      </c>
      <c r="L161" s="44">
        <v>0</v>
      </c>
      <c r="M161" s="43">
        <f t="shared" ref="M161" si="67">IFERROR(I161-J161,"")</f>
        <v>0</v>
      </c>
      <c r="N161" s="43" t="s">
        <v>237</v>
      </c>
    </row>
    <row r="162" ht="15" spans="1:14">
      <c r="A162" s="24">
        <v>45868</v>
      </c>
      <c r="B162" s="25">
        <v>45868</v>
      </c>
      <c r="C162" s="43">
        <v>0</v>
      </c>
      <c r="D162" s="43">
        <v>0</v>
      </c>
      <c r="E162" s="43">
        <v>0</v>
      </c>
      <c r="F162" s="43">
        <v>0</v>
      </c>
      <c r="G162" s="43"/>
      <c r="H162" s="43" t="str">
        <f>IFERROR(VLOOKUP(G162,Basic_Data!$E$2:$I$9,5,0),"")</f>
        <v/>
      </c>
      <c r="I162" s="43">
        <v>0</v>
      </c>
      <c r="J162" s="43">
        <v>0</v>
      </c>
      <c r="K162" s="44">
        <v>0</v>
      </c>
      <c r="L162" s="44">
        <v>0</v>
      </c>
      <c r="M162" s="43">
        <f t="shared" ref="M162" si="68">IFERROR(I162-J162,"")</f>
        <v>0</v>
      </c>
      <c r="N162" s="43" t="s">
        <v>237</v>
      </c>
    </row>
    <row r="163" ht="15" spans="1:14">
      <c r="A163" s="24">
        <v>45869</v>
      </c>
      <c r="B163" s="25">
        <v>45869</v>
      </c>
      <c r="C163" s="43">
        <v>0</v>
      </c>
      <c r="D163" s="43">
        <v>0</v>
      </c>
      <c r="E163" s="43">
        <v>0</v>
      </c>
      <c r="F163" s="43">
        <v>0</v>
      </c>
      <c r="G163" s="43"/>
      <c r="H163" s="43" t="str">
        <f>IFERROR(VLOOKUP(G163,Basic_Data!$E$2:$I$9,5,0),"")</f>
        <v/>
      </c>
      <c r="I163" s="43">
        <v>0</v>
      </c>
      <c r="J163" s="43">
        <v>0</v>
      </c>
      <c r="K163" s="44">
        <v>0</v>
      </c>
      <c r="L163" s="44">
        <v>0</v>
      </c>
      <c r="M163" s="43">
        <f t="shared" ref="M163" si="69">IFERROR(I163-J163,"")</f>
        <v>0</v>
      </c>
      <c r="N163" s="43" t="s">
        <v>237</v>
      </c>
    </row>
    <row r="164" ht="15" spans="1:14">
      <c r="A164" s="24">
        <v>45870</v>
      </c>
      <c r="B164" s="25">
        <v>45870</v>
      </c>
      <c r="C164" s="43">
        <v>0</v>
      </c>
      <c r="D164" s="43">
        <v>0</v>
      </c>
      <c r="E164" s="43">
        <v>0</v>
      </c>
      <c r="F164" s="43">
        <v>0</v>
      </c>
      <c r="G164" s="43"/>
      <c r="H164" s="43" t="str">
        <f>IFERROR(VLOOKUP(G164,Basic_Data!$E$2:$I$9,5,0),"")</f>
        <v/>
      </c>
      <c r="I164" s="43">
        <v>0</v>
      </c>
      <c r="J164" s="43">
        <v>0</v>
      </c>
      <c r="K164" s="44">
        <v>0</v>
      </c>
      <c r="L164" s="44">
        <v>0</v>
      </c>
      <c r="M164" s="43">
        <f t="shared" ref="M164" si="70">IFERROR(I164-J164,"")</f>
        <v>0</v>
      </c>
      <c r="N164" s="43" t="s">
        <v>237</v>
      </c>
    </row>
    <row r="165" ht="15" spans="1:14">
      <c r="A165" s="24">
        <v>45871</v>
      </c>
      <c r="B165" s="25">
        <v>45871</v>
      </c>
      <c r="C165" s="43">
        <v>0</v>
      </c>
      <c r="D165" s="43">
        <v>0</v>
      </c>
      <c r="E165" s="43">
        <v>0</v>
      </c>
      <c r="F165" s="43">
        <v>0</v>
      </c>
      <c r="G165" s="43"/>
      <c r="H165" s="43" t="str">
        <f>IFERROR(VLOOKUP(G165,Basic_Data!$E$2:$I$9,5,0),"")</f>
        <v/>
      </c>
      <c r="I165" s="43">
        <v>0</v>
      </c>
      <c r="J165" s="43">
        <v>0</v>
      </c>
      <c r="K165" s="44">
        <v>0</v>
      </c>
      <c r="L165" s="44">
        <v>0</v>
      </c>
      <c r="M165" s="43">
        <f t="shared" ref="M165" si="71">IFERROR(I165-J165,"")</f>
        <v>0</v>
      </c>
      <c r="N165" s="43" t="s">
        <v>237</v>
      </c>
    </row>
    <row r="166" ht="15" spans="1:14">
      <c r="A166" s="24">
        <v>45872</v>
      </c>
      <c r="B166" s="25">
        <v>45872</v>
      </c>
      <c r="C166" s="43">
        <v>0</v>
      </c>
      <c r="D166" s="43">
        <v>0</v>
      </c>
      <c r="E166" s="43">
        <v>0</v>
      </c>
      <c r="F166" s="43">
        <v>0</v>
      </c>
      <c r="G166" s="43"/>
      <c r="H166" s="43" t="str">
        <f>IFERROR(VLOOKUP(G166,Basic_Data!$E$2:$I$9,5,0),"")</f>
        <v/>
      </c>
      <c r="I166" s="43">
        <v>0</v>
      </c>
      <c r="J166" s="43">
        <v>0</v>
      </c>
      <c r="K166" s="44">
        <v>0</v>
      </c>
      <c r="L166" s="44">
        <v>0</v>
      </c>
      <c r="M166" s="43">
        <f t="shared" ref="M166" si="72">IFERROR(I166-J166,"")</f>
        <v>0</v>
      </c>
      <c r="N166" s="43" t="s">
        <v>237</v>
      </c>
    </row>
    <row r="167" ht="15" spans="1:14">
      <c r="A167" s="24">
        <v>45873</v>
      </c>
      <c r="B167" s="25">
        <v>45873</v>
      </c>
      <c r="C167" s="43">
        <v>0</v>
      </c>
      <c r="D167" s="43">
        <v>0</v>
      </c>
      <c r="E167" s="43">
        <v>0</v>
      </c>
      <c r="F167" s="43">
        <v>0</v>
      </c>
      <c r="G167" s="43"/>
      <c r="H167" s="43" t="str">
        <f>IFERROR(VLOOKUP(G167,Basic_Data!$E$2:$I$9,5,0),"")</f>
        <v/>
      </c>
      <c r="I167" s="43">
        <v>0</v>
      </c>
      <c r="J167" s="43">
        <v>0</v>
      </c>
      <c r="K167" s="44">
        <v>0</v>
      </c>
      <c r="L167" s="44">
        <v>0</v>
      </c>
      <c r="M167" s="43">
        <f t="shared" ref="M167" si="73">IFERROR(I167-J167,"")</f>
        <v>0</v>
      </c>
      <c r="N167" s="43" t="s">
        <v>237</v>
      </c>
    </row>
    <row r="168" ht="15" spans="1:14">
      <c r="A168" s="24">
        <v>45874</v>
      </c>
      <c r="B168" s="25">
        <v>45874</v>
      </c>
      <c r="C168" s="43">
        <v>0</v>
      </c>
      <c r="D168" s="43">
        <v>0</v>
      </c>
      <c r="E168" s="43">
        <v>0</v>
      </c>
      <c r="F168" s="43">
        <v>0</v>
      </c>
      <c r="G168" s="43"/>
      <c r="H168" s="43" t="str">
        <f>IFERROR(VLOOKUP(G168,Basic_Data!$E$2:$I$9,5,0),"")</f>
        <v/>
      </c>
      <c r="I168" s="43">
        <v>0</v>
      </c>
      <c r="J168" s="43">
        <v>0</v>
      </c>
      <c r="K168" s="44">
        <v>0</v>
      </c>
      <c r="L168" s="44">
        <v>0</v>
      </c>
      <c r="M168" s="43">
        <f t="shared" ref="M168" si="74">IFERROR(I168-J168,"")</f>
        <v>0</v>
      </c>
      <c r="N168" s="43" t="s">
        <v>237</v>
      </c>
    </row>
    <row r="169" ht="15" spans="1:14">
      <c r="A169" s="24">
        <v>45875</v>
      </c>
      <c r="B169" s="25">
        <v>45875</v>
      </c>
      <c r="C169" s="43">
        <v>0</v>
      </c>
      <c r="D169" s="43">
        <v>0</v>
      </c>
      <c r="E169" s="43">
        <v>0</v>
      </c>
      <c r="F169" s="43">
        <v>0</v>
      </c>
      <c r="G169" s="43"/>
      <c r="H169" s="43" t="str">
        <f>IFERROR(VLOOKUP(G169,Basic_Data!$E$2:$I$9,5,0),"")</f>
        <v/>
      </c>
      <c r="I169" s="43">
        <v>0</v>
      </c>
      <c r="J169" s="43">
        <v>0</v>
      </c>
      <c r="K169" s="44">
        <v>0</v>
      </c>
      <c r="L169" s="44">
        <v>0</v>
      </c>
      <c r="M169" s="43">
        <f t="shared" ref="M169" si="75">IFERROR(I169-J169,"")</f>
        <v>0</v>
      </c>
      <c r="N169" s="43" t="s">
        <v>237</v>
      </c>
    </row>
    <row r="170" ht="15" spans="1:14">
      <c r="A170" s="24">
        <v>45876</v>
      </c>
      <c r="B170" s="25">
        <v>45876</v>
      </c>
      <c r="C170" s="43">
        <v>0</v>
      </c>
      <c r="D170" s="43">
        <v>0</v>
      </c>
      <c r="E170" s="43">
        <v>0</v>
      </c>
      <c r="F170" s="43">
        <v>0</v>
      </c>
      <c r="G170" s="43"/>
      <c r="H170" s="43" t="str">
        <f>IFERROR(VLOOKUP(G170,Basic_Data!$E$2:$I$9,5,0),"")</f>
        <v/>
      </c>
      <c r="I170" s="43">
        <v>0</v>
      </c>
      <c r="J170" s="43">
        <v>0</v>
      </c>
      <c r="K170" s="44">
        <v>0</v>
      </c>
      <c r="L170" s="44">
        <v>0</v>
      </c>
      <c r="M170" s="43">
        <f t="shared" ref="M170" si="76">IFERROR(I170-J170,"")</f>
        <v>0</v>
      </c>
      <c r="N170" s="43" t="s">
        <v>237</v>
      </c>
    </row>
    <row r="171" ht="15" spans="1:14">
      <c r="A171" s="24">
        <v>45877</v>
      </c>
      <c r="B171" s="25">
        <v>45877</v>
      </c>
      <c r="C171" s="43">
        <v>0</v>
      </c>
      <c r="D171" s="43">
        <v>0</v>
      </c>
      <c r="E171" s="43">
        <v>0</v>
      </c>
      <c r="F171" s="43">
        <v>0</v>
      </c>
      <c r="G171" s="43"/>
      <c r="H171" s="43" t="str">
        <f>IFERROR(VLOOKUP(G171,Basic_Data!$E$2:$I$9,5,0),"")</f>
        <v/>
      </c>
      <c r="I171" s="43">
        <v>0</v>
      </c>
      <c r="J171" s="43">
        <v>0</v>
      </c>
      <c r="K171" s="44">
        <v>0</v>
      </c>
      <c r="L171" s="44">
        <v>0</v>
      </c>
      <c r="M171" s="43">
        <f t="shared" ref="M171" si="77">IFERROR(I171-J171,"")</f>
        <v>0</v>
      </c>
      <c r="N171" s="43" t="s">
        <v>237</v>
      </c>
    </row>
    <row r="172" ht="15" spans="1:14">
      <c r="A172" s="24">
        <v>45878</v>
      </c>
      <c r="B172" s="25">
        <v>45878</v>
      </c>
      <c r="C172" s="43">
        <v>0</v>
      </c>
      <c r="D172" s="43">
        <v>0</v>
      </c>
      <c r="E172" s="43">
        <v>0</v>
      </c>
      <c r="F172" s="43">
        <v>0</v>
      </c>
      <c r="G172" s="43"/>
      <c r="H172" s="43" t="str">
        <f>IFERROR(VLOOKUP(G172,Basic_Data!$E$2:$I$9,5,0),"")</f>
        <v/>
      </c>
      <c r="I172" s="43">
        <v>0</v>
      </c>
      <c r="J172" s="43">
        <v>0</v>
      </c>
      <c r="K172" s="44">
        <v>0</v>
      </c>
      <c r="L172" s="44">
        <v>0</v>
      </c>
      <c r="M172" s="43">
        <f t="shared" ref="M172" si="78">IFERROR(I172-J172,"")</f>
        <v>0</v>
      </c>
      <c r="N172" s="43" t="s">
        <v>237</v>
      </c>
    </row>
    <row r="173" ht="15" spans="1:14">
      <c r="A173" s="24">
        <v>45879</v>
      </c>
      <c r="B173" s="25">
        <v>45879</v>
      </c>
      <c r="C173" s="43">
        <v>0</v>
      </c>
      <c r="D173" s="43">
        <v>0</v>
      </c>
      <c r="E173" s="43">
        <v>0</v>
      </c>
      <c r="F173" s="43">
        <v>0</v>
      </c>
      <c r="G173" s="43"/>
      <c r="H173" s="43" t="str">
        <f>IFERROR(VLOOKUP(G173,Basic_Data!$E$2:$I$9,5,0),"")</f>
        <v/>
      </c>
      <c r="I173" s="43">
        <v>0</v>
      </c>
      <c r="J173" s="43">
        <v>0</v>
      </c>
      <c r="K173" s="44">
        <v>0</v>
      </c>
      <c r="L173" s="44">
        <v>0</v>
      </c>
      <c r="M173" s="43">
        <f t="shared" ref="M173" si="79">IFERROR(I173-J173,"")</f>
        <v>0</v>
      </c>
      <c r="N173" s="43" t="s">
        <v>237</v>
      </c>
    </row>
    <row r="174" ht="15" spans="1:14">
      <c r="A174" s="24">
        <v>45880</v>
      </c>
      <c r="B174" s="25">
        <v>45880</v>
      </c>
      <c r="C174" s="39">
        <v>0</v>
      </c>
      <c r="D174" s="39">
        <v>0</v>
      </c>
      <c r="E174" s="39">
        <v>0</v>
      </c>
      <c r="F174" s="39">
        <v>0</v>
      </c>
      <c r="G174" s="39"/>
      <c r="H174" s="39" t="str">
        <f>IFERROR(VLOOKUP(G174,Basic_Data!$E$2:$I$9,5,0),"")</f>
        <v/>
      </c>
      <c r="I174" s="39">
        <v>0</v>
      </c>
      <c r="J174" s="39">
        <v>0</v>
      </c>
      <c r="K174" s="40">
        <v>0</v>
      </c>
      <c r="L174" s="40">
        <v>0</v>
      </c>
      <c r="M174" s="39">
        <f t="shared" ref="M174" si="80">IFERROR(I174-J174,"")</f>
        <v>0</v>
      </c>
      <c r="N174" s="39" t="s">
        <v>238</v>
      </c>
    </row>
    <row r="175" ht="15" spans="1:14">
      <c r="A175" s="24">
        <v>45881</v>
      </c>
      <c r="B175" s="25">
        <v>45881</v>
      </c>
      <c r="C175" s="39">
        <v>0</v>
      </c>
      <c r="D175" s="39">
        <v>0</v>
      </c>
      <c r="E175" s="39">
        <v>0</v>
      </c>
      <c r="F175" s="39">
        <v>0</v>
      </c>
      <c r="G175" s="39"/>
      <c r="H175" s="39" t="str">
        <f>IFERROR(VLOOKUP(G175,Basic_Data!$E$2:$I$9,5,0),"")</f>
        <v/>
      </c>
      <c r="I175" s="39">
        <v>0</v>
      </c>
      <c r="J175" s="39">
        <v>0</v>
      </c>
      <c r="K175" s="40">
        <v>0</v>
      </c>
      <c r="L175" s="40">
        <v>0</v>
      </c>
      <c r="M175" s="39">
        <f t="shared" ref="M175:M177" si="81">IFERROR(I175-J175,"")</f>
        <v>0</v>
      </c>
      <c r="N175" s="39" t="s">
        <v>238</v>
      </c>
    </row>
    <row r="176" ht="15" spans="1:14">
      <c r="A176" s="24">
        <v>45882</v>
      </c>
      <c r="B176" s="25">
        <v>45882</v>
      </c>
      <c r="C176" s="43">
        <v>0</v>
      </c>
      <c r="D176" s="43">
        <v>0</v>
      </c>
      <c r="E176" s="43">
        <v>0</v>
      </c>
      <c r="F176" s="43">
        <v>0</v>
      </c>
      <c r="G176" s="43"/>
      <c r="H176" s="43" t="str">
        <f>IFERROR(VLOOKUP(G176,Basic_Data!$E$2:$I$9,5,0),"")</f>
        <v/>
      </c>
      <c r="I176" s="43">
        <v>0</v>
      </c>
      <c r="J176" s="43">
        <v>0</v>
      </c>
      <c r="K176" s="44">
        <v>0</v>
      </c>
      <c r="L176" s="44">
        <v>0</v>
      </c>
      <c r="M176" s="43">
        <f t="shared" si="81"/>
        <v>0</v>
      </c>
      <c r="N176" s="43" t="s">
        <v>237</v>
      </c>
    </row>
    <row r="177" ht="15" spans="1:14">
      <c r="A177" s="24">
        <v>45883</v>
      </c>
      <c r="B177" s="25">
        <v>45883</v>
      </c>
      <c r="C177" s="43">
        <v>0</v>
      </c>
      <c r="D177" s="43">
        <v>0</v>
      </c>
      <c r="E177" s="43">
        <v>0</v>
      </c>
      <c r="F177" s="43">
        <v>0</v>
      </c>
      <c r="G177" s="43"/>
      <c r="H177" s="43" t="str">
        <f>IFERROR(VLOOKUP(G177,Basic_Data!$E$2:$I$9,5,0),"")</f>
        <v/>
      </c>
      <c r="I177" s="43">
        <v>0</v>
      </c>
      <c r="J177" s="43">
        <v>0</v>
      </c>
      <c r="K177" s="44">
        <v>0</v>
      </c>
      <c r="L177" s="44">
        <v>0</v>
      </c>
      <c r="M177" s="43">
        <f t="shared" si="81"/>
        <v>0</v>
      </c>
      <c r="N177" s="43" t="s">
        <v>237</v>
      </c>
    </row>
    <row r="178" ht="15" spans="1:14">
      <c r="A178" s="24">
        <v>45884</v>
      </c>
      <c r="B178" s="25">
        <v>45884</v>
      </c>
      <c r="C178" s="43">
        <v>0</v>
      </c>
      <c r="D178" s="43">
        <v>0</v>
      </c>
      <c r="E178" s="43">
        <v>0</v>
      </c>
      <c r="F178" s="43">
        <v>0</v>
      </c>
      <c r="G178" s="43"/>
      <c r="H178" s="43" t="str">
        <f>IFERROR(VLOOKUP(G178,Basic_Data!$E$2:$I$9,5,0),"")</f>
        <v/>
      </c>
      <c r="I178" s="43">
        <v>0</v>
      </c>
      <c r="J178" s="43">
        <v>0</v>
      </c>
      <c r="K178" s="44">
        <v>0</v>
      </c>
      <c r="L178" s="44">
        <v>0</v>
      </c>
      <c r="M178" s="43">
        <f t="shared" ref="M178:M179" si="82">IFERROR(I178-J178,"")</f>
        <v>0</v>
      </c>
      <c r="N178" s="43" t="s">
        <v>237</v>
      </c>
    </row>
    <row r="179" ht="15" spans="1:14">
      <c r="A179" s="24">
        <v>45885</v>
      </c>
      <c r="B179" s="25">
        <v>45885</v>
      </c>
      <c r="C179" s="39">
        <v>0</v>
      </c>
      <c r="D179" s="39">
        <v>0</v>
      </c>
      <c r="E179" s="39">
        <v>0</v>
      </c>
      <c r="F179" s="39">
        <v>0</v>
      </c>
      <c r="G179" s="39"/>
      <c r="H179" s="39" t="str">
        <f>IFERROR(VLOOKUP(G179,Basic_Data!$E$2:$I$9,5,0),"")</f>
        <v/>
      </c>
      <c r="I179" s="39">
        <v>0</v>
      </c>
      <c r="J179" s="39">
        <v>0</v>
      </c>
      <c r="K179" s="40">
        <v>0</v>
      </c>
      <c r="L179" s="40">
        <v>0</v>
      </c>
      <c r="M179" s="39">
        <f t="shared" si="82"/>
        <v>0</v>
      </c>
      <c r="N179" s="39" t="s">
        <v>238</v>
      </c>
    </row>
    <row r="180" ht="15" spans="1:14">
      <c r="A180" s="24">
        <v>45886</v>
      </c>
      <c r="B180" s="25">
        <v>45886</v>
      </c>
      <c r="C180" s="39">
        <v>0</v>
      </c>
      <c r="D180" s="39">
        <v>0</v>
      </c>
      <c r="E180" s="39">
        <v>0</v>
      </c>
      <c r="F180" s="39">
        <v>0</v>
      </c>
      <c r="G180" s="39"/>
      <c r="H180" s="39" t="str">
        <f>IFERROR(VLOOKUP(G180,Basic_Data!$E$2:$I$9,5,0),"")</f>
        <v/>
      </c>
      <c r="I180" s="39">
        <v>0</v>
      </c>
      <c r="J180" s="39">
        <v>0</v>
      </c>
      <c r="K180" s="40">
        <v>0</v>
      </c>
      <c r="L180" s="40">
        <v>0</v>
      </c>
      <c r="M180" s="39">
        <f t="shared" ref="M180" si="83">IFERROR(I180-J180,"")</f>
        <v>0</v>
      </c>
      <c r="N180" s="39" t="s">
        <v>238</v>
      </c>
    </row>
    <row r="181" ht="15" spans="1:14">
      <c r="A181" s="24">
        <v>45887</v>
      </c>
      <c r="B181" s="25">
        <v>45887</v>
      </c>
      <c r="C181" s="39">
        <v>0</v>
      </c>
      <c r="D181" s="39">
        <v>0</v>
      </c>
      <c r="E181" s="39">
        <v>0</v>
      </c>
      <c r="F181" s="39">
        <v>0</v>
      </c>
      <c r="G181" s="39"/>
      <c r="H181" s="39" t="str">
        <f>IFERROR(VLOOKUP(G181,Basic_Data!$E$2:$I$9,5,0),"")</f>
        <v/>
      </c>
      <c r="I181" s="39">
        <v>0</v>
      </c>
      <c r="J181" s="39">
        <v>0</v>
      </c>
      <c r="K181" s="40">
        <v>0</v>
      </c>
      <c r="L181" s="40">
        <v>0</v>
      </c>
      <c r="M181" s="39">
        <f t="shared" ref="M181" si="84">IFERROR(I181-J181,"")</f>
        <v>0</v>
      </c>
      <c r="N181" s="39" t="s">
        <v>238</v>
      </c>
    </row>
    <row r="182" ht="15" spans="1:14">
      <c r="A182" s="24">
        <v>45888</v>
      </c>
      <c r="B182" s="25">
        <v>45888</v>
      </c>
      <c r="C182" s="26"/>
      <c r="D182" s="26"/>
      <c r="E182" s="26"/>
      <c r="F182" s="26"/>
      <c r="G182" s="26"/>
      <c r="H182" s="26" t="str">
        <f>IFERROR(VLOOKUP(G182,Basic_Data!$E$2:$I$9,5,0),"")</f>
        <v/>
      </c>
      <c r="I182" s="26" t="str">
        <f>IFERROR(VLOOKUP($G182,Basic_Data!$E$2:$H$10,4,0),"")</f>
        <v/>
      </c>
      <c r="J182" s="26"/>
      <c r="K182" s="27" t="str">
        <f>IFERROR(VLOOKUP($B182-1,Inverter_PR!$B:$I,Module_Cleaning!H182,0),"")</f>
        <v/>
      </c>
      <c r="L182" s="27" t="str">
        <f>IFERROR(VLOOKUP($B182+1,Inverter_PR!$B:$I,Module_Cleaning!H182,0),"")</f>
        <v/>
      </c>
      <c r="M182" s="26" t="str">
        <f t="shared" ref="M182:M218" si="85">IFERROR(I182-J182,"")</f>
        <v/>
      </c>
      <c r="N182" s="26"/>
    </row>
    <row r="183" ht="15" spans="1:14">
      <c r="A183" s="24">
        <v>45889</v>
      </c>
      <c r="B183" s="25">
        <v>45889</v>
      </c>
      <c r="C183" s="26"/>
      <c r="D183" s="26"/>
      <c r="E183" s="26"/>
      <c r="F183" s="26"/>
      <c r="G183" s="26"/>
      <c r="H183" s="26" t="str">
        <f>IFERROR(VLOOKUP(G183,Basic_Data!$E$2:$I$9,5,0),"")</f>
        <v/>
      </c>
      <c r="I183" s="26" t="str">
        <f>IFERROR(VLOOKUP($G183,Basic_Data!$E$2:$H$10,4,0),"")</f>
        <v/>
      </c>
      <c r="J183" s="26"/>
      <c r="K183" s="27" t="str">
        <f>IFERROR(VLOOKUP($B183-1,Inverter_PR!$B:$I,Module_Cleaning!H183,0),"")</f>
        <v/>
      </c>
      <c r="L183" s="27" t="str">
        <f>IFERROR(VLOOKUP($B183+1,Inverter_PR!$B:$I,Module_Cleaning!H183,0),"")</f>
        <v/>
      </c>
      <c r="M183" s="26" t="str">
        <f t="shared" si="85"/>
        <v/>
      </c>
      <c r="N183" s="26"/>
    </row>
    <row r="184" ht="15" spans="1:14">
      <c r="A184" s="24">
        <v>45890</v>
      </c>
      <c r="B184" s="25">
        <v>45890</v>
      </c>
      <c r="C184" s="26"/>
      <c r="D184" s="26"/>
      <c r="E184" s="26"/>
      <c r="F184" s="26"/>
      <c r="G184" s="26"/>
      <c r="H184" s="26" t="str">
        <f>IFERROR(VLOOKUP(G184,Basic_Data!$E$2:$I$9,5,0),"")</f>
        <v/>
      </c>
      <c r="I184" s="26" t="str">
        <f>IFERROR(VLOOKUP($G184,Basic_Data!$E$2:$H$10,4,0),"")</f>
        <v/>
      </c>
      <c r="J184" s="26"/>
      <c r="K184" s="27" t="str">
        <f>IFERROR(VLOOKUP($B184-1,Inverter_PR!$B:$I,Module_Cleaning!H184,0),"")</f>
        <v/>
      </c>
      <c r="L184" s="27" t="str">
        <f>IFERROR(VLOOKUP($B184+1,Inverter_PR!$B:$I,Module_Cleaning!H184,0),"")</f>
        <v/>
      </c>
      <c r="M184" s="26" t="str">
        <f t="shared" si="85"/>
        <v/>
      </c>
      <c r="N184" s="26"/>
    </row>
    <row r="185" ht="15" spans="1:14">
      <c r="A185" s="24">
        <v>45891</v>
      </c>
      <c r="B185" s="25">
        <v>45891</v>
      </c>
      <c r="C185" s="26"/>
      <c r="D185" s="26"/>
      <c r="E185" s="26"/>
      <c r="F185" s="26"/>
      <c r="G185" s="26"/>
      <c r="H185" s="26" t="str">
        <f>IFERROR(VLOOKUP(G185,Basic_Data!$E$2:$I$9,5,0),"")</f>
        <v/>
      </c>
      <c r="I185" s="26" t="str">
        <f>IFERROR(VLOOKUP($G185,Basic_Data!$E$2:$H$10,4,0),"")</f>
        <v/>
      </c>
      <c r="J185" s="26"/>
      <c r="K185" s="27" t="str">
        <f>IFERROR(VLOOKUP($B185-1,Inverter_PR!$B:$I,Module_Cleaning!H185,0),"")</f>
        <v/>
      </c>
      <c r="L185" s="27" t="str">
        <f>IFERROR(VLOOKUP($B185+1,Inverter_PR!$B:$I,Module_Cleaning!H185,0),"")</f>
        <v/>
      </c>
      <c r="M185" s="26" t="str">
        <f t="shared" si="85"/>
        <v/>
      </c>
      <c r="N185" s="26"/>
    </row>
    <row r="186" ht="15" spans="1:14">
      <c r="A186" s="24">
        <v>45892</v>
      </c>
      <c r="B186" s="25">
        <v>45892</v>
      </c>
      <c r="C186" s="26"/>
      <c r="D186" s="26"/>
      <c r="E186" s="26"/>
      <c r="F186" s="26"/>
      <c r="G186" s="26"/>
      <c r="H186" s="26" t="str">
        <f>IFERROR(VLOOKUP(G186,Basic_Data!$E$2:$I$9,5,0),"")</f>
        <v/>
      </c>
      <c r="I186" s="26" t="str">
        <f>IFERROR(VLOOKUP($G186,Basic_Data!$E$2:$H$10,4,0),"")</f>
        <v/>
      </c>
      <c r="J186" s="26"/>
      <c r="K186" s="27" t="str">
        <f>IFERROR(VLOOKUP($B186-1,Inverter_PR!$B:$I,Module_Cleaning!H186,0),"")</f>
        <v/>
      </c>
      <c r="L186" s="27" t="str">
        <f>IFERROR(VLOOKUP($B186+1,Inverter_PR!$B:$I,Module_Cleaning!H186,0),"")</f>
        <v/>
      </c>
      <c r="M186" s="26" t="str">
        <f t="shared" si="85"/>
        <v/>
      </c>
      <c r="N186" s="26"/>
    </row>
    <row r="187" ht="15" spans="1:14">
      <c r="A187" s="24">
        <v>45893</v>
      </c>
      <c r="B187" s="25">
        <v>45893</v>
      </c>
      <c r="C187" s="26"/>
      <c r="D187" s="26"/>
      <c r="E187" s="26"/>
      <c r="F187" s="26"/>
      <c r="G187" s="26"/>
      <c r="H187" s="26" t="str">
        <f>IFERROR(VLOOKUP(G187,Basic_Data!$E$2:$I$9,5,0),"")</f>
        <v/>
      </c>
      <c r="I187" s="26" t="str">
        <f>IFERROR(VLOOKUP($G187,Basic_Data!$E$2:$H$10,4,0),"")</f>
        <v/>
      </c>
      <c r="J187" s="26"/>
      <c r="K187" s="27" t="str">
        <f>IFERROR(VLOOKUP($B187-1,Inverter_PR!$B:$I,Module_Cleaning!H187,0),"")</f>
        <v/>
      </c>
      <c r="L187" s="27" t="str">
        <f>IFERROR(VLOOKUP($B187+1,Inverter_PR!$B:$I,Module_Cleaning!H187,0),"")</f>
        <v/>
      </c>
      <c r="M187" s="26" t="str">
        <f t="shared" si="85"/>
        <v/>
      </c>
      <c r="N187" s="26"/>
    </row>
    <row r="188" ht="15" spans="1:14">
      <c r="A188" s="24">
        <v>45894</v>
      </c>
      <c r="B188" s="25">
        <v>45894</v>
      </c>
      <c r="C188" s="26"/>
      <c r="D188" s="26"/>
      <c r="E188" s="26"/>
      <c r="F188" s="26"/>
      <c r="G188" s="26"/>
      <c r="H188" s="26" t="str">
        <f>IFERROR(VLOOKUP(G188,Basic_Data!$E$2:$I$9,5,0),"")</f>
        <v/>
      </c>
      <c r="I188" s="26" t="str">
        <f>IFERROR(VLOOKUP($G188,Basic_Data!$E$2:$H$10,4,0),"")</f>
        <v/>
      </c>
      <c r="J188" s="26"/>
      <c r="K188" s="27" t="str">
        <f>IFERROR(VLOOKUP($B188-1,Inverter_PR!$B:$I,Module_Cleaning!H188,0),"")</f>
        <v/>
      </c>
      <c r="L188" s="27" t="str">
        <f>IFERROR(VLOOKUP($B188+1,Inverter_PR!$B:$I,Module_Cleaning!H188,0),"")</f>
        <v/>
      </c>
      <c r="M188" s="26" t="str">
        <f t="shared" si="85"/>
        <v/>
      </c>
      <c r="N188" s="26"/>
    </row>
    <row r="189" ht="15" spans="1:14">
      <c r="A189" s="24">
        <v>45895</v>
      </c>
      <c r="B189" s="25">
        <v>45895</v>
      </c>
      <c r="C189" s="26"/>
      <c r="D189" s="26"/>
      <c r="E189" s="26"/>
      <c r="F189" s="26"/>
      <c r="G189" s="26"/>
      <c r="H189" s="26" t="str">
        <f>IFERROR(VLOOKUP(G189,Basic_Data!$E$2:$I$9,5,0),"")</f>
        <v/>
      </c>
      <c r="I189" s="26" t="str">
        <f>IFERROR(VLOOKUP($G189,Basic_Data!$E$2:$H$10,4,0),"")</f>
        <v/>
      </c>
      <c r="J189" s="26"/>
      <c r="K189" s="27" t="str">
        <f>IFERROR(VLOOKUP($B189-1,Inverter_PR!$B:$I,Module_Cleaning!H189,0),"")</f>
        <v/>
      </c>
      <c r="L189" s="27" t="str">
        <f>IFERROR(VLOOKUP($B189+1,Inverter_PR!$B:$I,Module_Cleaning!H189,0),"")</f>
        <v/>
      </c>
      <c r="M189" s="26" t="str">
        <f t="shared" si="85"/>
        <v/>
      </c>
      <c r="N189" s="26"/>
    </row>
    <row r="190" ht="15" spans="1:14">
      <c r="A190" s="24">
        <v>45896</v>
      </c>
      <c r="B190" s="25">
        <v>45896</v>
      </c>
      <c r="C190" s="26"/>
      <c r="D190" s="26"/>
      <c r="E190" s="26"/>
      <c r="F190" s="26"/>
      <c r="G190" s="26"/>
      <c r="H190" s="26" t="str">
        <f>IFERROR(VLOOKUP(G190,Basic_Data!$E$2:$I$9,5,0),"")</f>
        <v/>
      </c>
      <c r="I190" s="26" t="str">
        <f>IFERROR(VLOOKUP($G190,Basic_Data!$E$2:$H$10,4,0),"")</f>
        <v/>
      </c>
      <c r="J190" s="26"/>
      <c r="K190" s="27" t="str">
        <f>IFERROR(VLOOKUP($B190-1,Inverter_PR!$B:$I,Module_Cleaning!H190,0),"")</f>
        <v/>
      </c>
      <c r="L190" s="27" t="str">
        <f>IFERROR(VLOOKUP($B190+1,Inverter_PR!$B:$I,Module_Cleaning!H190,0),"")</f>
        <v/>
      </c>
      <c r="M190" s="26" t="str">
        <f t="shared" si="85"/>
        <v/>
      </c>
      <c r="N190" s="26"/>
    </row>
    <row r="191" ht="15" spans="1:14">
      <c r="A191" s="24">
        <v>45897</v>
      </c>
      <c r="B191" s="25">
        <v>45897</v>
      </c>
      <c r="C191" s="26"/>
      <c r="D191" s="26"/>
      <c r="E191" s="26"/>
      <c r="F191" s="26"/>
      <c r="G191" s="26"/>
      <c r="H191" s="26" t="str">
        <f>IFERROR(VLOOKUP(G191,Basic_Data!$E$2:$I$9,5,0),"")</f>
        <v/>
      </c>
      <c r="I191" s="26" t="str">
        <f>IFERROR(VLOOKUP($G191,Basic_Data!$E$2:$H$10,4,0),"")</f>
        <v/>
      </c>
      <c r="J191" s="26"/>
      <c r="K191" s="27" t="str">
        <f>IFERROR(VLOOKUP($B191-1,Inverter_PR!$B:$I,Module_Cleaning!H191,0),"")</f>
        <v/>
      </c>
      <c r="L191" s="27" t="str">
        <f>IFERROR(VLOOKUP($B191+1,Inverter_PR!$B:$I,Module_Cleaning!H191,0),"")</f>
        <v/>
      </c>
      <c r="M191" s="26" t="str">
        <f t="shared" si="85"/>
        <v/>
      </c>
      <c r="N191" s="26"/>
    </row>
    <row r="192" ht="15" spans="1:14">
      <c r="A192" s="24">
        <v>45898</v>
      </c>
      <c r="B192" s="25">
        <v>45898</v>
      </c>
      <c r="C192" s="26"/>
      <c r="D192" s="26"/>
      <c r="E192" s="26"/>
      <c r="F192" s="26"/>
      <c r="G192" s="26"/>
      <c r="H192" s="26" t="str">
        <f>IFERROR(VLOOKUP(G192,Basic_Data!$E$2:$I$9,5,0),"")</f>
        <v/>
      </c>
      <c r="I192" s="26" t="str">
        <f>IFERROR(VLOOKUP($G192,Basic_Data!$E$2:$H$10,4,0),"")</f>
        <v/>
      </c>
      <c r="J192" s="26"/>
      <c r="K192" s="27" t="str">
        <f>IFERROR(VLOOKUP($B192-1,Inverter_PR!$B:$I,Module_Cleaning!H192,0),"")</f>
        <v/>
      </c>
      <c r="L192" s="27" t="str">
        <f>IFERROR(VLOOKUP($B192+1,Inverter_PR!$B:$I,Module_Cleaning!H192,0),"")</f>
        <v/>
      </c>
      <c r="M192" s="26" t="str">
        <f t="shared" si="85"/>
        <v/>
      </c>
      <c r="N192" s="26"/>
    </row>
    <row r="193" ht="15" spans="1:14">
      <c r="A193" s="24">
        <v>45899</v>
      </c>
      <c r="B193" s="25">
        <v>45899</v>
      </c>
      <c r="C193" s="26"/>
      <c r="D193" s="26"/>
      <c r="E193" s="26"/>
      <c r="F193" s="26"/>
      <c r="G193" s="26"/>
      <c r="H193" s="26" t="str">
        <f>IFERROR(VLOOKUP(G193,Basic_Data!$E$2:$I$9,5,0),"")</f>
        <v/>
      </c>
      <c r="I193" s="26" t="str">
        <f>IFERROR(VLOOKUP($G193,Basic_Data!$E$2:$H$10,4,0),"")</f>
        <v/>
      </c>
      <c r="J193" s="26"/>
      <c r="K193" s="27" t="str">
        <f>IFERROR(VLOOKUP($B193-1,Inverter_PR!$B:$I,Module_Cleaning!H193,0),"")</f>
        <v/>
      </c>
      <c r="L193" s="27" t="str">
        <f>IFERROR(VLOOKUP($B193+1,Inverter_PR!$B:$I,Module_Cleaning!H193,0),"")</f>
        <v/>
      </c>
      <c r="M193" s="26" t="str">
        <f t="shared" si="85"/>
        <v/>
      </c>
      <c r="N193" s="26"/>
    </row>
    <row r="194" ht="15" spans="1:14">
      <c r="A194" s="24">
        <v>45900</v>
      </c>
      <c r="B194" s="25">
        <v>45900</v>
      </c>
      <c r="C194" s="26"/>
      <c r="D194" s="26"/>
      <c r="E194" s="26"/>
      <c r="F194" s="26"/>
      <c r="G194" s="26"/>
      <c r="H194" s="26" t="str">
        <f>IFERROR(VLOOKUP(G194,Basic_Data!$E$2:$I$9,5,0),"")</f>
        <v/>
      </c>
      <c r="I194" s="26" t="str">
        <f>IFERROR(VLOOKUP($G194,Basic_Data!$E$2:$H$10,4,0),"")</f>
        <v/>
      </c>
      <c r="J194" s="26"/>
      <c r="K194" s="27" t="str">
        <f>IFERROR(VLOOKUP($B194-1,Inverter_PR!$B:$I,Module_Cleaning!H194,0),"")</f>
        <v/>
      </c>
      <c r="L194" s="27" t="str">
        <f>IFERROR(VLOOKUP($B194+1,Inverter_PR!$B:$I,Module_Cleaning!H194,0),"")</f>
        <v/>
      </c>
      <c r="M194" s="26" t="str">
        <f t="shared" si="85"/>
        <v/>
      </c>
      <c r="N194" s="26"/>
    </row>
    <row r="195" ht="15" spans="1:14">
      <c r="A195" s="24">
        <v>45901</v>
      </c>
      <c r="B195" s="25">
        <v>45901</v>
      </c>
      <c r="C195" s="26"/>
      <c r="D195" s="26"/>
      <c r="E195" s="26"/>
      <c r="F195" s="26"/>
      <c r="G195" s="26"/>
      <c r="H195" s="26" t="str">
        <f>IFERROR(VLOOKUP(G195,Basic_Data!$E$2:$I$9,5,0),"")</f>
        <v/>
      </c>
      <c r="I195" s="26" t="str">
        <f>IFERROR(VLOOKUP($G195,Basic_Data!$E$2:$H$10,4,0),"")</f>
        <v/>
      </c>
      <c r="J195" s="26"/>
      <c r="K195" s="27" t="str">
        <f>IFERROR(VLOOKUP($B195-1,Inverter_PR!$B:$I,Module_Cleaning!H195,0),"")</f>
        <v/>
      </c>
      <c r="L195" s="27" t="str">
        <f>IFERROR(VLOOKUP($B195+1,Inverter_PR!$B:$I,Module_Cleaning!H195,0),"")</f>
        <v/>
      </c>
      <c r="M195" s="26" t="str">
        <f t="shared" si="85"/>
        <v/>
      </c>
      <c r="N195" s="26"/>
    </row>
    <row r="196" ht="15" spans="1:14">
      <c r="A196" s="24">
        <v>45902</v>
      </c>
      <c r="B196" s="25">
        <v>45902</v>
      </c>
      <c r="C196" s="26"/>
      <c r="D196" s="26"/>
      <c r="E196" s="26"/>
      <c r="F196" s="26"/>
      <c r="G196" s="26"/>
      <c r="H196" s="26" t="str">
        <f>IFERROR(VLOOKUP(G196,Basic_Data!$E$2:$I$9,5,0),"")</f>
        <v/>
      </c>
      <c r="I196" s="26" t="str">
        <f>IFERROR(VLOOKUP($G196,Basic_Data!$E$2:$H$10,4,0),"")</f>
        <v/>
      </c>
      <c r="J196" s="26"/>
      <c r="K196" s="27" t="str">
        <f>IFERROR(VLOOKUP($B196-1,Inverter_PR!$B:$I,Module_Cleaning!H196,0),"")</f>
        <v/>
      </c>
      <c r="L196" s="27" t="str">
        <f>IFERROR(VLOOKUP($B196+1,Inverter_PR!$B:$I,Module_Cleaning!H196,0),"")</f>
        <v/>
      </c>
      <c r="M196" s="26" t="str">
        <f t="shared" si="85"/>
        <v/>
      </c>
      <c r="N196" s="26"/>
    </row>
    <row r="197" ht="15" spans="1:14">
      <c r="A197" s="24">
        <v>45903</v>
      </c>
      <c r="B197" s="25">
        <v>45903</v>
      </c>
      <c r="C197" s="26"/>
      <c r="D197" s="26"/>
      <c r="E197" s="26"/>
      <c r="F197" s="26"/>
      <c r="G197" s="26"/>
      <c r="H197" s="26" t="str">
        <f>IFERROR(VLOOKUP(G197,Basic_Data!$E$2:$I$9,5,0),"")</f>
        <v/>
      </c>
      <c r="I197" s="26" t="str">
        <f>IFERROR(VLOOKUP($G197,Basic_Data!$E$2:$H$10,4,0),"")</f>
        <v/>
      </c>
      <c r="J197" s="26"/>
      <c r="K197" s="27" t="str">
        <f>IFERROR(VLOOKUP($B197-1,Inverter_PR!$B:$I,Module_Cleaning!H197,0),"")</f>
        <v/>
      </c>
      <c r="L197" s="27" t="str">
        <f>IFERROR(VLOOKUP($B197+1,Inverter_PR!$B:$I,Module_Cleaning!H197,0),"")</f>
        <v/>
      </c>
      <c r="M197" s="26" t="str">
        <f t="shared" si="85"/>
        <v/>
      </c>
      <c r="N197" s="26"/>
    </row>
    <row r="198" ht="15" spans="1:14">
      <c r="A198" s="24">
        <v>45904</v>
      </c>
      <c r="B198" s="25">
        <v>45904</v>
      </c>
      <c r="C198" s="26"/>
      <c r="D198" s="26"/>
      <c r="E198" s="26"/>
      <c r="F198" s="26"/>
      <c r="G198" s="26"/>
      <c r="H198" s="26" t="str">
        <f>IFERROR(VLOOKUP(G198,Basic_Data!$E$2:$I$9,5,0),"")</f>
        <v/>
      </c>
      <c r="I198" s="26" t="str">
        <f>IFERROR(VLOOKUP($G198,Basic_Data!$E$2:$H$10,4,0),"")</f>
        <v/>
      </c>
      <c r="J198" s="26"/>
      <c r="K198" s="27" t="str">
        <f>IFERROR(VLOOKUP($B198-1,Inverter_PR!$B:$I,Module_Cleaning!H198,0),"")</f>
        <v/>
      </c>
      <c r="L198" s="27" t="str">
        <f>IFERROR(VLOOKUP($B198+1,Inverter_PR!$B:$I,Module_Cleaning!H198,0),"")</f>
        <v/>
      </c>
      <c r="M198" s="26" t="str">
        <f t="shared" si="85"/>
        <v/>
      </c>
      <c r="N198" s="26"/>
    </row>
    <row r="199" ht="15" spans="1:14">
      <c r="A199" s="24">
        <v>45905</v>
      </c>
      <c r="B199" s="25">
        <v>45905</v>
      </c>
      <c r="C199" s="26"/>
      <c r="D199" s="26"/>
      <c r="E199" s="26"/>
      <c r="F199" s="26"/>
      <c r="G199" s="26"/>
      <c r="H199" s="26" t="str">
        <f>IFERROR(VLOOKUP(G199,Basic_Data!$E$2:$I$9,5,0),"")</f>
        <v/>
      </c>
      <c r="I199" s="26" t="str">
        <f>IFERROR(VLOOKUP($G199,Basic_Data!$E$2:$H$10,4,0),"")</f>
        <v/>
      </c>
      <c r="J199" s="26"/>
      <c r="K199" s="27" t="str">
        <f>IFERROR(VLOOKUP($B199-1,Inverter_PR!$B:$I,Module_Cleaning!H199,0),"")</f>
        <v/>
      </c>
      <c r="L199" s="27" t="str">
        <f>IFERROR(VLOOKUP($B199+1,Inverter_PR!$B:$I,Module_Cleaning!H199,0),"")</f>
        <v/>
      </c>
      <c r="M199" s="26" t="str">
        <f t="shared" si="85"/>
        <v/>
      </c>
      <c r="N199" s="26"/>
    </row>
    <row r="200" ht="15" spans="1:14">
      <c r="A200" s="24">
        <v>45906</v>
      </c>
      <c r="B200" s="25">
        <v>45906</v>
      </c>
      <c r="C200" s="26"/>
      <c r="D200" s="26"/>
      <c r="E200" s="26"/>
      <c r="F200" s="26"/>
      <c r="G200" s="26"/>
      <c r="H200" s="26" t="str">
        <f>IFERROR(VLOOKUP(G200,Basic_Data!$E$2:$I$9,5,0),"")</f>
        <v/>
      </c>
      <c r="I200" s="26" t="str">
        <f>IFERROR(VLOOKUP($G200,Basic_Data!$E$2:$H$10,4,0),"")</f>
        <v/>
      </c>
      <c r="J200" s="26"/>
      <c r="K200" s="27" t="str">
        <f>IFERROR(VLOOKUP($B200-1,Inverter_PR!$B:$I,Module_Cleaning!H200,0),"")</f>
        <v/>
      </c>
      <c r="L200" s="27" t="str">
        <f>IFERROR(VLOOKUP($B200+1,Inverter_PR!$B:$I,Module_Cleaning!H200,0),"")</f>
        <v/>
      </c>
      <c r="M200" s="26" t="str">
        <f t="shared" si="85"/>
        <v/>
      </c>
      <c r="N200" s="26"/>
    </row>
    <row r="201" ht="15" spans="1:14">
      <c r="A201" s="24">
        <v>45907</v>
      </c>
      <c r="B201" s="25">
        <v>45907</v>
      </c>
      <c r="C201" s="26"/>
      <c r="D201" s="26"/>
      <c r="E201" s="26"/>
      <c r="F201" s="26"/>
      <c r="G201" s="26"/>
      <c r="H201" s="26" t="str">
        <f>IFERROR(VLOOKUP(G201,Basic_Data!$E$2:$I$9,5,0),"")</f>
        <v/>
      </c>
      <c r="I201" s="26" t="str">
        <f>IFERROR(VLOOKUP($G201,Basic_Data!$E$2:$H$10,4,0),"")</f>
        <v/>
      </c>
      <c r="J201" s="26"/>
      <c r="K201" s="27" t="str">
        <f>IFERROR(VLOOKUP($B201-1,Inverter_PR!$B:$I,Module_Cleaning!H201,0),"")</f>
        <v/>
      </c>
      <c r="L201" s="27" t="str">
        <f>IFERROR(VLOOKUP($B201+1,Inverter_PR!$B:$I,Module_Cleaning!H201,0),"")</f>
        <v/>
      </c>
      <c r="M201" s="26" t="str">
        <f t="shared" si="85"/>
        <v/>
      </c>
      <c r="N201" s="26"/>
    </row>
    <row r="202" ht="15" spans="1:14">
      <c r="A202" s="24">
        <v>45908</v>
      </c>
      <c r="B202" s="25">
        <v>45908</v>
      </c>
      <c r="C202" s="26"/>
      <c r="D202" s="26"/>
      <c r="E202" s="26"/>
      <c r="F202" s="26"/>
      <c r="G202" s="26"/>
      <c r="H202" s="26" t="str">
        <f>IFERROR(VLOOKUP(G202,Basic_Data!$E$2:$I$9,5,0),"")</f>
        <v/>
      </c>
      <c r="I202" s="26" t="str">
        <f>IFERROR(VLOOKUP($G202,Basic_Data!$E$2:$H$10,4,0),"")</f>
        <v/>
      </c>
      <c r="J202" s="26"/>
      <c r="K202" s="27" t="str">
        <f>IFERROR(VLOOKUP($B202-1,Inverter_PR!$B:$I,Module_Cleaning!H202,0),"")</f>
        <v/>
      </c>
      <c r="L202" s="27" t="str">
        <f>IFERROR(VLOOKUP($B202+1,Inverter_PR!$B:$I,Module_Cleaning!H202,0),"")</f>
        <v/>
      </c>
      <c r="M202" s="26" t="str">
        <f t="shared" si="85"/>
        <v/>
      </c>
      <c r="N202" s="26"/>
    </row>
    <row r="203" ht="15" spans="1:14">
      <c r="A203" s="24">
        <v>45909</v>
      </c>
      <c r="B203" s="25">
        <v>45909</v>
      </c>
      <c r="C203" s="26"/>
      <c r="D203" s="26"/>
      <c r="E203" s="26"/>
      <c r="F203" s="26"/>
      <c r="G203" s="26"/>
      <c r="H203" s="26" t="str">
        <f>IFERROR(VLOOKUP(G203,Basic_Data!$E$2:$I$9,5,0),"")</f>
        <v/>
      </c>
      <c r="I203" s="26" t="str">
        <f>IFERROR(VLOOKUP($G203,Basic_Data!$E$2:$H$10,4,0),"")</f>
        <v/>
      </c>
      <c r="J203" s="26"/>
      <c r="K203" s="27" t="str">
        <f>IFERROR(VLOOKUP($B203-1,Inverter_PR!$B:$I,Module_Cleaning!H203,0),"")</f>
        <v/>
      </c>
      <c r="L203" s="27" t="str">
        <f>IFERROR(VLOOKUP($B203+1,Inverter_PR!$B:$I,Module_Cleaning!H203,0),"")</f>
        <v/>
      </c>
      <c r="M203" s="26" t="str">
        <f t="shared" si="85"/>
        <v/>
      </c>
      <c r="N203" s="26"/>
    </row>
    <row r="204" ht="15" spans="1:14">
      <c r="A204" s="24">
        <v>45910</v>
      </c>
      <c r="B204" s="25">
        <v>45910</v>
      </c>
      <c r="C204" s="26"/>
      <c r="D204" s="26"/>
      <c r="E204" s="26"/>
      <c r="F204" s="26"/>
      <c r="G204" s="26"/>
      <c r="H204" s="26" t="str">
        <f>IFERROR(VLOOKUP(G204,Basic_Data!$E$2:$I$9,5,0),"")</f>
        <v/>
      </c>
      <c r="I204" s="26" t="str">
        <f>IFERROR(VLOOKUP($G204,Basic_Data!$E$2:$H$10,4,0),"")</f>
        <v/>
      </c>
      <c r="J204" s="26"/>
      <c r="K204" s="27" t="str">
        <f>IFERROR(VLOOKUP($B204-1,Inverter_PR!$B:$I,Module_Cleaning!H204,0),"")</f>
        <v/>
      </c>
      <c r="L204" s="27" t="str">
        <f>IFERROR(VLOOKUP($B204+1,Inverter_PR!$B:$I,Module_Cleaning!H204,0),"")</f>
        <v/>
      </c>
      <c r="M204" s="26" t="str">
        <f t="shared" si="85"/>
        <v/>
      </c>
      <c r="N204" s="26"/>
    </row>
    <row r="205" ht="15" spans="1:14">
      <c r="A205" s="24">
        <v>45911</v>
      </c>
      <c r="B205" s="25">
        <v>45911</v>
      </c>
      <c r="C205" s="26"/>
      <c r="D205" s="26"/>
      <c r="E205" s="26"/>
      <c r="F205" s="26"/>
      <c r="G205" s="26"/>
      <c r="H205" s="26" t="str">
        <f>IFERROR(VLOOKUP(G205,Basic_Data!$E$2:$I$9,5,0),"")</f>
        <v/>
      </c>
      <c r="I205" s="26" t="str">
        <f>IFERROR(VLOOKUP($G205,Basic_Data!$E$2:$H$10,4,0),"")</f>
        <v/>
      </c>
      <c r="J205" s="26"/>
      <c r="K205" s="27" t="str">
        <f>IFERROR(VLOOKUP($B205-1,Inverter_PR!$B:$I,Module_Cleaning!H205,0),"")</f>
        <v/>
      </c>
      <c r="L205" s="27" t="str">
        <f>IFERROR(VLOOKUP($B205+1,Inverter_PR!$B:$I,Module_Cleaning!H205,0),"")</f>
        <v/>
      </c>
      <c r="M205" s="26" t="str">
        <f t="shared" si="85"/>
        <v/>
      </c>
      <c r="N205" s="26"/>
    </row>
    <row r="206" ht="15" spans="1:14">
      <c r="A206" s="24">
        <v>45912</v>
      </c>
      <c r="B206" s="25">
        <v>45912</v>
      </c>
      <c r="C206" s="26"/>
      <c r="D206" s="26"/>
      <c r="E206" s="26"/>
      <c r="F206" s="26"/>
      <c r="G206" s="26"/>
      <c r="H206" s="26" t="str">
        <f>IFERROR(VLOOKUP(G206,Basic_Data!$E$2:$I$9,5,0),"")</f>
        <v/>
      </c>
      <c r="I206" s="26" t="str">
        <f>IFERROR(VLOOKUP($G206,Basic_Data!$E$2:$H$10,4,0),"")</f>
        <v/>
      </c>
      <c r="J206" s="26"/>
      <c r="K206" s="27" t="str">
        <f>IFERROR(VLOOKUP($B206-1,Inverter_PR!$B:$I,Module_Cleaning!H206,0),"")</f>
        <v/>
      </c>
      <c r="L206" s="27" t="str">
        <f>IFERROR(VLOOKUP($B206+1,Inverter_PR!$B:$I,Module_Cleaning!H206,0),"")</f>
        <v/>
      </c>
      <c r="M206" s="26" t="str">
        <f t="shared" si="85"/>
        <v/>
      </c>
      <c r="N206" s="26"/>
    </row>
    <row r="207" ht="15" spans="1:14">
      <c r="A207" s="24">
        <v>45913</v>
      </c>
      <c r="B207" s="25">
        <v>45913</v>
      </c>
      <c r="C207" s="26"/>
      <c r="D207" s="26"/>
      <c r="E207" s="26"/>
      <c r="F207" s="26"/>
      <c r="G207" s="26"/>
      <c r="H207" s="26" t="str">
        <f>IFERROR(VLOOKUP(G207,Basic_Data!$E$2:$I$9,5,0),"")</f>
        <v/>
      </c>
      <c r="I207" s="26" t="str">
        <f>IFERROR(VLOOKUP($G207,Basic_Data!$E$2:$H$10,4,0),"")</f>
        <v/>
      </c>
      <c r="J207" s="26"/>
      <c r="K207" s="27" t="str">
        <f>IFERROR(VLOOKUP($B207-1,Inverter_PR!$B:$I,Module_Cleaning!H207,0),"")</f>
        <v/>
      </c>
      <c r="L207" s="27" t="str">
        <f>IFERROR(VLOOKUP($B207+1,Inverter_PR!$B:$I,Module_Cleaning!H207,0),"")</f>
        <v/>
      </c>
      <c r="M207" s="26" t="str">
        <f t="shared" si="85"/>
        <v/>
      </c>
      <c r="N207" s="26"/>
    </row>
    <row r="208" ht="15" spans="1:14">
      <c r="A208" s="24">
        <v>45914</v>
      </c>
      <c r="B208" s="25">
        <v>45914</v>
      </c>
      <c r="C208" s="26"/>
      <c r="D208" s="26"/>
      <c r="E208" s="26"/>
      <c r="F208" s="26"/>
      <c r="G208" s="26"/>
      <c r="H208" s="26" t="str">
        <f>IFERROR(VLOOKUP(G208,Basic_Data!$E$2:$I$9,5,0),"")</f>
        <v/>
      </c>
      <c r="I208" s="26" t="str">
        <f>IFERROR(VLOOKUP($G208,Basic_Data!$E$2:$H$10,4,0),"")</f>
        <v/>
      </c>
      <c r="J208" s="26"/>
      <c r="K208" s="27" t="str">
        <f>IFERROR(VLOOKUP($B208-1,Inverter_PR!$B:$I,Module_Cleaning!H208,0),"")</f>
        <v/>
      </c>
      <c r="L208" s="27" t="str">
        <f>IFERROR(VLOOKUP($B208+1,Inverter_PR!$B:$I,Module_Cleaning!H208,0),"")</f>
        <v/>
      </c>
      <c r="M208" s="26" t="str">
        <f t="shared" si="85"/>
        <v/>
      </c>
      <c r="N208" s="26"/>
    </row>
    <row r="209" ht="15" spans="1:14">
      <c r="A209" s="24">
        <v>45915</v>
      </c>
      <c r="B209" s="25">
        <v>45915</v>
      </c>
      <c r="C209" s="26"/>
      <c r="D209" s="26"/>
      <c r="E209" s="26"/>
      <c r="F209" s="26"/>
      <c r="G209" s="26"/>
      <c r="H209" s="26" t="str">
        <f>IFERROR(VLOOKUP(G209,Basic_Data!$E$2:$I$9,5,0),"")</f>
        <v/>
      </c>
      <c r="I209" s="26" t="str">
        <f>IFERROR(VLOOKUP($G209,Basic_Data!$E$2:$H$10,4,0),"")</f>
        <v/>
      </c>
      <c r="J209" s="26"/>
      <c r="K209" s="27" t="str">
        <f>IFERROR(VLOOKUP($B209-1,Inverter_PR!$B:$I,Module_Cleaning!H209,0),"")</f>
        <v/>
      </c>
      <c r="L209" s="27" t="str">
        <f>IFERROR(VLOOKUP($B209+1,Inverter_PR!$B:$I,Module_Cleaning!H209,0),"")</f>
        <v/>
      </c>
      <c r="M209" s="26" t="str">
        <f t="shared" si="85"/>
        <v/>
      </c>
      <c r="N209" s="26"/>
    </row>
    <row r="210" ht="15" spans="1:14">
      <c r="A210" s="24">
        <v>45916</v>
      </c>
      <c r="B210" s="25">
        <v>45916</v>
      </c>
      <c r="C210" s="26"/>
      <c r="D210" s="26"/>
      <c r="E210" s="26"/>
      <c r="F210" s="26"/>
      <c r="G210" s="26"/>
      <c r="H210" s="26" t="str">
        <f>IFERROR(VLOOKUP(G210,Basic_Data!$E$2:$I$9,5,0),"")</f>
        <v/>
      </c>
      <c r="I210" s="26" t="str">
        <f>IFERROR(VLOOKUP($G210,Basic_Data!$E$2:$H$10,4,0),"")</f>
        <v/>
      </c>
      <c r="J210" s="26"/>
      <c r="K210" s="27" t="str">
        <f>IFERROR(VLOOKUP($B210-1,Inverter_PR!$B:$I,Module_Cleaning!H210,0),"")</f>
        <v/>
      </c>
      <c r="L210" s="27" t="str">
        <f>IFERROR(VLOOKUP($B210+1,Inverter_PR!$B:$I,Module_Cleaning!H210,0),"")</f>
        <v/>
      </c>
      <c r="M210" s="26" t="str">
        <f t="shared" si="85"/>
        <v/>
      </c>
      <c r="N210" s="26"/>
    </row>
    <row r="211" ht="15" spans="1:14">
      <c r="A211" s="24">
        <v>45917</v>
      </c>
      <c r="B211" s="25">
        <v>45917</v>
      </c>
      <c r="C211" s="26"/>
      <c r="D211" s="26"/>
      <c r="E211" s="26"/>
      <c r="F211" s="26"/>
      <c r="G211" s="26"/>
      <c r="H211" s="26" t="str">
        <f>IFERROR(VLOOKUP(G211,Basic_Data!$E$2:$I$9,5,0),"")</f>
        <v/>
      </c>
      <c r="I211" s="26" t="str">
        <f>IFERROR(VLOOKUP($G211,Basic_Data!$E$2:$H$10,4,0),"")</f>
        <v/>
      </c>
      <c r="J211" s="26"/>
      <c r="K211" s="27" t="str">
        <f>IFERROR(VLOOKUP($B211-1,Inverter_PR!$B:$I,Module_Cleaning!H211,0),"")</f>
        <v/>
      </c>
      <c r="L211" s="27" t="str">
        <f>IFERROR(VLOOKUP($B211+1,Inverter_PR!$B:$I,Module_Cleaning!H211,0),"")</f>
        <v/>
      </c>
      <c r="M211" s="26" t="str">
        <f t="shared" si="85"/>
        <v/>
      </c>
      <c r="N211" s="26"/>
    </row>
    <row r="212" ht="15" spans="1:14">
      <c r="A212" s="24">
        <v>45918</v>
      </c>
      <c r="B212" s="25">
        <v>45918</v>
      </c>
      <c r="C212" s="26"/>
      <c r="D212" s="26"/>
      <c r="E212" s="26"/>
      <c r="F212" s="26"/>
      <c r="G212" s="26"/>
      <c r="H212" s="26" t="str">
        <f>IFERROR(VLOOKUP(G212,Basic_Data!$E$2:$I$9,5,0),"")</f>
        <v/>
      </c>
      <c r="I212" s="26" t="str">
        <f>IFERROR(VLOOKUP($G212,Basic_Data!$E$2:$H$10,4,0),"")</f>
        <v/>
      </c>
      <c r="J212" s="26"/>
      <c r="K212" s="27" t="str">
        <f>IFERROR(VLOOKUP($B212-1,Inverter_PR!$B:$I,Module_Cleaning!H212,0),"")</f>
        <v/>
      </c>
      <c r="L212" s="27" t="str">
        <f>IFERROR(VLOOKUP($B212+1,Inverter_PR!$B:$I,Module_Cleaning!H212,0),"")</f>
        <v/>
      </c>
      <c r="M212" s="26" t="str">
        <f t="shared" si="85"/>
        <v/>
      </c>
      <c r="N212" s="26"/>
    </row>
    <row r="213" ht="15" spans="1:14">
      <c r="A213" s="24">
        <v>45919</v>
      </c>
      <c r="B213" s="25">
        <v>45919</v>
      </c>
      <c r="C213" s="26"/>
      <c r="D213" s="26"/>
      <c r="E213" s="26"/>
      <c r="F213" s="26"/>
      <c r="G213" s="26"/>
      <c r="H213" s="26" t="str">
        <f>IFERROR(VLOOKUP(G213,Basic_Data!$E$2:$I$9,5,0),"")</f>
        <v/>
      </c>
      <c r="I213" s="26" t="str">
        <f>IFERROR(VLOOKUP($G213,Basic_Data!$E$2:$H$10,4,0),"")</f>
        <v/>
      </c>
      <c r="J213" s="26"/>
      <c r="K213" s="27" t="str">
        <f>IFERROR(VLOOKUP($B213-1,Inverter_PR!$B:$I,Module_Cleaning!H213,0),"")</f>
        <v/>
      </c>
      <c r="L213" s="27" t="str">
        <f>IFERROR(VLOOKUP($B213+1,Inverter_PR!$B:$I,Module_Cleaning!H213,0),"")</f>
        <v/>
      </c>
      <c r="M213" s="26" t="str">
        <f t="shared" si="85"/>
        <v/>
      </c>
      <c r="N213" s="26"/>
    </row>
    <row r="214" ht="15" spans="1:14">
      <c r="A214" s="24">
        <v>45920</v>
      </c>
      <c r="B214" s="25">
        <v>45920</v>
      </c>
      <c r="C214" s="26"/>
      <c r="D214" s="26"/>
      <c r="E214" s="26"/>
      <c r="F214" s="26"/>
      <c r="G214" s="26"/>
      <c r="H214" s="26" t="str">
        <f>IFERROR(VLOOKUP(G214,Basic_Data!$E$2:$I$9,5,0),"")</f>
        <v/>
      </c>
      <c r="I214" s="26" t="str">
        <f>IFERROR(VLOOKUP($G214,Basic_Data!$E$2:$H$10,4,0),"")</f>
        <v/>
      </c>
      <c r="J214" s="26"/>
      <c r="K214" s="27" t="str">
        <f>IFERROR(VLOOKUP($B214-1,Inverter_PR!$B:$I,Module_Cleaning!H214,0),"")</f>
        <v/>
      </c>
      <c r="L214" s="27" t="str">
        <f>IFERROR(VLOOKUP($B214+1,Inverter_PR!$B:$I,Module_Cleaning!H214,0),"")</f>
        <v/>
      </c>
      <c r="M214" s="26" t="str">
        <f t="shared" si="85"/>
        <v/>
      </c>
      <c r="N214" s="26"/>
    </row>
    <row r="215" ht="15" spans="1:14">
      <c r="A215" s="24">
        <v>45921</v>
      </c>
      <c r="B215" s="25">
        <v>45921</v>
      </c>
      <c r="C215" s="26"/>
      <c r="D215" s="26"/>
      <c r="E215" s="26"/>
      <c r="F215" s="26"/>
      <c r="G215" s="26"/>
      <c r="H215" s="26" t="str">
        <f>IFERROR(VLOOKUP(G215,Basic_Data!$E$2:$I$9,5,0),"")</f>
        <v/>
      </c>
      <c r="I215" s="26" t="str">
        <f>IFERROR(VLOOKUP($G215,Basic_Data!$E$2:$H$10,4,0),"")</f>
        <v/>
      </c>
      <c r="J215" s="26"/>
      <c r="K215" s="27" t="str">
        <f>IFERROR(VLOOKUP($B215-1,Inverter_PR!$B:$I,Module_Cleaning!H215,0),"")</f>
        <v/>
      </c>
      <c r="L215" s="27" t="str">
        <f>IFERROR(VLOOKUP($B215+1,Inverter_PR!$B:$I,Module_Cleaning!H215,0),"")</f>
        <v/>
      </c>
      <c r="M215" s="26" t="str">
        <f t="shared" si="85"/>
        <v/>
      </c>
      <c r="N215" s="26"/>
    </row>
    <row r="216" ht="15" spans="1:14">
      <c r="A216" s="24">
        <v>45922</v>
      </c>
      <c r="B216" s="25">
        <v>45922</v>
      </c>
      <c r="C216" s="26"/>
      <c r="D216" s="26"/>
      <c r="E216" s="26"/>
      <c r="F216" s="26"/>
      <c r="G216" s="26"/>
      <c r="H216" s="26" t="str">
        <f>IFERROR(VLOOKUP(G216,Basic_Data!$E$2:$I$9,5,0),"")</f>
        <v/>
      </c>
      <c r="I216" s="26" t="str">
        <f>IFERROR(VLOOKUP($G216,Basic_Data!$E$2:$H$10,4,0),"")</f>
        <v/>
      </c>
      <c r="J216" s="26"/>
      <c r="K216" s="27" t="str">
        <f>IFERROR(VLOOKUP($B216-1,Inverter_PR!$B:$I,Module_Cleaning!H216,0),"")</f>
        <v/>
      </c>
      <c r="L216" s="27" t="str">
        <f>IFERROR(VLOOKUP($B216+1,Inverter_PR!$B:$I,Module_Cleaning!H216,0),"")</f>
        <v/>
      </c>
      <c r="M216" s="26" t="str">
        <f t="shared" si="85"/>
        <v/>
      </c>
      <c r="N216" s="26"/>
    </row>
    <row r="217" ht="15" spans="1:14">
      <c r="A217" s="24">
        <v>45923</v>
      </c>
      <c r="B217" s="25">
        <v>45923</v>
      </c>
      <c r="C217" s="26"/>
      <c r="D217" s="26"/>
      <c r="E217" s="26"/>
      <c r="F217" s="26"/>
      <c r="G217" s="26"/>
      <c r="H217" s="26" t="str">
        <f>IFERROR(VLOOKUP(G217,Basic_Data!$E$2:$I$9,5,0),"")</f>
        <v/>
      </c>
      <c r="I217" s="26" t="str">
        <f>IFERROR(VLOOKUP($G217,Basic_Data!$E$2:$H$10,4,0),"")</f>
        <v/>
      </c>
      <c r="J217" s="26"/>
      <c r="K217" s="27" t="str">
        <f>IFERROR(VLOOKUP($B217-1,Inverter_PR!$B:$I,Module_Cleaning!H217,0),"")</f>
        <v/>
      </c>
      <c r="L217" s="27" t="str">
        <f>IFERROR(VLOOKUP($B217+1,Inverter_PR!$B:$I,Module_Cleaning!H217,0),"")</f>
        <v/>
      </c>
      <c r="M217" s="26" t="str">
        <f t="shared" si="85"/>
        <v/>
      </c>
      <c r="N217" s="26"/>
    </row>
    <row r="218" ht="15" spans="1:14">
      <c r="A218" s="24">
        <v>45924</v>
      </c>
      <c r="B218" s="25">
        <v>45924</v>
      </c>
      <c r="C218" s="26">
        <v>0</v>
      </c>
      <c r="D218" s="26">
        <v>0</v>
      </c>
      <c r="E218" s="26">
        <v>0</v>
      </c>
      <c r="F218" s="26">
        <v>0</v>
      </c>
      <c r="G218" s="26"/>
      <c r="H218" s="26" t="str">
        <f>IFERROR(VLOOKUP(G218,Basic_Data!$E$2:$I$9,5,0),"")</f>
        <v/>
      </c>
      <c r="I218" s="26">
        <v>0</v>
      </c>
      <c r="J218" s="26">
        <v>0</v>
      </c>
      <c r="K218" s="27">
        <v>0</v>
      </c>
      <c r="L218" s="27">
        <v>0</v>
      </c>
      <c r="M218" s="26">
        <f t="shared" si="85"/>
        <v>0</v>
      </c>
      <c r="N218" s="26" t="s">
        <v>237</v>
      </c>
    </row>
    <row r="219" ht="15" spans="1:14">
      <c r="A219" s="24">
        <v>45925</v>
      </c>
      <c r="B219" s="25">
        <v>45925</v>
      </c>
      <c r="C219" s="26">
        <v>0</v>
      </c>
      <c r="D219" s="26">
        <v>0</v>
      </c>
      <c r="E219" s="26">
        <v>0</v>
      </c>
      <c r="F219" s="26">
        <v>0</v>
      </c>
      <c r="G219" s="26"/>
      <c r="H219" s="26" t="str">
        <f>IFERROR(VLOOKUP(G219,Basic_Data!$E$2:$I$9,5,0),"")</f>
        <v/>
      </c>
      <c r="I219" s="26">
        <v>0</v>
      </c>
      <c r="J219" s="26">
        <v>0</v>
      </c>
      <c r="K219" s="27">
        <v>0</v>
      </c>
      <c r="L219" s="27">
        <v>0</v>
      </c>
      <c r="M219" s="26">
        <f t="shared" ref="M219" si="86">IFERROR(I219-J219,"")</f>
        <v>0</v>
      </c>
      <c r="N219" s="26" t="s">
        <v>237</v>
      </c>
    </row>
    <row r="220" ht="15" spans="1:14">
      <c r="A220" s="24">
        <v>45926</v>
      </c>
      <c r="B220" s="25">
        <v>45926</v>
      </c>
      <c r="C220" s="26">
        <v>0</v>
      </c>
      <c r="D220" s="26">
        <v>0</v>
      </c>
      <c r="E220" s="26">
        <v>0</v>
      </c>
      <c r="F220" s="26">
        <v>0</v>
      </c>
      <c r="G220" s="26"/>
      <c r="H220" s="26" t="str">
        <f>IFERROR(VLOOKUP(G220,Basic_Data!$E$2:$I$9,5,0),"")</f>
        <v/>
      </c>
      <c r="I220" s="26">
        <v>0</v>
      </c>
      <c r="J220" s="26">
        <v>0</v>
      </c>
      <c r="K220" s="27">
        <v>0</v>
      </c>
      <c r="L220" s="27">
        <v>0</v>
      </c>
      <c r="M220" s="26">
        <f t="shared" ref="M220" si="87">IFERROR(I220-J220,"")</f>
        <v>0</v>
      </c>
      <c r="N220" s="26" t="s">
        <v>237</v>
      </c>
    </row>
    <row r="221" ht="15" spans="1:14">
      <c r="A221" s="24">
        <v>45927</v>
      </c>
      <c r="B221" s="25">
        <v>45927</v>
      </c>
      <c r="C221" s="26">
        <v>0</v>
      </c>
      <c r="D221" s="26">
        <v>0</v>
      </c>
      <c r="E221" s="26">
        <v>0</v>
      </c>
      <c r="F221" s="26">
        <v>0</v>
      </c>
      <c r="G221" s="26"/>
      <c r="H221" s="26" t="str">
        <f>IFERROR(VLOOKUP(G221,Basic_Data!$E$2:$I$9,5,0),"")</f>
        <v/>
      </c>
      <c r="I221" s="26">
        <v>0</v>
      </c>
      <c r="J221" s="26">
        <v>0</v>
      </c>
      <c r="K221" s="27">
        <v>0</v>
      </c>
      <c r="L221" s="27">
        <v>0</v>
      </c>
      <c r="M221" s="26">
        <f t="shared" ref="M221" si="88">IFERROR(I221-J221,"")</f>
        <v>0</v>
      </c>
      <c r="N221" s="26" t="s">
        <v>237</v>
      </c>
    </row>
    <row r="222" ht="15" spans="1:14">
      <c r="A222" s="24">
        <v>45928</v>
      </c>
      <c r="B222" s="25">
        <v>45928</v>
      </c>
      <c r="C222" s="26">
        <v>0</v>
      </c>
      <c r="D222" s="26">
        <v>0</v>
      </c>
      <c r="E222" s="26">
        <v>0</v>
      </c>
      <c r="F222" s="26">
        <v>0</v>
      </c>
      <c r="G222" s="26"/>
      <c r="H222" s="26" t="str">
        <f>IFERROR(VLOOKUP(G222,Basic_Data!$E$2:$I$9,5,0),"")</f>
        <v/>
      </c>
      <c r="I222" s="26">
        <v>0</v>
      </c>
      <c r="J222" s="26">
        <v>0</v>
      </c>
      <c r="K222" s="27">
        <v>0</v>
      </c>
      <c r="L222" s="27">
        <v>0</v>
      </c>
      <c r="M222" s="26">
        <f t="shared" ref="M222" si="89">IFERROR(I222-J222,"")</f>
        <v>0</v>
      </c>
      <c r="N222" s="26" t="s">
        <v>237</v>
      </c>
    </row>
    <row r="223" ht="15" spans="1:14">
      <c r="A223" s="24">
        <v>45929</v>
      </c>
      <c r="B223" s="25">
        <v>45929</v>
      </c>
      <c r="C223" s="39">
        <v>0</v>
      </c>
      <c r="D223" s="39">
        <v>0</v>
      </c>
      <c r="E223" s="39">
        <v>0</v>
      </c>
      <c r="F223" s="39">
        <v>0</v>
      </c>
      <c r="G223" s="39"/>
      <c r="H223" s="39" t="str">
        <f>IFERROR(VLOOKUP(G223,Basic_Data!$E$2:$I$9,5,0),"")</f>
        <v/>
      </c>
      <c r="I223" s="39">
        <v>0</v>
      </c>
      <c r="J223" s="39">
        <v>0</v>
      </c>
      <c r="K223" s="40">
        <v>0</v>
      </c>
      <c r="L223" s="40">
        <v>0</v>
      </c>
      <c r="M223" s="39">
        <f t="shared" ref="M223" si="90">IFERROR(I223-J223,"")</f>
        <v>0</v>
      </c>
      <c r="N223" s="39" t="s">
        <v>238</v>
      </c>
    </row>
    <row r="224" ht="15" spans="1:14">
      <c r="A224" s="24">
        <v>45930</v>
      </c>
      <c r="B224" s="25">
        <v>45930</v>
      </c>
      <c r="C224" s="39">
        <v>0</v>
      </c>
      <c r="D224" s="39">
        <v>0</v>
      </c>
      <c r="E224" s="39">
        <v>0</v>
      </c>
      <c r="F224" s="39">
        <v>0</v>
      </c>
      <c r="G224" s="39"/>
      <c r="H224" s="39" t="str">
        <f>IFERROR(VLOOKUP(G224,Basic_Data!$E$2:$I$9,5,0),"")</f>
        <v/>
      </c>
      <c r="I224" s="39">
        <v>0</v>
      </c>
      <c r="J224" s="39">
        <v>0</v>
      </c>
      <c r="K224" s="40">
        <v>0</v>
      </c>
      <c r="L224" s="40">
        <v>0</v>
      </c>
      <c r="M224" s="39">
        <f t="shared" ref="M224" si="91">IFERROR(I224-J224,"")</f>
        <v>0</v>
      </c>
      <c r="N224" s="39" t="s">
        <v>238</v>
      </c>
    </row>
    <row r="225" ht="15" spans="1:14">
      <c r="A225" s="24">
        <v>45931</v>
      </c>
      <c r="B225" s="25">
        <v>45931</v>
      </c>
      <c r="C225" s="39">
        <v>0</v>
      </c>
      <c r="D225" s="39">
        <v>0</v>
      </c>
      <c r="E225" s="39">
        <v>0</v>
      </c>
      <c r="F225" s="39">
        <v>0</v>
      </c>
      <c r="G225" s="39"/>
      <c r="H225" s="39" t="str">
        <f>IFERROR(VLOOKUP(G225,Basic_Data!$E$2:$I$9,5,0),"")</f>
        <v/>
      </c>
      <c r="I225" s="39">
        <v>0</v>
      </c>
      <c r="J225" s="39">
        <v>0</v>
      </c>
      <c r="K225" s="40">
        <v>0</v>
      </c>
      <c r="L225" s="40">
        <v>0</v>
      </c>
      <c r="M225" s="39">
        <f t="shared" ref="M225" si="92">IFERROR(I225-J225,"")</f>
        <v>0</v>
      </c>
      <c r="N225" s="39" t="s">
        <v>238</v>
      </c>
    </row>
    <row r="226" ht="15" spans="1:14">
      <c r="A226" s="24">
        <v>45932</v>
      </c>
      <c r="B226" s="25">
        <v>45932</v>
      </c>
      <c r="C226" s="39">
        <v>0</v>
      </c>
      <c r="D226" s="39">
        <v>0</v>
      </c>
      <c r="E226" s="39">
        <v>0</v>
      </c>
      <c r="F226" s="39">
        <v>0</v>
      </c>
      <c r="G226" s="39"/>
      <c r="H226" s="39" t="str">
        <f>IFERROR(VLOOKUP(G226,Basic_Data!$E$2:$I$9,5,0),"")</f>
        <v/>
      </c>
      <c r="I226" s="39">
        <v>0</v>
      </c>
      <c r="J226" s="39">
        <v>0</v>
      </c>
      <c r="K226" s="40">
        <v>0</v>
      </c>
      <c r="L226" s="40">
        <v>0</v>
      </c>
      <c r="M226" s="39">
        <f t="shared" ref="M226:M227" si="93">IFERROR(I226-J226,"")</f>
        <v>0</v>
      </c>
      <c r="N226" s="39" t="s">
        <v>238</v>
      </c>
    </row>
    <row r="227" ht="15" spans="1:14">
      <c r="A227" s="24">
        <v>45933</v>
      </c>
      <c r="B227" s="25">
        <v>45933</v>
      </c>
      <c r="C227" s="26">
        <v>0</v>
      </c>
      <c r="D227" s="26">
        <v>0</v>
      </c>
      <c r="E227" s="26">
        <v>0</v>
      </c>
      <c r="F227" s="26">
        <v>0</v>
      </c>
      <c r="G227" s="26"/>
      <c r="H227" s="26" t="str">
        <f>IFERROR(VLOOKUP(G227,Basic_Data!$E$2:$I$9,5,0),"")</f>
        <v/>
      </c>
      <c r="I227" s="26">
        <v>0</v>
      </c>
      <c r="J227" s="26">
        <v>0</v>
      </c>
      <c r="K227" s="27">
        <v>0</v>
      </c>
      <c r="L227" s="27">
        <v>0</v>
      </c>
      <c r="M227" s="26">
        <f t="shared" si="93"/>
        <v>0</v>
      </c>
      <c r="N227" s="26" t="s">
        <v>237</v>
      </c>
    </row>
    <row r="228" ht="15" spans="1:14">
      <c r="A228" s="24">
        <v>45934</v>
      </c>
      <c r="B228" s="25">
        <v>45934</v>
      </c>
      <c r="C228" s="26">
        <v>0</v>
      </c>
      <c r="D228" s="26">
        <v>0</v>
      </c>
      <c r="E228" s="26">
        <v>0</v>
      </c>
      <c r="F228" s="26">
        <v>0</v>
      </c>
      <c r="G228" s="26"/>
      <c r="H228" s="26" t="str">
        <f>IFERROR(VLOOKUP(G228,Basic_Data!$E$2:$I$9,5,0),"")</f>
        <v/>
      </c>
      <c r="I228" s="26">
        <v>0</v>
      </c>
      <c r="J228" s="26">
        <v>0</v>
      </c>
      <c r="K228" s="27">
        <v>0</v>
      </c>
      <c r="L228" s="27">
        <v>0</v>
      </c>
      <c r="M228" s="26">
        <f t="shared" ref="M228" si="94">IFERROR(I228-J228,"")</f>
        <v>0</v>
      </c>
      <c r="N228" s="26" t="s">
        <v>237</v>
      </c>
    </row>
    <row r="229" ht="15" spans="1:14">
      <c r="A229" s="24">
        <v>45935</v>
      </c>
      <c r="B229" s="25">
        <v>45935</v>
      </c>
      <c r="C229" s="26">
        <v>0</v>
      </c>
      <c r="D229" s="26">
        <v>0</v>
      </c>
      <c r="E229" s="26">
        <v>0</v>
      </c>
      <c r="F229" s="26">
        <v>0</v>
      </c>
      <c r="G229" s="26"/>
      <c r="H229" s="26" t="str">
        <f>IFERROR(VLOOKUP(G229,Basic_Data!$E$2:$I$9,5,0),"")</f>
        <v/>
      </c>
      <c r="I229" s="26">
        <v>0</v>
      </c>
      <c r="J229" s="26">
        <v>0</v>
      </c>
      <c r="K229" s="27">
        <v>0</v>
      </c>
      <c r="L229" s="27">
        <v>0</v>
      </c>
      <c r="M229" s="26">
        <f t="shared" ref="M229" si="95">IFERROR(I229-J229,"")</f>
        <v>0</v>
      </c>
      <c r="N229" s="26" t="s">
        <v>237</v>
      </c>
    </row>
    <row r="230" ht="15" spans="1:14">
      <c r="A230" s="24">
        <v>45936</v>
      </c>
      <c r="B230" s="25">
        <v>45936</v>
      </c>
      <c r="C230" s="26">
        <v>0</v>
      </c>
      <c r="D230" s="26">
        <v>0</v>
      </c>
      <c r="E230" s="26">
        <v>0</v>
      </c>
      <c r="F230" s="26">
        <v>0</v>
      </c>
      <c r="G230" s="26"/>
      <c r="H230" s="26" t="str">
        <f>IFERROR(VLOOKUP(G230,Basic_Data!$E$2:$I$9,5,0),"")</f>
        <v/>
      </c>
      <c r="I230" s="26">
        <v>0</v>
      </c>
      <c r="J230" s="26">
        <v>0</v>
      </c>
      <c r="K230" s="27">
        <v>0</v>
      </c>
      <c r="L230" s="27">
        <v>0</v>
      </c>
      <c r="M230" s="26">
        <f t="shared" ref="M230" si="96">IFERROR(I230-J230,"")</f>
        <v>0</v>
      </c>
      <c r="N230" s="26" t="s">
        <v>237</v>
      </c>
    </row>
    <row r="231" ht="15" spans="1:14">
      <c r="A231" s="24">
        <v>45937</v>
      </c>
      <c r="B231" s="25">
        <v>45937</v>
      </c>
      <c r="C231" s="26">
        <v>0</v>
      </c>
      <c r="D231" s="26">
        <v>0</v>
      </c>
      <c r="E231" s="26">
        <v>0</v>
      </c>
      <c r="F231" s="26">
        <v>0</v>
      </c>
      <c r="G231" s="26"/>
      <c r="H231" s="26" t="str">
        <f>IFERROR(VLOOKUP(G231,Basic_Data!$E$2:$I$9,5,0),"")</f>
        <v/>
      </c>
      <c r="I231" s="26">
        <v>0</v>
      </c>
      <c r="J231" s="26">
        <v>0</v>
      </c>
      <c r="K231" s="27">
        <v>0</v>
      </c>
      <c r="L231" s="27">
        <v>0</v>
      </c>
      <c r="M231" s="26">
        <f t="shared" ref="M231" si="97">IFERROR(I231-J231,"")</f>
        <v>0</v>
      </c>
      <c r="N231" s="26" t="s">
        <v>237</v>
      </c>
    </row>
    <row r="232" ht="15" spans="1:14">
      <c r="A232" s="24">
        <v>45938</v>
      </c>
      <c r="B232" s="25">
        <v>45938</v>
      </c>
      <c r="C232" s="26">
        <v>0</v>
      </c>
      <c r="D232" s="26">
        <v>0</v>
      </c>
      <c r="E232" s="26">
        <v>0</v>
      </c>
      <c r="F232" s="26">
        <v>0</v>
      </c>
      <c r="G232" s="26"/>
      <c r="H232" s="26" t="str">
        <f>IFERROR(VLOOKUP(G232,Basic_Data!$E$2:$I$9,5,0),"")</f>
        <v/>
      </c>
      <c r="I232" s="26">
        <v>0</v>
      </c>
      <c r="J232" s="26">
        <v>0</v>
      </c>
      <c r="K232" s="27">
        <v>0</v>
      </c>
      <c r="L232" s="27">
        <v>0</v>
      </c>
      <c r="M232" s="26">
        <f t="shared" ref="M232" si="98">IFERROR(I232-J232,"")</f>
        <v>0</v>
      </c>
      <c r="N232" s="26" t="s">
        <v>237</v>
      </c>
    </row>
    <row r="233" ht="15" spans="1:14">
      <c r="A233" s="24">
        <v>45939</v>
      </c>
      <c r="B233" s="25">
        <v>45939</v>
      </c>
      <c r="C233" s="26">
        <v>0</v>
      </c>
      <c r="D233" s="26">
        <v>0</v>
      </c>
      <c r="E233" s="26">
        <v>0</v>
      </c>
      <c r="F233" s="26">
        <v>0</v>
      </c>
      <c r="G233" s="26"/>
      <c r="H233" s="26" t="str">
        <f>IFERROR(VLOOKUP(G233,Basic_Data!$E$2:$I$9,5,0),"")</f>
        <v/>
      </c>
      <c r="I233" s="26">
        <v>0</v>
      </c>
      <c r="J233" s="26">
        <v>0</v>
      </c>
      <c r="K233" s="27">
        <v>0</v>
      </c>
      <c r="L233" s="27">
        <v>0</v>
      </c>
      <c r="M233" s="26">
        <f t="shared" ref="M233" si="99">IFERROR(I233-J233,"")</f>
        <v>0</v>
      </c>
      <c r="N233" s="26" t="s">
        <v>237</v>
      </c>
    </row>
    <row r="234" ht="15" spans="1:14">
      <c r="A234" s="24">
        <v>45940</v>
      </c>
      <c r="B234" s="25">
        <v>45940</v>
      </c>
      <c r="C234" s="26">
        <v>0</v>
      </c>
      <c r="D234" s="26">
        <v>0</v>
      </c>
      <c r="E234" s="26">
        <v>0</v>
      </c>
      <c r="F234" s="26">
        <v>0</v>
      </c>
      <c r="G234" s="26"/>
      <c r="H234" s="26" t="str">
        <f>IFERROR(VLOOKUP(G234,Basic_Data!$E$2:$I$9,5,0),"")</f>
        <v/>
      </c>
      <c r="I234" s="26">
        <v>0</v>
      </c>
      <c r="J234" s="26">
        <v>0</v>
      </c>
      <c r="K234" s="27">
        <v>0</v>
      </c>
      <c r="L234" s="27">
        <v>0</v>
      </c>
      <c r="M234" s="26">
        <f t="shared" ref="M234" si="100">IFERROR(I234-J234,"")</f>
        <v>0</v>
      </c>
      <c r="N234" s="26" t="s">
        <v>237</v>
      </c>
    </row>
    <row r="235" ht="15" spans="1:14">
      <c r="A235" s="24">
        <v>45941</v>
      </c>
      <c r="B235" s="25">
        <v>45941</v>
      </c>
      <c r="C235" s="26">
        <v>0</v>
      </c>
      <c r="D235" s="26">
        <v>0</v>
      </c>
      <c r="E235" s="26">
        <v>0</v>
      </c>
      <c r="F235" s="26">
        <v>0</v>
      </c>
      <c r="G235" s="26"/>
      <c r="H235" s="26" t="str">
        <f>IFERROR(VLOOKUP(G235,Basic_Data!$E$2:$I$9,5,0),"")</f>
        <v/>
      </c>
      <c r="I235" s="26">
        <v>0</v>
      </c>
      <c r="J235" s="26">
        <v>0</v>
      </c>
      <c r="K235" s="27">
        <v>0</v>
      </c>
      <c r="L235" s="27">
        <v>0</v>
      </c>
      <c r="M235" s="26">
        <f t="shared" ref="M235" si="101">IFERROR(I235-J235,"")</f>
        <v>0</v>
      </c>
      <c r="N235" s="26" t="s">
        <v>237</v>
      </c>
    </row>
    <row r="236" ht="15" spans="1:14">
      <c r="A236" s="24">
        <v>45942</v>
      </c>
      <c r="B236" s="25">
        <v>45942</v>
      </c>
      <c r="C236" s="26">
        <v>0</v>
      </c>
      <c r="D236" s="26">
        <v>0</v>
      </c>
      <c r="E236" s="26">
        <v>0</v>
      </c>
      <c r="F236" s="26">
        <v>0</v>
      </c>
      <c r="G236" s="26"/>
      <c r="H236" s="26" t="str">
        <f>IFERROR(VLOOKUP(G236,Basic_Data!$E$2:$I$9,5,0),"")</f>
        <v/>
      </c>
      <c r="I236" s="26">
        <v>0</v>
      </c>
      <c r="J236" s="26">
        <v>0</v>
      </c>
      <c r="K236" s="27">
        <v>0</v>
      </c>
      <c r="L236" s="27">
        <v>0</v>
      </c>
      <c r="M236" s="26">
        <f t="shared" ref="M236" si="102">IFERROR(I236-J236,"")</f>
        <v>0</v>
      </c>
      <c r="N236" s="26" t="s">
        <v>237</v>
      </c>
    </row>
    <row r="237" ht="15" spans="1:14">
      <c r="A237" s="24">
        <v>45943</v>
      </c>
      <c r="B237" s="25">
        <v>45943</v>
      </c>
      <c r="C237" s="26">
        <v>0</v>
      </c>
      <c r="D237" s="26">
        <v>0</v>
      </c>
      <c r="E237" s="26">
        <v>0</v>
      </c>
      <c r="F237" s="26">
        <v>0</v>
      </c>
      <c r="G237" s="26"/>
      <c r="H237" s="26" t="str">
        <f>IFERROR(VLOOKUP(G237,Basic_Data!$E$2:$I$9,5,0),"")</f>
        <v/>
      </c>
      <c r="I237" s="26">
        <v>0</v>
      </c>
      <c r="J237" s="26">
        <v>0</v>
      </c>
      <c r="K237" s="27">
        <v>0</v>
      </c>
      <c r="L237" s="27">
        <v>0</v>
      </c>
      <c r="M237" s="26">
        <f t="shared" ref="M237" si="103">IFERROR(I237-J237,"")</f>
        <v>0</v>
      </c>
      <c r="N237" s="26" t="s">
        <v>237</v>
      </c>
    </row>
    <row r="238" ht="15" spans="1:14">
      <c r="A238" s="24">
        <v>45944</v>
      </c>
      <c r="B238" s="25">
        <v>45944</v>
      </c>
      <c r="C238" s="26">
        <v>0</v>
      </c>
      <c r="D238" s="26">
        <v>0</v>
      </c>
      <c r="E238" s="26">
        <v>0</v>
      </c>
      <c r="F238" s="26">
        <v>0</v>
      </c>
      <c r="G238" s="26"/>
      <c r="H238" s="26" t="str">
        <f>IFERROR(VLOOKUP(G238,Basic_Data!$E$2:$I$9,5,0),"")</f>
        <v/>
      </c>
      <c r="I238" s="26">
        <v>0</v>
      </c>
      <c r="J238" s="26">
        <v>0</v>
      </c>
      <c r="K238" s="27">
        <v>0</v>
      </c>
      <c r="L238" s="27">
        <v>0</v>
      </c>
      <c r="M238" s="26">
        <f t="shared" ref="M238" si="104">IFERROR(I238-J238,"")</f>
        <v>0</v>
      </c>
      <c r="N238" s="26" t="s">
        <v>237</v>
      </c>
    </row>
    <row r="239" ht="15" spans="1:14">
      <c r="A239" s="24">
        <v>45945</v>
      </c>
      <c r="B239" s="25">
        <v>45945</v>
      </c>
      <c r="C239" s="26">
        <v>0</v>
      </c>
      <c r="D239" s="26">
        <v>0</v>
      </c>
      <c r="E239" s="26">
        <v>0</v>
      </c>
      <c r="F239" s="26">
        <v>0</v>
      </c>
      <c r="G239" s="26"/>
      <c r="H239" s="26" t="str">
        <f>IFERROR(VLOOKUP(G239,Basic_Data!$E$2:$I$9,5,0),"")</f>
        <v/>
      </c>
      <c r="I239" s="26">
        <v>0</v>
      </c>
      <c r="J239" s="26">
        <v>0</v>
      </c>
      <c r="K239" s="27">
        <v>0</v>
      </c>
      <c r="L239" s="27">
        <v>0</v>
      </c>
      <c r="M239" s="26">
        <f t="shared" ref="M239" si="105">IFERROR(I239-J239,"")</f>
        <v>0</v>
      </c>
      <c r="N239" s="26" t="s">
        <v>237</v>
      </c>
    </row>
    <row r="240" ht="15" spans="1:14">
      <c r="A240" s="24">
        <v>45946</v>
      </c>
      <c r="B240" s="25">
        <v>45946</v>
      </c>
      <c r="C240" s="26">
        <v>0</v>
      </c>
      <c r="D240" s="26">
        <v>0</v>
      </c>
      <c r="E240" s="26">
        <v>0</v>
      </c>
      <c r="F240" s="26">
        <v>0</v>
      </c>
      <c r="G240" s="26"/>
      <c r="H240" s="26" t="str">
        <f>IFERROR(VLOOKUP(G240,Basic_Data!$E$2:$I$9,5,0),"")</f>
        <v/>
      </c>
      <c r="I240" s="26">
        <v>0</v>
      </c>
      <c r="J240" s="26">
        <v>0</v>
      </c>
      <c r="K240" s="27">
        <v>0</v>
      </c>
      <c r="L240" s="27">
        <v>0</v>
      </c>
      <c r="M240" s="26">
        <f t="shared" ref="M240" si="106">IFERROR(I240-J240,"")</f>
        <v>0</v>
      </c>
      <c r="N240" s="26" t="s">
        <v>237</v>
      </c>
    </row>
    <row r="241" ht="15" spans="1:14">
      <c r="A241" s="24">
        <v>45947</v>
      </c>
      <c r="B241" s="25">
        <v>45947</v>
      </c>
      <c r="C241" s="26">
        <v>0</v>
      </c>
      <c r="D241" s="26">
        <v>0</v>
      </c>
      <c r="E241" s="26">
        <v>0</v>
      </c>
      <c r="F241" s="26">
        <v>1</v>
      </c>
      <c r="G241" s="26" t="s">
        <v>35</v>
      </c>
      <c r="H241" s="26">
        <f>IFERROR(VLOOKUP(G241,Basic_Data!$E$2:$I$9,5,0),"")</f>
        <v>2</v>
      </c>
      <c r="I241" s="26">
        <f>IFERROR(VLOOKUP($G241,Basic_Data!$E$2:$H$10,4,0),"")</f>
        <v>616</v>
      </c>
      <c r="J241" s="26">
        <v>616</v>
      </c>
      <c r="K241" s="27">
        <f>IFERROR(VLOOKUP($B241-1,Inverter_PR!$B:$I,Module_Cleaning!H241,0),"")</f>
        <v>1.34171475095459</v>
      </c>
      <c r="L241" s="27">
        <f>IFERROR(VLOOKUP($B241+1,Inverter_PR!$B:$I,Module_Cleaning!H241,0),"")</f>
        <v>1.36902980764596</v>
      </c>
      <c r="M241" s="26">
        <f t="shared" ref="M241:M321" si="107">IFERROR(I241-J241,"")</f>
        <v>0</v>
      </c>
      <c r="N241" s="26" t="s">
        <v>236</v>
      </c>
    </row>
    <row r="242" ht="15" spans="1:14">
      <c r="A242" s="24"/>
      <c r="B242" s="25"/>
      <c r="C242" s="26">
        <v>0</v>
      </c>
      <c r="D242" s="26">
        <v>0</v>
      </c>
      <c r="E242" s="26">
        <v>0</v>
      </c>
      <c r="F242" s="26">
        <v>1</v>
      </c>
      <c r="G242" s="26" t="s">
        <v>36</v>
      </c>
      <c r="H242" s="26">
        <v>3</v>
      </c>
      <c r="I242" s="26">
        <f>IFERROR(VLOOKUP($G242,Basic_Data!$E$2:$H$10,4,0),"")</f>
        <v>616</v>
      </c>
      <c r="J242" s="26">
        <v>616</v>
      </c>
      <c r="K242" s="27"/>
      <c r="L242" s="27"/>
      <c r="M242" s="26"/>
      <c r="N242" s="26" t="s">
        <v>236</v>
      </c>
    </row>
    <row r="243" ht="15" spans="1:14">
      <c r="A243" s="24"/>
      <c r="B243" s="25"/>
      <c r="C243" s="26">
        <v>0</v>
      </c>
      <c r="D243" s="26">
        <v>0</v>
      </c>
      <c r="E243" s="26">
        <v>0</v>
      </c>
      <c r="F243" s="26">
        <v>1</v>
      </c>
      <c r="G243" s="26" t="s">
        <v>37</v>
      </c>
      <c r="H243" s="26"/>
      <c r="I243" s="26">
        <v>616</v>
      </c>
      <c r="J243" s="26">
        <v>616</v>
      </c>
      <c r="K243" s="27"/>
      <c r="L243" s="27"/>
      <c r="M243" s="26"/>
      <c r="N243" s="26" t="s">
        <v>236</v>
      </c>
    </row>
    <row r="244" ht="15" spans="1:14">
      <c r="A244" s="24">
        <v>45948</v>
      </c>
      <c r="B244" s="25">
        <v>45948</v>
      </c>
      <c r="C244" s="26">
        <v>0</v>
      </c>
      <c r="D244" s="26">
        <v>0</v>
      </c>
      <c r="E244" s="26">
        <v>0</v>
      </c>
      <c r="F244" s="26">
        <v>1</v>
      </c>
      <c r="G244" s="26" t="s">
        <v>38</v>
      </c>
      <c r="H244" s="26">
        <f>IFERROR(VLOOKUP(G244,Basic_Data!$E$2:$I$9,5,0),"")</f>
        <v>5</v>
      </c>
      <c r="I244" s="26">
        <f>IFERROR(VLOOKUP($G244,Basic_Data!$E$2:$H$10,4,0),"")</f>
        <v>644</v>
      </c>
      <c r="J244" s="26">
        <v>644</v>
      </c>
      <c r="K244" s="27">
        <f>IFERROR(VLOOKUP($B244-1,Inverter_PR!$B:$I,Module_Cleaning!H244,0),"")</f>
        <v>1.4450471894088</v>
      </c>
      <c r="L244" s="27">
        <f>IFERROR(VLOOKUP($B244+1,Inverter_PR!$B:$I,Module_Cleaning!H244,0),"")</f>
        <v>1.13288174277941</v>
      </c>
      <c r="M244" s="26">
        <f t="shared" si="107"/>
        <v>0</v>
      </c>
      <c r="N244" s="26" t="s">
        <v>236</v>
      </c>
    </row>
    <row r="245" ht="15" spans="1:14">
      <c r="A245" s="24"/>
      <c r="B245" s="25"/>
      <c r="C245" s="26"/>
      <c r="D245" s="26"/>
      <c r="E245" s="26"/>
      <c r="F245" s="26"/>
      <c r="G245" s="26" t="s">
        <v>39</v>
      </c>
      <c r="H245" s="26"/>
      <c r="I245" s="26">
        <f>IFERROR(VLOOKUP($G245,Basic_Data!$E$2:$H$10,4,0),"")</f>
        <v>644</v>
      </c>
      <c r="J245" s="26">
        <v>644</v>
      </c>
      <c r="K245" s="27"/>
      <c r="L245" s="27"/>
      <c r="M245" s="26"/>
      <c r="N245" s="26" t="s">
        <v>236</v>
      </c>
    </row>
    <row r="246" ht="15" spans="1:14">
      <c r="A246" s="24"/>
      <c r="B246" s="25"/>
      <c r="C246" s="26"/>
      <c r="D246" s="26"/>
      <c r="E246" s="26"/>
      <c r="F246" s="26"/>
      <c r="G246" s="26" t="s">
        <v>40</v>
      </c>
      <c r="H246" s="26"/>
      <c r="I246" s="26">
        <f>IFERROR(VLOOKUP($G246,Basic_Data!$E$2:$H$10,4,0),"")</f>
        <v>644</v>
      </c>
      <c r="J246" s="26">
        <v>644</v>
      </c>
      <c r="K246" s="27"/>
      <c r="L246" s="27"/>
      <c r="M246" s="26"/>
      <c r="N246" s="26" t="s">
        <v>236</v>
      </c>
    </row>
    <row r="247" ht="15" spans="1:14">
      <c r="A247" s="24"/>
      <c r="B247" s="25"/>
      <c r="C247" s="26"/>
      <c r="D247" s="26"/>
      <c r="E247" s="26"/>
      <c r="F247" s="26"/>
      <c r="G247" s="26" t="s">
        <v>41</v>
      </c>
      <c r="H247" s="26"/>
      <c r="I247" s="26">
        <f>IFERROR(VLOOKUP($G247,Basic_Data!$E$2:$H$10,4,0),"")</f>
        <v>644</v>
      </c>
      <c r="J247" s="26">
        <v>644</v>
      </c>
      <c r="K247" s="27"/>
      <c r="L247" s="27"/>
      <c r="M247" s="26"/>
      <c r="N247" s="26" t="s">
        <v>236</v>
      </c>
    </row>
    <row r="248" ht="15" spans="1:14">
      <c r="A248" s="24">
        <v>45949</v>
      </c>
      <c r="B248" s="25">
        <v>45949</v>
      </c>
      <c r="C248" s="26">
        <v>0</v>
      </c>
      <c r="D248" s="26">
        <v>0</v>
      </c>
      <c r="E248" s="26">
        <v>0</v>
      </c>
      <c r="F248" s="26">
        <v>0</v>
      </c>
      <c r="G248" s="26"/>
      <c r="H248" s="26" t="str">
        <f>IFERROR(VLOOKUP(G248,Basic_Data!$E$2:$I$9,5,0),"")</f>
        <v/>
      </c>
      <c r="I248" s="26">
        <v>0</v>
      </c>
      <c r="J248" s="26">
        <v>0</v>
      </c>
      <c r="K248" s="27">
        <v>0</v>
      </c>
      <c r="L248" s="27">
        <v>0</v>
      </c>
      <c r="M248" s="26">
        <f t="shared" si="107"/>
        <v>0</v>
      </c>
      <c r="N248" s="26" t="s">
        <v>237</v>
      </c>
    </row>
    <row r="249" ht="15" spans="1:14">
      <c r="A249" s="24">
        <v>45950</v>
      </c>
      <c r="B249" s="25">
        <v>45950</v>
      </c>
      <c r="C249" s="26">
        <v>0</v>
      </c>
      <c r="D249" s="26">
        <v>0</v>
      </c>
      <c r="E249" s="26">
        <v>0</v>
      </c>
      <c r="F249" s="26">
        <v>0</v>
      </c>
      <c r="G249" s="26"/>
      <c r="H249" s="26" t="str">
        <f>IFERROR(VLOOKUP(G249,Basic_Data!$E$2:$I$9,5,0),"")</f>
        <v/>
      </c>
      <c r="I249" s="26">
        <v>0</v>
      </c>
      <c r="J249" s="26">
        <v>0</v>
      </c>
      <c r="K249" s="27">
        <v>0</v>
      </c>
      <c r="L249" s="27">
        <v>0</v>
      </c>
      <c r="M249" s="26">
        <f t="shared" ref="M249" si="108">IFERROR(I249-J249,"")</f>
        <v>0</v>
      </c>
      <c r="N249" s="26" t="s">
        <v>237</v>
      </c>
    </row>
    <row r="250" ht="15" spans="1:14">
      <c r="A250" s="24">
        <v>45951</v>
      </c>
      <c r="B250" s="25">
        <v>45951</v>
      </c>
      <c r="C250" s="26">
        <v>0</v>
      </c>
      <c r="D250" s="26">
        <v>0</v>
      </c>
      <c r="E250" s="26">
        <v>0</v>
      </c>
      <c r="F250" s="26">
        <v>0</v>
      </c>
      <c r="G250" s="26"/>
      <c r="H250" s="26" t="str">
        <f>IFERROR(VLOOKUP(G250,Basic_Data!$E$2:$I$9,5,0),"")</f>
        <v/>
      </c>
      <c r="I250" s="26">
        <v>0</v>
      </c>
      <c r="J250" s="26">
        <v>0</v>
      </c>
      <c r="K250" s="27">
        <v>0</v>
      </c>
      <c r="L250" s="27">
        <v>0</v>
      </c>
      <c r="M250" s="26">
        <f t="shared" ref="M250" si="109">IFERROR(I250-J250,"")</f>
        <v>0</v>
      </c>
      <c r="N250" s="26" t="s">
        <v>237</v>
      </c>
    </row>
    <row r="251" ht="15" spans="1:14">
      <c r="A251" s="24">
        <v>45952</v>
      </c>
      <c r="B251" s="25">
        <v>45952</v>
      </c>
      <c r="C251" s="26">
        <v>0</v>
      </c>
      <c r="D251" s="26">
        <v>0</v>
      </c>
      <c r="E251" s="26">
        <v>0</v>
      </c>
      <c r="F251" s="26">
        <v>0</v>
      </c>
      <c r="G251" s="26"/>
      <c r="H251" s="26" t="str">
        <f>IFERROR(VLOOKUP(G251,Basic_Data!$E$2:$I$9,5,0),"")</f>
        <v/>
      </c>
      <c r="I251" s="26">
        <v>0</v>
      </c>
      <c r="J251" s="26">
        <v>0</v>
      </c>
      <c r="K251" s="27">
        <v>0</v>
      </c>
      <c r="L251" s="27">
        <v>0</v>
      </c>
      <c r="M251" s="26">
        <f t="shared" ref="M251" si="110">IFERROR(I251-J251,"")</f>
        <v>0</v>
      </c>
      <c r="N251" s="26" t="s">
        <v>237</v>
      </c>
    </row>
    <row r="252" ht="15" spans="1:14">
      <c r="A252" s="24">
        <v>45953</v>
      </c>
      <c r="B252" s="25">
        <v>45953</v>
      </c>
      <c r="C252" s="26">
        <v>0</v>
      </c>
      <c r="D252" s="26">
        <v>0</v>
      </c>
      <c r="E252" s="26">
        <v>0</v>
      </c>
      <c r="F252" s="26">
        <v>0</v>
      </c>
      <c r="G252" s="26"/>
      <c r="H252" s="26" t="str">
        <f>IFERROR(VLOOKUP(G252,Basic_Data!$E$2:$I$9,5,0),"")</f>
        <v/>
      </c>
      <c r="I252" s="26">
        <v>0</v>
      </c>
      <c r="J252" s="26">
        <v>0</v>
      </c>
      <c r="K252" s="27">
        <v>0</v>
      </c>
      <c r="L252" s="27">
        <v>0</v>
      </c>
      <c r="M252" s="26">
        <f t="shared" ref="M252" si="111">IFERROR(I252-J252,"")</f>
        <v>0</v>
      </c>
      <c r="N252" s="26" t="s">
        <v>237</v>
      </c>
    </row>
    <row r="253" ht="15" spans="1:14">
      <c r="A253" s="24">
        <v>45954</v>
      </c>
      <c r="B253" s="25">
        <v>45954</v>
      </c>
      <c r="C253" s="26">
        <v>0</v>
      </c>
      <c r="D253" s="26">
        <v>0</v>
      </c>
      <c r="E253" s="26">
        <v>0</v>
      </c>
      <c r="F253" s="26">
        <v>0</v>
      </c>
      <c r="G253" s="26"/>
      <c r="H253" s="26" t="str">
        <f>IFERROR(VLOOKUP(G253,Basic_Data!$E$2:$I$9,5,0),"")</f>
        <v/>
      </c>
      <c r="I253" s="26">
        <v>0</v>
      </c>
      <c r="J253" s="26">
        <v>0</v>
      </c>
      <c r="K253" s="27">
        <v>0</v>
      </c>
      <c r="L253" s="27">
        <v>0</v>
      </c>
      <c r="M253" s="26">
        <f t="shared" ref="M253" si="112">IFERROR(I253-J253,"")</f>
        <v>0</v>
      </c>
      <c r="N253" s="26" t="s">
        <v>237</v>
      </c>
    </row>
    <row r="254" ht="15" spans="1:14">
      <c r="A254" s="24">
        <v>45955</v>
      </c>
      <c r="B254" s="25">
        <v>45955</v>
      </c>
      <c r="C254" s="26">
        <v>0</v>
      </c>
      <c r="D254" s="26">
        <v>0</v>
      </c>
      <c r="E254" s="26">
        <v>0</v>
      </c>
      <c r="F254" s="26">
        <v>0</v>
      </c>
      <c r="G254" s="26"/>
      <c r="H254" s="26" t="str">
        <f>IFERROR(VLOOKUP(G254,Basic_Data!$E$2:$I$9,5,0),"")</f>
        <v/>
      </c>
      <c r="I254" s="26">
        <v>0</v>
      </c>
      <c r="J254" s="26">
        <v>0</v>
      </c>
      <c r="K254" s="27">
        <v>0</v>
      </c>
      <c r="L254" s="27">
        <v>0</v>
      </c>
      <c r="M254" s="26">
        <f t="shared" ref="M254" si="113">IFERROR(I254-J254,"")</f>
        <v>0</v>
      </c>
      <c r="N254" s="26" t="s">
        <v>237</v>
      </c>
    </row>
    <row r="255" ht="15" spans="1:14">
      <c r="A255" s="24">
        <v>45956</v>
      </c>
      <c r="B255" s="25">
        <v>45956</v>
      </c>
      <c r="C255" s="26">
        <v>0</v>
      </c>
      <c r="D255" s="26">
        <v>0</v>
      </c>
      <c r="E255" s="26">
        <v>0</v>
      </c>
      <c r="F255" s="26">
        <v>0</v>
      </c>
      <c r="G255" s="26"/>
      <c r="H255" s="26" t="str">
        <f>IFERROR(VLOOKUP(G255,Basic_Data!$E$2:$I$9,5,0),"")</f>
        <v/>
      </c>
      <c r="I255" s="26">
        <v>0</v>
      </c>
      <c r="J255" s="26">
        <v>0</v>
      </c>
      <c r="K255" s="27">
        <v>0</v>
      </c>
      <c r="L255" s="27">
        <v>0</v>
      </c>
      <c r="M255" s="26">
        <f t="shared" ref="M255:M256" si="114">IFERROR(I255-J255,"")</f>
        <v>0</v>
      </c>
      <c r="N255" s="26" t="s">
        <v>237</v>
      </c>
    </row>
    <row r="256" ht="15" spans="1:14">
      <c r="A256" s="24">
        <v>45957</v>
      </c>
      <c r="B256" s="25">
        <v>45957</v>
      </c>
      <c r="C256" s="39">
        <v>0</v>
      </c>
      <c r="D256" s="39">
        <v>0</v>
      </c>
      <c r="E256" s="39">
        <v>0</v>
      </c>
      <c r="F256" s="39">
        <v>0</v>
      </c>
      <c r="G256" s="39"/>
      <c r="H256" s="39" t="str">
        <f>IFERROR(VLOOKUP(G256,Basic_Data!$E$2:$I$9,5,0),"")</f>
        <v/>
      </c>
      <c r="I256" s="39">
        <v>0</v>
      </c>
      <c r="J256" s="39">
        <v>0</v>
      </c>
      <c r="K256" s="40">
        <v>0</v>
      </c>
      <c r="L256" s="40">
        <v>0</v>
      </c>
      <c r="M256" s="39">
        <f t="shared" si="114"/>
        <v>0</v>
      </c>
      <c r="N256" s="39" t="s">
        <v>238</v>
      </c>
    </row>
    <row r="257" ht="15" spans="1:14">
      <c r="A257" s="24">
        <v>45958</v>
      </c>
      <c r="B257" s="25">
        <v>45958</v>
      </c>
      <c r="C257" s="39">
        <v>0</v>
      </c>
      <c r="D257" s="39">
        <v>0</v>
      </c>
      <c r="E257" s="39">
        <v>0</v>
      </c>
      <c r="F257" s="39">
        <v>0</v>
      </c>
      <c r="G257" s="39"/>
      <c r="H257" s="39" t="str">
        <f>IFERROR(VLOOKUP(G257,Basic_Data!$E$2:$I$9,5,0),"")</f>
        <v/>
      </c>
      <c r="I257" s="39">
        <v>0</v>
      </c>
      <c r="J257" s="39">
        <v>0</v>
      </c>
      <c r="K257" s="40">
        <v>0</v>
      </c>
      <c r="L257" s="40">
        <v>0</v>
      </c>
      <c r="M257" s="39">
        <f t="shared" ref="M257:M258" si="115">IFERROR(I257-J257,"")</f>
        <v>0</v>
      </c>
      <c r="N257" s="39" t="s">
        <v>238</v>
      </c>
    </row>
    <row r="258" ht="15" spans="1:14">
      <c r="A258" s="24">
        <v>45959</v>
      </c>
      <c r="B258" s="25">
        <v>45959</v>
      </c>
      <c r="C258" s="26">
        <v>0</v>
      </c>
      <c r="D258" s="26">
        <v>0</v>
      </c>
      <c r="E258" s="26">
        <v>0</v>
      </c>
      <c r="F258" s="26">
        <v>0</v>
      </c>
      <c r="G258" s="26"/>
      <c r="H258" s="26" t="str">
        <f>IFERROR(VLOOKUP(G258,Basic_Data!$E$2:$I$9,5,0),"")</f>
        <v/>
      </c>
      <c r="I258" s="26">
        <v>0</v>
      </c>
      <c r="J258" s="26">
        <v>0</v>
      </c>
      <c r="K258" s="27">
        <v>0</v>
      </c>
      <c r="L258" s="27">
        <v>0</v>
      </c>
      <c r="M258" s="26">
        <f t="shared" si="115"/>
        <v>0</v>
      </c>
      <c r="N258" s="26" t="s">
        <v>237</v>
      </c>
    </row>
    <row r="259" ht="15" spans="1:14">
      <c r="A259" s="24">
        <v>45960</v>
      </c>
      <c r="B259" s="25">
        <v>45960</v>
      </c>
      <c r="C259" s="39">
        <v>0</v>
      </c>
      <c r="D259" s="39">
        <v>0</v>
      </c>
      <c r="E259" s="39">
        <v>0</v>
      </c>
      <c r="F259" s="39">
        <v>0</v>
      </c>
      <c r="G259" s="39"/>
      <c r="H259" s="39" t="str">
        <f>IFERROR(VLOOKUP(G259,Basic_Data!$E$2:$I$9,5,0),"")</f>
        <v/>
      </c>
      <c r="I259" s="39">
        <v>0</v>
      </c>
      <c r="J259" s="39">
        <v>0</v>
      </c>
      <c r="K259" s="40">
        <v>0</v>
      </c>
      <c r="L259" s="40">
        <v>0</v>
      </c>
      <c r="M259" s="39">
        <f t="shared" ref="M259:M260" si="116">IFERROR(I259-J259,"")</f>
        <v>0</v>
      </c>
      <c r="N259" s="39" t="s">
        <v>238</v>
      </c>
    </row>
    <row r="260" ht="15" spans="1:14">
      <c r="A260" s="24">
        <v>45961</v>
      </c>
      <c r="B260" s="25">
        <v>45961</v>
      </c>
      <c r="C260" s="26">
        <v>0</v>
      </c>
      <c r="D260" s="26">
        <v>0</v>
      </c>
      <c r="E260" s="26">
        <v>0</v>
      </c>
      <c r="F260" s="26">
        <v>0</v>
      </c>
      <c r="G260" s="26"/>
      <c r="H260" s="26" t="str">
        <f>IFERROR(VLOOKUP(G260,Basic_Data!$E$2:$I$9,5,0),"")</f>
        <v/>
      </c>
      <c r="I260" s="26">
        <v>0</v>
      </c>
      <c r="J260" s="26">
        <v>0</v>
      </c>
      <c r="K260" s="27">
        <v>0</v>
      </c>
      <c r="L260" s="27">
        <v>0</v>
      </c>
      <c r="M260" s="26">
        <f t="shared" si="116"/>
        <v>0</v>
      </c>
      <c r="N260" s="26" t="s">
        <v>237</v>
      </c>
    </row>
    <row r="261" ht="15" spans="1:14">
      <c r="A261" s="24">
        <v>45962</v>
      </c>
      <c r="B261" s="25">
        <v>45962</v>
      </c>
      <c r="C261" s="26">
        <v>0</v>
      </c>
      <c r="D261" s="26">
        <v>0</v>
      </c>
      <c r="E261" s="26">
        <v>0</v>
      </c>
      <c r="F261" s="26">
        <v>0</v>
      </c>
      <c r="G261" s="26"/>
      <c r="H261" s="26" t="str">
        <f>IFERROR(VLOOKUP(G261,Basic_Data!$E$2:$I$9,5,0),"")</f>
        <v/>
      </c>
      <c r="I261" s="26">
        <v>0</v>
      </c>
      <c r="J261" s="26">
        <v>0</v>
      </c>
      <c r="K261" s="27">
        <v>0</v>
      </c>
      <c r="L261" s="27">
        <v>0</v>
      </c>
      <c r="M261" s="26">
        <f t="shared" ref="M261" si="117">IFERROR(I261-J261,"")</f>
        <v>0</v>
      </c>
      <c r="N261" s="26" t="s">
        <v>237</v>
      </c>
    </row>
    <row r="262" ht="15" spans="1:14">
      <c r="A262" s="24">
        <v>45963</v>
      </c>
      <c r="B262" s="25">
        <v>45963</v>
      </c>
      <c r="C262" s="26">
        <v>0</v>
      </c>
      <c r="D262" s="26">
        <v>0</v>
      </c>
      <c r="E262" s="26">
        <v>0</v>
      </c>
      <c r="F262" s="26">
        <v>0</v>
      </c>
      <c r="G262" s="26"/>
      <c r="H262" s="26" t="str">
        <f>IFERROR(VLOOKUP(G262,Basic_Data!$E$2:$I$9,5,0),"")</f>
        <v/>
      </c>
      <c r="I262" s="26">
        <v>0</v>
      </c>
      <c r="J262" s="26">
        <v>0</v>
      </c>
      <c r="K262" s="27">
        <v>0</v>
      </c>
      <c r="L262" s="27">
        <v>0</v>
      </c>
      <c r="M262" s="26">
        <f t="shared" ref="M262" si="118">IFERROR(I262-J262,"")</f>
        <v>0</v>
      </c>
      <c r="N262" s="26" t="s">
        <v>237</v>
      </c>
    </row>
    <row r="263" ht="15" spans="1:14">
      <c r="A263" s="24">
        <v>45964</v>
      </c>
      <c r="B263" s="25">
        <v>45964</v>
      </c>
      <c r="C263" s="26">
        <v>0</v>
      </c>
      <c r="D263" s="26">
        <v>0</v>
      </c>
      <c r="E263" s="26">
        <v>0</v>
      </c>
      <c r="F263" s="26">
        <v>0</v>
      </c>
      <c r="G263" s="26"/>
      <c r="H263" s="26" t="str">
        <f>IFERROR(VLOOKUP(G263,Basic_Data!$E$2:$I$9,5,0),"")</f>
        <v/>
      </c>
      <c r="I263" s="26">
        <v>0</v>
      </c>
      <c r="J263" s="26">
        <v>0</v>
      </c>
      <c r="K263" s="27">
        <v>0</v>
      </c>
      <c r="L263" s="27">
        <v>0</v>
      </c>
      <c r="M263" s="26">
        <f t="shared" ref="M263" si="119">IFERROR(I263-J263,"")</f>
        <v>0</v>
      </c>
      <c r="N263" s="26" t="s">
        <v>237</v>
      </c>
    </row>
    <row r="264" ht="15" spans="1:14">
      <c r="A264" s="24">
        <v>45965</v>
      </c>
      <c r="B264" s="25">
        <v>45965</v>
      </c>
      <c r="C264" s="26">
        <v>0</v>
      </c>
      <c r="D264" s="26">
        <v>0</v>
      </c>
      <c r="E264" s="26">
        <v>0</v>
      </c>
      <c r="F264" s="26">
        <v>0</v>
      </c>
      <c r="G264" s="26"/>
      <c r="H264" s="26" t="str">
        <f>IFERROR(VLOOKUP(G264,Basic_Data!$E$2:$I$9,5,0),"")</f>
        <v/>
      </c>
      <c r="I264" s="26">
        <v>0</v>
      </c>
      <c r="J264" s="26">
        <v>0</v>
      </c>
      <c r="K264" s="27">
        <v>0</v>
      </c>
      <c r="L264" s="27">
        <v>0</v>
      </c>
      <c r="M264" s="26">
        <f t="shared" ref="M264" si="120">IFERROR(I264-J264,"")</f>
        <v>0</v>
      </c>
      <c r="N264" s="26" t="s">
        <v>237</v>
      </c>
    </row>
    <row r="265" ht="15" spans="1:14">
      <c r="A265" s="24">
        <v>45966</v>
      </c>
      <c r="B265" s="25">
        <v>45966</v>
      </c>
      <c r="C265" s="26">
        <v>0</v>
      </c>
      <c r="D265" s="26">
        <v>0</v>
      </c>
      <c r="E265" s="26">
        <v>0</v>
      </c>
      <c r="F265" s="26">
        <v>0</v>
      </c>
      <c r="G265" s="26"/>
      <c r="H265" s="26" t="str">
        <f>IFERROR(VLOOKUP(G265,Basic_Data!$E$2:$I$9,5,0),"")</f>
        <v/>
      </c>
      <c r="I265" s="26">
        <v>0</v>
      </c>
      <c r="J265" s="26">
        <v>0</v>
      </c>
      <c r="K265" s="27">
        <v>0</v>
      </c>
      <c r="L265" s="27">
        <v>0</v>
      </c>
      <c r="M265" s="26">
        <f t="shared" ref="M265" si="121">IFERROR(I265-J265,"")</f>
        <v>0</v>
      </c>
      <c r="N265" s="26" t="s">
        <v>237</v>
      </c>
    </row>
    <row r="266" ht="15" spans="1:14">
      <c r="A266" s="24">
        <v>45967</v>
      </c>
      <c r="B266" s="25">
        <v>45967</v>
      </c>
      <c r="C266" s="26">
        <v>0</v>
      </c>
      <c r="D266" s="26">
        <v>0</v>
      </c>
      <c r="E266" s="26">
        <v>0</v>
      </c>
      <c r="F266" s="26">
        <v>0</v>
      </c>
      <c r="G266" s="26"/>
      <c r="H266" s="26" t="str">
        <f>IFERROR(VLOOKUP(G266,Basic_Data!$E$2:$I$9,5,0),"")</f>
        <v/>
      </c>
      <c r="I266" s="26">
        <v>0</v>
      </c>
      <c r="J266" s="26">
        <v>0</v>
      </c>
      <c r="K266" s="27">
        <v>0</v>
      </c>
      <c r="L266" s="27">
        <v>0</v>
      </c>
      <c r="M266" s="26">
        <f t="shared" ref="M266" si="122">IFERROR(I266-J266,"")</f>
        <v>0</v>
      </c>
      <c r="N266" s="26" t="s">
        <v>237</v>
      </c>
    </row>
    <row r="267" ht="15" spans="1:14">
      <c r="A267" s="24">
        <v>45968</v>
      </c>
      <c r="B267" s="25">
        <v>45968</v>
      </c>
      <c r="C267" s="26">
        <v>0</v>
      </c>
      <c r="D267" s="26">
        <v>0</v>
      </c>
      <c r="E267" s="26">
        <v>0</v>
      </c>
      <c r="F267" s="26">
        <v>0</v>
      </c>
      <c r="G267" s="26"/>
      <c r="H267" s="26" t="str">
        <f>IFERROR(VLOOKUP(G267,Basic_Data!$E$2:$I$9,5,0),"")</f>
        <v/>
      </c>
      <c r="I267" s="26">
        <v>0</v>
      </c>
      <c r="J267" s="26">
        <v>0</v>
      </c>
      <c r="K267" s="27">
        <v>0</v>
      </c>
      <c r="L267" s="27">
        <v>0</v>
      </c>
      <c r="M267" s="26">
        <f t="shared" ref="M267" si="123">IFERROR(I267-J267,"")</f>
        <v>0</v>
      </c>
      <c r="N267" s="26" t="s">
        <v>237</v>
      </c>
    </row>
    <row r="268" ht="15" spans="1:14">
      <c r="A268" s="24">
        <v>45969</v>
      </c>
      <c r="B268" s="25">
        <v>45969</v>
      </c>
      <c r="C268" s="26">
        <v>0</v>
      </c>
      <c r="D268" s="26">
        <v>0</v>
      </c>
      <c r="E268" s="26">
        <v>0</v>
      </c>
      <c r="F268" s="26">
        <v>0</v>
      </c>
      <c r="G268" s="26"/>
      <c r="H268" s="26" t="str">
        <f>IFERROR(VLOOKUP(G268,Basic_Data!$E$2:$I$9,5,0),"")</f>
        <v/>
      </c>
      <c r="I268" s="26">
        <v>0</v>
      </c>
      <c r="J268" s="26">
        <v>0</v>
      </c>
      <c r="K268" s="27">
        <v>0</v>
      </c>
      <c r="L268" s="27">
        <v>0</v>
      </c>
      <c r="M268" s="26">
        <f t="shared" ref="M268" si="124">IFERROR(I268-J268,"")</f>
        <v>0</v>
      </c>
      <c r="N268" s="26" t="s">
        <v>237</v>
      </c>
    </row>
    <row r="269" ht="15" spans="1:14">
      <c r="A269" s="24">
        <v>45970</v>
      </c>
      <c r="B269" s="25">
        <v>45970</v>
      </c>
      <c r="C269" s="26"/>
      <c r="D269" s="26"/>
      <c r="E269" s="26"/>
      <c r="F269" s="26">
        <v>1</v>
      </c>
      <c r="G269" s="26" t="s">
        <v>35</v>
      </c>
      <c r="H269" s="26">
        <f>IFERROR(VLOOKUP(G269,Basic_Data!$E$2:$I$9,5,0),"")</f>
        <v>2</v>
      </c>
      <c r="I269" s="26">
        <f>IFERROR(VLOOKUP($G269,Basic_Data!$E$2:$H$10,4,0),"")</f>
        <v>616</v>
      </c>
      <c r="J269" s="26">
        <v>616</v>
      </c>
      <c r="K269" s="27">
        <f>IFERROR(VLOOKUP($B269-1,Inverter_PR!$B:$I,Module_Cleaning!H269,0),"")</f>
        <v>1.15625144102455</v>
      </c>
      <c r="L269" s="27">
        <v>0</v>
      </c>
      <c r="M269" s="26">
        <f t="shared" si="107"/>
        <v>0</v>
      </c>
      <c r="N269" s="26" t="s">
        <v>236</v>
      </c>
    </row>
    <row r="270" ht="15" spans="1:14">
      <c r="A270" s="24"/>
      <c r="B270" s="25"/>
      <c r="C270" s="26"/>
      <c r="D270" s="26"/>
      <c r="E270" s="26"/>
      <c r="F270" s="26">
        <v>1</v>
      </c>
      <c r="G270" s="26" t="s">
        <v>36</v>
      </c>
      <c r="H270" s="26"/>
      <c r="I270" s="26">
        <f>IFERROR(VLOOKUP($G270,Basic_Data!$E$2:$H$10,4,0),"")</f>
        <v>616</v>
      </c>
      <c r="J270" s="26">
        <v>616</v>
      </c>
      <c r="K270" s="27">
        <v>0</v>
      </c>
      <c r="L270" s="27">
        <v>0</v>
      </c>
      <c r="M270" s="26">
        <v>0</v>
      </c>
      <c r="N270" s="26" t="s">
        <v>236</v>
      </c>
    </row>
    <row r="271" ht="15" spans="1:14">
      <c r="A271" s="24">
        <v>45971</v>
      </c>
      <c r="B271" s="25">
        <v>45971</v>
      </c>
      <c r="C271" s="26"/>
      <c r="D271" s="26"/>
      <c r="E271" s="26"/>
      <c r="F271" s="26">
        <v>1</v>
      </c>
      <c r="G271" s="26" t="s">
        <v>37</v>
      </c>
      <c r="H271" s="26">
        <f>IFERROR(VLOOKUP(G271,Basic_Data!$E$2:$I$9,5,0),"")</f>
        <v>4</v>
      </c>
      <c r="I271" s="26">
        <f>IFERROR(VLOOKUP($G271,Basic_Data!$E$2:$H$10,4,0),"")</f>
        <v>616</v>
      </c>
      <c r="J271" s="26">
        <v>616</v>
      </c>
      <c r="K271" s="27">
        <f>IFERROR(VLOOKUP($B271-1,Inverter_PR!$B:$I,Module_Cleaning!H271,0),"")</f>
        <v>1.19995095207997</v>
      </c>
      <c r="L271" s="27">
        <f>IFERROR(VLOOKUP($B271+1,Inverter_PR!$B:$I,Module_Cleaning!H271,0),"")</f>
        <v>1.18778348865441</v>
      </c>
      <c r="M271" s="26">
        <f t="shared" si="107"/>
        <v>0</v>
      </c>
      <c r="N271" s="26" t="s">
        <v>236</v>
      </c>
    </row>
    <row r="272" ht="15" spans="1:14">
      <c r="A272" s="24"/>
      <c r="B272" s="25"/>
      <c r="C272" s="26"/>
      <c r="D272" s="26"/>
      <c r="E272" s="26"/>
      <c r="F272" s="26">
        <v>1</v>
      </c>
      <c r="G272" s="26" t="s">
        <v>38</v>
      </c>
      <c r="H272" s="26"/>
      <c r="I272" s="26"/>
      <c r="J272" s="26"/>
      <c r="K272" s="27"/>
      <c r="L272" s="27"/>
      <c r="M272" s="26"/>
      <c r="N272" s="26" t="s">
        <v>236</v>
      </c>
    </row>
    <row r="273" ht="15" spans="1:14">
      <c r="A273" s="24">
        <v>45972</v>
      </c>
      <c r="B273" s="25">
        <v>45972</v>
      </c>
      <c r="C273" s="26"/>
      <c r="D273" s="26"/>
      <c r="E273" s="26"/>
      <c r="F273" s="26">
        <v>1</v>
      </c>
      <c r="G273" s="26" t="s">
        <v>39</v>
      </c>
      <c r="H273" s="26">
        <f>IFERROR(VLOOKUP(G273,Basic_Data!$E$2:$I$9,5,0),"")</f>
        <v>6</v>
      </c>
      <c r="I273" s="26">
        <f>IFERROR(VLOOKUP($G273,Basic_Data!$E$2:$H$10,4,0),"")</f>
        <v>644</v>
      </c>
      <c r="J273" s="26">
        <v>644</v>
      </c>
      <c r="K273" s="27">
        <f>IFERROR(VLOOKUP($B273-1,Inverter_PR!$B:$I,Module_Cleaning!H273,0),"")</f>
        <v>1.14950923451827</v>
      </c>
      <c r="L273" s="27"/>
      <c r="M273" s="26">
        <f t="shared" si="107"/>
        <v>0</v>
      </c>
      <c r="N273" s="26" t="s">
        <v>236</v>
      </c>
    </row>
    <row r="274" ht="15" spans="1:14">
      <c r="A274" s="24"/>
      <c r="B274" s="25"/>
      <c r="C274" s="26"/>
      <c r="D274" s="26"/>
      <c r="E274" s="26"/>
      <c r="F274" s="26">
        <v>1</v>
      </c>
      <c r="G274" s="26" t="s">
        <v>40</v>
      </c>
      <c r="H274" s="26"/>
      <c r="I274" s="26">
        <f>IFERROR(VLOOKUP($G274,Basic_Data!$E$2:$H$10,4,0),"")</f>
        <v>644</v>
      </c>
      <c r="J274" s="26">
        <v>644</v>
      </c>
      <c r="K274" s="27" t="str">
        <f>IFERROR(VLOOKUP($B274-1,Inverter_PR!$B:$I,Module_Cleaning!H274,0),"")</f>
        <v/>
      </c>
      <c r="L274" s="27"/>
      <c r="M274" s="26">
        <v>0</v>
      </c>
      <c r="N274" s="26" t="s">
        <v>236</v>
      </c>
    </row>
    <row r="275" ht="15" spans="1:14">
      <c r="A275" s="24"/>
      <c r="B275" s="25"/>
      <c r="C275" s="26"/>
      <c r="D275" s="26"/>
      <c r="E275" s="26"/>
      <c r="F275" s="26">
        <v>1</v>
      </c>
      <c r="G275" s="26" t="s">
        <v>41</v>
      </c>
      <c r="H275" s="26"/>
      <c r="I275" s="26">
        <f>IFERROR(VLOOKUP($G275,Basic_Data!$E$2:$H$10,4,0),"")</f>
        <v>644</v>
      </c>
      <c r="J275" s="26">
        <v>644</v>
      </c>
      <c r="K275" s="27"/>
      <c r="L275" s="27"/>
      <c r="M275" s="26">
        <v>0</v>
      </c>
      <c r="N275" s="26" t="s">
        <v>236</v>
      </c>
    </row>
    <row r="276" ht="15" spans="1:14">
      <c r="A276" s="24">
        <v>45973</v>
      </c>
      <c r="B276" s="25">
        <v>45973</v>
      </c>
      <c r="C276" s="26">
        <v>0</v>
      </c>
      <c r="D276" s="26">
        <v>0</v>
      </c>
      <c r="E276" s="26">
        <v>0</v>
      </c>
      <c r="F276" s="26">
        <v>0</v>
      </c>
      <c r="G276" s="26"/>
      <c r="H276" s="26" t="str">
        <f>IFERROR(VLOOKUP(G276,Basic_Data!$E$2:$I$9,5,0),"")</f>
        <v/>
      </c>
      <c r="I276" s="26">
        <v>0</v>
      </c>
      <c r="J276" s="26">
        <v>0</v>
      </c>
      <c r="K276" s="27">
        <v>0</v>
      </c>
      <c r="L276" s="27">
        <v>0</v>
      </c>
      <c r="M276" s="26">
        <f t="shared" si="107"/>
        <v>0</v>
      </c>
      <c r="N276" s="26" t="s">
        <v>237</v>
      </c>
    </row>
    <row r="277" ht="15" spans="1:14">
      <c r="A277" s="24">
        <v>45974</v>
      </c>
      <c r="B277" s="25">
        <v>45974</v>
      </c>
      <c r="C277" s="26">
        <v>0</v>
      </c>
      <c r="D277" s="26">
        <v>0</v>
      </c>
      <c r="E277" s="26">
        <v>0</v>
      </c>
      <c r="F277" s="26">
        <v>0</v>
      </c>
      <c r="G277" s="26"/>
      <c r="H277" s="26" t="str">
        <f>IFERROR(VLOOKUP(G277,Basic_Data!$E$2:$I$9,5,0),"")</f>
        <v/>
      </c>
      <c r="I277" s="26">
        <v>0</v>
      </c>
      <c r="J277" s="26">
        <v>0</v>
      </c>
      <c r="K277" s="27">
        <v>0</v>
      </c>
      <c r="L277" s="27">
        <v>0</v>
      </c>
      <c r="M277" s="26">
        <f t="shared" si="107"/>
        <v>0</v>
      </c>
      <c r="N277" s="26" t="s">
        <v>237</v>
      </c>
    </row>
    <row r="278" ht="15" spans="1:14">
      <c r="A278" s="24">
        <v>45975</v>
      </c>
      <c r="B278" s="25">
        <v>45975</v>
      </c>
      <c r="C278" s="26">
        <v>1</v>
      </c>
      <c r="D278" s="26">
        <v>3000</v>
      </c>
      <c r="E278" s="26"/>
      <c r="F278" s="26">
        <v>1</v>
      </c>
      <c r="G278" s="26" t="s">
        <v>35</v>
      </c>
      <c r="H278" s="26">
        <f>IFERROR(VLOOKUP(G278,Basic_Data!$E$2:$I$9,5,0),"")</f>
        <v>2</v>
      </c>
      <c r="I278" s="26">
        <f>IFERROR(VLOOKUP($G278,Basic_Data!$E$2:$H$10,4,0),"")</f>
        <v>616</v>
      </c>
      <c r="J278" s="26">
        <v>280</v>
      </c>
      <c r="K278" s="27">
        <f>IFERROR(VLOOKUP($B278-1,Inverter_PR!$B:$I,Module_Cleaning!H278,0),"")</f>
        <v>1.16520770109545</v>
      </c>
      <c r="L278" s="27">
        <f>IFERROR(VLOOKUP($B278+1,Inverter_PR!$B:$I,Module_Cleaning!H278,0),"")</f>
        <v>1.15145343513108</v>
      </c>
      <c r="M278" s="26">
        <f t="shared" si="107"/>
        <v>336</v>
      </c>
      <c r="N278" s="26" t="s">
        <v>240</v>
      </c>
    </row>
    <row r="279" ht="15" spans="1:14">
      <c r="A279" s="24"/>
      <c r="B279" s="25"/>
      <c r="C279" s="26"/>
      <c r="D279" s="26"/>
      <c r="E279" s="26"/>
      <c r="F279" s="26">
        <v>1</v>
      </c>
      <c r="G279" s="26" t="s">
        <v>36</v>
      </c>
      <c r="H279" s="26"/>
      <c r="I279" s="26">
        <f>IFERROR(VLOOKUP($G279,Basic_Data!$E$2:$H$10,4,0),"")</f>
        <v>616</v>
      </c>
      <c r="J279" s="26">
        <v>224</v>
      </c>
      <c r="K279" s="27"/>
      <c r="L279" s="27"/>
      <c r="M279" s="26"/>
      <c r="N279" s="26" t="s">
        <v>240</v>
      </c>
    </row>
    <row r="280" ht="15" spans="1:14">
      <c r="A280" s="24"/>
      <c r="B280" s="25"/>
      <c r="C280" s="26"/>
      <c r="D280" s="26"/>
      <c r="E280" s="26"/>
      <c r="F280" s="26">
        <v>1</v>
      </c>
      <c r="G280" s="26" t="s">
        <v>37</v>
      </c>
      <c r="H280" s="26"/>
      <c r="I280" s="26">
        <f>IFERROR(VLOOKUP($G280,Basic_Data!$E$2:$H$10,4,0),"")</f>
        <v>616</v>
      </c>
      <c r="J280" s="26">
        <v>280</v>
      </c>
      <c r="K280" s="27"/>
      <c r="L280" s="27"/>
      <c r="M280" s="26"/>
      <c r="N280" s="26" t="s">
        <v>240</v>
      </c>
    </row>
    <row r="281" ht="15" spans="1:14">
      <c r="A281" s="24"/>
      <c r="B281" s="25"/>
      <c r="C281" s="26"/>
      <c r="D281" s="26"/>
      <c r="E281" s="26"/>
      <c r="F281" s="26">
        <v>1</v>
      </c>
      <c r="G281" s="26" t="s">
        <v>38</v>
      </c>
      <c r="H281" s="26"/>
      <c r="I281" s="26">
        <f>IFERROR(VLOOKUP($G281,Basic_Data!$E$2:$H$10,4,0),"")</f>
        <v>644</v>
      </c>
      <c r="J281" s="26">
        <v>112</v>
      </c>
      <c r="K281" s="27"/>
      <c r="L281" s="27"/>
      <c r="M281" s="26"/>
      <c r="N281" s="26" t="s">
        <v>240</v>
      </c>
    </row>
    <row r="282" ht="15" spans="1:14">
      <c r="A282" s="24">
        <v>45976</v>
      </c>
      <c r="B282" s="25">
        <v>45976</v>
      </c>
      <c r="C282" s="26"/>
      <c r="D282" s="26"/>
      <c r="E282" s="26"/>
      <c r="F282" s="26">
        <v>1</v>
      </c>
      <c r="G282" s="26" t="s">
        <v>38</v>
      </c>
      <c r="H282" s="26">
        <f>IFERROR(VLOOKUP(G282,Basic_Data!$E$2:$I$9,5,0),"")</f>
        <v>5</v>
      </c>
      <c r="I282" s="26">
        <f>IFERROR(VLOOKUP($G282,Basic_Data!$E$2:$H$10,4,0),"")</f>
        <v>644</v>
      </c>
      <c r="J282" s="26">
        <v>168</v>
      </c>
      <c r="K282" s="27">
        <f>IFERROR(VLOOKUP($B282-1,Inverter_PR!$B:$I,Module_Cleaning!H282,0),"")</f>
        <v>1.15538653029463</v>
      </c>
      <c r="L282" s="27">
        <f>IFERROR(VLOOKUP($B282+1,Inverter_PR!$B:$I,Module_Cleaning!H282,0),"")</f>
        <v>1.16837088428851</v>
      </c>
      <c r="M282" s="26">
        <f t="shared" si="107"/>
        <v>476</v>
      </c>
      <c r="N282" s="26" t="s">
        <v>240</v>
      </c>
    </row>
    <row r="283" ht="15" spans="1:14">
      <c r="A283" s="24"/>
      <c r="B283" s="25"/>
      <c r="C283" s="26"/>
      <c r="D283" s="26"/>
      <c r="E283" s="26"/>
      <c r="F283" s="26">
        <v>1</v>
      </c>
      <c r="G283" s="26" t="s">
        <v>39</v>
      </c>
      <c r="H283" s="26"/>
      <c r="I283" s="26">
        <f>IFERROR(VLOOKUP($G283,Basic_Data!$E$2:$H$10,4,0),"")</f>
        <v>644</v>
      </c>
      <c r="J283" s="26">
        <v>224</v>
      </c>
      <c r="K283" s="27"/>
      <c r="L283" s="27"/>
      <c r="M283" s="26"/>
      <c r="N283" s="26" t="s">
        <v>240</v>
      </c>
    </row>
    <row r="284" ht="15" spans="1:14">
      <c r="A284" s="24"/>
      <c r="B284" s="25"/>
      <c r="C284" s="26"/>
      <c r="D284" s="26"/>
      <c r="E284" s="26"/>
      <c r="F284" s="26">
        <v>1</v>
      </c>
      <c r="G284" s="26" t="s">
        <v>40</v>
      </c>
      <c r="H284" s="26"/>
      <c r="I284" s="26">
        <f>IFERROR(VLOOKUP($G284,Basic_Data!$E$2:$H$10,4,0),"")</f>
        <v>644</v>
      </c>
      <c r="J284" s="26">
        <v>392</v>
      </c>
      <c r="K284" s="27"/>
      <c r="L284" s="27"/>
      <c r="M284" s="26"/>
      <c r="N284" s="26" t="s">
        <v>240</v>
      </c>
    </row>
    <row r="285" ht="15" spans="1:14">
      <c r="A285" s="24"/>
      <c r="B285" s="25"/>
      <c r="C285" s="26"/>
      <c r="D285" s="26"/>
      <c r="E285" s="26"/>
      <c r="F285" s="26">
        <v>1</v>
      </c>
      <c r="G285" s="26" t="s">
        <v>41</v>
      </c>
      <c r="H285" s="26"/>
      <c r="I285" s="26">
        <f>IFERROR(VLOOKUP($G285,Basic_Data!$E$2:$H$10,4,0),"")</f>
        <v>644</v>
      </c>
      <c r="J285" s="26">
        <v>308</v>
      </c>
      <c r="K285" s="27"/>
      <c r="L285" s="27"/>
      <c r="M285" s="26"/>
      <c r="N285" s="26" t="s">
        <v>240</v>
      </c>
    </row>
    <row r="286" ht="15" spans="1:14">
      <c r="A286" s="24">
        <v>45977</v>
      </c>
      <c r="B286" s="25">
        <v>45977</v>
      </c>
      <c r="C286" s="26"/>
      <c r="D286" s="26"/>
      <c r="E286" s="26"/>
      <c r="F286" s="26"/>
      <c r="G286" s="26" t="s">
        <v>41</v>
      </c>
      <c r="H286" s="26">
        <f>IFERROR(VLOOKUP(G286,Basic_Data!$E$2:$I$9,5,0),"")</f>
        <v>8</v>
      </c>
      <c r="I286" s="26">
        <f>IFERROR(VLOOKUP($G286,Basic_Data!$E$2:$H$10,4,0),"")</f>
        <v>644</v>
      </c>
      <c r="J286" s="26">
        <v>280</v>
      </c>
      <c r="K286" s="27">
        <f>IFERROR(VLOOKUP($B286-1,Inverter_PR!$B:$I,Module_Cleaning!H286,0),"")</f>
        <v>1.1570685328767</v>
      </c>
      <c r="L286" s="27">
        <f>IFERROR(VLOOKUP($B286+1,Inverter_PR!$B:$I,Module_Cleaning!H286,0),"")</f>
        <v>1.19348213871198</v>
      </c>
      <c r="M286" s="26">
        <f t="shared" si="107"/>
        <v>364</v>
      </c>
      <c r="N286" s="26" t="s">
        <v>240</v>
      </c>
    </row>
    <row r="287" ht="15" spans="1:14">
      <c r="A287" s="24"/>
      <c r="B287" s="25"/>
      <c r="C287" s="26"/>
      <c r="D287" s="26"/>
      <c r="E287" s="26"/>
      <c r="F287" s="26"/>
      <c r="G287" s="26" t="s">
        <v>35</v>
      </c>
      <c r="H287" s="26"/>
      <c r="I287" s="26">
        <f>IFERROR(VLOOKUP($G287,Basic_Data!$E$2:$H$10,4,0),"")</f>
        <v>616</v>
      </c>
      <c r="J287" s="26">
        <v>336</v>
      </c>
      <c r="K287" s="27"/>
      <c r="L287" s="27"/>
      <c r="M287" s="26"/>
      <c r="N287" s="26" t="s">
        <v>240</v>
      </c>
    </row>
    <row r="288" ht="15" spans="1:14">
      <c r="A288" s="24"/>
      <c r="B288" s="25"/>
      <c r="C288" s="26"/>
      <c r="D288" s="26"/>
      <c r="E288" s="26"/>
      <c r="F288" s="26"/>
      <c r="G288" s="26" t="s">
        <v>36</v>
      </c>
      <c r="H288" s="26"/>
      <c r="I288" s="26">
        <f>IFERROR(VLOOKUP($G288,Basic_Data!$E$2:$H$10,4,0),"")</f>
        <v>616</v>
      </c>
      <c r="J288" s="26">
        <v>392</v>
      </c>
      <c r="K288" s="27"/>
      <c r="L288" s="27"/>
      <c r="M288" s="26"/>
      <c r="N288" s="26" t="s">
        <v>240</v>
      </c>
    </row>
    <row r="289" ht="15" spans="1:14">
      <c r="A289" s="24"/>
      <c r="B289" s="25"/>
      <c r="C289" s="26"/>
      <c r="D289" s="26"/>
      <c r="E289" s="26"/>
      <c r="F289" s="26"/>
      <c r="G289" s="26" t="s">
        <v>37</v>
      </c>
      <c r="H289" s="26"/>
      <c r="I289" s="26">
        <f>IFERROR(VLOOKUP($G289,Basic_Data!$E$2:$H$10,4,0),"")</f>
        <v>616</v>
      </c>
      <c r="J289" s="26">
        <v>336</v>
      </c>
      <c r="K289" s="27"/>
      <c r="L289" s="27"/>
      <c r="M289" s="26"/>
      <c r="N289" s="26" t="s">
        <v>240</v>
      </c>
    </row>
    <row r="290" ht="15" spans="1:14">
      <c r="A290" s="24"/>
      <c r="B290" s="25"/>
      <c r="C290" s="26"/>
      <c r="D290" s="26"/>
      <c r="E290" s="26"/>
      <c r="F290" s="26"/>
      <c r="G290" s="26" t="s">
        <v>38</v>
      </c>
      <c r="H290" s="26"/>
      <c r="I290" s="26">
        <f>IFERROR(VLOOKUP($G290,Basic_Data!$E$2:$H$10,4,0),"")</f>
        <v>644</v>
      </c>
      <c r="J290" s="26">
        <v>56</v>
      </c>
      <c r="K290" s="27"/>
      <c r="L290" s="27"/>
      <c r="M290" s="26"/>
      <c r="N290" s="26" t="s">
        <v>240</v>
      </c>
    </row>
    <row r="291" ht="15" spans="1:14">
      <c r="A291" s="24">
        <v>45978</v>
      </c>
      <c r="B291" s="25">
        <v>45978</v>
      </c>
      <c r="C291" s="26"/>
      <c r="D291" s="26"/>
      <c r="E291" s="26"/>
      <c r="F291" s="26"/>
      <c r="G291" s="26" t="s">
        <v>38</v>
      </c>
      <c r="H291" s="26">
        <f>IFERROR(VLOOKUP(G291,Basic_Data!$E$2:$I$9,5,0),"")</f>
        <v>5</v>
      </c>
      <c r="I291" s="26">
        <f>IFERROR(VLOOKUP($G291,Basic_Data!$E$2:$H$10,4,0),"")</f>
        <v>644</v>
      </c>
      <c r="J291" s="26">
        <v>308</v>
      </c>
      <c r="K291" s="27">
        <f>IFERROR(VLOOKUP($B291-1,Inverter_PR!$B:$I,Module_Cleaning!H291,0),"")</f>
        <v>1.16837088428851</v>
      </c>
      <c r="L291" s="27">
        <f>IFERROR(VLOOKUP($B291+1,Inverter_PR!$B:$I,Module_Cleaning!H291,0),"")</f>
        <v>1.18782507151945</v>
      </c>
      <c r="M291" s="26">
        <f t="shared" si="107"/>
        <v>336</v>
      </c>
      <c r="N291" s="26" t="s">
        <v>240</v>
      </c>
    </row>
    <row r="292" ht="15" spans="1:14">
      <c r="A292" s="24"/>
      <c r="B292" s="25"/>
      <c r="C292" s="26"/>
      <c r="D292" s="26"/>
      <c r="E292" s="26"/>
      <c r="F292" s="26"/>
      <c r="G292" s="26" t="s">
        <v>39</v>
      </c>
      <c r="H292" s="26"/>
      <c r="I292" s="26">
        <f>IFERROR(VLOOKUP($G292,Basic_Data!$E$2:$H$10,4,0),"")</f>
        <v>644</v>
      </c>
      <c r="J292" s="26">
        <v>420</v>
      </c>
      <c r="K292" s="27"/>
      <c r="L292" s="27"/>
      <c r="M292" s="26"/>
      <c r="N292" s="26" t="s">
        <v>240</v>
      </c>
    </row>
    <row r="293" ht="15" spans="1:14">
      <c r="A293" s="24"/>
      <c r="B293" s="25"/>
      <c r="C293" s="26"/>
      <c r="D293" s="26"/>
      <c r="E293" s="26"/>
      <c r="F293" s="26"/>
      <c r="G293" s="26" t="s">
        <v>40</v>
      </c>
      <c r="H293" s="26"/>
      <c r="I293" s="26">
        <f>IFERROR(VLOOKUP($G293,Basic_Data!$E$2:$H$10,4,0),"")</f>
        <v>644</v>
      </c>
      <c r="J293" s="26">
        <v>252</v>
      </c>
      <c r="K293" s="27"/>
      <c r="L293" s="27"/>
      <c r="M293" s="26"/>
      <c r="N293" s="26" t="s">
        <v>240</v>
      </c>
    </row>
    <row r="294" ht="15" spans="1:14">
      <c r="A294" s="24"/>
      <c r="B294" s="25"/>
      <c r="C294" s="26"/>
      <c r="D294" s="26"/>
      <c r="E294" s="26"/>
      <c r="F294" s="26"/>
      <c r="G294" s="26" t="s">
        <v>41</v>
      </c>
      <c r="H294" s="26"/>
      <c r="I294" s="26">
        <f>IFERROR(VLOOKUP($G294,Basic_Data!$E$2:$H$10,4,0),"")</f>
        <v>644</v>
      </c>
      <c r="J294" s="26">
        <v>56</v>
      </c>
      <c r="K294" s="27"/>
      <c r="L294" s="27"/>
      <c r="M294" s="26"/>
      <c r="N294" s="26" t="s">
        <v>240</v>
      </c>
    </row>
    <row r="295" ht="15" spans="1:14">
      <c r="A295" s="24">
        <v>45979</v>
      </c>
      <c r="B295" s="25">
        <v>45979</v>
      </c>
      <c r="C295" s="26">
        <v>0</v>
      </c>
      <c r="D295" s="26" t="s">
        <v>241</v>
      </c>
      <c r="E295" s="26">
        <v>0</v>
      </c>
      <c r="F295" s="26">
        <v>0</v>
      </c>
      <c r="G295" s="26"/>
      <c r="H295" s="26" t="str">
        <f>IFERROR(VLOOKUP(G295,Basic_Data!$E$2:$I$9,5,0),"")</f>
        <v/>
      </c>
      <c r="I295" s="26">
        <v>0</v>
      </c>
      <c r="J295" s="26">
        <v>0</v>
      </c>
      <c r="K295" s="27">
        <v>0</v>
      </c>
      <c r="L295" s="27">
        <v>0</v>
      </c>
      <c r="M295" s="26">
        <f t="shared" si="107"/>
        <v>0</v>
      </c>
      <c r="N295" s="26" t="s">
        <v>237</v>
      </c>
    </row>
    <row r="296" ht="15" spans="1:14">
      <c r="A296" s="24">
        <v>45980</v>
      </c>
      <c r="B296" s="25">
        <v>45980</v>
      </c>
      <c r="C296" s="26">
        <v>0</v>
      </c>
      <c r="D296" s="26" t="s">
        <v>241</v>
      </c>
      <c r="E296" s="26">
        <v>0</v>
      </c>
      <c r="F296" s="26">
        <v>0</v>
      </c>
      <c r="G296" s="26"/>
      <c r="H296" s="26" t="str">
        <f>IFERROR(VLOOKUP(G296,Basic_Data!$E$2:$I$9,5,0),"")</f>
        <v/>
      </c>
      <c r="I296" s="26">
        <v>0</v>
      </c>
      <c r="J296" s="26">
        <v>0</v>
      </c>
      <c r="K296" s="27">
        <v>0</v>
      </c>
      <c r="L296" s="27">
        <v>0</v>
      </c>
      <c r="M296" s="26">
        <f t="shared" ref="M296" si="125">IFERROR(I296-J296,"")</f>
        <v>0</v>
      </c>
      <c r="N296" s="26" t="s">
        <v>237</v>
      </c>
    </row>
    <row r="297" ht="15" spans="1:14">
      <c r="A297" s="24">
        <v>45981</v>
      </c>
      <c r="B297" s="25">
        <v>45981</v>
      </c>
      <c r="C297" s="26">
        <v>0</v>
      </c>
      <c r="D297" s="26" t="s">
        <v>241</v>
      </c>
      <c r="E297" s="26">
        <v>0</v>
      </c>
      <c r="F297" s="26">
        <v>0</v>
      </c>
      <c r="G297" s="26"/>
      <c r="H297" s="26" t="str">
        <f>IFERROR(VLOOKUP(G297,Basic_Data!$E$2:$I$9,5,0),"")</f>
        <v/>
      </c>
      <c r="I297" s="26">
        <v>0</v>
      </c>
      <c r="J297" s="26">
        <v>0</v>
      </c>
      <c r="K297" s="27">
        <v>0</v>
      </c>
      <c r="L297" s="27">
        <v>0</v>
      </c>
      <c r="M297" s="26">
        <f t="shared" ref="M297" si="126">IFERROR(I297-J297,"")</f>
        <v>0</v>
      </c>
      <c r="N297" s="26" t="s">
        <v>237</v>
      </c>
    </row>
    <row r="298" ht="15" spans="1:14">
      <c r="A298" s="24">
        <v>45982</v>
      </c>
      <c r="B298" s="25">
        <v>45982</v>
      </c>
      <c r="C298" s="26"/>
      <c r="D298" s="26"/>
      <c r="E298" s="26"/>
      <c r="F298" s="26">
        <v>2</v>
      </c>
      <c r="G298" s="26" t="s">
        <v>35</v>
      </c>
      <c r="H298" s="26">
        <f>IFERROR(VLOOKUP(G298,Basic_Data!$E$2:$I$9,5,0),"")</f>
        <v>2</v>
      </c>
      <c r="I298" s="26">
        <f>IFERROR(VLOOKUP($G298,Basic_Data!$E$2:$H$10,4,0),"")</f>
        <v>616</v>
      </c>
      <c r="J298" s="26">
        <v>616</v>
      </c>
      <c r="K298" s="27"/>
      <c r="L298" s="27"/>
      <c r="M298" s="26">
        <f t="shared" si="107"/>
        <v>0</v>
      </c>
      <c r="N298" s="26" t="s">
        <v>236</v>
      </c>
    </row>
    <row r="299" ht="15" spans="1:14">
      <c r="A299" s="24"/>
      <c r="B299" s="25"/>
      <c r="C299" s="26"/>
      <c r="D299" s="26"/>
      <c r="E299" s="26"/>
      <c r="F299" s="26"/>
      <c r="G299" s="26" t="s">
        <v>36</v>
      </c>
      <c r="H299" s="26"/>
      <c r="I299" s="26">
        <f>IFERROR(VLOOKUP($G299,Basic_Data!$E$2:$H$10,4,0),"")</f>
        <v>616</v>
      </c>
      <c r="J299" s="26">
        <v>616</v>
      </c>
      <c r="K299" s="27"/>
      <c r="L299" s="27"/>
      <c r="M299" s="26">
        <f t="shared" si="107"/>
        <v>0</v>
      </c>
      <c r="N299" s="26" t="s">
        <v>236</v>
      </c>
    </row>
    <row r="300" ht="15" spans="1:14">
      <c r="A300" s="24">
        <v>45983</v>
      </c>
      <c r="B300" s="25">
        <v>45983</v>
      </c>
      <c r="C300" s="26"/>
      <c r="D300" s="26"/>
      <c r="E300" s="26"/>
      <c r="F300" s="26"/>
      <c r="G300" s="26" t="s">
        <v>37</v>
      </c>
      <c r="H300" s="26">
        <f>IFERROR(VLOOKUP(G300,Basic_Data!$E$2:$I$9,5,0),"")</f>
        <v>4</v>
      </c>
      <c r="I300" s="26">
        <f>IFERROR(VLOOKUP($G300,Basic_Data!$E$2:$H$10,4,0),"")</f>
        <v>616</v>
      </c>
      <c r="J300" s="26">
        <v>616</v>
      </c>
      <c r="K300" s="27">
        <f>IFERROR(VLOOKUP($B300-1,Inverter_PR!$B:$I,Module_Cleaning!H300,0),"")</f>
        <v>1.15973726479066</v>
      </c>
      <c r="L300" s="27">
        <f>IFERROR(VLOOKUP($B300+1,Inverter_PR!$B:$I,Module_Cleaning!H300,0),"")</f>
        <v>1.1944329348136</v>
      </c>
      <c r="M300" s="26">
        <f t="shared" si="107"/>
        <v>0</v>
      </c>
      <c r="N300" s="26" t="s">
        <v>236</v>
      </c>
    </row>
    <row r="301" ht="15" spans="1:14">
      <c r="A301" s="24"/>
      <c r="B301" s="25"/>
      <c r="C301" s="26"/>
      <c r="D301" s="26"/>
      <c r="E301" s="26"/>
      <c r="F301" s="26"/>
      <c r="G301" s="26" t="s">
        <v>38</v>
      </c>
      <c r="H301" s="26"/>
      <c r="I301" s="26">
        <f>IFERROR(VLOOKUP($G301,Basic_Data!$E$2:$H$10,4,0),"")</f>
        <v>644</v>
      </c>
      <c r="J301" s="26">
        <v>616</v>
      </c>
      <c r="K301" s="27"/>
      <c r="L301" s="27"/>
      <c r="M301" s="26"/>
      <c r="N301" s="26" t="s">
        <v>236</v>
      </c>
    </row>
    <row r="302" ht="15" spans="1:14">
      <c r="A302" s="24">
        <v>45984</v>
      </c>
      <c r="B302" s="25">
        <v>45984</v>
      </c>
      <c r="C302" s="26">
        <v>0</v>
      </c>
      <c r="D302" s="26">
        <v>0</v>
      </c>
      <c r="E302" s="26">
        <v>0</v>
      </c>
      <c r="F302" s="26">
        <v>0</v>
      </c>
      <c r="G302" s="26"/>
      <c r="H302" s="26" t="str">
        <f>IFERROR(VLOOKUP(G302,Basic_Data!$E$2:$I$9,5,0),"")</f>
        <v/>
      </c>
      <c r="I302" s="26">
        <v>0</v>
      </c>
      <c r="J302" s="26">
        <v>0</v>
      </c>
      <c r="K302" s="27">
        <v>0</v>
      </c>
      <c r="L302" s="27">
        <v>0</v>
      </c>
      <c r="M302" s="26">
        <f t="shared" si="107"/>
        <v>0</v>
      </c>
      <c r="N302" s="26" t="s">
        <v>237</v>
      </c>
    </row>
    <row r="303" ht="15" spans="1:14">
      <c r="A303" s="24">
        <v>45985</v>
      </c>
      <c r="B303" s="25">
        <v>45985</v>
      </c>
      <c r="C303" s="26">
        <v>0</v>
      </c>
      <c r="D303" s="26">
        <v>0</v>
      </c>
      <c r="E303" s="26">
        <v>0</v>
      </c>
      <c r="F303" s="26">
        <v>0</v>
      </c>
      <c r="G303" s="26"/>
      <c r="H303" s="26" t="str">
        <f>IFERROR(VLOOKUP(G303,Basic_Data!$E$2:$I$9,5,0),"")</f>
        <v/>
      </c>
      <c r="I303" s="26">
        <v>0</v>
      </c>
      <c r="J303" s="26">
        <v>0</v>
      </c>
      <c r="K303" s="27">
        <v>0</v>
      </c>
      <c r="L303" s="27">
        <v>0</v>
      </c>
      <c r="M303" s="26">
        <f t="shared" ref="M303" si="127">IFERROR(I303-J303,"")</f>
        <v>0</v>
      </c>
      <c r="N303" s="26" t="s">
        <v>237</v>
      </c>
    </row>
    <row r="304" ht="15" spans="1:14">
      <c r="A304" s="24">
        <v>45986</v>
      </c>
      <c r="B304" s="25">
        <v>45986</v>
      </c>
      <c r="C304" s="26">
        <v>0</v>
      </c>
      <c r="D304" s="26">
        <v>0</v>
      </c>
      <c r="E304" s="26">
        <v>0</v>
      </c>
      <c r="F304" s="26">
        <v>0</v>
      </c>
      <c r="G304" s="26"/>
      <c r="H304" s="26" t="str">
        <f>IFERROR(VLOOKUP(G304,Basic_Data!$E$2:$I$9,5,0),"")</f>
        <v/>
      </c>
      <c r="I304" s="26">
        <v>0</v>
      </c>
      <c r="J304" s="26">
        <v>0</v>
      </c>
      <c r="K304" s="27">
        <v>0</v>
      </c>
      <c r="L304" s="27">
        <v>0</v>
      </c>
      <c r="M304" s="26">
        <f t="shared" ref="M304" si="128">IFERROR(I304-J304,"")</f>
        <v>0</v>
      </c>
      <c r="N304" s="26" t="s">
        <v>237</v>
      </c>
    </row>
    <row r="305" ht="15" spans="1:14">
      <c r="A305" s="24">
        <v>45987</v>
      </c>
      <c r="B305" s="25">
        <v>45987</v>
      </c>
      <c r="C305" s="26">
        <v>0</v>
      </c>
      <c r="D305" s="26">
        <v>0</v>
      </c>
      <c r="E305" s="26">
        <v>0</v>
      </c>
      <c r="F305" s="26">
        <v>0</v>
      </c>
      <c r="G305" s="26"/>
      <c r="H305" s="26" t="str">
        <f>IFERROR(VLOOKUP(G305,Basic_Data!$E$2:$I$9,5,0),"")</f>
        <v/>
      </c>
      <c r="I305" s="26">
        <v>0</v>
      </c>
      <c r="J305" s="26">
        <v>0</v>
      </c>
      <c r="K305" s="27">
        <v>0</v>
      </c>
      <c r="L305" s="27">
        <v>0</v>
      </c>
      <c r="M305" s="26">
        <f t="shared" ref="M305" si="129">IFERROR(I305-J305,"")</f>
        <v>0</v>
      </c>
      <c r="N305" s="26" t="s">
        <v>237</v>
      </c>
    </row>
    <row r="306" ht="15" spans="1:14">
      <c r="A306" s="24">
        <v>45988</v>
      </c>
      <c r="B306" s="25">
        <v>45988</v>
      </c>
      <c r="C306" s="26">
        <v>0</v>
      </c>
      <c r="D306" s="26">
        <v>0</v>
      </c>
      <c r="E306" s="26">
        <v>0</v>
      </c>
      <c r="F306" s="26">
        <v>0</v>
      </c>
      <c r="G306" s="26"/>
      <c r="H306" s="26" t="str">
        <f>IFERROR(VLOOKUP(G306,Basic_Data!$E$2:$I$9,5,0),"")</f>
        <v/>
      </c>
      <c r="I306" s="26">
        <v>0</v>
      </c>
      <c r="J306" s="26">
        <v>0</v>
      </c>
      <c r="K306" s="27">
        <v>0</v>
      </c>
      <c r="L306" s="27">
        <v>0</v>
      </c>
      <c r="M306" s="26">
        <f t="shared" ref="M306" si="130">IFERROR(I306-J306,"")</f>
        <v>0</v>
      </c>
      <c r="N306" s="26" t="s">
        <v>237</v>
      </c>
    </row>
    <row r="307" ht="15" spans="1:14">
      <c r="A307" s="24">
        <v>45989</v>
      </c>
      <c r="B307" s="25">
        <v>45989</v>
      </c>
      <c r="C307" s="26">
        <v>0</v>
      </c>
      <c r="D307" s="26">
        <v>0</v>
      </c>
      <c r="E307" s="26">
        <v>0</v>
      </c>
      <c r="F307" s="26">
        <v>0</v>
      </c>
      <c r="G307" s="26"/>
      <c r="H307" s="26" t="str">
        <f>IFERROR(VLOOKUP(G307,Basic_Data!$E$2:$I$9,5,0),"")</f>
        <v/>
      </c>
      <c r="I307" s="26">
        <v>0</v>
      </c>
      <c r="J307" s="26">
        <v>0</v>
      </c>
      <c r="K307" s="27">
        <v>0</v>
      </c>
      <c r="L307" s="27">
        <v>0</v>
      </c>
      <c r="M307" s="26">
        <f t="shared" ref="M307" si="131">IFERROR(I307-J307,"")</f>
        <v>0</v>
      </c>
      <c r="N307" s="26" t="s">
        <v>237</v>
      </c>
    </row>
    <row r="308" ht="15" spans="1:14">
      <c r="A308" s="24">
        <v>45990</v>
      </c>
      <c r="B308" s="25">
        <v>45990</v>
      </c>
      <c r="C308" s="26">
        <v>0</v>
      </c>
      <c r="D308" s="26">
        <v>0</v>
      </c>
      <c r="E308" s="26">
        <v>0</v>
      </c>
      <c r="F308" s="26">
        <v>0</v>
      </c>
      <c r="G308" s="26"/>
      <c r="H308" s="26" t="str">
        <f>IFERROR(VLOOKUP(G308,Basic_Data!$E$2:$I$9,5,0),"")</f>
        <v/>
      </c>
      <c r="I308" s="26">
        <v>0</v>
      </c>
      <c r="J308" s="26">
        <v>0</v>
      </c>
      <c r="K308" s="27">
        <v>0</v>
      </c>
      <c r="L308" s="27">
        <v>0</v>
      </c>
      <c r="M308" s="26">
        <f t="shared" ref="M308" si="132">IFERROR(I308-J308,"")</f>
        <v>0</v>
      </c>
      <c r="N308" s="26" t="s">
        <v>237</v>
      </c>
    </row>
    <row r="309" ht="15" spans="1:14">
      <c r="A309" s="24">
        <v>45991</v>
      </c>
      <c r="B309" s="25">
        <v>45991</v>
      </c>
      <c r="C309" s="26">
        <v>0</v>
      </c>
      <c r="D309" s="26">
        <v>0</v>
      </c>
      <c r="E309" s="26">
        <v>0</v>
      </c>
      <c r="F309" s="26">
        <v>0</v>
      </c>
      <c r="G309" s="26"/>
      <c r="H309" s="26" t="str">
        <f>IFERROR(VLOOKUP(G309,Basic_Data!$E$2:$I$9,5,0),"")</f>
        <v/>
      </c>
      <c r="I309" s="26">
        <v>0</v>
      </c>
      <c r="J309" s="26">
        <v>0</v>
      </c>
      <c r="K309" s="27">
        <v>0</v>
      </c>
      <c r="L309" s="27">
        <v>0</v>
      </c>
      <c r="M309" s="26">
        <f t="shared" ref="M309" si="133">IFERROR(I309-J309,"")</f>
        <v>0</v>
      </c>
      <c r="N309" s="26" t="s">
        <v>237</v>
      </c>
    </row>
    <row r="310" ht="15" spans="1:14">
      <c r="A310" s="24">
        <v>45992</v>
      </c>
      <c r="B310" s="25">
        <v>45992</v>
      </c>
      <c r="C310" s="26">
        <v>0</v>
      </c>
      <c r="D310" s="26">
        <v>0</v>
      </c>
      <c r="E310" s="26">
        <v>0</v>
      </c>
      <c r="F310" s="26">
        <v>0</v>
      </c>
      <c r="G310" s="26"/>
      <c r="H310" s="26" t="str">
        <f>IFERROR(VLOOKUP(G310,Basic_Data!$E$2:$I$9,5,0),"")</f>
        <v/>
      </c>
      <c r="I310" s="26">
        <v>0</v>
      </c>
      <c r="J310" s="26">
        <v>0</v>
      </c>
      <c r="K310" s="27">
        <v>0</v>
      </c>
      <c r="L310" s="27">
        <v>0</v>
      </c>
      <c r="M310" s="26">
        <f t="shared" ref="M310" si="134">IFERROR(I310-J310,"")</f>
        <v>0</v>
      </c>
      <c r="N310" s="26" t="s">
        <v>237</v>
      </c>
    </row>
    <row r="311" ht="15" spans="1:14">
      <c r="A311" s="24">
        <v>45993</v>
      </c>
      <c r="B311" s="25">
        <v>45993</v>
      </c>
      <c r="C311" s="26">
        <v>0</v>
      </c>
      <c r="D311" s="26">
        <v>0</v>
      </c>
      <c r="E311" s="26">
        <v>0</v>
      </c>
      <c r="F311" s="26">
        <v>0</v>
      </c>
      <c r="G311" s="26"/>
      <c r="H311" s="26" t="str">
        <f>IFERROR(VLOOKUP(G311,Basic_Data!$E$2:$I$9,5,0),"")</f>
        <v/>
      </c>
      <c r="I311" s="26">
        <v>0</v>
      </c>
      <c r="J311" s="26">
        <v>0</v>
      </c>
      <c r="K311" s="27">
        <v>0</v>
      </c>
      <c r="L311" s="27">
        <v>0</v>
      </c>
      <c r="M311" s="26">
        <f t="shared" ref="M311" si="135">IFERROR(I311-J311,"")</f>
        <v>0</v>
      </c>
      <c r="N311" s="26" t="s">
        <v>237</v>
      </c>
    </row>
    <row r="312" ht="15" spans="1:14">
      <c r="A312" s="24">
        <v>45994</v>
      </c>
      <c r="B312" s="25">
        <v>45994</v>
      </c>
      <c r="C312" s="26">
        <v>0</v>
      </c>
      <c r="D312" s="26">
        <v>0</v>
      </c>
      <c r="E312" s="26">
        <v>0</v>
      </c>
      <c r="F312" s="26">
        <v>0</v>
      </c>
      <c r="G312" s="26"/>
      <c r="H312" s="26" t="str">
        <f>IFERROR(VLOOKUP(G312,Basic_Data!$E$2:$I$9,5,0),"")</f>
        <v/>
      </c>
      <c r="I312" s="26">
        <v>0</v>
      </c>
      <c r="J312" s="26">
        <v>0</v>
      </c>
      <c r="K312" s="27">
        <v>0</v>
      </c>
      <c r="L312" s="27">
        <v>0</v>
      </c>
      <c r="M312" s="26">
        <f t="shared" ref="M312" si="136">IFERROR(I312-J312,"")</f>
        <v>0</v>
      </c>
      <c r="N312" s="26" t="s">
        <v>237</v>
      </c>
    </row>
    <row r="313" ht="15" spans="1:14">
      <c r="A313" s="24">
        <v>45995</v>
      </c>
      <c r="B313" s="25">
        <v>45995</v>
      </c>
      <c r="C313" s="26">
        <v>0</v>
      </c>
      <c r="D313" s="26">
        <v>0</v>
      </c>
      <c r="E313" s="26">
        <v>0</v>
      </c>
      <c r="F313" s="26">
        <v>0</v>
      </c>
      <c r="G313" s="26"/>
      <c r="H313" s="26" t="str">
        <f>IFERROR(VLOOKUP(G313,Basic_Data!$E$2:$I$9,5,0),"")</f>
        <v/>
      </c>
      <c r="I313" s="26">
        <v>0</v>
      </c>
      <c r="J313" s="26">
        <v>0</v>
      </c>
      <c r="K313" s="27">
        <v>0</v>
      </c>
      <c r="L313" s="27">
        <v>0</v>
      </c>
      <c r="M313" s="26">
        <f t="shared" ref="M313" si="137">IFERROR(I313-J313,"")</f>
        <v>0</v>
      </c>
      <c r="N313" s="26" t="s">
        <v>237</v>
      </c>
    </row>
    <row r="314" ht="15" spans="1:14">
      <c r="A314" s="24">
        <v>45996</v>
      </c>
      <c r="B314" s="25">
        <v>45996</v>
      </c>
      <c r="C314" s="26"/>
      <c r="D314" s="26"/>
      <c r="E314" s="26"/>
      <c r="F314" s="26">
        <v>1</v>
      </c>
      <c r="G314" s="26" t="s">
        <v>41</v>
      </c>
      <c r="H314" s="26">
        <f>IFERROR(VLOOKUP(G314,Basic_Data!$E$2:$I$9,5,0),"")</f>
        <v>8</v>
      </c>
      <c r="I314" s="26">
        <f>IFERROR(VLOOKUP($G314,Basic_Data!$E$2:$H$10,4,0),"")</f>
        <v>644</v>
      </c>
      <c r="J314" s="26">
        <v>644</v>
      </c>
      <c r="K314" s="27">
        <f>IFERROR(VLOOKUP($B314-1,Inverter_PR!$B:$I,Module_Cleaning!H314,0),"")</f>
        <v>1.17305204917425</v>
      </c>
      <c r="L314" s="27">
        <f>IFERROR(VLOOKUP($B314+1,Inverter_PR!$B:$I,Module_Cleaning!H314,0),"")</f>
        <v>1.29162704460541</v>
      </c>
      <c r="M314" s="26">
        <f t="shared" si="107"/>
        <v>0</v>
      </c>
      <c r="N314" s="26" t="s">
        <v>239</v>
      </c>
    </row>
    <row r="315" ht="15" spans="1:14">
      <c r="A315" s="24"/>
      <c r="B315" s="25"/>
      <c r="C315" s="26"/>
      <c r="D315" s="26"/>
      <c r="E315" s="26"/>
      <c r="F315" s="26">
        <v>1</v>
      </c>
      <c r="G315" s="26" t="s">
        <v>40</v>
      </c>
      <c r="H315" s="26"/>
      <c r="I315" s="26">
        <f>IFERROR(VLOOKUP($G315,Basic_Data!$E$2:$H$10,4,0),"")</f>
        <v>644</v>
      </c>
      <c r="J315" s="26">
        <v>644</v>
      </c>
      <c r="K315" s="27"/>
      <c r="L315" s="27"/>
      <c r="M315" s="26"/>
      <c r="N315" s="26" t="s">
        <v>239</v>
      </c>
    </row>
    <row r="316" ht="15" spans="1:14">
      <c r="A316" s="24"/>
      <c r="B316" s="25"/>
      <c r="C316" s="26"/>
      <c r="D316" s="26"/>
      <c r="E316" s="26"/>
      <c r="F316" s="26">
        <v>1</v>
      </c>
      <c r="G316" s="26" t="s">
        <v>39</v>
      </c>
      <c r="H316" s="26"/>
      <c r="I316" s="26">
        <f>IFERROR(VLOOKUP($G316,Basic_Data!$E$2:$H$10,4,0),"")</f>
        <v>644</v>
      </c>
      <c r="J316" s="26">
        <v>644</v>
      </c>
      <c r="K316" s="27"/>
      <c r="L316" s="27"/>
      <c r="M316" s="26"/>
      <c r="N316" s="26" t="s">
        <v>239</v>
      </c>
    </row>
    <row r="317" ht="15" spans="1:14">
      <c r="A317" s="24">
        <v>45997</v>
      </c>
      <c r="B317" s="25">
        <v>45997</v>
      </c>
      <c r="C317" s="26"/>
      <c r="D317" s="26"/>
      <c r="E317" s="26"/>
      <c r="F317" s="26">
        <v>1</v>
      </c>
      <c r="G317" s="26" t="s">
        <v>38</v>
      </c>
      <c r="H317" s="26">
        <f>IFERROR(VLOOKUP(G317,Basic_Data!$E$2:$I$9,5,0),"")</f>
        <v>5</v>
      </c>
      <c r="I317" s="26">
        <f>IFERROR(VLOOKUP($G317,Basic_Data!$E$2:$H$10,4,0),"")</f>
        <v>644</v>
      </c>
      <c r="J317" s="26">
        <v>644</v>
      </c>
      <c r="K317" s="27">
        <f>IFERROR(VLOOKUP($B317-1,Inverter_PR!$B:$I,Module_Cleaning!H317,0),"")</f>
        <v>1.16229044620384</v>
      </c>
      <c r="L317" s="27">
        <f>IFERROR(VLOOKUP($B317+1,Inverter_PR!$B:$I,Module_Cleaning!H317,0),"")</f>
        <v>1.24654342419403</v>
      </c>
      <c r="M317" s="26">
        <f t="shared" si="107"/>
        <v>0</v>
      </c>
      <c r="N317" s="26" t="s">
        <v>239</v>
      </c>
    </row>
    <row r="318" ht="15" spans="1:14">
      <c r="A318" s="24"/>
      <c r="B318" s="25"/>
      <c r="C318" s="26"/>
      <c r="D318" s="26"/>
      <c r="E318" s="26"/>
      <c r="F318" s="26">
        <v>1</v>
      </c>
      <c r="G318" s="26" t="s">
        <v>37</v>
      </c>
      <c r="H318" s="26"/>
      <c r="I318" s="26">
        <f>IFERROR(VLOOKUP($G318,Basic_Data!$E$2:$H$10,4,0),"")</f>
        <v>616</v>
      </c>
      <c r="J318" s="26">
        <v>616</v>
      </c>
      <c r="K318" s="27"/>
      <c r="L318" s="27"/>
      <c r="M318" s="26"/>
      <c r="N318" s="26" t="s">
        <v>239</v>
      </c>
    </row>
    <row r="319" ht="15" spans="1:14">
      <c r="A319" s="24">
        <v>45998</v>
      </c>
      <c r="B319" s="25">
        <v>45998</v>
      </c>
      <c r="C319" s="26"/>
      <c r="D319" s="26"/>
      <c r="E319" s="26"/>
      <c r="F319" s="26">
        <v>1</v>
      </c>
      <c r="G319" s="26" t="s">
        <v>36</v>
      </c>
      <c r="H319" s="26">
        <f>IFERROR(VLOOKUP(G319,Basic_Data!$E$2:$I$9,5,0),"")</f>
        <v>3</v>
      </c>
      <c r="I319" s="26">
        <f>IFERROR(VLOOKUP($G319,Basic_Data!$E$2:$H$10,4,0),"")</f>
        <v>616</v>
      </c>
      <c r="J319" s="26">
        <v>616</v>
      </c>
      <c r="K319" s="27">
        <f>IFERROR(VLOOKUP($B319-1,Inverter_PR!$B:$I,Module_Cleaning!H319,0),"")</f>
        <v>1.22052405355688</v>
      </c>
      <c r="L319" s="27">
        <f>IFERROR(VLOOKUP($B319+1,Inverter_PR!$B:$I,Module_Cleaning!H319,0),"")</f>
        <v>1.23267796279427</v>
      </c>
      <c r="M319" s="26">
        <f t="shared" si="107"/>
        <v>0</v>
      </c>
      <c r="N319" s="26" t="s">
        <v>239</v>
      </c>
    </row>
    <row r="320" ht="15" spans="1:14">
      <c r="A320" s="24"/>
      <c r="B320" s="25"/>
      <c r="C320" s="26"/>
      <c r="D320" s="26"/>
      <c r="E320" s="26"/>
      <c r="F320" s="26">
        <v>1</v>
      </c>
      <c r="G320" s="26" t="s">
        <v>35</v>
      </c>
      <c r="H320" s="26"/>
      <c r="I320" s="26">
        <f>IFERROR(VLOOKUP($G320,Basic_Data!$E$2:$H$10,4,0),"")</f>
        <v>616</v>
      </c>
      <c r="J320" s="26">
        <v>616</v>
      </c>
      <c r="K320" s="27"/>
      <c r="L320" s="27"/>
      <c r="M320" s="26"/>
      <c r="N320" s="26" t="s">
        <v>239</v>
      </c>
    </row>
    <row r="321" ht="15" spans="1:14">
      <c r="A321" s="24">
        <v>45999</v>
      </c>
      <c r="B321" s="25">
        <v>45999</v>
      </c>
      <c r="C321" s="26">
        <v>0</v>
      </c>
      <c r="D321" s="26">
        <v>0</v>
      </c>
      <c r="E321" s="26">
        <v>0</v>
      </c>
      <c r="F321" s="26">
        <v>0</v>
      </c>
      <c r="G321" s="26"/>
      <c r="H321" s="26" t="str">
        <f>IFERROR(VLOOKUP(G321,Basic_Data!$E$2:$I$9,5,0),"")</f>
        <v/>
      </c>
      <c r="I321" s="26">
        <v>0</v>
      </c>
      <c r="J321" s="26">
        <v>0</v>
      </c>
      <c r="K321" s="27" t="str">
        <f>IFERROR(VLOOKUP($B321-1,Inverter_PR!$B:$I,Module_Cleaning!H321,0),"")</f>
        <v/>
      </c>
      <c r="L321" s="27" t="str">
        <f>IFERROR(VLOOKUP($B321+1,Inverter_PR!$B:$I,Module_Cleaning!H321,0),"")</f>
        <v/>
      </c>
      <c r="M321" s="26">
        <f t="shared" si="107"/>
        <v>0</v>
      </c>
      <c r="N321" s="26" t="s">
        <v>237</v>
      </c>
    </row>
    <row r="322" ht="15" spans="1:14">
      <c r="A322" s="24">
        <v>46000</v>
      </c>
      <c r="B322" s="25">
        <v>46000</v>
      </c>
      <c r="C322" s="26">
        <v>0</v>
      </c>
      <c r="D322" s="26">
        <v>0</v>
      </c>
      <c r="E322" s="26">
        <v>0</v>
      </c>
      <c r="F322" s="26">
        <v>0</v>
      </c>
      <c r="G322" s="26"/>
      <c r="H322" s="26" t="str">
        <f>IFERROR(VLOOKUP(G322,Basic_Data!$E$2:$I$9,5,0),"")</f>
        <v/>
      </c>
      <c r="I322" s="26">
        <v>0</v>
      </c>
      <c r="J322" s="26">
        <v>0</v>
      </c>
      <c r="K322" s="27" t="str">
        <f>IFERROR(VLOOKUP($B322-1,Inverter_PR!$B:$I,Module_Cleaning!H322,0),"")</f>
        <v/>
      </c>
      <c r="L322" s="27" t="str">
        <f>IFERROR(VLOOKUP($B322+1,Inverter_PR!$B:$I,Module_Cleaning!H322,0),"")</f>
        <v/>
      </c>
      <c r="M322" s="26">
        <f t="shared" ref="M322" si="138">IFERROR(I322-J322,"")</f>
        <v>0</v>
      </c>
      <c r="N322" s="26" t="s">
        <v>237</v>
      </c>
    </row>
    <row r="323" ht="15" spans="1:14">
      <c r="A323" s="24">
        <v>46001</v>
      </c>
      <c r="B323" s="25">
        <v>46001</v>
      </c>
      <c r="C323" s="26">
        <v>0</v>
      </c>
      <c r="D323" s="26">
        <v>0</v>
      </c>
      <c r="E323" s="26">
        <v>0</v>
      </c>
      <c r="F323" s="26">
        <v>0</v>
      </c>
      <c r="G323" s="26"/>
      <c r="H323" s="26" t="str">
        <f>IFERROR(VLOOKUP(G323,Basic_Data!$E$2:$I$9,5,0),"")</f>
        <v/>
      </c>
      <c r="I323" s="26">
        <v>0</v>
      </c>
      <c r="J323" s="26">
        <v>0</v>
      </c>
      <c r="K323" s="27" t="str">
        <f>IFERROR(VLOOKUP($B323-1,Inverter_PR!$B:$I,Module_Cleaning!H323,0),"")</f>
        <v/>
      </c>
      <c r="L323" s="27" t="str">
        <f>IFERROR(VLOOKUP($B323+1,Inverter_PR!$B:$I,Module_Cleaning!H323,0),"")</f>
        <v/>
      </c>
      <c r="M323" s="26">
        <f t="shared" ref="M323" si="139">IFERROR(I323-J323,"")</f>
        <v>0</v>
      </c>
      <c r="N323" s="26" t="s">
        <v>237</v>
      </c>
    </row>
    <row r="324" ht="15" spans="1:14">
      <c r="A324" s="24">
        <v>46002</v>
      </c>
      <c r="B324" s="25">
        <v>46002</v>
      </c>
      <c r="C324" s="26">
        <v>0</v>
      </c>
      <c r="D324" s="26">
        <v>0</v>
      </c>
      <c r="E324" s="26">
        <v>0</v>
      </c>
      <c r="F324" s="26">
        <v>0</v>
      </c>
      <c r="G324" s="26"/>
      <c r="H324" s="26" t="str">
        <f>IFERROR(VLOOKUP(G324,Basic_Data!$E$2:$I$9,5,0),"")</f>
        <v/>
      </c>
      <c r="I324" s="26">
        <v>0</v>
      </c>
      <c r="J324" s="26">
        <v>0</v>
      </c>
      <c r="K324" s="27" t="str">
        <f>IFERROR(VLOOKUP($B324-1,Inverter_PR!$B:$I,Module_Cleaning!H324,0),"")</f>
        <v/>
      </c>
      <c r="L324" s="27" t="str">
        <f>IFERROR(VLOOKUP($B324+1,Inverter_PR!$B:$I,Module_Cleaning!H324,0),"")</f>
        <v/>
      </c>
      <c r="M324" s="26">
        <f t="shared" ref="M324" si="140">IFERROR(I324-J324,"")</f>
        <v>0</v>
      </c>
      <c r="N324" s="26" t="s">
        <v>237</v>
      </c>
    </row>
    <row r="325" ht="15" spans="1:14">
      <c r="A325" s="24">
        <v>46003</v>
      </c>
      <c r="B325" s="25">
        <v>46003</v>
      </c>
      <c r="C325" s="26">
        <v>0</v>
      </c>
      <c r="D325" s="26">
        <v>0</v>
      </c>
      <c r="E325" s="26">
        <v>0</v>
      </c>
      <c r="F325" s="26">
        <v>0</v>
      </c>
      <c r="G325" s="26"/>
      <c r="H325" s="26" t="str">
        <f>IFERROR(VLOOKUP(G325,Basic_Data!$E$2:$I$9,5,0),"")</f>
        <v/>
      </c>
      <c r="I325" s="26">
        <v>0</v>
      </c>
      <c r="J325" s="26">
        <v>0</v>
      </c>
      <c r="K325" s="27" t="str">
        <f>IFERROR(VLOOKUP($B325-1,Inverter_PR!$B:$I,Module_Cleaning!H325,0),"")</f>
        <v/>
      </c>
      <c r="L325" s="27" t="str">
        <f>IFERROR(VLOOKUP($B325+1,Inverter_PR!$B:$I,Module_Cleaning!H325,0),"")</f>
        <v/>
      </c>
      <c r="M325" s="26">
        <f t="shared" ref="M325" si="141">IFERROR(I325-J325,"")</f>
        <v>0</v>
      </c>
      <c r="N325" s="26" t="s">
        <v>237</v>
      </c>
    </row>
    <row r="326" ht="15" spans="1:14">
      <c r="A326" s="24">
        <v>46004</v>
      </c>
      <c r="B326" s="25">
        <v>46004</v>
      </c>
      <c r="C326" s="26">
        <v>0</v>
      </c>
      <c r="D326" s="26">
        <v>0</v>
      </c>
      <c r="E326" s="26">
        <v>0</v>
      </c>
      <c r="F326" s="26">
        <v>0</v>
      </c>
      <c r="G326" s="26"/>
      <c r="H326" s="26" t="str">
        <f>IFERROR(VLOOKUP(G326,Basic_Data!$E$2:$I$9,5,0),"")</f>
        <v/>
      </c>
      <c r="I326" s="26">
        <v>0</v>
      </c>
      <c r="J326" s="26">
        <v>0</v>
      </c>
      <c r="K326" s="27" t="str">
        <f>IFERROR(VLOOKUP($B326-1,Inverter_PR!$B:$I,Module_Cleaning!H326,0),"")</f>
        <v/>
      </c>
      <c r="L326" s="27" t="str">
        <f>IFERROR(VLOOKUP($B326+1,Inverter_PR!$B:$I,Module_Cleaning!H326,0),"")</f>
        <v/>
      </c>
      <c r="M326" s="26">
        <f t="shared" ref="M326" si="142">IFERROR(I326-J326,"")</f>
        <v>0</v>
      </c>
      <c r="N326" s="26" t="s">
        <v>237</v>
      </c>
    </row>
    <row r="327" ht="15" spans="1:14">
      <c r="A327" s="24">
        <v>46005</v>
      </c>
      <c r="B327" s="25">
        <v>46005</v>
      </c>
      <c r="C327" s="26">
        <v>0</v>
      </c>
      <c r="D327" s="26">
        <v>0</v>
      </c>
      <c r="E327" s="26">
        <v>0</v>
      </c>
      <c r="F327" s="26">
        <v>0</v>
      </c>
      <c r="G327" s="26"/>
      <c r="H327" s="26" t="str">
        <f>IFERROR(VLOOKUP(G327,Basic_Data!$E$2:$I$9,5,0),"")</f>
        <v/>
      </c>
      <c r="I327" s="26">
        <v>0</v>
      </c>
      <c r="J327" s="26">
        <v>0</v>
      </c>
      <c r="K327" s="27" t="str">
        <f>IFERROR(VLOOKUP($B327-1,Inverter_PR!$B:$I,Module_Cleaning!H327,0),"")</f>
        <v/>
      </c>
      <c r="L327" s="27" t="str">
        <f>IFERROR(VLOOKUP($B327+1,Inverter_PR!$B:$I,Module_Cleaning!H327,0),"")</f>
        <v/>
      </c>
      <c r="M327" s="26">
        <f t="shared" ref="M327" si="143">IFERROR(I327-J327,"")</f>
        <v>0</v>
      </c>
      <c r="N327" s="26" t="s">
        <v>237</v>
      </c>
    </row>
    <row r="328" ht="15" spans="1:14">
      <c r="A328" s="24">
        <v>46006</v>
      </c>
      <c r="B328" s="25">
        <v>46006</v>
      </c>
      <c r="C328" s="26">
        <v>0</v>
      </c>
      <c r="D328" s="26">
        <v>0</v>
      </c>
      <c r="E328" s="26">
        <v>0</v>
      </c>
      <c r="F328" s="26">
        <v>0</v>
      </c>
      <c r="G328" s="26"/>
      <c r="H328" s="26" t="str">
        <f>IFERROR(VLOOKUP(G328,Basic_Data!$E$2:$I$9,5,0),"")</f>
        <v/>
      </c>
      <c r="I328" s="26">
        <v>0</v>
      </c>
      <c r="J328" s="26">
        <v>0</v>
      </c>
      <c r="K328" s="27" t="str">
        <f>IFERROR(VLOOKUP($B328-1,Inverter_PR!$B:$I,Module_Cleaning!H328,0),"")</f>
        <v/>
      </c>
      <c r="L328" s="27" t="str">
        <f>IFERROR(VLOOKUP($B328+1,Inverter_PR!$B:$I,Module_Cleaning!H328,0),"")</f>
        <v/>
      </c>
      <c r="M328" s="26">
        <f t="shared" ref="M328" si="144">IFERROR(I328-J328,"")</f>
        <v>0</v>
      </c>
      <c r="N328" s="26" t="s">
        <v>237</v>
      </c>
    </row>
    <row r="329" ht="15" spans="1:14">
      <c r="A329" s="24">
        <v>46007</v>
      </c>
      <c r="B329" s="25">
        <v>46007</v>
      </c>
      <c r="C329" s="26">
        <v>0</v>
      </c>
      <c r="D329" s="26">
        <v>0</v>
      </c>
      <c r="E329" s="26">
        <v>0</v>
      </c>
      <c r="F329" s="26">
        <v>0</v>
      </c>
      <c r="G329" s="26"/>
      <c r="H329" s="26" t="str">
        <f>IFERROR(VLOOKUP(G329,Basic_Data!$E$2:$I$9,5,0),"")</f>
        <v/>
      </c>
      <c r="I329" s="26">
        <v>0</v>
      </c>
      <c r="J329" s="26">
        <v>0</v>
      </c>
      <c r="K329" s="27" t="str">
        <f>IFERROR(VLOOKUP($B329-1,Inverter_PR!$B:$I,Module_Cleaning!H329,0),"")</f>
        <v/>
      </c>
      <c r="L329" s="27" t="str">
        <f>IFERROR(VLOOKUP($B329+1,Inverter_PR!$B:$I,Module_Cleaning!H329,0),"")</f>
        <v/>
      </c>
      <c r="M329" s="26">
        <f t="shared" ref="M329" si="145">IFERROR(I329-J329,"")</f>
        <v>0</v>
      </c>
      <c r="N329" s="26" t="s">
        <v>237</v>
      </c>
    </row>
    <row r="330" ht="15" spans="1:14">
      <c r="A330" s="24">
        <v>46008</v>
      </c>
      <c r="B330" s="25">
        <v>46008</v>
      </c>
      <c r="C330" s="26">
        <v>0</v>
      </c>
      <c r="D330" s="26">
        <v>0</v>
      </c>
      <c r="E330" s="26">
        <v>0</v>
      </c>
      <c r="F330" s="26">
        <v>0</v>
      </c>
      <c r="G330" s="26"/>
      <c r="H330" s="26" t="str">
        <f>IFERROR(VLOOKUP(G330,Basic_Data!$E$2:$I$9,5,0),"")</f>
        <v/>
      </c>
      <c r="I330" s="26">
        <v>0</v>
      </c>
      <c r="J330" s="26">
        <v>0</v>
      </c>
      <c r="K330" s="27" t="str">
        <f>IFERROR(VLOOKUP($B330-1,Inverter_PR!$B:$I,Module_Cleaning!H330,0),"")</f>
        <v/>
      </c>
      <c r="L330" s="27" t="str">
        <f>IFERROR(VLOOKUP($B330+1,Inverter_PR!$B:$I,Module_Cleaning!H330,0),"")</f>
        <v/>
      </c>
      <c r="M330" s="26">
        <f t="shared" ref="M330" si="146">IFERROR(I330-J330,"")</f>
        <v>0</v>
      </c>
      <c r="N330" s="26" t="s">
        <v>237</v>
      </c>
    </row>
    <row r="331" ht="15" spans="1:14">
      <c r="A331" s="24">
        <v>46009</v>
      </c>
      <c r="B331" s="25">
        <v>46009</v>
      </c>
      <c r="C331" s="26">
        <v>0</v>
      </c>
      <c r="D331" s="26">
        <v>0</v>
      </c>
      <c r="E331" s="26">
        <v>0</v>
      </c>
      <c r="F331" s="26">
        <v>0</v>
      </c>
      <c r="G331" s="26"/>
      <c r="H331" s="26" t="str">
        <f>IFERROR(VLOOKUP(G331,Basic_Data!$E$2:$I$9,5,0),"")</f>
        <v/>
      </c>
      <c r="I331" s="26">
        <v>0</v>
      </c>
      <c r="J331" s="26">
        <v>0</v>
      </c>
      <c r="K331" s="27" t="str">
        <f>IFERROR(VLOOKUP($B331-1,Inverter_PR!$B:$I,Module_Cleaning!H331,0),"")</f>
        <v/>
      </c>
      <c r="L331" s="27" t="str">
        <f>IFERROR(VLOOKUP($B331+1,Inverter_PR!$B:$I,Module_Cleaning!H331,0),"")</f>
        <v/>
      </c>
      <c r="M331" s="26">
        <f t="shared" ref="M331:M333" si="147">IFERROR(I331-J331,"")</f>
        <v>0</v>
      </c>
      <c r="N331" s="26" t="s">
        <v>237</v>
      </c>
    </row>
    <row r="332" ht="15" spans="1:14">
      <c r="A332" s="24">
        <v>46010</v>
      </c>
      <c r="B332" s="25">
        <v>46010</v>
      </c>
      <c r="C332" s="26">
        <v>1</v>
      </c>
      <c r="D332" s="26">
        <v>3000</v>
      </c>
      <c r="E332" s="26"/>
      <c r="F332" s="26">
        <v>2</v>
      </c>
      <c r="G332" s="26" t="s">
        <v>41</v>
      </c>
      <c r="H332" s="26">
        <f>IFERROR(VLOOKUP(G332,Basic_Data!$E$2:$I$9,5,0),"")</f>
        <v>8</v>
      </c>
      <c r="I332" s="26">
        <v>644</v>
      </c>
      <c r="J332" s="26">
        <v>644</v>
      </c>
      <c r="K332" s="27">
        <f>IFERROR(VLOOKUP($B332-1,Inverter_PR!$B:$I,Module_Cleaning!H332,0),"")</f>
        <v>1.17812623758382</v>
      </c>
      <c r="L332" s="27">
        <f>IFERROR(VLOOKUP($B332+1,Inverter_PR!$B:$I,Module_Cleaning!H332,0),"")</f>
        <v>1.25229844241003</v>
      </c>
      <c r="M332" s="26">
        <f t="shared" si="147"/>
        <v>0</v>
      </c>
      <c r="N332" s="26" t="s">
        <v>239</v>
      </c>
    </row>
    <row r="333" ht="15" spans="1:14">
      <c r="A333" s="24">
        <v>46011</v>
      </c>
      <c r="B333" s="25">
        <v>46011</v>
      </c>
      <c r="C333" s="26">
        <v>2</v>
      </c>
      <c r="D333" s="26">
        <v>6000</v>
      </c>
      <c r="E333" s="26"/>
      <c r="F333" s="26">
        <v>2</v>
      </c>
      <c r="G333" s="26" t="s">
        <v>40</v>
      </c>
      <c r="H333" s="26">
        <f>IFERROR(VLOOKUP(G333,Basic_Data!$E$2:$I$9,5,0),"")</f>
        <v>7</v>
      </c>
      <c r="I333" s="26">
        <f>IFERROR(VLOOKUP($G333,Basic_Data!$E$2:$H$10,4,0),"")</f>
        <v>644</v>
      </c>
      <c r="J333" s="26"/>
      <c r="K333" s="27">
        <f>IFERROR(VLOOKUP($B333-1,Inverter_PR!$B:$I,Module_Cleaning!H333,0),"")</f>
        <v>1.22278364220105</v>
      </c>
      <c r="L333" s="27">
        <f>IFERROR(VLOOKUP($B333+1,Inverter_PR!$B:$I,Module_Cleaning!H333,0),"")</f>
        <v>1.34475509390034</v>
      </c>
      <c r="M333" s="26">
        <f t="shared" si="147"/>
        <v>644</v>
      </c>
      <c r="N333" s="26" t="s">
        <v>239</v>
      </c>
    </row>
    <row r="334" ht="15" spans="1:14">
      <c r="A334" s="24"/>
      <c r="B334" s="25"/>
      <c r="C334" s="26"/>
      <c r="D334" s="26"/>
      <c r="E334" s="26"/>
      <c r="F334" s="26"/>
      <c r="G334" s="26" t="s">
        <v>39</v>
      </c>
      <c r="H334" s="26"/>
      <c r="I334" s="26"/>
      <c r="J334" s="26"/>
      <c r="K334" s="27"/>
      <c r="L334" s="27"/>
      <c r="M334" s="26"/>
      <c r="N334" s="26" t="s">
        <v>239</v>
      </c>
    </row>
    <row r="335" ht="15" spans="1:14">
      <c r="A335" s="24"/>
      <c r="B335" s="25"/>
      <c r="C335" s="26"/>
      <c r="D335" s="26"/>
      <c r="E335" s="26"/>
      <c r="F335" s="26"/>
      <c r="G335" s="26" t="s">
        <v>38</v>
      </c>
      <c r="H335" s="26"/>
      <c r="I335" s="26"/>
      <c r="J335" s="26"/>
      <c r="K335" s="27"/>
      <c r="L335" s="27"/>
      <c r="M335" s="26"/>
      <c r="N335" s="26" t="s">
        <v>239</v>
      </c>
    </row>
    <row r="336" ht="15" spans="1:14">
      <c r="A336" s="24">
        <v>46012</v>
      </c>
      <c r="B336" s="25">
        <v>46012</v>
      </c>
      <c r="C336" s="26">
        <v>1</v>
      </c>
      <c r="D336" s="26">
        <v>3000</v>
      </c>
      <c r="E336" s="26"/>
      <c r="F336" s="26">
        <v>2</v>
      </c>
      <c r="G336" s="26" t="s">
        <v>37</v>
      </c>
      <c r="H336" s="26">
        <f>IFERROR(VLOOKUP(G336,Basic_Data!$E$2:$I$9,5,0),"")</f>
        <v>4</v>
      </c>
      <c r="I336" s="26">
        <f>IFERROR(VLOOKUP($G336,Basic_Data!$E$2:$H$10,4,0),"")</f>
        <v>616</v>
      </c>
      <c r="J336" s="26"/>
      <c r="K336" s="27">
        <f>IFERROR(VLOOKUP($B336-1,Inverter_PR!$B:$I,Module_Cleaning!H336,0),"")</f>
        <v>1.21686771496572</v>
      </c>
      <c r="L336" s="27">
        <f>IFERROR(VLOOKUP($B336+1,Inverter_PR!$B:$I,Module_Cleaning!H336,0),"")</f>
        <v>1.24676212917056</v>
      </c>
      <c r="M336" s="26">
        <f>IFERROR(I336-J336,"")</f>
        <v>616</v>
      </c>
      <c r="N336" s="26" t="s">
        <v>239</v>
      </c>
    </row>
    <row r="337" ht="15" spans="1:14">
      <c r="A337" s="24">
        <v>46013</v>
      </c>
      <c r="B337" s="25">
        <v>46013</v>
      </c>
      <c r="C337" s="26">
        <v>2</v>
      </c>
      <c r="D337" s="26">
        <v>6000</v>
      </c>
      <c r="E337" s="26"/>
      <c r="F337" s="26">
        <v>2</v>
      </c>
      <c r="G337" s="26" t="s">
        <v>36</v>
      </c>
      <c r="H337" s="26">
        <f>IFERROR(VLOOKUP(G337,Basic_Data!$E$2:$I$9,5,0),"")</f>
        <v>3</v>
      </c>
      <c r="I337" s="26">
        <f>IFERROR(VLOOKUP($G337,Basic_Data!$E$2:$H$10,4,0),"")</f>
        <v>616</v>
      </c>
      <c r="J337" s="26"/>
      <c r="K337" s="27">
        <f>IFERROR(VLOOKUP($B337-1,Inverter_PR!$B:$I,Module_Cleaning!H337,0),"")</f>
        <v>1.3250660981657</v>
      </c>
      <c r="L337" s="27">
        <f>IFERROR(VLOOKUP($B337+1,Inverter_PR!$B:$I,Module_Cleaning!H337,0),"")</f>
        <v>1.28306520121128</v>
      </c>
      <c r="M337" s="26">
        <f>IFERROR(I337-J337,"")</f>
        <v>616</v>
      </c>
      <c r="N337" s="26" t="s">
        <v>239</v>
      </c>
    </row>
    <row r="338" ht="15" spans="1:14">
      <c r="A338" s="24"/>
      <c r="B338" s="25"/>
      <c r="C338" s="26"/>
      <c r="D338" s="26"/>
      <c r="E338" s="26"/>
      <c r="F338" s="26"/>
      <c r="G338" s="26" t="s">
        <v>35</v>
      </c>
      <c r="H338" s="26"/>
      <c r="I338" s="26"/>
      <c r="J338" s="26"/>
      <c r="K338" s="27"/>
      <c r="L338" s="27"/>
      <c r="M338" s="26"/>
      <c r="N338" s="26" t="s">
        <v>239</v>
      </c>
    </row>
    <row r="339" ht="15" spans="1:14">
      <c r="A339" s="24">
        <v>46014</v>
      </c>
      <c r="B339" s="25">
        <v>46014</v>
      </c>
      <c r="C339" s="26">
        <v>0</v>
      </c>
      <c r="D339" s="26">
        <v>0</v>
      </c>
      <c r="E339" s="26">
        <v>0</v>
      </c>
      <c r="F339" s="26">
        <v>0</v>
      </c>
      <c r="G339" s="26"/>
      <c r="H339" s="26" t="str">
        <f>IFERROR(VLOOKUP(G339,Basic_Data!$E$2:$I$9,5,0),"")</f>
        <v/>
      </c>
      <c r="I339" s="26">
        <v>0</v>
      </c>
      <c r="J339" s="26">
        <v>0</v>
      </c>
      <c r="K339" s="27">
        <v>0</v>
      </c>
      <c r="L339" s="27">
        <v>0</v>
      </c>
      <c r="M339" s="26">
        <f>IFERROR(I339-J339,"")</f>
        <v>0</v>
      </c>
      <c r="N339" s="26" t="s">
        <v>242</v>
      </c>
    </row>
    <row r="340" ht="15" spans="1:14">
      <c r="A340" s="24">
        <v>46015</v>
      </c>
      <c r="B340" s="25">
        <v>46015</v>
      </c>
      <c r="C340" s="26">
        <v>0</v>
      </c>
      <c r="D340" s="26">
        <v>0</v>
      </c>
      <c r="E340" s="26">
        <v>0</v>
      </c>
      <c r="F340" s="26">
        <v>0</v>
      </c>
      <c r="G340" s="26"/>
      <c r="H340" s="26" t="str">
        <f>IFERROR(VLOOKUP(G340,Basic_Data!$E$2:$I$9,5,0),"")</f>
        <v/>
      </c>
      <c r="I340" s="26">
        <v>0</v>
      </c>
      <c r="J340" s="26">
        <v>0</v>
      </c>
      <c r="K340" s="27">
        <v>0</v>
      </c>
      <c r="L340" s="27">
        <v>0</v>
      </c>
      <c r="M340" s="26">
        <f t="shared" ref="M340" si="148">IFERROR(I340-J340,"")</f>
        <v>0</v>
      </c>
      <c r="N340" s="26" t="s">
        <v>242</v>
      </c>
    </row>
    <row r="341" ht="15" spans="1:14">
      <c r="A341" s="24">
        <v>46016</v>
      </c>
      <c r="B341" s="25">
        <v>46016</v>
      </c>
      <c r="C341" s="26">
        <v>0</v>
      </c>
      <c r="D341" s="26">
        <v>0</v>
      </c>
      <c r="E341" s="26">
        <v>0</v>
      </c>
      <c r="F341" s="26">
        <v>0</v>
      </c>
      <c r="G341" s="26"/>
      <c r="H341" s="26" t="str">
        <f>IFERROR(VLOOKUP(G341,Basic_Data!$E$2:$I$9,5,0),"")</f>
        <v/>
      </c>
      <c r="I341" s="26">
        <v>0</v>
      </c>
      <c r="J341" s="26">
        <v>0</v>
      </c>
      <c r="K341" s="27">
        <v>0</v>
      </c>
      <c r="L341" s="27">
        <v>0</v>
      </c>
      <c r="M341" s="26">
        <f t="shared" ref="M341" si="149">IFERROR(I341-J341,"")</f>
        <v>0</v>
      </c>
      <c r="N341" s="26" t="s">
        <v>242</v>
      </c>
    </row>
    <row r="342" ht="15" spans="1:14">
      <c r="A342" s="24">
        <v>46017</v>
      </c>
      <c r="B342" s="25">
        <v>46017</v>
      </c>
      <c r="C342" s="26">
        <v>0</v>
      </c>
      <c r="D342" s="26">
        <v>0</v>
      </c>
      <c r="E342" s="26">
        <v>0</v>
      </c>
      <c r="F342" s="26">
        <v>0</v>
      </c>
      <c r="G342" s="26"/>
      <c r="H342" s="26" t="str">
        <f>IFERROR(VLOOKUP(G342,Basic_Data!$E$2:$I$9,5,0),"")</f>
        <v/>
      </c>
      <c r="I342" s="26">
        <v>0</v>
      </c>
      <c r="J342" s="26">
        <v>0</v>
      </c>
      <c r="K342" s="27">
        <v>0</v>
      </c>
      <c r="L342" s="27">
        <v>0</v>
      </c>
      <c r="M342" s="26">
        <f t="shared" ref="M342" si="150">IFERROR(I342-J342,"")</f>
        <v>0</v>
      </c>
      <c r="N342" s="26" t="s">
        <v>242</v>
      </c>
    </row>
    <row r="343" ht="15" spans="1:14">
      <c r="A343" s="24">
        <v>46018</v>
      </c>
      <c r="B343" s="25">
        <v>46018</v>
      </c>
      <c r="C343" s="26">
        <v>0</v>
      </c>
      <c r="D343" s="26">
        <v>0</v>
      </c>
      <c r="E343" s="26">
        <v>0</v>
      </c>
      <c r="F343" s="26">
        <v>0</v>
      </c>
      <c r="G343" s="26"/>
      <c r="H343" s="26" t="str">
        <f>IFERROR(VLOOKUP(G343,Basic_Data!$E$2:$I$9,5,0),"")</f>
        <v/>
      </c>
      <c r="I343" s="26">
        <v>0</v>
      </c>
      <c r="J343" s="26">
        <v>0</v>
      </c>
      <c r="K343" s="27">
        <v>0</v>
      </c>
      <c r="L343" s="27">
        <v>0</v>
      </c>
      <c r="M343" s="26">
        <f t="shared" ref="M343" si="151">IFERROR(I343-J343,"")</f>
        <v>0</v>
      </c>
      <c r="N343" s="26" t="s">
        <v>242</v>
      </c>
    </row>
    <row r="344" ht="15" spans="1:14">
      <c r="A344" s="24">
        <v>46019</v>
      </c>
      <c r="B344" s="25">
        <v>46019</v>
      </c>
      <c r="C344" s="26">
        <v>0</v>
      </c>
      <c r="D344" s="26">
        <v>0</v>
      </c>
      <c r="E344" s="26">
        <v>0</v>
      </c>
      <c r="F344" s="26">
        <v>0</v>
      </c>
      <c r="G344" s="26"/>
      <c r="H344" s="26" t="str">
        <f>IFERROR(VLOOKUP(G344,Basic_Data!$E$2:$I$9,5,0),"")</f>
        <v/>
      </c>
      <c r="I344" s="26">
        <v>0</v>
      </c>
      <c r="J344" s="26">
        <v>0</v>
      </c>
      <c r="K344" s="27">
        <v>0</v>
      </c>
      <c r="L344" s="27">
        <v>0</v>
      </c>
      <c r="M344" s="26">
        <f t="shared" ref="M344" si="152">IFERROR(I344-J344,"")</f>
        <v>0</v>
      </c>
      <c r="N344" s="26" t="s">
        <v>242</v>
      </c>
    </row>
    <row r="345" ht="15" spans="1:14">
      <c r="A345" s="24">
        <v>46020</v>
      </c>
      <c r="B345" s="25">
        <v>46020</v>
      </c>
      <c r="C345" s="26">
        <v>0</v>
      </c>
      <c r="D345" s="26">
        <v>0</v>
      </c>
      <c r="E345" s="26">
        <v>0</v>
      </c>
      <c r="F345" s="26">
        <v>0</v>
      </c>
      <c r="G345" s="26"/>
      <c r="H345" s="26" t="str">
        <f>IFERROR(VLOOKUP(G345,Basic_Data!$E$2:$I$9,5,0),"")</f>
        <v/>
      </c>
      <c r="I345" s="26">
        <v>0</v>
      </c>
      <c r="J345" s="26">
        <v>0</v>
      </c>
      <c r="K345" s="27">
        <v>0</v>
      </c>
      <c r="L345" s="27">
        <v>0</v>
      </c>
      <c r="M345" s="26">
        <f t="shared" ref="M345" si="153">IFERROR(I345-J345,"")</f>
        <v>0</v>
      </c>
      <c r="N345" s="26" t="s">
        <v>242</v>
      </c>
    </row>
    <row r="346" ht="15" spans="1:14">
      <c r="A346" s="24">
        <v>46021</v>
      </c>
      <c r="B346" s="25">
        <v>46021</v>
      </c>
      <c r="C346" s="26">
        <v>0</v>
      </c>
      <c r="D346" s="26">
        <v>0</v>
      </c>
      <c r="E346" s="26">
        <v>0</v>
      </c>
      <c r="F346" s="26">
        <v>0</v>
      </c>
      <c r="G346" s="26"/>
      <c r="H346" s="26" t="str">
        <f>IFERROR(VLOOKUP(G346,Basic_Data!$E$2:$I$9,5,0),"")</f>
        <v/>
      </c>
      <c r="I346" s="26">
        <v>0</v>
      </c>
      <c r="J346" s="26">
        <v>0</v>
      </c>
      <c r="K346" s="27">
        <v>0</v>
      </c>
      <c r="L346" s="27">
        <v>0</v>
      </c>
      <c r="M346" s="26">
        <f t="shared" ref="M346" si="154">IFERROR(I346-J346,"")</f>
        <v>0</v>
      </c>
      <c r="N346" s="26" t="s">
        <v>242</v>
      </c>
    </row>
    <row r="347" ht="15" spans="1:14">
      <c r="A347" s="24">
        <v>46022</v>
      </c>
      <c r="B347" s="25">
        <v>46022</v>
      </c>
      <c r="C347" s="26">
        <v>0</v>
      </c>
      <c r="D347" s="26">
        <v>0</v>
      </c>
      <c r="E347" s="26">
        <v>0</v>
      </c>
      <c r="F347" s="26">
        <v>0</v>
      </c>
      <c r="G347" s="26"/>
      <c r="H347" s="26" t="str">
        <f>IFERROR(VLOOKUP(G347,Basic_Data!$E$2:$I$9,5,0),"")</f>
        <v/>
      </c>
      <c r="I347" s="26">
        <v>0</v>
      </c>
      <c r="J347" s="26">
        <v>0</v>
      </c>
      <c r="K347" s="27">
        <v>0</v>
      </c>
      <c r="L347" s="27">
        <v>0</v>
      </c>
      <c r="M347" s="26">
        <f t="shared" ref="M347" si="155">IFERROR(I347-J347,"")</f>
        <v>0</v>
      </c>
      <c r="N347" s="26" t="s">
        <v>242</v>
      </c>
    </row>
    <row r="348" ht="15" spans="1:14">
      <c r="A348" s="24">
        <v>46023</v>
      </c>
      <c r="B348" s="25">
        <v>46023</v>
      </c>
      <c r="C348" s="26"/>
      <c r="D348" s="26"/>
      <c r="E348" s="26"/>
      <c r="F348" s="26">
        <v>1</v>
      </c>
      <c r="G348" s="26" t="s">
        <v>35</v>
      </c>
      <c r="H348" s="26"/>
      <c r="I348" s="26">
        <f>IFERROR(VLOOKUP($G348,Basic_Data!$E$2:$H$10,4,0),"")</f>
        <v>616</v>
      </c>
      <c r="J348" s="26">
        <f>IFERROR(VLOOKUP($G348,Basic_Data!$E$2:$H$10,4,0),"")</f>
        <v>616</v>
      </c>
      <c r="K348" s="27"/>
      <c r="L348" s="27"/>
      <c r="M348" s="26"/>
      <c r="N348" s="26" t="s">
        <v>236</v>
      </c>
    </row>
    <row r="349" ht="15" spans="1:14">
      <c r="A349" s="24">
        <v>46024</v>
      </c>
      <c r="B349" s="25">
        <v>46024</v>
      </c>
      <c r="C349" s="26"/>
      <c r="D349" s="26"/>
      <c r="E349" s="26"/>
      <c r="F349" s="26"/>
      <c r="G349" s="26"/>
      <c r="H349" s="26" t="str">
        <f>IFERROR(VLOOKUP(G349,Basic_Data!$E$2:$I$9,5,0),"")</f>
        <v/>
      </c>
      <c r="I349" s="26" t="str">
        <f>IFERROR(VLOOKUP($G349,Basic_Data!$E$2:$H$10,4,0),"")</f>
        <v/>
      </c>
      <c r="J349" s="26"/>
      <c r="K349" s="27" t="str">
        <f>IFERROR(VLOOKUP($B349-1,Inverter_PR!$B:$I,Module_Cleaning!H349,0),"")</f>
        <v/>
      </c>
      <c r="L349" s="27" t="str">
        <f>IFERROR(VLOOKUP($B349+1,Inverter_PR!$B:$I,Module_Cleaning!H349,0),"")</f>
        <v/>
      </c>
      <c r="M349" s="26" t="str">
        <f>IFERROR(I349-J349,"")</f>
        <v/>
      </c>
      <c r="N349" s="26"/>
    </row>
    <row r="350" ht="15" spans="1:14">
      <c r="A350" s="24">
        <v>46025</v>
      </c>
      <c r="B350" s="25">
        <v>46025</v>
      </c>
      <c r="C350" s="26"/>
      <c r="D350" s="26"/>
      <c r="E350" s="26"/>
      <c r="F350" s="26"/>
      <c r="G350" s="26"/>
      <c r="H350" s="26" t="str">
        <f>IFERROR(VLOOKUP(G350,Basic_Data!$E$2:$I$9,5,0),"")</f>
        <v/>
      </c>
      <c r="I350" s="26" t="str">
        <f>IFERROR(VLOOKUP($G350,Basic_Data!$E$2:$H$10,4,0),"")</f>
        <v/>
      </c>
      <c r="J350" s="26"/>
      <c r="K350" s="27" t="str">
        <f>IFERROR(VLOOKUP($B350-1,Inverter_PR!$B:$I,Module_Cleaning!H350,0),"")</f>
        <v/>
      </c>
      <c r="L350" s="27" t="str">
        <f>IFERROR(VLOOKUP($B350+1,Inverter_PR!$B:$I,Module_Cleaning!H350,0),"")</f>
        <v/>
      </c>
      <c r="M350" s="26" t="str">
        <f>IFERROR(I350-J350,"")</f>
        <v/>
      </c>
      <c r="N350" s="26"/>
    </row>
    <row r="351" ht="15" spans="1:14">
      <c r="A351" s="24">
        <v>46026</v>
      </c>
      <c r="B351" s="25">
        <v>46026</v>
      </c>
      <c r="C351" s="26">
        <v>0</v>
      </c>
      <c r="D351" s="26">
        <v>0</v>
      </c>
      <c r="E351" s="26">
        <v>0</v>
      </c>
      <c r="F351" s="26">
        <v>0</v>
      </c>
      <c r="G351" s="26"/>
      <c r="H351" s="26" t="str">
        <f>IFERROR(VLOOKUP(G351,Basic_Data!$E$2:$I$9,5,0),"")</f>
        <v/>
      </c>
      <c r="I351" s="26">
        <v>0</v>
      </c>
      <c r="J351" s="26">
        <v>0</v>
      </c>
      <c r="K351" s="27">
        <v>0</v>
      </c>
      <c r="L351" s="27">
        <v>0</v>
      </c>
      <c r="M351" s="26">
        <v>0</v>
      </c>
      <c r="N351" s="26" t="s">
        <v>237</v>
      </c>
    </row>
    <row r="352" ht="15" spans="1:14">
      <c r="A352" s="24">
        <v>46027</v>
      </c>
      <c r="B352" s="25">
        <v>46027</v>
      </c>
      <c r="C352" s="26">
        <v>0</v>
      </c>
      <c r="D352" s="26">
        <v>0</v>
      </c>
      <c r="E352" s="26">
        <v>0</v>
      </c>
      <c r="F352" s="26">
        <v>0</v>
      </c>
      <c r="G352" s="26"/>
      <c r="H352" s="26">
        <v>0</v>
      </c>
      <c r="I352" s="26">
        <v>0</v>
      </c>
      <c r="J352" s="26">
        <v>0</v>
      </c>
      <c r="K352" s="27">
        <v>0</v>
      </c>
      <c r="L352" s="27">
        <v>0</v>
      </c>
      <c r="M352" s="26">
        <f>IFERROR(I352-J352,"")</f>
        <v>0</v>
      </c>
      <c r="N352" s="26" t="s">
        <v>237</v>
      </c>
    </row>
    <row r="353" ht="15" spans="1:14">
      <c r="A353" s="24">
        <v>46028</v>
      </c>
      <c r="B353" s="25">
        <v>46028</v>
      </c>
      <c r="C353" s="26">
        <v>0</v>
      </c>
      <c r="D353" s="26">
        <v>0</v>
      </c>
      <c r="E353" s="26">
        <v>0</v>
      </c>
      <c r="F353" s="26">
        <v>0</v>
      </c>
      <c r="G353" s="26"/>
      <c r="H353" s="26" t="str">
        <f>IFERROR(VLOOKUP(G353,Basic_Data!$E$2:$I$9,5,0),"")</f>
        <v/>
      </c>
      <c r="I353" s="26">
        <v>0</v>
      </c>
      <c r="J353" s="26">
        <v>0</v>
      </c>
      <c r="K353" s="27">
        <v>0</v>
      </c>
      <c r="L353" s="27">
        <v>0</v>
      </c>
      <c r="M353" s="26">
        <v>0</v>
      </c>
      <c r="N353" s="26" t="s">
        <v>237</v>
      </c>
    </row>
    <row r="354" ht="15" spans="1:14">
      <c r="A354" s="24">
        <v>46029</v>
      </c>
      <c r="B354" s="25">
        <v>46029</v>
      </c>
      <c r="C354" s="26">
        <v>0</v>
      </c>
      <c r="D354" s="26">
        <v>0</v>
      </c>
      <c r="E354" s="26">
        <v>0</v>
      </c>
      <c r="F354" s="26">
        <v>0</v>
      </c>
      <c r="G354" s="26"/>
      <c r="H354" s="26" t="str">
        <f>IFERROR(VLOOKUP(G354,Basic_Data!$E$2:$I$9,5,0),"")</f>
        <v/>
      </c>
      <c r="I354" s="26">
        <v>0</v>
      </c>
      <c r="J354" s="26">
        <v>0</v>
      </c>
      <c r="K354" s="27">
        <v>0</v>
      </c>
      <c r="L354" s="27">
        <v>0</v>
      </c>
      <c r="M354" s="26">
        <v>0</v>
      </c>
      <c r="N354" s="26" t="s">
        <v>237</v>
      </c>
    </row>
    <row r="355" ht="15" spans="1:14">
      <c r="A355" s="24">
        <v>46030</v>
      </c>
      <c r="B355" s="25">
        <v>46030</v>
      </c>
      <c r="C355" s="26">
        <v>0</v>
      </c>
      <c r="D355" s="26">
        <v>0</v>
      </c>
      <c r="E355" s="26">
        <v>0</v>
      </c>
      <c r="F355" s="26">
        <v>0</v>
      </c>
      <c r="G355" s="26"/>
      <c r="H355" s="26" t="str">
        <f>IFERROR(VLOOKUP(G355,Basic_Data!$E$2:$I$9,5,0),"")</f>
        <v/>
      </c>
      <c r="I355" s="26">
        <v>0</v>
      </c>
      <c r="J355" s="26">
        <v>0</v>
      </c>
      <c r="K355" s="27">
        <v>0</v>
      </c>
      <c r="L355" s="27">
        <v>0</v>
      </c>
      <c r="M355" s="26">
        <v>0</v>
      </c>
      <c r="N355" s="26" t="s">
        <v>237</v>
      </c>
    </row>
    <row r="356" ht="15" spans="1:14">
      <c r="A356" s="24">
        <v>46031</v>
      </c>
      <c r="B356" s="25">
        <v>46031</v>
      </c>
      <c r="C356" s="26">
        <v>0</v>
      </c>
      <c r="D356" s="26">
        <v>0</v>
      </c>
      <c r="E356" s="26">
        <v>0</v>
      </c>
      <c r="F356" s="26">
        <v>0</v>
      </c>
      <c r="G356" s="26"/>
      <c r="H356" s="26" t="str">
        <f>IFERROR(VLOOKUP(G356,Basic_Data!$E$2:$I$9,5,0),"")</f>
        <v/>
      </c>
      <c r="I356" s="26">
        <v>0</v>
      </c>
      <c r="J356" s="26">
        <v>0</v>
      </c>
      <c r="K356" s="27">
        <v>0</v>
      </c>
      <c r="L356" s="27">
        <v>0</v>
      </c>
      <c r="M356" s="26">
        <v>0</v>
      </c>
      <c r="N356" s="26" t="s">
        <v>237</v>
      </c>
    </row>
    <row r="357" ht="15" spans="1:14">
      <c r="A357" s="24">
        <v>46032</v>
      </c>
      <c r="B357" s="25">
        <v>46032</v>
      </c>
      <c r="C357" s="26">
        <v>0</v>
      </c>
      <c r="D357" s="26">
        <v>0</v>
      </c>
      <c r="E357" s="26">
        <v>0</v>
      </c>
      <c r="F357" s="26">
        <v>0</v>
      </c>
      <c r="G357" s="26"/>
      <c r="H357" s="26" t="str">
        <f>IFERROR(VLOOKUP(G357,Basic_Data!$E$2:$I$9,5,0),"")</f>
        <v/>
      </c>
      <c r="I357" s="26">
        <v>0</v>
      </c>
      <c r="J357" s="26">
        <v>0</v>
      </c>
      <c r="K357" s="27">
        <v>0</v>
      </c>
      <c r="L357" s="27">
        <v>0</v>
      </c>
      <c r="M357" s="26">
        <v>0</v>
      </c>
      <c r="N357" s="26" t="s">
        <v>237</v>
      </c>
    </row>
    <row r="358" ht="15" spans="1:14">
      <c r="A358" s="24">
        <v>46033</v>
      </c>
      <c r="B358" s="25">
        <v>46033</v>
      </c>
      <c r="C358" s="26">
        <v>0</v>
      </c>
      <c r="D358" s="26">
        <v>0</v>
      </c>
      <c r="E358" s="26">
        <v>0</v>
      </c>
      <c r="F358" s="26">
        <v>0</v>
      </c>
      <c r="G358" s="26"/>
      <c r="H358" s="26" t="str">
        <f>IFERROR(VLOOKUP(G358,Basic_Data!$E$2:$I$9,5,0),"")</f>
        <v/>
      </c>
      <c r="I358" s="26">
        <v>0</v>
      </c>
      <c r="J358" s="26">
        <v>0</v>
      </c>
      <c r="K358" s="27">
        <v>0</v>
      </c>
      <c r="L358" s="27">
        <v>0</v>
      </c>
      <c r="M358" s="26">
        <v>0</v>
      </c>
      <c r="N358" s="26" t="s">
        <v>237</v>
      </c>
    </row>
    <row r="359" ht="15" spans="1:14">
      <c r="A359" s="24">
        <v>46034</v>
      </c>
      <c r="B359" s="25">
        <v>46034</v>
      </c>
      <c r="C359" s="26">
        <v>0</v>
      </c>
      <c r="D359" s="26">
        <v>0</v>
      </c>
      <c r="E359" s="26">
        <v>0</v>
      </c>
      <c r="F359" s="26">
        <v>0</v>
      </c>
      <c r="G359" s="26"/>
      <c r="H359" s="26" t="str">
        <f>IFERROR(VLOOKUP(G359,Basic_Data!$E$2:$I$9,5,0),"")</f>
        <v/>
      </c>
      <c r="I359" s="26">
        <v>0</v>
      </c>
      <c r="J359" s="26">
        <v>0</v>
      </c>
      <c r="K359" s="27">
        <v>0</v>
      </c>
      <c r="L359" s="27">
        <v>0</v>
      </c>
      <c r="M359" s="26">
        <v>0</v>
      </c>
      <c r="N359" s="26" t="s">
        <v>237</v>
      </c>
    </row>
    <row r="360" ht="15" spans="1:14">
      <c r="A360" s="24">
        <v>46035</v>
      </c>
      <c r="B360" s="25">
        <v>46035</v>
      </c>
      <c r="C360" s="26">
        <v>0</v>
      </c>
      <c r="D360" s="26">
        <v>0</v>
      </c>
      <c r="E360" s="26">
        <v>0</v>
      </c>
      <c r="F360" s="26">
        <v>0</v>
      </c>
      <c r="G360" s="26"/>
      <c r="H360" s="26" t="str">
        <f>IFERROR(VLOOKUP(G360,Basic_Data!$E$2:$I$9,5,0),"")</f>
        <v/>
      </c>
      <c r="I360" s="26">
        <v>0</v>
      </c>
      <c r="J360" s="26">
        <v>0</v>
      </c>
      <c r="K360" s="27">
        <v>0</v>
      </c>
      <c r="L360" s="27">
        <v>0</v>
      </c>
      <c r="M360" s="26">
        <v>0</v>
      </c>
      <c r="N360" s="26" t="s">
        <v>237</v>
      </c>
    </row>
    <row r="361" ht="15" spans="1:14">
      <c r="A361" s="24">
        <v>46036</v>
      </c>
      <c r="B361" s="25">
        <v>46036</v>
      </c>
      <c r="C361" s="26">
        <v>2</v>
      </c>
      <c r="D361" s="26">
        <v>6000</v>
      </c>
      <c r="E361" s="26"/>
      <c r="F361" s="26">
        <v>1</v>
      </c>
      <c r="G361" s="26" t="s">
        <v>35</v>
      </c>
      <c r="H361" s="26">
        <f>IFERROR(VLOOKUP(G361,Basic_Data!$E$2:$I$9,5,0),"")</f>
        <v>2</v>
      </c>
      <c r="I361" s="26">
        <f>IFERROR(VLOOKUP($G361,Basic_Data!$E$2:$H$10,4,0),"")</f>
        <v>616</v>
      </c>
      <c r="J361" s="26"/>
      <c r="K361" s="27">
        <f>IFERROR(VLOOKUP($B361-1,Inverter_PR!$B:$I,Module_Cleaning!H361,0),"")</f>
        <v>1.19485463463048</v>
      </c>
      <c r="L361" s="27">
        <f>IFERROR(VLOOKUP($B361+1,Inverter_PR!$B:$I,Module_Cleaning!H361,0),"")</f>
        <v>1.27270251846097</v>
      </c>
      <c r="M361" s="26">
        <f>IFERROR(I361-J361,"")</f>
        <v>616</v>
      </c>
      <c r="N361" s="26" t="s">
        <v>240</v>
      </c>
    </row>
    <row r="362" ht="15" spans="1:14">
      <c r="A362" s="24"/>
      <c r="B362" s="25"/>
      <c r="C362" s="26"/>
      <c r="D362" s="26"/>
      <c r="E362" s="26"/>
      <c r="F362" s="26">
        <v>1</v>
      </c>
      <c r="G362" s="26" t="s">
        <v>36</v>
      </c>
      <c r="H362" s="26"/>
      <c r="I362" s="26"/>
      <c r="J362" s="26"/>
      <c r="K362" s="27"/>
      <c r="L362" s="27"/>
      <c r="M362" s="26"/>
      <c r="N362" s="26" t="s">
        <v>240</v>
      </c>
    </row>
    <row r="363" ht="15" spans="1:14">
      <c r="A363" s="24"/>
      <c r="B363" s="25"/>
      <c r="C363" s="26"/>
      <c r="D363" s="26"/>
      <c r="E363" s="26"/>
      <c r="F363" s="26">
        <v>1</v>
      </c>
      <c r="G363" s="26" t="s">
        <v>37</v>
      </c>
      <c r="H363" s="26"/>
      <c r="I363" s="26"/>
      <c r="J363" s="26"/>
      <c r="K363" s="27"/>
      <c r="L363" s="27"/>
      <c r="M363" s="26"/>
      <c r="N363" s="26" t="s">
        <v>240</v>
      </c>
    </row>
    <row r="364" ht="15" spans="1:14">
      <c r="A364" s="24">
        <v>46037</v>
      </c>
      <c r="B364" s="25">
        <v>46037</v>
      </c>
      <c r="C364" s="26">
        <v>2</v>
      </c>
      <c r="D364" s="26">
        <v>6000</v>
      </c>
      <c r="E364" s="26"/>
      <c r="F364" s="26">
        <v>1</v>
      </c>
      <c r="G364" s="26" t="s">
        <v>38</v>
      </c>
      <c r="H364" s="26">
        <f>IFERROR(VLOOKUP(G364,Basic_Data!$E$2:$I$9,5,0),"")</f>
        <v>5</v>
      </c>
      <c r="I364" s="26">
        <f>IFERROR(VLOOKUP($G364,Basic_Data!$E$2:$H$10,4,0),"")</f>
        <v>644</v>
      </c>
      <c r="J364" s="26"/>
      <c r="K364" s="27">
        <f>IFERROR(VLOOKUP($B364-1,Inverter_PR!$B:$I,Module_Cleaning!H364,0),"")</f>
        <v>1.25870654144911</v>
      </c>
      <c r="L364" s="27">
        <f>IFERROR(VLOOKUP($B364+1,Inverter_PR!$B:$I,Module_Cleaning!H364,0),"")</f>
        <v>1.19114410225467</v>
      </c>
      <c r="M364" s="26">
        <f>IFERROR(I364-J364,"")</f>
        <v>644</v>
      </c>
      <c r="N364" s="26" t="s">
        <v>240</v>
      </c>
    </row>
    <row r="365" ht="15" spans="1:14">
      <c r="A365" s="24"/>
      <c r="B365" s="25"/>
      <c r="C365" s="26"/>
      <c r="D365" s="26"/>
      <c r="E365" s="26"/>
      <c r="F365" s="26">
        <v>1</v>
      </c>
      <c r="G365" s="26" t="s">
        <v>39</v>
      </c>
      <c r="H365" s="26"/>
      <c r="I365" s="26"/>
      <c r="J365" s="26"/>
      <c r="K365" s="27"/>
      <c r="L365" s="27"/>
      <c r="M365" s="26"/>
      <c r="N365" s="26" t="s">
        <v>240</v>
      </c>
    </row>
    <row r="366" ht="15" spans="1:14">
      <c r="A366" s="24"/>
      <c r="B366" s="25"/>
      <c r="C366" s="26"/>
      <c r="D366" s="26"/>
      <c r="E366" s="26"/>
      <c r="F366" s="26">
        <v>1</v>
      </c>
      <c r="G366" s="26" t="s">
        <v>40</v>
      </c>
      <c r="H366" s="26"/>
      <c r="I366" s="26"/>
      <c r="J366" s="26"/>
      <c r="K366" s="27"/>
      <c r="L366" s="27"/>
      <c r="M366" s="26"/>
      <c r="N366" s="26" t="s">
        <v>240</v>
      </c>
    </row>
    <row r="367" ht="15" spans="1:14">
      <c r="A367" s="24">
        <v>46038</v>
      </c>
      <c r="B367" s="25">
        <v>46038</v>
      </c>
      <c r="C367" s="26">
        <v>1</v>
      </c>
      <c r="D367" s="26">
        <v>1500</v>
      </c>
      <c r="E367" s="26"/>
      <c r="F367" s="26">
        <v>1</v>
      </c>
      <c r="G367" s="26" t="s">
        <v>41</v>
      </c>
      <c r="H367" s="26">
        <f>IFERROR(VLOOKUP(G367,Basic_Data!$E$2:$I$9,5,0),"")</f>
        <v>8</v>
      </c>
      <c r="I367" s="26">
        <f>IFERROR(VLOOKUP($G367,Basic_Data!$E$2:$H$10,4,0),"")</f>
        <v>644</v>
      </c>
      <c r="J367" s="26"/>
      <c r="K367" s="27">
        <f>IFERROR(VLOOKUP($B367-1,Inverter_PR!$B:$I,Module_Cleaning!H367,0),"")</f>
        <v>1.25147304442538</v>
      </c>
      <c r="L367" s="27">
        <f>IFERROR(VLOOKUP($B367+1,Inverter_PR!$B:$I,Module_Cleaning!H367,0),"")</f>
        <v>1.27637712444371</v>
      </c>
      <c r="M367" s="26">
        <f>IFERROR(I367-J367,"")</f>
        <v>644</v>
      </c>
      <c r="N367" s="26" t="s">
        <v>240</v>
      </c>
    </row>
    <row r="368" ht="15" spans="1:14">
      <c r="A368" s="24">
        <v>46039</v>
      </c>
      <c r="B368" s="25">
        <v>46039</v>
      </c>
      <c r="C368" s="26">
        <v>0</v>
      </c>
      <c r="D368" s="26">
        <v>0</v>
      </c>
      <c r="E368" s="26">
        <v>0</v>
      </c>
      <c r="F368" s="26">
        <v>3</v>
      </c>
      <c r="G368" s="26" t="s">
        <v>35</v>
      </c>
      <c r="H368" s="26">
        <v>0</v>
      </c>
      <c r="I368" s="26">
        <v>0</v>
      </c>
      <c r="J368" s="26">
        <v>0</v>
      </c>
      <c r="K368" s="27">
        <v>0</v>
      </c>
      <c r="L368" s="27">
        <v>0</v>
      </c>
      <c r="M368" s="26">
        <f>IFERROR(I368-J368,"")</f>
        <v>0</v>
      </c>
      <c r="N368" s="26" t="s">
        <v>236</v>
      </c>
    </row>
    <row r="369" ht="15" spans="1:14">
      <c r="A369" s="24"/>
      <c r="B369" s="25"/>
      <c r="C369" s="26"/>
      <c r="D369" s="26"/>
      <c r="E369" s="26"/>
      <c r="F369" s="26">
        <v>3</v>
      </c>
      <c r="G369" s="26" t="s">
        <v>36</v>
      </c>
      <c r="H369" s="26"/>
      <c r="I369" s="26"/>
      <c r="J369" s="26"/>
      <c r="K369" s="27"/>
      <c r="L369" s="27"/>
      <c r="M369" s="26"/>
      <c r="N369" s="26" t="s">
        <v>236</v>
      </c>
    </row>
    <row r="370" ht="15" spans="1:14">
      <c r="A370" s="24"/>
      <c r="B370" s="25"/>
      <c r="C370" s="26"/>
      <c r="D370" s="26"/>
      <c r="E370" s="26"/>
      <c r="F370" s="26">
        <v>3</v>
      </c>
      <c r="G370" s="26" t="s">
        <v>37</v>
      </c>
      <c r="H370" s="26"/>
      <c r="I370" s="26"/>
      <c r="J370" s="26"/>
      <c r="K370" s="27"/>
      <c r="L370" s="27"/>
      <c r="M370" s="26"/>
      <c r="N370" s="26" t="s">
        <v>236</v>
      </c>
    </row>
    <row r="371" ht="15" spans="1:14">
      <c r="A371" s="24"/>
      <c r="B371" s="25"/>
      <c r="C371" s="26"/>
      <c r="D371" s="26"/>
      <c r="E371" s="26"/>
      <c r="F371" s="26">
        <v>3</v>
      </c>
      <c r="G371" s="26" t="s">
        <v>38</v>
      </c>
      <c r="H371" s="26"/>
      <c r="I371" s="26"/>
      <c r="J371" s="26"/>
      <c r="K371" s="27"/>
      <c r="L371" s="27"/>
      <c r="M371" s="26"/>
      <c r="N371" s="26" t="s">
        <v>236</v>
      </c>
    </row>
    <row r="372" ht="15" spans="1:14">
      <c r="A372" s="24">
        <v>46040</v>
      </c>
      <c r="B372" s="25">
        <v>46040</v>
      </c>
      <c r="C372" s="26"/>
      <c r="D372" s="26"/>
      <c r="E372" s="26"/>
      <c r="F372" s="26">
        <v>3</v>
      </c>
      <c r="G372" s="26" t="s">
        <v>39</v>
      </c>
      <c r="H372" s="26">
        <f>IFERROR(VLOOKUP(G372,Basic_Data!$E$2:$I$9,5,0),"")</f>
        <v>6</v>
      </c>
      <c r="I372" s="26">
        <f>IFERROR(VLOOKUP($G372,Basic_Data!$E$2:$H$10,4,0),"")</f>
        <v>644</v>
      </c>
      <c r="J372" s="26"/>
      <c r="K372" s="27">
        <f>IFERROR(VLOOKUP($B372-1,Inverter_PR!$B:$I,Module_Cleaning!H372,0),"")</f>
        <v>1.26419833988641</v>
      </c>
      <c r="L372" s="27">
        <f>IFERROR(VLOOKUP($B372+1,Inverter_PR!$B:$I,Module_Cleaning!H372,0),"")</f>
        <v>1.29843854789008</v>
      </c>
      <c r="M372" s="26">
        <f>IFERROR(I372-J372,"")</f>
        <v>644</v>
      </c>
      <c r="N372" s="26" t="s">
        <v>236</v>
      </c>
    </row>
    <row r="373" ht="15" spans="1:14">
      <c r="A373" s="24"/>
      <c r="B373" s="25"/>
      <c r="C373" s="26"/>
      <c r="D373" s="26"/>
      <c r="E373" s="26"/>
      <c r="F373" s="26">
        <v>3</v>
      </c>
      <c r="G373" s="26" t="s">
        <v>40</v>
      </c>
      <c r="H373" s="26"/>
      <c r="I373" s="26"/>
      <c r="J373" s="26"/>
      <c r="K373" s="27"/>
      <c r="L373" s="27"/>
      <c r="M373" s="26"/>
      <c r="N373" s="26" t="s">
        <v>236</v>
      </c>
    </row>
    <row r="374" ht="15" spans="1:14">
      <c r="A374" s="24"/>
      <c r="B374" s="25"/>
      <c r="C374" s="26"/>
      <c r="D374" s="26"/>
      <c r="E374" s="26"/>
      <c r="F374" s="26">
        <v>3</v>
      </c>
      <c r="G374" s="26" t="s">
        <v>41</v>
      </c>
      <c r="H374" s="26"/>
      <c r="I374" s="26"/>
      <c r="J374" s="26"/>
      <c r="K374" s="27"/>
      <c r="L374" s="27"/>
      <c r="M374" s="26"/>
      <c r="N374" s="26" t="s">
        <v>236</v>
      </c>
    </row>
    <row r="375" ht="15" spans="1:14">
      <c r="A375" s="24">
        <v>46041</v>
      </c>
      <c r="B375" s="25">
        <v>46041</v>
      </c>
      <c r="C375" s="26">
        <v>0</v>
      </c>
      <c r="D375" s="26">
        <v>0</v>
      </c>
      <c r="E375" s="26">
        <v>0</v>
      </c>
      <c r="F375" s="26">
        <v>0</v>
      </c>
      <c r="G375" s="26"/>
      <c r="H375" s="26" t="str">
        <f>IFERROR(VLOOKUP(G375,Basic_Data!$E$2:$I$9,5,0),"")</f>
        <v/>
      </c>
      <c r="I375" s="26">
        <v>0</v>
      </c>
      <c r="J375" s="26">
        <v>0</v>
      </c>
      <c r="K375" s="27">
        <v>0</v>
      </c>
      <c r="L375" s="27">
        <v>0</v>
      </c>
      <c r="M375" s="26">
        <v>0</v>
      </c>
      <c r="N375" s="26" t="s">
        <v>237</v>
      </c>
    </row>
    <row r="376" ht="15" spans="1:14">
      <c r="A376" s="24">
        <v>46042</v>
      </c>
      <c r="B376" s="25">
        <v>46042</v>
      </c>
      <c r="C376" s="26">
        <v>0</v>
      </c>
      <c r="D376" s="26">
        <v>0</v>
      </c>
      <c r="E376" s="26">
        <v>0</v>
      </c>
      <c r="F376" s="26">
        <v>0</v>
      </c>
      <c r="G376" s="26"/>
      <c r="H376" s="26" t="str">
        <f>IFERROR(VLOOKUP(G376,Basic_Data!$E$2:$I$9,5,0),"")</f>
        <v/>
      </c>
      <c r="I376" s="26">
        <v>0</v>
      </c>
      <c r="J376" s="26">
        <v>0</v>
      </c>
      <c r="K376" s="27">
        <v>0</v>
      </c>
      <c r="L376" s="27">
        <v>0</v>
      </c>
      <c r="M376" s="26">
        <v>0</v>
      </c>
      <c r="N376" s="26" t="s">
        <v>237</v>
      </c>
    </row>
    <row r="377" ht="15" spans="1:14">
      <c r="A377" s="24">
        <v>46043</v>
      </c>
      <c r="B377" s="25">
        <v>46043</v>
      </c>
      <c r="C377" s="26">
        <v>0</v>
      </c>
      <c r="D377" s="26">
        <v>0</v>
      </c>
      <c r="E377" s="26">
        <v>0</v>
      </c>
      <c r="F377" s="26">
        <v>0</v>
      </c>
      <c r="G377" s="26"/>
      <c r="H377" s="26" t="str">
        <f>IFERROR(VLOOKUP(G377,Basic_Data!$E$2:$I$9,5,0),"")</f>
        <v/>
      </c>
      <c r="I377" s="26">
        <v>0</v>
      </c>
      <c r="J377" s="26">
        <v>0</v>
      </c>
      <c r="K377" s="27">
        <v>0</v>
      </c>
      <c r="L377" s="27">
        <v>0</v>
      </c>
      <c r="M377" s="26">
        <v>0</v>
      </c>
      <c r="N377" s="26" t="s">
        <v>237</v>
      </c>
    </row>
    <row r="378" ht="15" spans="1:14">
      <c r="A378" s="24">
        <v>46044</v>
      </c>
      <c r="B378" s="25">
        <v>46044</v>
      </c>
      <c r="C378" s="26">
        <v>0</v>
      </c>
      <c r="D378" s="26">
        <v>0</v>
      </c>
      <c r="E378" s="26">
        <v>0</v>
      </c>
      <c r="F378" s="26">
        <v>0</v>
      </c>
      <c r="G378" s="26"/>
      <c r="H378" s="26" t="str">
        <f>IFERROR(VLOOKUP(G378,Basic_Data!$E$2:$I$9,5,0),"")</f>
        <v/>
      </c>
      <c r="I378" s="26">
        <v>0</v>
      </c>
      <c r="J378" s="26">
        <v>0</v>
      </c>
      <c r="K378" s="27">
        <v>0</v>
      </c>
      <c r="L378" s="27">
        <v>0</v>
      </c>
      <c r="M378" s="26">
        <v>0</v>
      </c>
      <c r="N378" s="26" t="s">
        <v>237</v>
      </c>
    </row>
    <row r="379" ht="15" spans="1:14">
      <c r="A379" s="24">
        <v>46045</v>
      </c>
      <c r="B379" s="25">
        <v>46045</v>
      </c>
      <c r="C379" s="26"/>
      <c r="D379" s="26"/>
      <c r="E379" s="26"/>
      <c r="F379" s="26">
        <v>4</v>
      </c>
      <c r="G379" s="26" t="s">
        <v>35</v>
      </c>
      <c r="H379" s="26">
        <f>IFERROR(VLOOKUP(G379,Basic_Data!$E$2:$I$9,5,0),"")</f>
        <v>2</v>
      </c>
      <c r="I379" s="26">
        <f>IFERROR(VLOOKUP($G379,Basic_Data!$E$2:$H$10,4,0),"")</f>
        <v>616</v>
      </c>
      <c r="J379" s="26"/>
      <c r="K379" s="27">
        <f>IFERROR(VLOOKUP($B379-1,Inverter_PR!$B:$I,Module_Cleaning!H379,0),"")</f>
        <v>1.19422103096162</v>
      </c>
      <c r="L379" s="27">
        <f>IFERROR(VLOOKUP($B379+1,Inverter_PR!$B:$I,Module_Cleaning!H379,0),"")</f>
        <v>1.27937318674223</v>
      </c>
      <c r="M379" s="26">
        <f>IFERROR(I379-J379,"")</f>
        <v>616</v>
      </c>
      <c r="N379" s="26" t="s">
        <v>236</v>
      </c>
    </row>
    <row r="380" ht="15" spans="1:14">
      <c r="A380" s="24"/>
      <c r="B380" s="25"/>
      <c r="C380" s="26"/>
      <c r="D380" s="26"/>
      <c r="E380" s="26"/>
      <c r="F380" s="26">
        <v>4</v>
      </c>
      <c r="G380" s="26" t="s">
        <v>36</v>
      </c>
      <c r="H380" s="26"/>
      <c r="I380" s="26"/>
      <c r="J380" s="26"/>
      <c r="K380" s="27"/>
      <c r="L380" s="27"/>
      <c r="M380" s="26"/>
      <c r="N380" s="26" t="s">
        <v>236</v>
      </c>
    </row>
    <row r="381" ht="15" spans="1:14">
      <c r="A381" s="24">
        <v>46046</v>
      </c>
      <c r="B381" s="25">
        <v>46046</v>
      </c>
      <c r="C381" s="26"/>
      <c r="D381" s="26"/>
      <c r="E381" s="26"/>
      <c r="F381" s="26">
        <v>4</v>
      </c>
      <c r="G381" s="26" t="s">
        <v>37</v>
      </c>
      <c r="H381" s="26">
        <f>IFERROR(VLOOKUP(G381,Basic_Data!$E$2:$I$9,5,0),"")</f>
        <v>4</v>
      </c>
      <c r="I381" s="26">
        <f>IFERROR(VLOOKUP($G381,Basic_Data!$E$2:$H$10,4,0),"")</f>
        <v>616</v>
      </c>
      <c r="J381" s="26"/>
      <c r="K381" s="27">
        <f>IFERROR(VLOOKUP($B381-1,Inverter_PR!$B:$I,Module_Cleaning!H381,0),"")</f>
        <v>1.07707817551195</v>
      </c>
      <c r="L381" s="27">
        <f>IFERROR(VLOOKUP($B381+1,Inverter_PR!$B:$I,Module_Cleaning!H381,0),"")</f>
        <v>1.36341973289429</v>
      </c>
      <c r="M381" s="26">
        <f>IFERROR(I381-J381,"")</f>
        <v>616</v>
      </c>
      <c r="N381" s="26" t="s">
        <v>236</v>
      </c>
    </row>
    <row r="382" ht="15" spans="1:14">
      <c r="A382" s="24"/>
      <c r="B382" s="25"/>
      <c r="C382" s="26"/>
      <c r="D382" s="26"/>
      <c r="E382" s="26"/>
      <c r="F382" s="26">
        <v>4</v>
      </c>
      <c r="G382" s="26" t="s">
        <v>38</v>
      </c>
      <c r="H382" s="26"/>
      <c r="I382" s="26"/>
      <c r="J382" s="26"/>
      <c r="K382" s="27"/>
      <c r="L382" s="27"/>
      <c r="M382" s="26"/>
      <c r="N382" s="26" t="s">
        <v>236</v>
      </c>
    </row>
    <row r="383" ht="15" spans="1:14">
      <c r="A383" s="24"/>
      <c r="B383" s="25"/>
      <c r="C383" s="26"/>
      <c r="D383" s="26"/>
      <c r="E383" s="26"/>
      <c r="F383" s="26">
        <v>4</v>
      </c>
      <c r="G383" s="26" t="s">
        <v>39</v>
      </c>
      <c r="H383" s="26"/>
      <c r="I383" s="26"/>
      <c r="J383" s="26"/>
      <c r="K383" s="27"/>
      <c r="L383" s="27"/>
      <c r="M383" s="26"/>
      <c r="N383" s="26" t="s">
        <v>236</v>
      </c>
    </row>
    <row r="384" ht="15" spans="1:14">
      <c r="A384" s="24">
        <v>46047</v>
      </c>
      <c r="B384" s="25">
        <v>46047</v>
      </c>
      <c r="C384" s="26"/>
      <c r="D384" s="26"/>
      <c r="E384" s="26"/>
      <c r="F384" s="26">
        <v>4</v>
      </c>
      <c r="G384" s="26" t="s">
        <v>40</v>
      </c>
      <c r="H384" s="26">
        <f>IFERROR(VLOOKUP(G384,Basic_Data!$E$2:$I$9,5,0),"")</f>
        <v>7</v>
      </c>
      <c r="I384" s="26">
        <f>IFERROR(VLOOKUP($G384,Basic_Data!$E$2:$H$10,4,0),"")</f>
        <v>644</v>
      </c>
      <c r="J384" s="26"/>
      <c r="K384" s="27">
        <f>IFERROR(VLOOKUP($B384-1,Inverter_PR!$B:$I,Module_Cleaning!H384,0),"")</f>
        <v>1.26523437317729</v>
      </c>
      <c r="L384" s="27">
        <f>IFERROR(VLOOKUP($B384+1,Inverter_PR!$B:$I,Module_Cleaning!H384,0),"")</f>
        <v>1.25880366409968</v>
      </c>
      <c r="M384" s="26">
        <f>IFERROR(I384-J384,"")</f>
        <v>644</v>
      </c>
      <c r="N384" s="26" t="s">
        <v>236</v>
      </c>
    </row>
    <row r="385" ht="15" spans="1:14">
      <c r="A385" s="24"/>
      <c r="B385" s="25"/>
      <c r="C385" s="26"/>
      <c r="D385" s="26"/>
      <c r="E385" s="26"/>
      <c r="F385" s="26">
        <v>4</v>
      </c>
      <c r="G385" s="26" t="s">
        <v>41</v>
      </c>
      <c r="H385" s="26"/>
      <c r="I385" s="26"/>
      <c r="J385" s="26"/>
      <c r="K385" s="27"/>
      <c r="L385" s="27"/>
      <c r="M385" s="26"/>
      <c r="N385" s="26" t="s">
        <v>236</v>
      </c>
    </row>
    <row r="386" ht="15" spans="1:14">
      <c r="A386" s="24">
        <v>46048</v>
      </c>
      <c r="B386" s="25">
        <v>46048</v>
      </c>
      <c r="C386" s="26">
        <v>0</v>
      </c>
      <c r="D386" s="26">
        <v>0</v>
      </c>
      <c r="E386" s="26">
        <v>0</v>
      </c>
      <c r="F386" s="26">
        <v>0</v>
      </c>
      <c r="G386" s="26"/>
      <c r="H386" s="26" t="str">
        <f>IFERROR(VLOOKUP(G386,Basic_Data!$E$2:$I$9,5,0),"")</f>
        <v/>
      </c>
      <c r="I386" s="26">
        <v>0</v>
      </c>
      <c r="J386" s="26">
        <v>0</v>
      </c>
      <c r="K386" s="27">
        <v>0</v>
      </c>
      <c r="L386" s="27">
        <v>0</v>
      </c>
      <c r="M386" s="26">
        <f>IFERROR(I386-J386,"")</f>
        <v>0</v>
      </c>
      <c r="N386" s="26" t="s">
        <v>237</v>
      </c>
    </row>
    <row r="387" ht="15" spans="1:14">
      <c r="A387" s="24">
        <v>46049</v>
      </c>
      <c r="B387" s="25">
        <v>46049</v>
      </c>
      <c r="C387" s="26">
        <v>0</v>
      </c>
      <c r="D387" s="26">
        <v>0</v>
      </c>
      <c r="E387" s="26">
        <v>0</v>
      </c>
      <c r="F387" s="26">
        <v>0</v>
      </c>
      <c r="G387" s="26"/>
      <c r="H387" s="26" t="str">
        <f>IFERROR(VLOOKUP(G387,Basic_Data!$E$2:$I$9,5,0),"")</f>
        <v/>
      </c>
      <c r="I387" s="26">
        <v>0</v>
      </c>
      <c r="J387" s="26">
        <v>0</v>
      </c>
      <c r="K387" s="27">
        <v>0</v>
      </c>
      <c r="L387" s="27">
        <v>0</v>
      </c>
      <c r="M387" s="26">
        <f t="shared" ref="M387" si="156">IFERROR(I387-J387,"")</f>
        <v>0</v>
      </c>
      <c r="N387" s="26" t="s">
        <v>237</v>
      </c>
    </row>
    <row r="388" ht="15" spans="1:14">
      <c r="A388" s="24">
        <v>46050</v>
      </c>
      <c r="B388" s="25">
        <v>46050</v>
      </c>
      <c r="C388" s="26">
        <v>0</v>
      </c>
      <c r="D388" s="26">
        <v>0</v>
      </c>
      <c r="E388" s="26">
        <v>0</v>
      </c>
      <c r="F388" s="26">
        <v>0</v>
      </c>
      <c r="G388" s="26"/>
      <c r="H388" s="26" t="str">
        <f>IFERROR(VLOOKUP(G388,Basic_Data!$E$2:$I$9,5,0),"")</f>
        <v/>
      </c>
      <c r="I388" s="26">
        <v>0</v>
      </c>
      <c r="J388" s="26">
        <v>0</v>
      </c>
      <c r="K388" s="27">
        <v>0</v>
      </c>
      <c r="L388" s="27">
        <v>0</v>
      </c>
      <c r="M388" s="26">
        <f t="shared" ref="M388:M389" si="157">IFERROR(I388-J388,"")</f>
        <v>0</v>
      </c>
      <c r="N388" s="26" t="s">
        <v>237</v>
      </c>
    </row>
    <row r="389" ht="15" spans="1:14">
      <c r="A389" s="24">
        <v>46051</v>
      </c>
      <c r="B389" s="25">
        <v>46051</v>
      </c>
      <c r="C389" s="26">
        <v>1</v>
      </c>
      <c r="D389" s="26">
        <v>3000</v>
      </c>
      <c r="E389" s="26"/>
      <c r="F389" s="26">
        <v>2</v>
      </c>
      <c r="G389" s="26" t="s">
        <v>41</v>
      </c>
      <c r="H389" s="26">
        <f>IFERROR(VLOOKUP(G389,Basic_Data!$E$2:$I$9,5,0),"")</f>
        <v>8</v>
      </c>
      <c r="I389" s="26">
        <f>IFERROR(VLOOKUP($G389,Basic_Data!$E$2:$H$10,4,0),"")</f>
        <v>644</v>
      </c>
      <c r="J389" s="26"/>
      <c r="K389" s="27">
        <f>IFERROR(VLOOKUP($B389-1,Inverter_PR!$B:$I,Module_Cleaning!H389,0),"")</f>
        <v>1.30282230893792</v>
      </c>
      <c r="L389" s="27">
        <f>IFERROR(VLOOKUP($B389+1,Inverter_PR!$B:$I,Module_Cleaning!H389,0),"")</f>
        <v>1.23505740192425</v>
      </c>
      <c r="M389" s="26">
        <f t="shared" si="157"/>
        <v>644</v>
      </c>
      <c r="N389" s="26" t="s">
        <v>239</v>
      </c>
    </row>
    <row r="390" ht="15" spans="1:14">
      <c r="A390" s="24"/>
      <c r="B390" s="25"/>
      <c r="C390" s="26"/>
      <c r="D390" s="26"/>
      <c r="E390" s="26"/>
      <c r="F390" s="26"/>
      <c r="G390" s="26" t="s">
        <v>40</v>
      </c>
      <c r="H390" s="26"/>
      <c r="I390" s="26"/>
      <c r="J390" s="26"/>
      <c r="K390" s="27"/>
      <c r="L390" s="27"/>
      <c r="M390" s="26"/>
      <c r="N390" s="26" t="s">
        <v>239</v>
      </c>
    </row>
    <row r="391" ht="15" spans="1:14">
      <c r="A391" s="24">
        <v>46052</v>
      </c>
      <c r="B391" s="25">
        <v>46052</v>
      </c>
      <c r="C391" s="26">
        <v>3</v>
      </c>
      <c r="D391" s="26">
        <v>9000</v>
      </c>
      <c r="E391" s="26"/>
      <c r="F391" s="26">
        <v>2</v>
      </c>
      <c r="G391" s="26" t="s">
        <v>39</v>
      </c>
      <c r="H391" s="26">
        <f>IFERROR(VLOOKUP(G391,Basic_Data!$E$2:$I$9,5,0),"")</f>
        <v>6</v>
      </c>
      <c r="I391" s="26">
        <f>IFERROR(VLOOKUP($G391,Basic_Data!$E$2:$H$10,4,0),"")</f>
        <v>644</v>
      </c>
      <c r="J391" s="26"/>
      <c r="K391" s="27">
        <f>IFERROR(VLOOKUP($B391-1,Inverter_PR!$B:$I,Module_Cleaning!H391,0),"")</f>
        <v>1.2260996313127</v>
      </c>
      <c r="L391" s="27">
        <f>IFERROR(VLOOKUP($B391+1,Inverter_PR!$B:$I,Module_Cleaning!H391,0),"")</f>
        <v>1.15090820762398</v>
      </c>
      <c r="M391" s="26">
        <f>IFERROR(I391-J391,"")</f>
        <v>644</v>
      </c>
      <c r="N391" s="26" t="s">
        <v>239</v>
      </c>
    </row>
    <row r="392" ht="15" spans="1:14">
      <c r="A392" s="24"/>
      <c r="B392" s="25"/>
      <c r="C392" s="26"/>
      <c r="D392" s="26"/>
      <c r="E392" s="26"/>
      <c r="F392" s="26">
        <v>2</v>
      </c>
      <c r="G392" s="26" t="s">
        <v>38</v>
      </c>
      <c r="H392" s="26"/>
      <c r="I392" s="26"/>
      <c r="J392" s="26"/>
      <c r="K392" s="27"/>
      <c r="L392" s="27"/>
      <c r="M392" s="26"/>
      <c r="N392" s="26" t="s">
        <v>239</v>
      </c>
    </row>
    <row r="393" ht="15" spans="1:14">
      <c r="A393" s="24"/>
      <c r="B393" s="25"/>
      <c r="C393" s="26"/>
      <c r="D393" s="26"/>
      <c r="E393" s="26"/>
      <c r="F393" s="26">
        <v>2</v>
      </c>
      <c r="G393" s="26" t="s">
        <v>37</v>
      </c>
      <c r="H393" s="26"/>
      <c r="I393" s="26"/>
      <c r="J393" s="26"/>
      <c r="K393" s="27"/>
      <c r="L393" s="27"/>
      <c r="M393" s="26"/>
      <c r="N393" s="26" t="s">
        <v>239</v>
      </c>
    </row>
    <row r="394" ht="15" spans="1:14">
      <c r="A394" s="24"/>
      <c r="B394" s="25"/>
      <c r="C394" s="26"/>
      <c r="D394" s="26"/>
      <c r="E394" s="26"/>
      <c r="F394" s="26">
        <v>2</v>
      </c>
      <c r="G394" s="26" t="s">
        <v>36</v>
      </c>
      <c r="H394" s="26"/>
      <c r="I394" s="26"/>
      <c r="J394" s="26"/>
      <c r="K394" s="27"/>
      <c r="L394" s="27"/>
      <c r="M394" s="26"/>
      <c r="N394" s="26" t="s">
        <v>239</v>
      </c>
    </row>
    <row r="395" ht="15" spans="1:14">
      <c r="A395" s="24">
        <v>46053</v>
      </c>
      <c r="B395" s="25">
        <v>46053</v>
      </c>
      <c r="C395" s="26">
        <v>1</v>
      </c>
      <c r="D395" s="26">
        <v>1500</v>
      </c>
      <c r="E395" s="26"/>
      <c r="F395" s="26">
        <v>2</v>
      </c>
      <c r="G395" s="26" t="s">
        <v>35</v>
      </c>
      <c r="H395" s="26">
        <f>IFERROR(VLOOKUP(G395,Basic_Data!$E$2:$I$9,5,0),"")</f>
        <v>2</v>
      </c>
      <c r="I395" s="26">
        <f>IFERROR(VLOOKUP($G395,Basic_Data!$E$2:$H$10,4,0),"")</f>
        <v>616</v>
      </c>
      <c r="J395" s="26"/>
      <c r="K395" s="27">
        <f>IFERROR(VLOOKUP($B395-1,Inverter_PR!$B:$I,Module_Cleaning!H395,0),"")</f>
        <v>1.21469940033827</v>
      </c>
      <c r="L395" s="27">
        <f>IFERROR(VLOOKUP($B395+1,Inverter_PR!$B:$I,Module_Cleaning!H395,0),"")</f>
        <v>1.14700776339713</v>
      </c>
      <c r="M395" s="26">
        <f>IFERROR(I395-J395,"")</f>
        <v>616</v>
      </c>
      <c r="N395" s="26" t="s">
        <v>239</v>
      </c>
    </row>
    <row r="396" ht="15" spans="1:14">
      <c r="A396" s="24">
        <v>46054</v>
      </c>
      <c r="B396" s="25">
        <v>46054</v>
      </c>
      <c r="C396" s="26">
        <v>0</v>
      </c>
      <c r="D396" s="26">
        <v>0</v>
      </c>
      <c r="E396" s="26">
        <v>0</v>
      </c>
      <c r="F396" s="26">
        <v>0</v>
      </c>
      <c r="G396" s="26"/>
      <c r="H396" s="26" t="str">
        <f>IFERROR(VLOOKUP(G396,Basic_Data!$E$2:$I$9,5,0),"")</f>
        <v/>
      </c>
      <c r="I396" s="26">
        <v>0</v>
      </c>
      <c r="J396" s="26">
        <v>0</v>
      </c>
      <c r="K396" s="47">
        <v>0</v>
      </c>
      <c r="L396" s="47">
        <v>0</v>
      </c>
      <c r="M396" s="26">
        <f>IFERROR(I396-J396,"")</f>
        <v>0</v>
      </c>
      <c r="N396" s="26" t="s">
        <v>237</v>
      </c>
    </row>
    <row r="397" ht="15" spans="1:14">
      <c r="A397" s="24">
        <v>46055</v>
      </c>
      <c r="B397" s="25">
        <v>46055</v>
      </c>
      <c r="C397" s="26"/>
      <c r="D397" s="26"/>
      <c r="E397" s="26"/>
      <c r="F397" s="26">
        <v>1</v>
      </c>
      <c r="G397" s="26" t="s">
        <v>35</v>
      </c>
      <c r="H397" s="26">
        <f>IFERROR(VLOOKUP(G397,Basic_Data!$E$2:$I$9,5,0),"")</f>
        <v>2</v>
      </c>
      <c r="I397" s="26">
        <f>IFERROR(VLOOKUP($G397,Basic_Data!$E$2:$H$10,4,0),"")</f>
        <v>616</v>
      </c>
      <c r="J397" s="26"/>
      <c r="K397" s="27">
        <f>IFERROR(VLOOKUP($B397-1,Inverter_PR!$B:$I,Module_Cleaning!H397,0),"")</f>
        <v>1.14700776339713</v>
      </c>
      <c r="L397" s="27">
        <f>IFERROR(VLOOKUP($B397+1,Inverter_PR!$B:$I,Module_Cleaning!H397,0),"")</f>
        <v>1.20392756257566</v>
      </c>
      <c r="M397" s="26">
        <f>IFERROR(I397-J397,"")</f>
        <v>616</v>
      </c>
      <c r="N397" s="26" t="s">
        <v>236</v>
      </c>
    </row>
    <row r="398" ht="15" spans="1:14">
      <c r="A398" s="24"/>
      <c r="B398" s="25"/>
      <c r="C398" s="26"/>
      <c r="D398" s="26"/>
      <c r="E398" s="26"/>
      <c r="F398" s="26">
        <v>1</v>
      </c>
      <c r="G398" s="26" t="s">
        <v>36</v>
      </c>
      <c r="H398" s="26"/>
      <c r="I398" s="26"/>
      <c r="J398" s="26"/>
      <c r="K398" s="27"/>
      <c r="L398" s="27"/>
      <c r="M398" s="26"/>
      <c r="N398" s="26" t="s">
        <v>236</v>
      </c>
    </row>
    <row r="399" ht="15" spans="1:14">
      <c r="A399" s="24"/>
      <c r="B399" s="25"/>
      <c r="C399" s="26"/>
      <c r="D399" s="26"/>
      <c r="E399" s="26"/>
      <c r="F399" s="26">
        <v>1</v>
      </c>
      <c r="G399" s="26" t="s">
        <v>37</v>
      </c>
      <c r="H399" s="26"/>
      <c r="I399" s="26"/>
      <c r="J399" s="26"/>
      <c r="K399" s="27"/>
      <c r="L399" s="27"/>
      <c r="M399" s="26"/>
      <c r="N399" s="26" t="s">
        <v>236</v>
      </c>
    </row>
    <row r="400" ht="15" spans="1:14">
      <c r="A400" s="24"/>
      <c r="B400" s="25"/>
      <c r="C400" s="26"/>
      <c r="D400" s="26"/>
      <c r="E400" s="26"/>
      <c r="F400" s="26">
        <v>1</v>
      </c>
      <c r="G400" s="26" t="s">
        <v>38</v>
      </c>
      <c r="H400" s="26"/>
      <c r="I400" s="26"/>
      <c r="J400" s="26"/>
      <c r="K400" s="27"/>
      <c r="L400" s="27"/>
      <c r="M400" s="26"/>
      <c r="N400" s="26" t="s">
        <v>236</v>
      </c>
    </row>
    <row r="401" ht="15" spans="1:14">
      <c r="A401" s="24">
        <v>46056</v>
      </c>
      <c r="B401" s="25">
        <v>46056</v>
      </c>
      <c r="C401" s="26"/>
      <c r="D401" s="26"/>
      <c r="E401" s="26"/>
      <c r="F401" s="26">
        <v>1</v>
      </c>
      <c r="G401" s="26" t="s">
        <v>39</v>
      </c>
      <c r="H401" s="26">
        <f>IFERROR(VLOOKUP(G401,Basic_Data!$E$2:$I$9,5,0),"")</f>
        <v>6</v>
      </c>
      <c r="I401" s="26">
        <f>IFERROR(VLOOKUP($G401,Basic_Data!$E$2:$H$10,4,0),"")</f>
        <v>644</v>
      </c>
      <c r="J401" s="26"/>
      <c r="K401" s="27">
        <f>IFERROR(VLOOKUP($B401-1,Inverter_PR!$B:$I,Module_Cleaning!H401,0),"")</f>
        <v>1.15435023691904</v>
      </c>
      <c r="L401" s="27">
        <f>IFERROR(VLOOKUP($B401+1,Inverter_PR!$B:$I,Module_Cleaning!H401,0),"")</f>
        <v>1.20083528662831</v>
      </c>
      <c r="M401" s="26">
        <f>IFERROR(I401-J401,"")</f>
        <v>644</v>
      </c>
      <c r="N401" s="26" t="s">
        <v>236</v>
      </c>
    </row>
    <row r="402" ht="15" spans="1:14">
      <c r="A402" s="24"/>
      <c r="B402" s="25"/>
      <c r="C402" s="26"/>
      <c r="D402" s="26"/>
      <c r="E402" s="26"/>
      <c r="F402" s="26">
        <v>1</v>
      </c>
      <c r="G402" s="26" t="s">
        <v>40</v>
      </c>
      <c r="H402" s="26"/>
      <c r="I402" s="26"/>
      <c r="J402" s="26"/>
      <c r="K402" s="27"/>
      <c r="L402" s="27"/>
      <c r="M402" s="26"/>
      <c r="N402" s="26" t="s">
        <v>236</v>
      </c>
    </row>
    <row r="403" ht="15" spans="1:14">
      <c r="A403" s="24"/>
      <c r="B403" s="25"/>
      <c r="C403" s="26"/>
      <c r="D403" s="26"/>
      <c r="E403" s="26"/>
      <c r="F403" s="26">
        <v>1</v>
      </c>
      <c r="G403" s="26" t="s">
        <v>41</v>
      </c>
      <c r="H403" s="26"/>
      <c r="I403" s="26"/>
      <c r="J403" s="26"/>
      <c r="K403" s="27"/>
      <c r="L403" s="27"/>
      <c r="M403" s="26"/>
      <c r="N403" s="26" t="s">
        <v>236</v>
      </c>
    </row>
    <row r="404" ht="15" spans="1:14">
      <c r="A404" s="24">
        <v>46057</v>
      </c>
      <c r="B404" s="25">
        <v>46057</v>
      </c>
      <c r="C404" s="26">
        <v>0</v>
      </c>
      <c r="D404" s="26">
        <v>0</v>
      </c>
      <c r="E404" s="26">
        <v>0</v>
      </c>
      <c r="F404" s="26">
        <v>0</v>
      </c>
      <c r="G404" s="26"/>
      <c r="H404" s="26" t="str">
        <f>IFERROR(VLOOKUP(G404,Basic_Data!$E$2:$I$9,5,0),"")</f>
        <v/>
      </c>
      <c r="I404" s="26">
        <v>0</v>
      </c>
      <c r="J404" s="26">
        <v>0</v>
      </c>
      <c r="K404" s="47">
        <v>0</v>
      </c>
      <c r="L404" s="47">
        <v>0</v>
      </c>
      <c r="M404" s="26">
        <f t="shared" ref="M404:M411" si="158">IFERROR(I404-J404,"")</f>
        <v>0</v>
      </c>
      <c r="N404" s="26" t="s">
        <v>237</v>
      </c>
    </row>
    <row r="405" ht="15" spans="1:14">
      <c r="A405" s="24">
        <v>46058</v>
      </c>
      <c r="B405" s="25">
        <v>46058</v>
      </c>
      <c r="C405" s="26">
        <v>0</v>
      </c>
      <c r="D405" s="26">
        <v>0</v>
      </c>
      <c r="E405" s="26">
        <v>0</v>
      </c>
      <c r="F405" s="26">
        <v>0</v>
      </c>
      <c r="G405" s="26"/>
      <c r="H405" s="26">
        <v>0</v>
      </c>
      <c r="I405" s="26">
        <v>0</v>
      </c>
      <c r="J405" s="26">
        <v>0</v>
      </c>
      <c r="K405" s="47">
        <v>0</v>
      </c>
      <c r="L405" s="47">
        <v>0</v>
      </c>
      <c r="M405" s="26">
        <f t="shared" si="158"/>
        <v>0</v>
      </c>
      <c r="N405" s="26" t="s">
        <v>237</v>
      </c>
    </row>
    <row r="406" ht="15" spans="1:14">
      <c r="A406" s="24">
        <v>46059</v>
      </c>
      <c r="B406" s="25">
        <v>46059</v>
      </c>
      <c r="C406" s="26">
        <v>0</v>
      </c>
      <c r="D406" s="26">
        <v>0</v>
      </c>
      <c r="E406" s="26">
        <v>0</v>
      </c>
      <c r="F406" s="26">
        <v>0</v>
      </c>
      <c r="G406" s="26"/>
      <c r="H406" s="26">
        <v>0</v>
      </c>
      <c r="I406" s="26">
        <v>0</v>
      </c>
      <c r="J406" s="26">
        <v>0</v>
      </c>
      <c r="K406" s="47">
        <v>0</v>
      </c>
      <c r="L406" s="47">
        <v>0</v>
      </c>
      <c r="M406" s="26">
        <f t="shared" si="158"/>
        <v>0</v>
      </c>
      <c r="N406" s="26" t="s">
        <v>237</v>
      </c>
    </row>
    <row r="407" ht="29" customHeight="1" spans="1:14">
      <c r="A407" s="24">
        <v>46060</v>
      </c>
      <c r="B407" s="25">
        <v>46060</v>
      </c>
      <c r="C407" s="26">
        <v>0</v>
      </c>
      <c r="D407" s="26">
        <v>0</v>
      </c>
      <c r="E407" s="26">
        <v>0</v>
      </c>
      <c r="F407" s="26">
        <v>0</v>
      </c>
      <c r="G407" s="26"/>
      <c r="H407" s="26" t="str">
        <f>IFERROR(VLOOKUP(G407,Basic_Data!$E$2:$I$9,5,0),"")</f>
        <v/>
      </c>
      <c r="I407" s="26">
        <v>0</v>
      </c>
      <c r="J407" s="26">
        <v>0</v>
      </c>
      <c r="K407" s="47">
        <v>0</v>
      </c>
      <c r="L407" s="47">
        <v>0</v>
      </c>
      <c r="M407" s="26">
        <f t="shared" si="158"/>
        <v>0</v>
      </c>
      <c r="N407" s="26" t="s">
        <v>237</v>
      </c>
    </row>
    <row r="408" ht="15" spans="1:14">
      <c r="A408" s="24">
        <v>46061</v>
      </c>
      <c r="B408" s="25">
        <v>46061</v>
      </c>
      <c r="C408" s="26"/>
      <c r="D408" s="26"/>
      <c r="E408" s="26"/>
      <c r="F408" s="26">
        <v>2</v>
      </c>
      <c r="G408" s="26" t="s">
        <v>35</v>
      </c>
      <c r="H408" s="26">
        <f>IFERROR(VLOOKUP(G408,Basic_Data!$E$2:$I$9,5,0),"")</f>
        <v>2</v>
      </c>
      <c r="I408" s="26">
        <f>IFERROR(VLOOKUP($G408,Basic_Data!$E$2:$H$10,4,0),"")</f>
        <v>616</v>
      </c>
      <c r="J408" s="26"/>
      <c r="K408" s="27">
        <f>IFERROR(VLOOKUP($B408-1,Inverter_PR!$B:$I,Module_Cleaning!H408,0),"")</f>
        <v>1.15309031072167</v>
      </c>
      <c r="L408" s="27">
        <f>IFERROR(VLOOKUP($B408+1,Inverter_PR!$B:$I,Module_Cleaning!H408,0),"")</f>
        <v>1.24735765160885</v>
      </c>
      <c r="M408" s="26">
        <f t="shared" si="158"/>
        <v>616</v>
      </c>
      <c r="N408" s="26" t="s">
        <v>236</v>
      </c>
    </row>
    <row r="409" ht="15" spans="1:14">
      <c r="A409" s="24"/>
      <c r="B409" s="25"/>
      <c r="C409" s="26"/>
      <c r="D409" s="26"/>
      <c r="E409" s="26"/>
      <c r="F409" s="26">
        <v>2</v>
      </c>
      <c r="G409" s="26" t="s">
        <v>36</v>
      </c>
      <c r="H409" s="26"/>
      <c r="I409" s="26"/>
      <c r="J409" s="26"/>
      <c r="K409" s="27"/>
      <c r="L409" s="27"/>
      <c r="M409" s="26"/>
      <c r="N409" s="26" t="s">
        <v>236</v>
      </c>
    </row>
    <row r="410" ht="15" spans="1:14">
      <c r="A410" s="24"/>
      <c r="B410" s="25"/>
      <c r="C410" s="26"/>
      <c r="D410" s="26"/>
      <c r="E410" s="26"/>
      <c r="F410" s="26">
        <v>2</v>
      </c>
      <c r="G410" s="26" t="s">
        <v>37</v>
      </c>
      <c r="H410" s="26"/>
      <c r="I410" s="26"/>
      <c r="J410" s="26"/>
      <c r="K410" s="27"/>
      <c r="L410" s="27"/>
      <c r="M410" s="26"/>
      <c r="N410" s="26" t="s">
        <v>236</v>
      </c>
    </row>
    <row r="411" ht="15" spans="1:14">
      <c r="A411" s="24"/>
      <c r="B411" s="25"/>
      <c r="C411" s="26"/>
      <c r="D411" s="26"/>
      <c r="E411" s="26"/>
      <c r="F411" s="26">
        <v>2</v>
      </c>
      <c r="G411" s="26" t="s">
        <v>38</v>
      </c>
      <c r="H411" s="26"/>
      <c r="I411" s="26"/>
      <c r="J411" s="26"/>
      <c r="K411" s="27"/>
      <c r="L411" s="27"/>
      <c r="M411" s="26"/>
      <c r="N411" s="26" t="s">
        <v>236</v>
      </c>
    </row>
    <row r="412" ht="15" spans="1:14">
      <c r="A412" s="24">
        <v>46062</v>
      </c>
      <c r="B412" s="25">
        <v>46062</v>
      </c>
      <c r="C412" s="26">
        <v>0</v>
      </c>
      <c r="D412" s="26">
        <v>0</v>
      </c>
      <c r="E412" s="26">
        <v>0</v>
      </c>
      <c r="F412" s="26">
        <v>0</v>
      </c>
      <c r="G412" s="26"/>
      <c r="H412" s="26" t="str">
        <f>IFERROR(VLOOKUP(G412,Basic_Data!$E$2:$I$9,5,0),"")</f>
        <v/>
      </c>
      <c r="I412" s="26">
        <v>0</v>
      </c>
      <c r="J412" s="26">
        <v>0</v>
      </c>
      <c r="K412" s="47">
        <v>0</v>
      </c>
      <c r="L412" s="47">
        <v>0</v>
      </c>
      <c r="M412" s="26">
        <f>IFERROR(I412-J412,"")</f>
        <v>0</v>
      </c>
      <c r="N412" s="26" t="s">
        <v>237</v>
      </c>
    </row>
    <row r="413" ht="15" spans="1:14">
      <c r="A413" s="24">
        <v>46063</v>
      </c>
      <c r="B413" s="25">
        <v>46063</v>
      </c>
      <c r="C413" s="26"/>
      <c r="D413" s="26"/>
      <c r="E413" s="26"/>
      <c r="F413" s="26">
        <v>2</v>
      </c>
      <c r="G413" s="26" t="s">
        <v>39</v>
      </c>
      <c r="H413" s="26">
        <f>IFERROR(VLOOKUP(G413,Basic_Data!$E$2:$I$9,5,0),"")</f>
        <v>6</v>
      </c>
      <c r="I413" s="26">
        <f>IFERROR(VLOOKUP($G413,Basic_Data!$E$2:$H$10,4,0),"")</f>
        <v>644</v>
      </c>
      <c r="J413" s="26"/>
      <c r="K413" s="27">
        <f>IFERROR(VLOOKUP($B413-1,Inverter_PR!$B:$I,Module_Cleaning!H413,0),"")</f>
        <v>1.23513317640185</v>
      </c>
      <c r="L413" s="27">
        <f>IFERROR(VLOOKUP($B413+1,Inverter_PR!$B:$I,Module_Cleaning!H413,0),"")</f>
        <v>1.29326788344409</v>
      </c>
      <c r="M413" s="26">
        <f>IFERROR(I413-J413,"")</f>
        <v>644</v>
      </c>
      <c r="N413" s="26" t="s">
        <v>236</v>
      </c>
    </row>
    <row r="414" ht="15" spans="1:14">
      <c r="A414" s="24"/>
      <c r="B414" s="25"/>
      <c r="C414" s="26"/>
      <c r="D414" s="26"/>
      <c r="E414" s="26"/>
      <c r="F414" s="26">
        <v>2</v>
      </c>
      <c r="G414" s="26" t="s">
        <v>40</v>
      </c>
      <c r="H414" s="26"/>
      <c r="I414" s="26"/>
      <c r="J414" s="26"/>
      <c r="K414" s="27"/>
      <c r="L414" s="27"/>
      <c r="M414" s="26"/>
      <c r="N414" s="26" t="s">
        <v>236</v>
      </c>
    </row>
    <row r="415" ht="15" spans="1:14">
      <c r="A415" s="24"/>
      <c r="B415" s="25"/>
      <c r="C415" s="26"/>
      <c r="D415" s="26"/>
      <c r="E415" s="26"/>
      <c r="F415" s="26">
        <v>2</v>
      </c>
      <c r="G415" s="26" t="s">
        <v>41</v>
      </c>
      <c r="H415" s="26"/>
      <c r="I415" s="26"/>
      <c r="J415" s="26"/>
      <c r="K415" s="27"/>
      <c r="L415" s="27"/>
      <c r="M415" s="26"/>
      <c r="N415" s="26" t="s">
        <v>236</v>
      </c>
    </row>
    <row r="416" ht="15" spans="1:14">
      <c r="A416" s="24"/>
      <c r="B416" s="25"/>
      <c r="C416" s="26"/>
      <c r="D416" s="26"/>
      <c r="E416" s="26"/>
      <c r="F416" s="26"/>
      <c r="G416" s="26"/>
      <c r="H416" s="26"/>
      <c r="I416" s="26"/>
      <c r="J416" s="26"/>
      <c r="K416" s="27"/>
      <c r="L416" s="27"/>
      <c r="M416" s="26"/>
      <c r="N416" s="26"/>
    </row>
    <row r="417" ht="15" spans="1:14">
      <c r="A417" s="24">
        <v>46064</v>
      </c>
      <c r="B417" s="25">
        <v>46064</v>
      </c>
      <c r="C417" s="26">
        <v>0</v>
      </c>
      <c r="D417" s="26">
        <v>0</v>
      </c>
      <c r="E417" s="26">
        <v>0</v>
      </c>
      <c r="F417" s="26">
        <v>0</v>
      </c>
      <c r="G417" s="26"/>
      <c r="H417" s="26">
        <v>0</v>
      </c>
      <c r="I417" s="26">
        <v>0</v>
      </c>
      <c r="J417" s="26">
        <v>0</v>
      </c>
      <c r="K417" s="47">
        <v>0</v>
      </c>
      <c r="L417" s="47">
        <v>0</v>
      </c>
      <c r="M417" s="26">
        <f>IFERROR(I417-J417,"")</f>
        <v>0</v>
      </c>
      <c r="N417" s="26" t="s">
        <v>237</v>
      </c>
    </row>
    <row r="418" ht="15" spans="1:14">
      <c r="A418" s="24">
        <v>46065</v>
      </c>
      <c r="B418" s="25">
        <v>46065</v>
      </c>
      <c r="C418" s="26">
        <v>0</v>
      </c>
      <c r="D418" s="26">
        <v>0</v>
      </c>
      <c r="E418" s="26">
        <v>0</v>
      </c>
      <c r="F418" s="26">
        <v>0</v>
      </c>
      <c r="G418" s="26"/>
      <c r="H418" s="26" t="str">
        <f>IFERROR(VLOOKUP(G418,Basic_Data!$E$2:$I$9,5,0),"")</f>
        <v/>
      </c>
      <c r="I418" s="26">
        <v>0</v>
      </c>
      <c r="J418" s="26">
        <v>0</v>
      </c>
      <c r="K418" s="47">
        <v>0</v>
      </c>
      <c r="L418" s="47">
        <v>0</v>
      </c>
      <c r="M418" s="26">
        <v>0</v>
      </c>
      <c r="N418" s="26" t="s">
        <v>237</v>
      </c>
    </row>
    <row r="419" ht="15" spans="1:14">
      <c r="A419" s="24">
        <v>46066</v>
      </c>
      <c r="B419" s="25">
        <v>46066</v>
      </c>
      <c r="C419" s="26">
        <v>0</v>
      </c>
      <c r="D419" s="26">
        <v>0</v>
      </c>
      <c r="E419" s="26">
        <v>0</v>
      </c>
      <c r="F419" s="26">
        <v>0</v>
      </c>
      <c r="G419" s="26"/>
      <c r="H419" s="26" t="str">
        <f>IFERROR(VLOOKUP(G419,Basic_Data!$E$2:$I$9,5,0),"")</f>
        <v/>
      </c>
      <c r="I419" s="26">
        <v>0</v>
      </c>
      <c r="J419" s="26">
        <v>0</v>
      </c>
      <c r="K419" s="47">
        <v>0</v>
      </c>
      <c r="L419" s="47">
        <v>0</v>
      </c>
      <c r="M419" s="26">
        <f>IFERROR(I419-J419,"")</f>
        <v>0</v>
      </c>
      <c r="N419" s="26" t="s">
        <v>237</v>
      </c>
    </row>
    <row r="420" ht="15" spans="1:14">
      <c r="A420" s="24">
        <v>46067</v>
      </c>
      <c r="B420" s="25">
        <v>46067</v>
      </c>
      <c r="C420" s="26">
        <v>0</v>
      </c>
      <c r="D420" s="26">
        <v>0</v>
      </c>
      <c r="E420" s="26">
        <v>0</v>
      </c>
      <c r="F420" s="26">
        <v>0</v>
      </c>
      <c r="G420" s="26"/>
      <c r="H420" s="26" t="str">
        <f>IFERROR(VLOOKUP(G420,Basic_Data!$E$2:$I$9,5,0),"")</f>
        <v/>
      </c>
      <c r="I420" s="26">
        <v>0</v>
      </c>
      <c r="J420" s="26">
        <v>0</v>
      </c>
      <c r="K420" s="47">
        <v>0</v>
      </c>
      <c r="L420" s="47">
        <v>0</v>
      </c>
      <c r="M420" s="26">
        <f>IFERROR(I420-J420,"")</f>
        <v>0</v>
      </c>
      <c r="N420" s="26" t="s">
        <v>237</v>
      </c>
    </row>
    <row r="421" ht="15" spans="1:14">
      <c r="A421" s="24">
        <v>46068</v>
      </c>
      <c r="B421" s="25">
        <v>46068</v>
      </c>
      <c r="C421" s="26">
        <v>4</v>
      </c>
      <c r="D421" s="26">
        <v>6000</v>
      </c>
      <c r="E421" s="26"/>
      <c r="F421" s="26">
        <v>1</v>
      </c>
      <c r="G421" s="26" t="s">
        <v>41</v>
      </c>
      <c r="H421" s="26">
        <f>IFERROR(VLOOKUP(G421,Basic_Data!$E$2:$I$9,5,0),"")</f>
        <v>8</v>
      </c>
      <c r="I421" s="26">
        <f>IFERROR(VLOOKUP($G421,Basic_Data!$E$2:$H$10,4,0),"")</f>
        <v>644</v>
      </c>
      <c r="J421" s="26"/>
      <c r="K421" s="27">
        <f>IFERROR(VLOOKUP($B421-1,Inverter_PR!$B:$I,Module_Cleaning!H421,0),"")</f>
        <v>1.21590179365907</v>
      </c>
      <c r="L421" s="27">
        <f>IFERROR(VLOOKUP($B421+1,Inverter_PR!$B:$I,Module_Cleaning!H421,0),"")</f>
        <v>1.24710778423241</v>
      </c>
      <c r="M421" s="26">
        <f>IFERROR(I421-J421,"")</f>
        <v>644</v>
      </c>
      <c r="N421" s="26" t="s">
        <v>239</v>
      </c>
    </row>
    <row r="422" ht="15" spans="1:14">
      <c r="A422" s="24"/>
      <c r="B422" s="25"/>
      <c r="C422" s="26"/>
      <c r="D422" s="26"/>
      <c r="E422" s="26"/>
      <c r="F422" s="26">
        <v>1</v>
      </c>
      <c r="G422" s="26" t="s">
        <v>40</v>
      </c>
      <c r="H422" s="26"/>
      <c r="I422" s="26"/>
      <c r="J422" s="26"/>
      <c r="K422" s="27"/>
      <c r="L422" s="27"/>
      <c r="M422" s="26"/>
      <c r="N422" s="26" t="s">
        <v>239</v>
      </c>
    </row>
    <row r="423" ht="15" spans="1:14">
      <c r="A423" s="24"/>
      <c r="B423" s="25"/>
      <c r="C423" s="26"/>
      <c r="D423" s="26"/>
      <c r="E423" s="26"/>
      <c r="F423" s="26">
        <v>1</v>
      </c>
      <c r="G423" s="26" t="s">
        <v>39</v>
      </c>
      <c r="H423" s="26"/>
      <c r="I423" s="26"/>
      <c r="J423" s="26"/>
      <c r="K423" s="27"/>
      <c r="L423" s="27"/>
      <c r="M423" s="26"/>
      <c r="N423" s="26" t="s">
        <v>239</v>
      </c>
    </row>
    <row r="424" ht="15" spans="1:14">
      <c r="A424" s="24">
        <v>46069</v>
      </c>
      <c r="B424" s="25">
        <v>46069</v>
      </c>
      <c r="C424" s="26">
        <v>2</v>
      </c>
      <c r="D424" s="26">
        <v>3000</v>
      </c>
      <c r="E424" s="26"/>
      <c r="F424" s="26">
        <v>1</v>
      </c>
      <c r="G424" s="26" t="s">
        <v>36</v>
      </c>
      <c r="H424" s="26">
        <f>IFERROR(VLOOKUP(G424,Basic_Data!$E$2:$I$9,5,0),"")</f>
        <v>3</v>
      </c>
      <c r="I424" s="26">
        <f>IFERROR(VLOOKUP($G424,Basic_Data!$E$2:$H$10,4,0),"")</f>
        <v>616</v>
      </c>
      <c r="J424" s="26"/>
      <c r="K424" s="27">
        <f>IFERROR(VLOOKUP($B424-1,Inverter_PR!$B:$I,Module_Cleaning!H424,0),"")</f>
        <v>1.26098966263936</v>
      </c>
      <c r="L424" s="27">
        <f>IFERROR(VLOOKUP($B424+1,Inverter_PR!$B:$I,Module_Cleaning!H424,0),"")</f>
        <v>1.18514018905818</v>
      </c>
      <c r="M424" s="26">
        <f>IFERROR(I424-J424,"")</f>
        <v>616</v>
      </c>
      <c r="N424" s="26" t="s">
        <v>239</v>
      </c>
    </row>
    <row r="425" ht="15" spans="1:14">
      <c r="A425" s="24"/>
      <c r="B425" s="25"/>
      <c r="C425" s="26"/>
      <c r="D425" s="26"/>
      <c r="E425" s="26"/>
      <c r="F425" s="26">
        <v>1</v>
      </c>
      <c r="G425" s="26" t="s">
        <v>38</v>
      </c>
      <c r="H425" s="26"/>
      <c r="I425" s="26"/>
      <c r="J425" s="26"/>
      <c r="K425" s="27"/>
      <c r="L425" s="27"/>
      <c r="M425" s="26"/>
      <c r="N425" s="26" t="s">
        <v>239</v>
      </c>
    </row>
    <row r="426" ht="15" spans="1:14">
      <c r="A426" s="24"/>
      <c r="B426" s="25"/>
      <c r="C426" s="26"/>
      <c r="D426" s="26"/>
      <c r="E426" s="26"/>
      <c r="F426" s="26">
        <v>1</v>
      </c>
      <c r="G426" s="26" t="s">
        <v>37</v>
      </c>
      <c r="H426" s="26"/>
      <c r="I426" s="26"/>
      <c r="J426" s="26"/>
      <c r="K426" s="27"/>
      <c r="L426" s="27"/>
      <c r="M426" s="26"/>
      <c r="N426" s="26" t="s">
        <v>239</v>
      </c>
    </row>
    <row r="427" ht="15" spans="1:14">
      <c r="A427" s="24"/>
      <c r="B427" s="25"/>
      <c r="C427" s="26"/>
      <c r="D427" s="26"/>
      <c r="E427" s="26"/>
      <c r="F427" s="26">
        <v>1</v>
      </c>
      <c r="G427" s="26" t="s">
        <v>35</v>
      </c>
      <c r="H427" s="26"/>
      <c r="I427" s="26"/>
      <c r="J427" s="26"/>
      <c r="K427" s="27"/>
      <c r="L427" s="27"/>
      <c r="M427" s="26"/>
      <c r="N427" s="26" t="s">
        <v>239</v>
      </c>
    </row>
    <row r="428" ht="15" spans="1:14">
      <c r="A428" s="24">
        <v>46070</v>
      </c>
      <c r="B428" s="25">
        <v>46070</v>
      </c>
      <c r="C428" s="26">
        <v>0</v>
      </c>
      <c r="D428" s="26">
        <v>0</v>
      </c>
      <c r="E428" s="26">
        <v>0</v>
      </c>
      <c r="F428" s="26">
        <v>0</v>
      </c>
      <c r="G428" s="26"/>
      <c r="H428" s="26" t="str">
        <f>IFERROR(VLOOKUP(G428,Basic_Data!$E$2:$I$9,5,0),"")</f>
        <v/>
      </c>
      <c r="I428" s="26">
        <v>0</v>
      </c>
      <c r="J428" s="26">
        <v>0</v>
      </c>
      <c r="K428" s="47">
        <v>0</v>
      </c>
      <c r="L428" s="47">
        <v>0</v>
      </c>
      <c r="M428" s="26">
        <v>0</v>
      </c>
      <c r="N428" s="26" t="s">
        <v>237</v>
      </c>
    </row>
    <row r="429" ht="15" spans="1:14">
      <c r="A429" s="24">
        <v>46071</v>
      </c>
      <c r="B429" s="25">
        <v>46071</v>
      </c>
      <c r="C429" s="26"/>
      <c r="D429" s="26"/>
      <c r="E429" s="26"/>
      <c r="F429" s="26">
        <v>3</v>
      </c>
      <c r="G429" s="26" t="s">
        <v>35</v>
      </c>
      <c r="H429" s="26">
        <f>IFERROR(VLOOKUP(G429,Basic_Data!$E$2:$I$9,5,0),"")</f>
        <v>2</v>
      </c>
      <c r="I429" s="26">
        <f>IFERROR(VLOOKUP($G429,Basic_Data!$E$2:$H$10,4,0),"")</f>
        <v>616</v>
      </c>
      <c r="J429" s="26"/>
      <c r="K429" s="27">
        <f>IFERROR(VLOOKUP($B429-1,Inverter_PR!$B:$I,Module_Cleaning!H429,0),"")</f>
        <v>1.19240739476595</v>
      </c>
      <c r="L429" s="27">
        <f>IFERROR(VLOOKUP($B429+1,Inverter_PR!$B:$I,Module_Cleaning!H429,0),"")</f>
        <v>1.25050772830172</v>
      </c>
      <c r="M429" s="26">
        <f>IFERROR(I429-J429,"")</f>
        <v>616</v>
      </c>
      <c r="N429" s="26" t="s">
        <v>236</v>
      </c>
    </row>
    <row r="430" ht="15" spans="1:14">
      <c r="A430" s="24"/>
      <c r="B430" s="25"/>
      <c r="C430" s="26"/>
      <c r="D430" s="26"/>
      <c r="E430" s="26"/>
      <c r="F430" s="26">
        <v>3</v>
      </c>
      <c r="G430" s="26" t="s">
        <v>36</v>
      </c>
      <c r="H430" s="26"/>
      <c r="I430" s="26"/>
      <c r="J430" s="26"/>
      <c r="K430" s="27"/>
      <c r="L430" s="27"/>
      <c r="M430" s="26"/>
      <c r="N430" s="26" t="s">
        <v>236</v>
      </c>
    </row>
    <row r="431" ht="15" spans="1:14">
      <c r="A431" s="24"/>
      <c r="B431" s="25"/>
      <c r="C431" s="26"/>
      <c r="D431" s="26"/>
      <c r="E431" s="26"/>
      <c r="F431" s="26">
        <v>3</v>
      </c>
      <c r="G431" s="26" t="s">
        <v>37</v>
      </c>
      <c r="H431" s="26"/>
      <c r="I431" s="26"/>
      <c r="J431" s="26"/>
      <c r="K431" s="27"/>
      <c r="L431" s="27"/>
      <c r="M431" s="26"/>
      <c r="N431" s="26" t="s">
        <v>236</v>
      </c>
    </row>
    <row r="432" ht="15" spans="1:14">
      <c r="A432" s="24"/>
      <c r="B432" s="25"/>
      <c r="C432" s="26"/>
      <c r="D432" s="26"/>
      <c r="E432" s="26"/>
      <c r="F432" s="26">
        <v>3</v>
      </c>
      <c r="G432" s="26" t="s">
        <v>38</v>
      </c>
      <c r="H432" s="26"/>
      <c r="I432" s="26"/>
      <c r="J432" s="26"/>
      <c r="K432" s="27"/>
      <c r="L432" s="27"/>
      <c r="M432" s="26"/>
      <c r="N432" s="26" t="s">
        <v>236</v>
      </c>
    </row>
    <row r="433" ht="15" spans="1:14">
      <c r="A433" s="24">
        <v>46072</v>
      </c>
      <c r="B433" s="25">
        <v>46072</v>
      </c>
      <c r="C433" s="26"/>
      <c r="D433" s="26"/>
      <c r="E433" s="26"/>
      <c r="F433" s="26">
        <v>3</v>
      </c>
      <c r="G433" s="26" t="s">
        <v>39</v>
      </c>
      <c r="H433" s="26">
        <f>IFERROR(VLOOKUP(G433,Basic_Data!$E$2:$I$9,5,0),"")</f>
        <v>6</v>
      </c>
      <c r="I433" s="26">
        <f>IFERROR(VLOOKUP($G433,Basic_Data!$E$2:$H$10,4,0),"")</f>
        <v>644</v>
      </c>
      <c r="J433" s="26"/>
      <c r="K433" s="27">
        <f>IFERROR(VLOOKUP($B433-1,Inverter_PR!$B:$I,Module_Cleaning!H433,0),"")</f>
        <v>1.259695659714</v>
      </c>
      <c r="L433" s="27">
        <f>IFERROR(VLOOKUP($B433+1,Inverter_PR!$B:$I,Module_Cleaning!H433,0),"")</f>
        <v>1.18098879786843</v>
      </c>
      <c r="M433" s="26">
        <f>IFERROR(I433-J433,"")</f>
        <v>644</v>
      </c>
      <c r="N433" s="26" t="s">
        <v>236</v>
      </c>
    </row>
    <row r="434" ht="15" spans="1:14">
      <c r="A434" s="24"/>
      <c r="B434" s="25"/>
      <c r="C434" s="26"/>
      <c r="D434" s="26"/>
      <c r="E434" s="26"/>
      <c r="F434" s="26">
        <v>3</v>
      </c>
      <c r="G434" s="26" t="s">
        <v>40</v>
      </c>
      <c r="H434" s="26"/>
      <c r="I434" s="26"/>
      <c r="J434" s="26"/>
      <c r="K434" s="27"/>
      <c r="L434" s="27"/>
      <c r="M434" s="26"/>
      <c r="N434" s="26" t="s">
        <v>236</v>
      </c>
    </row>
    <row r="435" ht="15" spans="1:14">
      <c r="A435" s="24"/>
      <c r="B435" s="25"/>
      <c r="C435" s="26"/>
      <c r="D435" s="26"/>
      <c r="E435" s="26"/>
      <c r="F435" s="26">
        <v>3</v>
      </c>
      <c r="G435" s="26" t="s">
        <v>41</v>
      </c>
      <c r="H435" s="26"/>
      <c r="I435" s="26"/>
      <c r="J435" s="26"/>
      <c r="K435" s="27"/>
      <c r="L435" s="27"/>
      <c r="M435" s="26"/>
      <c r="N435" s="26" t="s">
        <v>236</v>
      </c>
    </row>
    <row r="436" ht="15" spans="1:14">
      <c r="A436" s="24">
        <v>46073</v>
      </c>
      <c r="B436" s="25">
        <v>46073</v>
      </c>
      <c r="C436" s="26">
        <v>0</v>
      </c>
      <c r="D436" s="26">
        <v>0</v>
      </c>
      <c r="E436" s="26">
        <v>0</v>
      </c>
      <c r="F436" s="26">
        <v>0</v>
      </c>
      <c r="G436" s="26"/>
      <c r="H436" s="26" t="str">
        <f>IFERROR(VLOOKUP(G436,Basic_Data!$E$2:$I$9,5,0),"")</f>
        <v/>
      </c>
      <c r="I436" s="26">
        <v>0</v>
      </c>
      <c r="J436" s="26">
        <v>0</v>
      </c>
      <c r="K436" s="47">
        <v>0</v>
      </c>
      <c r="L436" s="47">
        <v>0</v>
      </c>
      <c r="M436" s="26">
        <v>0</v>
      </c>
      <c r="N436" s="26" t="s">
        <v>237</v>
      </c>
    </row>
    <row r="437" ht="15" spans="1:14">
      <c r="A437" s="24">
        <v>46074</v>
      </c>
      <c r="B437" s="25">
        <v>46074</v>
      </c>
      <c r="C437" s="26">
        <v>0</v>
      </c>
      <c r="D437" s="26">
        <v>0</v>
      </c>
      <c r="E437" s="26">
        <v>0</v>
      </c>
      <c r="F437" s="26">
        <v>0</v>
      </c>
      <c r="G437" s="26"/>
      <c r="H437" s="26" t="str">
        <f>IFERROR(VLOOKUP(G437,Basic_Data!$E$2:$I$9,5,0),"")</f>
        <v/>
      </c>
      <c r="I437" s="26">
        <v>0</v>
      </c>
      <c r="J437" s="26">
        <v>0</v>
      </c>
      <c r="K437" s="47">
        <v>0</v>
      </c>
      <c r="L437" s="47">
        <v>0</v>
      </c>
      <c r="M437" s="26">
        <v>0</v>
      </c>
      <c r="N437" s="26" t="s">
        <v>237</v>
      </c>
    </row>
    <row r="438" ht="15" spans="1:14">
      <c r="A438" s="24">
        <v>46075</v>
      </c>
      <c r="B438" s="25">
        <v>46075</v>
      </c>
      <c r="C438" s="26">
        <v>0</v>
      </c>
      <c r="D438" s="26">
        <v>0</v>
      </c>
      <c r="E438" s="26">
        <v>0</v>
      </c>
      <c r="F438" s="26">
        <v>0</v>
      </c>
      <c r="G438" s="26"/>
      <c r="H438" s="26" t="str">
        <f>IFERROR(VLOOKUP(G438,Basic_Data!$E$2:$I$9,5,0),"")</f>
        <v/>
      </c>
      <c r="I438" s="26">
        <v>0</v>
      </c>
      <c r="J438" s="26">
        <v>0</v>
      </c>
      <c r="K438" s="47">
        <v>0</v>
      </c>
      <c r="L438" s="47">
        <v>0</v>
      </c>
      <c r="M438" s="26">
        <f>IFERROR(I438-J438,"")</f>
        <v>0</v>
      </c>
      <c r="N438" s="26" t="s">
        <v>237</v>
      </c>
    </row>
    <row r="439" ht="15" spans="1:14">
      <c r="A439" s="24">
        <v>46076</v>
      </c>
      <c r="B439" s="25">
        <v>46076</v>
      </c>
      <c r="C439" s="26">
        <v>4</v>
      </c>
      <c r="D439" s="26">
        <v>6000</v>
      </c>
      <c r="E439" s="26"/>
      <c r="F439" s="26">
        <v>2</v>
      </c>
      <c r="G439" s="26" t="s">
        <v>41</v>
      </c>
      <c r="H439" s="26">
        <f>IFERROR(VLOOKUP(G439,Basic_Data!$E$2:$I$9,5,0),"")</f>
        <v>8</v>
      </c>
      <c r="I439" s="26">
        <f>IFERROR(VLOOKUP($G439,Basic_Data!$E$2:$H$10,4,0),"")</f>
        <v>644</v>
      </c>
      <c r="J439" s="26"/>
      <c r="K439" s="27">
        <f>IFERROR(VLOOKUP($B439-1,Inverter_PR!$B:$I,Module_Cleaning!H439,0),"")</f>
        <v>1.15665733726426</v>
      </c>
      <c r="L439" s="27">
        <f>IFERROR(VLOOKUP($B439+1,Inverter_PR!$B:$I,Module_Cleaning!H439,0),"")</f>
        <v>0.997814814172491</v>
      </c>
      <c r="M439" s="26">
        <f>IFERROR(I439-J439,"")</f>
        <v>644</v>
      </c>
      <c r="N439" s="26" t="s">
        <v>239</v>
      </c>
    </row>
    <row r="440" ht="15" spans="1:14">
      <c r="A440" s="24"/>
      <c r="B440" s="25"/>
      <c r="C440" s="26"/>
      <c r="D440" s="26"/>
      <c r="E440" s="26"/>
      <c r="F440" s="26">
        <v>2</v>
      </c>
      <c r="G440" s="26" t="s">
        <v>35</v>
      </c>
      <c r="H440" s="26"/>
      <c r="I440" s="26"/>
      <c r="J440" s="26"/>
      <c r="K440" s="27"/>
      <c r="L440" s="27"/>
      <c r="M440" s="26"/>
      <c r="N440" s="26" t="s">
        <v>239</v>
      </c>
    </row>
    <row r="441" ht="15" spans="1:14">
      <c r="A441" s="24"/>
      <c r="B441" s="25"/>
      <c r="C441" s="26"/>
      <c r="D441" s="26"/>
      <c r="E441" s="26"/>
      <c r="F441" s="26">
        <v>2</v>
      </c>
      <c r="G441" s="26" t="s">
        <v>36</v>
      </c>
      <c r="H441" s="26"/>
      <c r="I441" s="26"/>
      <c r="J441" s="26"/>
      <c r="K441" s="27"/>
      <c r="L441" s="27"/>
      <c r="M441" s="26"/>
      <c r="N441" s="26" t="s">
        <v>239</v>
      </c>
    </row>
    <row r="442" ht="15" spans="1:14">
      <c r="A442" s="24"/>
      <c r="B442" s="25"/>
      <c r="C442" s="26"/>
      <c r="D442" s="26"/>
      <c r="E442" s="26"/>
      <c r="F442" s="26">
        <v>2</v>
      </c>
      <c r="G442" s="26" t="s">
        <v>37</v>
      </c>
      <c r="H442" s="26"/>
      <c r="I442" s="26"/>
      <c r="J442" s="26"/>
      <c r="K442" s="27"/>
      <c r="L442" s="27"/>
      <c r="M442" s="26"/>
      <c r="N442" s="26" t="s">
        <v>239</v>
      </c>
    </row>
    <row r="443" ht="15" spans="1:14">
      <c r="A443" s="24">
        <v>46077</v>
      </c>
      <c r="B443" s="25">
        <v>46077</v>
      </c>
      <c r="C443" s="26">
        <v>2</v>
      </c>
      <c r="D443" s="26">
        <v>3000</v>
      </c>
      <c r="E443" s="26"/>
      <c r="F443" s="26">
        <v>2</v>
      </c>
      <c r="G443" s="26" t="s">
        <v>38</v>
      </c>
      <c r="H443" s="26">
        <f>IFERROR(VLOOKUP(G443,Basic_Data!$E$2:$I$9,5,0),"")</f>
        <v>5</v>
      </c>
      <c r="I443" s="26">
        <f>IFERROR(VLOOKUP($G443,Basic_Data!$E$2:$H$10,4,0),"")</f>
        <v>644</v>
      </c>
      <c r="J443" s="26"/>
      <c r="K443" s="27">
        <f>IFERROR(VLOOKUP($B443-1,Inverter_PR!$B:$I,Module_Cleaning!H443,0),"")</f>
        <v>1.04417155773358</v>
      </c>
      <c r="L443" s="27">
        <f>IFERROR(VLOOKUP($B443+1,Inverter_PR!$B:$I,Module_Cleaning!H443,0),"")</f>
        <v>1.21327153271751</v>
      </c>
      <c r="M443" s="26">
        <f>IFERROR(I443-J443,"")</f>
        <v>644</v>
      </c>
      <c r="N443" s="26" t="s">
        <v>239</v>
      </c>
    </row>
    <row r="444" ht="15" spans="1:14">
      <c r="A444" s="24"/>
      <c r="B444" s="25"/>
      <c r="C444" s="26"/>
      <c r="D444" s="26"/>
      <c r="E444" s="26"/>
      <c r="F444" s="26">
        <v>2</v>
      </c>
      <c r="G444" s="26" t="s">
        <v>39</v>
      </c>
      <c r="H444" s="26"/>
      <c r="I444" s="26"/>
      <c r="J444" s="26"/>
      <c r="K444" s="27"/>
      <c r="L444" s="27"/>
      <c r="M444" s="26"/>
      <c r="N444" s="26" t="s">
        <v>239</v>
      </c>
    </row>
    <row r="445" ht="15" spans="1:14">
      <c r="A445" s="24"/>
      <c r="B445" s="25"/>
      <c r="C445" s="26"/>
      <c r="D445" s="26"/>
      <c r="E445" s="26"/>
      <c r="F445" s="26">
        <v>2</v>
      </c>
      <c r="G445" s="26" t="s">
        <v>40</v>
      </c>
      <c r="H445" s="26"/>
      <c r="I445" s="26"/>
      <c r="J445" s="26"/>
      <c r="K445" s="27"/>
      <c r="L445" s="27"/>
      <c r="M445" s="26"/>
      <c r="N445" s="26" t="s">
        <v>239</v>
      </c>
    </row>
    <row r="446" ht="15" spans="1:14">
      <c r="A446" s="24">
        <v>46078</v>
      </c>
      <c r="B446" s="25">
        <v>46078</v>
      </c>
      <c r="C446" s="26">
        <v>0</v>
      </c>
      <c r="D446" s="26">
        <v>0</v>
      </c>
      <c r="E446" s="26">
        <v>0</v>
      </c>
      <c r="F446" s="26">
        <v>0</v>
      </c>
      <c r="G446" s="26"/>
      <c r="H446" s="26" t="str">
        <f>IFERROR(VLOOKUP(G446,Basic_Data!$E$2:$I$9,5,0),"")</f>
        <v/>
      </c>
      <c r="I446" s="26">
        <v>0</v>
      </c>
      <c r="J446" s="26">
        <v>0</v>
      </c>
      <c r="K446" s="47">
        <v>0</v>
      </c>
      <c r="L446" s="47">
        <v>0</v>
      </c>
      <c r="M446" s="26">
        <f>IFERROR(I446-J446,"")</f>
        <v>0</v>
      </c>
      <c r="N446" s="26" t="s">
        <v>237</v>
      </c>
    </row>
    <row r="447" ht="15" spans="1:14">
      <c r="A447" s="24">
        <v>46079</v>
      </c>
      <c r="B447" s="25">
        <v>46079</v>
      </c>
      <c r="C447" s="26">
        <v>0</v>
      </c>
      <c r="D447" s="26">
        <v>0</v>
      </c>
      <c r="E447" s="26">
        <v>0</v>
      </c>
      <c r="F447" s="26">
        <v>0</v>
      </c>
      <c r="G447" s="26"/>
      <c r="H447" s="26" t="str">
        <f>IFERROR(VLOOKUP(G447,Basic_Data!$E$2:$I$9,5,0),"")</f>
        <v/>
      </c>
      <c r="I447" s="26">
        <v>0</v>
      </c>
      <c r="J447" s="26">
        <v>0</v>
      </c>
      <c r="K447" s="47">
        <v>0</v>
      </c>
      <c r="L447" s="47">
        <v>0</v>
      </c>
      <c r="M447" s="26">
        <f>IFERROR(I447-J447,"")</f>
        <v>0</v>
      </c>
      <c r="N447" s="26" t="s">
        <v>237</v>
      </c>
    </row>
    <row r="448" ht="15" spans="1:14">
      <c r="A448" s="24">
        <v>46080</v>
      </c>
      <c r="B448" s="25">
        <v>46080</v>
      </c>
      <c r="C448" s="26">
        <v>0</v>
      </c>
      <c r="D448" s="26">
        <v>0</v>
      </c>
      <c r="E448" s="26">
        <v>0</v>
      </c>
      <c r="F448" s="26">
        <v>0</v>
      </c>
      <c r="G448" s="26"/>
      <c r="H448" s="26">
        <v>0</v>
      </c>
      <c r="I448" s="26">
        <v>0</v>
      </c>
      <c r="J448" s="26">
        <v>0</v>
      </c>
      <c r="K448" s="47">
        <v>0</v>
      </c>
      <c r="L448" s="47">
        <v>0</v>
      </c>
      <c r="M448" s="26">
        <v>0</v>
      </c>
      <c r="N448" s="26" t="s">
        <v>237</v>
      </c>
    </row>
    <row r="449" ht="15" spans="1:14">
      <c r="A449" s="24">
        <v>46081</v>
      </c>
      <c r="B449" s="25">
        <v>46081</v>
      </c>
      <c r="C449" s="26"/>
      <c r="D449" s="26"/>
      <c r="E449" s="26"/>
      <c r="F449" s="26">
        <v>4</v>
      </c>
      <c r="G449" s="26" t="s">
        <v>35</v>
      </c>
      <c r="H449" s="26">
        <f>IFERROR(VLOOKUP(G449,Basic_Data!$E$2:$I$9,5,0),"")</f>
        <v>2</v>
      </c>
      <c r="I449" s="26">
        <f>IFERROR(VLOOKUP($G449,Basic_Data!$E$2:$H$10,4,0),"")</f>
        <v>616</v>
      </c>
      <c r="J449" s="26"/>
      <c r="K449" s="27">
        <f>IFERROR(VLOOKUP($B449-1,Inverter_PR!$B:$I,Module_Cleaning!H449,0),"")</f>
        <v>0.976577378103923</v>
      </c>
      <c r="L449" s="27">
        <f>IFERROR(VLOOKUP($B449+1,Inverter_PR!$B:$I,Module_Cleaning!H449,0),"")</f>
        <v>1.22401996764892</v>
      </c>
      <c r="M449" s="26">
        <f>IFERROR(I449-J449,"")</f>
        <v>616</v>
      </c>
      <c r="N449" s="26" t="s">
        <v>236</v>
      </c>
    </row>
    <row r="450" ht="15" spans="1:14">
      <c r="A450" s="24"/>
      <c r="B450" s="25"/>
      <c r="C450" s="26"/>
      <c r="D450" s="26"/>
      <c r="E450" s="26"/>
      <c r="F450" s="26">
        <v>4</v>
      </c>
      <c r="G450" s="26" t="s">
        <v>36</v>
      </c>
      <c r="H450" s="26"/>
      <c r="I450" s="26"/>
      <c r="J450" s="26"/>
      <c r="K450" s="27"/>
      <c r="L450" s="27"/>
      <c r="M450" s="26"/>
      <c r="N450" s="26" t="s">
        <v>236</v>
      </c>
    </row>
    <row r="451" ht="15" spans="1:14">
      <c r="A451" s="24"/>
      <c r="B451" s="25"/>
      <c r="C451" s="26"/>
      <c r="D451" s="26"/>
      <c r="E451" s="26"/>
      <c r="F451" s="26">
        <v>4</v>
      </c>
      <c r="G451" s="26" t="s">
        <v>37</v>
      </c>
      <c r="H451" s="26"/>
      <c r="I451" s="26"/>
      <c r="J451" s="26"/>
      <c r="K451" s="27"/>
      <c r="L451" s="27"/>
      <c r="M451" s="26"/>
      <c r="N451" s="26" t="s">
        <v>236</v>
      </c>
    </row>
    <row r="452" ht="15" spans="1:14">
      <c r="A452" s="24"/>
      <c r="B452" s="25"/>
      <c r="C452" s="26"/>
      <c r="D452" s="26"/>
      <c r="E452" s="26"/>
      <c r="F452" s="26">
        <v>4</v>
      </c>
      <c r="G452" s="26" t="s">
        <v>38</v>
      </c>
      <c r="H452" s="26"/>
      <c r="I452" s="26"/>
      <c r="J452" s="26"/>
      <c r="K452" s="27"/>
      <c r="L452" s="27"/>
      <c r="M452" s="26"/>
      <c r="N452" s="26" t="s">
        <v>236</v>
      </c>
    </row>
    <row r="453" ht="15" spans="1:14">
      <c r="A453" s="24">
        <v>46082</v>
      </c>
      <c r="B453" s="25">
        <v>46082</v>
      </c>
      <c r="C453" s="26"/>
      <c r="D453" s="26"/>
      <c r="E453" s="26"/>
      <c r="F453" s="26">
        <v>4</v>
      </c>
      <c r="G453" s="26" t="s">
        <v>39</v>
      </c>
      <c r="H453" s="26">
        <f>IFERROR(VLOOKUP(G453,Basic_Data!$E$2:$I$9,5,0),"")</f>
        <v>6</v>
      </c>
      <c r="I453" s="26">
        <f>IFERROR(VLOOKUP($G453,Basic_Data!$E$2:$H$10,4,0),"")</f>
        <v>644</v>
      </c>
      <c r="J453" s="26"/>
      <c r="K453" s="27">
        <f>IFERROR(VLOOKUP($B453-1,Inverter_PR!$B:$I,Module_Cleaning!H453,0),"")</f>
        <v>1.34838998960635</v>
      </c>
      <c r="L453" s="27">
        <f>IFERROR(VLOOKUP($B453+1,Inverter_PR!$B:$I,Module_Cleaning!H453,0),"")</f>
        <v>1.2037371198387</v>
      </c>
      <c r="M453" s="26">
        <f>IFERROR(I453-J453,"")</f>
        <v>644</v>
      </c>
      <c r="N453" s="26" t="s">
        <v>236</v>
      </c>
    </row>
    <row r="454" ht="15" spans="1:14">
      <c r="A454" s="24"/>
      <c r="B454" s="25"/>
      <c r="C454" s="26"/>
      <c r="D454" s="26"/>
      <c r="E454" s="26"/>
      <c r="F454" s="26">
        <v>4</v>
      </c>
      <c r="G454" s="26" t="s">
        <v>40</v>
      </c>
      <c r="H454" s="26"/>
      <c r="I454" s="26"/>
      <c r="J454" s="26"/>
      <c r="K454" s="27"/>
      <c r="L454" s="27"/>
      <c r="M454" s="26"/>
      <c r="N454" s="26" t="s">
        <v>236</v>
      </c>
    </row>
    <row r="455" ht="15" spans="1:14">
      <c r="A455" s="24"/>
      <c r="B455" s="25"/>
      <c r="C455" s="26"/>
      <c r="D455" s="26"/>
      <c r="E455" s="26"/>
      <c r="F455" s="26">
        <v>4</v>
      </c>
      <c r="G455" s="26" t="s">
        <v>41</v>
      </c>
      <c r="H455" s="26"/>
      <c r="I455" s="26"/>
      <c r="J455" s="26"/>
      <c r="K455" s="27"/>
      <c r="L455" s="27"/>
      <c r="M455" s="26"/>
      <c r="N455" s="26" t="s">
        <v>236</v>
      </c>
    </row>
    <row r="456" ht="15" spans="1:14">
      <c r="A456" s="24">
        <v>46083</v>
      </c>
      <c r="B456" s="25">
        <v>46083</v>
      </c>
      <c r="C456" s="26">
        <v>0</v>
      </c>
      <c r="D456" s="26">
        <v>0</v>
      </c>
      <c r="E456" s="26">
        <v>0</v>
      </c>
      <c r="F456" s="26">
        <v>0</v>
      </c>
      <c r="G456" s="26"/>
      <c r="H456" s="26" t="str">
        <f>IFERROR(VLOOKUP(G456,Basic_Data!$E$2:$I$9,5,0),"")</f>
        <v/>
      </c>
      <c r="I456" s="26">
        <v>0</v>
      </c>
      <c r="J456" s="26">
        <v>0</v>
      </c>
      <c r="K456" s="47">
        <v>0</v>
      </c>
      <c r="L456" s="47">
        <v>0</v>
      </c>
      <c r="M456" s="26">
        <v>0</v>
      </c>
      <c r="N456" s="26" t="s">
        <v>237</v>
      </c>
    </row>
    <row r="457" ht="15" spans="1:14">
      <c r="A457" s="24">
        <v>46084</v>
      </c>
      <c r="B457" s="25">
        <v>46084</v>
      </c>
      <c r="C457" s="26">
        <v>0</v>
      </c>
      <c r="D457" s="26">
        <v>0</v>
      </c>
      <c r="E457" s="26">
        <v>0</v>
      </c>
      <c r="F457" s="26">
        <v>0</v>
      </c>
      <c r="G457" s="26"/>
      <c r="H457" s="26" t="str">
        <f>IFERROR(VLOOKUP(G457,Basic_Data!$E$2:$I$9,5,0),"")</f>
        <v/>
      </c>
      <c r="I457" s="26">
        <v>0</v>
      </c>
      <c r="J457" s="26">
        <v>0</v>
      </c>
      <c r="K457" s="47">
        <v>0</v>
      </c>
      <c r="L457" s="47">
        <v>0</v>
      </c>
      <c r="M457" s="26">
        <v>0</v>
      </c>
      <c r="N457" s="26" t="s">
        <v>237</v>
      </c>
    </row>
    <row r="458" ht="15" spans="1:14">
      <c r="A458" s="24">
        <v>46085</v>
      </c>
      <c r="B458" s="25">
        <v>46085</v>
      </c>
      <c r="C458" s="26">
        <v>0</v>
      </c>
      <c r="D458" s="26">
        <v>0</v>
      </c>
      <c r="E458" s="26">
        <v>0</v>
      </c>
      <c r="F458" s="26">
        <v>0</v>
      </c>
      <c r="G458" s="26"/>
      <c r="H458" s="26" t="str">
        <f>IFERROR(VLOOKUP(G458,Basic_Data!$E$2:$I$9,5,0),"")</f>
        <v/>
      </c>
      <c r="I458" s="26">
        <v>0</v>
      </c>
      <c r="J458" s="26">
        <v>0</v>
      </c>
      <c r="K458" s="47">
        <v>0</v>
      </c>
      <c r="L458" s="47">
        <v>0</v>
      </c>
      <c r="M458" s="26">
        <v>0</v>
      </c>
      <c r="N458" s="26" t="s">
        <v>237</v>
      </c>
    </row>
    <row r="459" ht="15" spans="1:14">
      <c r="A459" s="24">
        <v>46086</v>
      </c>
      <c r="B459" s="25">
        <v>46086</v>
      </c>
      <c r="C459" s="26"/>
      <c r="D459" s="26"/>
      <c r="E459" s="26"/>
      <c r="F459" s="26">
        <v>1</v>
      </c>
      <c r="G459" s="26" t="s">
        <v>35</v>
      </c>
      <c r="H459" s="26">
        <f>IFERROR(VLOOKUP(G459,Basic_Data!$E$2:$I$9,5,0),"")</f>
        <v>2</v>
      </c>
      <c r="I459" s="26">
        <f>IFERROR(VLOOKUP($G459,Basic_Data!$E$2:$H$10,4,0),"")</f>
        <v>616</v>
      </c>
      <c r="J459" s="26"/>
      <c r="K459" s="27">
        <f>IFERROR(VLOOKUP($B459-1,Inverter_PR!$B:$I,Module_Cleaning!H459,0),"")</f>
        <v>1.2055187006953</v>
      </c>
      <c r="L459" s="27">
        <f>IFERROR(VLOOKUP($B459+1,Inverter_PR!$B:$I,Module_Cleaning!H459,0),"")</f>
        <v>1.36881417019132</v>
      </c>
      <c r="M459" s="26">
        <f>IFERROR(I459-J459,"")</f>
        <v>616</v>
      </c>
      <c r="N459" s="26" t="s">
        <v>236</v>
      </c>
    </row>
    <row r="460" ht="15" spans="1:14">
      <c r="A460" s="24"/>
      <c r="B460" s="25"/>
      <c r="C460" s="26"/>
      <c r="D460" s="26"/>
      <c r="E460" s="26"/>
      <c r="F460" s="26">
        <v>1</v>
      </c>
      <c r="G460" s="26" t="s">
        <v>36</v>
      </c>
      <c r="H460" s="26"/>
      <c r="I460" s="26"/>
      <c r="J460" s="26"/>
      <c r="K460" s="27"/>
      <c r="L460" s="27"/>
      <c r="M460" s="26"/>
      <c r="N460" s="26" t="s">
        <v>236</v>
      </c>
    </row>
    <row r="461" ht="15" spans="1:14">
      <c r="A461" s="24"/>
      <c r="B461" s="25"/>
      <c r="C461" s="26"/>
      <c r="D461" s="26"/>
      <c r="E461" s="26"/>
      <c r="F461" s="26">
        <v>1</v>
      </c>
      <c r="G461" s="26" t="s">
        <v>37</v>
      </c>
      <c r="H461" s="26"/>
      <c r="I461" s="26"/>
      <c r="J461" s="26"/>
      <c r="K461" s="27"/>
      <c r="L461" s="27"/>
      <c r="M461" s="26"/>
      <c r="N461" s="26" t="s">
        <v>236</v>
      </c>
    </row>
    <row r="462" ht="15" spans="1:14">
      <c r="A462" s="24"/>
      <c r="B462" s="25"/>
      <c r="C462" s="26"/>
      <c r="D462" s="26"/>
      <c r="E462" s="26"/>
      <c r="F462" s="26">
        <v>1</v>
      </c>
      <c r="G462" s="26" t="s">
        <v>38</v>
      </c>
      <c r="H462" s="26"/>
      <c r="I462" s="26"/>
      <c r="J462" s="26"/>
      <c r="K462" s="27"/>
      <c r="L462" s="27"/>
      <c r="M462" s="26"/>
      <c r="N462" s="26" t="s">
        <v>236</v>
      </c>
    </row>
    <row r="463" ht="15" spans="1:14">
      <c r="A463" s="24">
        <v>46087</v>
      </c>
      <c r="B463" s="25">
        <v>46087</v>
      </c>
      <c r="C463" s="26"/>
      <c r="D463" s="26"/>
      <c r="E463" s="26"/>
      <c r="F463" s="26">
        <v>1</v>
      </c>
      <c r="G463" s="26" t="s">
        <v>39</v>
      </c>
      <c r="H463" s="26">
        <f>IFERROR(VLOOKUP(G463,Basic_Data!$E$2:$I$9,5,0),"")</f>
        <v>6</v>
      </c>
      <c r="I463" s="26">
        <f>IFERROR(VLOOKUP($G463,Basic_Data!$E$2:$H$10,4,0),"")</f>
        <v>644</v>
      </c>
      <c r="J463" s="26"/>
      <c r="K463" s="27">
        <f>IFERROR(VLOOKUP($B463-1,Inverter_PR!$B:$I,Module_Cleaning!H463,0),"")</f>
        <v>1.20046985324209</v>
      </c>
      <c r="L463" s="27">
        <f>IFERROR(VLOOKUP($B463+1,Inverter_PR!$B:$I,Module_Cleaning!H463,0),"")</f>
        <v>1.12029976421728</v>
      </c>
      <c r="M463" s="26">
        <f>IFERROR(I463-J463,"")</f>
        <v>644</v>
      </c>
      <c r="N463" s="26" t="s">
        <v>236</v>
      </c>
    </row>
    <row r="464" ht="15" spans="1:14">
      <c r="A464" s="24"/>
      <c r="B464" s="25"/>
      <c r="C464" s="26"/>
      <c r="D464" s="26"/>
      <c r="E464" s="26"/>
      <c r="F464" s="26">
        <v>1</v>
      </c>
      <c r="G464" s="26" t="s">
        <v>40</v>
      </c>
      <c r="H464" s="26"/>
      <c r="I464" s="26"/>
      <c r="J464" s="26"/>
      <c r="K464" s="27"/>
      <c r="L464" s="27"/>
      <c r="M464" s="26"/>
      <c r="N464" s="26" t="s">
        <v>236</v>
      </c>
    </row>
    <row r="465" ht="15" spans="1:14">
      <c r="A465" s="24"/>
      <c r="B465" s="25"/>
      <c r="C465" s="26"/>
      <c r="D465" s="26"/>
      <c r="E465" s="26"/>
      <c r="F465" s="26">
        <v>1</v>
      </c>
      <c r="G465" s="26" t="s">
        <v>41</v>
      </c>
      <c r="H465" s="26"/>
      <c r="I465" s="26"/>
      <c r="J465" s="26"/>
      <c r="K465" s="27"/>
      <c r="L465" s="27"/>
      <c r="M465" s="26"/>
      <c r="N465" s="26" t="s">
        <v>236</v>
      </c>
    </row>
    <row r="466" ht="15" spans="1:14">
      <c r="A466" s="24">
        <v>46088</v>
      </c>
      <c r="B466" s="25">
        <v>46088</v>
      </c>
      <c r="C466" s="26">
        <v>0</v>
      </c>
      <c r="D466" s="26">
        <v>0</v>
      </c>
      <c r="E466" s="26">
        <v>0</v>
      </c>
      <c r="F466" s="26">
        <v>0</v>
      </c>
      <c r="G466" s="26"/>
      <c r="H466" s="26" t="str">
        <f>IFERROR(VLOOKUP(G466,Basic_Data!$E$2:$I$9,5,0),"")</f>
        <v/>
      </c>
      <c r="I466" s="26">
        <v>0</v>
      </c>
      <c r="J466" s="26">
        <v>0</v>
      </c>
      <c r="K466" s="47">
        <v>0</v>
      </c>
      <c r="L466" s="47">
        <v>0</v>
      </c>
      <c r="M466" s="26">
        <f>IFERROR(I466-J466,"")</f>
        <v>0</v>
      </c>
      <c r="N466" s="26" t="s">
        <v>237</v>
      </c>
    </row>
    <row r="467" ht="15" spans="1:14">
      <c r="A467" s="24">
        <v>46089</v>
      </c>
      <c r="B467" s="25">
        <v>46089</v>
      </c>
      <c r="C467" s="26">
        <v>0</v>
      </c>
      <c r="D467" s="26">
        <v>0</v>
      </c>
      <c r="E467" s="26">
        <v>0</v>
      </c>
      <c r="F467" s="26">
        <v>0</v>
      </c>
      <c r="G467" s="26"/>
      <c r="H467" s="26" t="str">
        <f>IFERROR(VLOOKUP(G467,Basic_Data!$E$2:$I$9,5,0),"")</f>
        <v/>
      </c>
      <c r="I467" s="26">
        <v>0</v>
      </c>
      <c r="J467" s="26">
        <v>0</v>
      </c>
      <c r="K467" s="47">
        <v>0</v>
      </c>
      <c r="L467" s="47">
        <v>0</v>
      </c>
      <c r="M467" s="26">
        <f>IFERROR(I467-J467,"")</f>
        <v>0</v>
      </c>
      <c r="N467" s="26" t="s">
        <v>237</v>
      </c>
    </row>
    <row r="468" ht="15" spans="1:14">
      <c r="A468" s="24">
        <v>46090</v>
      </c>
      <c r="B468" s="25">
        <v>46090</v>
      </c>
      <c r="C468" s="26">
        <v>0</v>
      </c>
      <c r="D468" s="26">
        <v>0</v>
      </c>
      <c r="E468" s="26">
        <v>0</v>
      </c>
      <c r="F468" s="26">
        <v>0</v>
      </c>
      <c r="G468" s="26"/>
      <c r="H468" s="26" t="str">
        <f>IFERROR(VLOOKUP(G468,Basic_Data!$E$2:$I$9,5,0),"")</f>
        <v/>
      </c>
      <c r="I468" s="26">
        <v>0</v>
      </c>
      <c r="J468" s="26">
        <v>0</v>
      </c>
      <c r="K468" s="47">
        <v>0</v>
      </c>
      <c r="L468" s="47">
        <v>0</v>
      </c>
      <c r="M468" s="26">
        <f>IFERROR(I468-J468,"")</f>
        <v>0</v>
      </c>
      <c r="N468" s="26" t="s">
        <v>237</v>
      </c>
    </row>
    <row r="469" ht="15" spans="1:14">
      <c r="A469" s="24">
        <v>46091</v>
      </c>
      <c r="B469" s="25">
        <v>46091</v>
      </c>
      <c r="C469" s="26">
        <v>0</v>
      </c>
      <c r="D469" s="26">
        <v>0</v>
      </c>
      <c r="E469" s="26">
        <v>0</v>
      </c>
      <c r="F469" s="26">
        <v>0</v>
      </c>
      <c r="G469" s="26"/>
      <c r="H469" s="26" t="str">
        <f>IFERROR(VLOOKUP(G469,Basic_Data!$E$2:$I$9,5,0),"")</f>
        <v/>
      </c>
      <c r="I469" s="26">
        <v>0</v>
      </c>
      <c r="J469" s="26">
        <v>0</v>
      </c>
      <c r="K469" s="47">
        <v>0</v>
      </c>
      <c r="L469" s="47">
        <v>0</v>
      </c>
      <c r="M469" s="26">
        <f>IFERROR(I469-J469,"")</f>
        <v>0</v>
      </c>
      <c r="N469" s="26" t="s">
        <v>237</v>
      </c>
    </row>
    <row r="470" ht="15" spans="1:14">
      <c r="A470" s="24">
        <v>46092</v>
      </c>
      <c r="B470" s="25">
        <v>46092</v>
      </c>
      <c r="C470" s="26"/>
      <c r="D470" s="26"/>
      <c r="E470" s="26"/>
      <c r="F470" s="26">
        <v>2</v>
      </c>
      <c r="G470" s="26" t="s">
        <v>35</v>
      </c>
      <c r="H470" s="26">
        <f>IFERROR(VLOOKUP(G470,Basic_Data!$E$2:$I$9,5,0),"")</f>
        <v>2</v>
      </c>
      <c r="I470" s="26">
        <f>IFERROR(VLOOKUP($G470,Basic_Data!$E$2:$H$10,4,0),"")</f>
        <v>616</v>
      </c>
      <c r="J470" s="26"/>
      <c r="K470" s="27">
        <f>IFERROR(VLOOKUP($B470-1,Inverter_PR!$B:$I,Module_Cleaning!H470,0),"")</f>
        <v>1.15560367807233</v>
      </c>
      <c r="L470" s="27">
        <f>IFERROR(VLOOKUP($B470+1,Inverter_PR!$B:$I,Module_Cleaning!H470,0),"")</f>
        <v>1.17518647947094</v>
      </c>
      <c r="M470" s="26">
        <f>IFERROR(I470-J470,"")</f>
        <v>616</v>
      </c>
      <c r="N470" s="26" t="s">
        <v>236</v>
      </c>
    </row>
    <row r="471" ht="15" spans="1:14">
      <c r="A471" s="24"/>
      <c r="B471" s="25"/>
      <c r="C471" s="26"/>
      <c r="D471" s="26"/>
      <c r="E471" s="26"/>
      <c r="F471" s="26">
        <v>2</v>
      </c>
      <c r="G471" s="26" t="s">
        <v>36</v>
      </c>
      <c r="H471" s="26"/>
      <c r="I471" s="26"/>
      <c r="J471" s="26"/>
      <c r="K471" s="27"/>
      <c r="L471" s="27"/>
      <c r="M471" s="26"/>
      <c r="N471" s="26" t="s">
        <v>236</v>
      </c>
    </row>
    <row r="472" ht="15" spans="1:14">
      <c r="A472" s="24"/>
      <c r="B472" s="25"/>
      <c r="C472" s="26"/>
      <c r="D472" s="26"/>
      <c r="E472" s="26"/>
      <c r="F472" s="26">
        <v>2</v>
      </c>
      <c r="G472" s="26" t="s">
        <v>37</v>
      </c>
      <c r="H472" s="26"/>
      <c r="I472" s="26"/>
      <c r="J472" s="26"/>
      <c r="K472" s="27"/>
      <c r="L472" s="27"/>
      <c r="M472" s="26"/>
      <c r="N472" s="26" t="s">
        <v>236</v>
      </c>
    </row>
    <row r="473" ht="15" spans="1:14">
      <c r="A473" s="24">
        <v>46093</v>
      </c>
      <c r="B473" s="25">
        <v>46093</v>
      </c>
      <c r="C473" s="26">
        <v>1</v>
      </c>
      <c r="D473" s="26">
        <v>1500</v>
      </c>
      <c r="E473" s="26"/>
      <c r="F473" s="26">
        <v>1</v>
      </c>
      <c r="G473" s="26" t="s">
        <v>41</v>
      </c>
      <c r="H473" s="26">
        <f>IFERROR(VLOOKUP(G473,Basic_Data!$E$2:$I$9,5,0),"")</f>
        <v>8</v>
      </c>
      <c r="I473" s="26">
        <f>IFERROR(VLOOKUP($G473,Basic_Data!$E$2:$H$10,4,0),"")</f>
        <v>644</v>
      </c>
      <c r="J473" s="26"/>
      <c r="K473" s="27">
        <f>IFERROR(VLOOKUP($B473-1,Inverter_PR!$B:$I,Module_Cleaning!H473,0),"")</f>
        <v>1.15023951670685</v>
      </c>
      <c r="L473" s="27">
        <f>IFERROR(VLOOKUP($B473+1,Inverter_PR!$B:$I,Module_Cleaning!H473,0),"")</f>
        <v>1.12485041882728</v>
      </c>
      <c r="M473" s="26">
        <f>IFERROR(I473-J473,"")</f>
        <v>644</v>
      </c>
      <c r="N473" s="26" t="s">
        <v>239</v>
      </c>
    </row>
    <row r="474" ht="15" spans="1:14">
      <c r="A474" s="24"/>
      <c r="B474" s="25"/>
      <c r="C474" s="26"/>
      <c r="D474" s="26"/>
      <c r="E474" s="26"/>
      <c r="F474" s="26">
        <v>1</v>
      </c>
      <c r="G474" s="26" t="s">
        <v>35</v>
      </c>
      <c r="H474" s="26"/>
      <c r="I474" s="26"/>
      <c r="J474" s="26"/>
      <c r="K474" s="27"/>
      <c r="L474" s="27"/>
      <c r="M474" s="26"/>
      <c r="N474" s="26" t="s">
        <v>239</v>
      </c>
    </row>
    <row r="475" ht="15" spans="1:14">
      <c r="A475" s="24">
        <v>46094</v>
      </c>
      <c r="B475" s="25">
        <v>46094</v>
      </c>
      <c r="C475" s="26">
        <v>0</v>
      </c>
      <c r="D475" s="26">
        <v>0</v>
      </c>
      <c r="E475" s="26">
        <v>0</v>
      </c>
      <c r="F475" s="26">
        <v>0</v>
      </c>
      <c r="G475" s="26"/>
      <c r="H475" s="26" t="str">
        <f>IFERROR(VLOOKUP(G475,Basic_Data!$E$2:$I$9,5,0),"")</f>
        <v/>
      </c>
      <c r="I475" s="26">
        <v>0</v>
      </c>
      <c r="J475" s="26">
        <v>0</v>
      </c>
      <c r="K475" s="47">
        <v>0</v>
      </c>
      <c r="L475" s="47">
        <v>0</v>
      </c>
      <c r="M475" s="26">
        <v>0</v>
      </c>
      <c r="N475" s="26" t="s">
        <v>237</v>
      </c>
    </row>
    <row r="476" ht="15" spans="1:14">
      <c r="A476" s="24">
        <v>46095</v>
      </c>
      <c r="B476" s="25">
        <v>46095</v>
      </c>
      <c r="C476" s="26">
        <v>4</v>
      </c>
      <c r="D476" s="26">
        <v>6000</v>
      </c>
      <c r="E476" s="26"/>
      <c r="F476" s="26">
        <v>1</v>
      </c>
      <c r="G476" s="26" t="s">
        <v>36</v>
      </c>
      <c r="H476" s="26">
        <f>IFERROR(VLOOKUP(G476,Basic_Data!$E$2:$I$9,5,0),"")</f>
        <v>3</v>
      </c>
      <c r="I476" s="26">
        <f>IFERROR(VLOOKUP($G476,Basic_Data!$E$2:$H$10,4,0),"")</f>
        <v>616</v>
      </c>
      <c r="J476" s="26"/>
      <c r="K476" s="27">
        <f>IFERROR(VLOOKUP($B476-1,Inverter_PR!$B:$I,Module_Cleaning!H476,0),"")</f>
        <v>1.11190607920556</v>
      </c>
      <c r="L476" s="27">
        <f>IFERROR(VLOOKUP($B476+1,Inverter_PR!$B:$I,Module_Cleaning!H476,0),"")</f>
        <v>1.15118384976535</v>
      </c>
      <c r="M476" s="26">
        <f>IFERROR(I476-J476,"")</f>
        <v>616</v>
      </c>
      <c r="N476" s="26" t="s">
        <v>239</v>
      </c>
    </row>
    <row r="477" ht="15" spans="1:14">
      <c r="A477" s="24"/>
      <c r="B477" s="25"/>
      <c r="C477" s="26"/>
      <c r="D477" s="26"/>
      <c r="E477" s="26"/>
      <c r="F477" s="26">
        <v>1</v>
      </c>
      <c r="G477" s="26" t="s">
        <v>37</v>
      </c>
      <c r="H477" s="26"/>
      <c r="I477" s="26"/>
      <c r="J477" s="26"/>
      <c r="K477" s="27"/>
      <c r="L477" s="27"/>
      <c r="M477" s="26"/>
      <c r="N477" s="26" t="s">
        <v>239</v>
      </c>
    </row>
    <row r="478" ht="15" spans="1:14">
      <c r="A478" s="24"/>
      <c r="B478" s="25"/>
      <c r="C478" s="26"/>
      <c r="D478" s="26"/>
      <c r="E478" s="26"/>
      <c r="F478" s="26">
        <v>1</v>
      </c>
      <c r="G478" s="26" t="s">
        <v>38</v>
      </c>
      <c r="H478" s="26"/>
      <c r="I478" s="26"/>
      <c r="J478" s="26"/>
      <c r="K478" s="27"/>
      <c r="L478" s="27"/>
      <c r="M478" s="26"/>
      <c r="N478" s="26" t="s">
        <v>239</v>
      </c>
    </row>
    <row r="479" ht="15" spans="1:14">
      <c r="A479" s="24"/>
      <c r="B479" s="25"/>
      <c r="C479" s="26"/>
      <c r="D479" s="26"/>
      <c r="E479" s="26"/>
      <c r="F479" s="26">
        <v>1</v>
      </c>
      <c r="G479" s="26" t="s">
        <v>39</v>
      </c>
      <c r="H479" s="26"/>
      <c r="I479" s="26"/>
      <c r="J479" s="26"/>
      <c r="K479" s="27"/>
      <c r="L479" s="27"/>
      <c r="M479" s="26"/>
      <c r="N479" s="26" t="s">
        <v>239</v>
      </c>
    </row>
    <row r="480" ht="15" spans="1:14">
      <c r="A480" s="24"/>
      <c r="B480" s="25"/>
      <c r="C480" s="26"/>
      <c r="D480" s="26"/>
      <c r="E480" s="26"/>
      <c r="F480" s="26">
        <v>1</v>
      </c>
      <c r="G480" s="26" t="s">
        <v>40</v>
      </c>
      <c r="H480" s="26"/>
      <c r="I480" s="26"/>
      <c r="J480" s="26"/>
      <c r="K480" s="27"/>
      <c r="L480" s="27"/>
      <c r="M480" s="26"/>
      <c r="N480" s="26" t="s">
        <v>239</v>
      </c>
    </row>
    <row r="481" ht="14" customHeight="1" spans="1:14">
      <c r="A481" s="24">
        <v>46096</v>
      </c>
      <c r="B481" s="25">
        <v>46096</v>
      </c>
      <c r="C481" s="26">
        <v>0</v>
      </c>
      <c r="D481" s="26">
        <v>0</v>
      </c>
      <c r="E481" s="26">
        <v>0</v>
      </c>
      <c r="F481" s="26">
        <v>0</v>
      </c>
      <c r="G481" s="26"/>
      <c r="H481" s="26" t="str">
        <f>IFERROR(VLOOKUP(G481,Basic_Data!$E$2:$I$9,5,0),"")</f>
        <v/>
      </c>
      <c r="I481" s="26">
        <v>0</v>
      </c>
      <c r="J481" s="26">
        <v>0</v>
      </c>
      <c r="K481" s="47">
        <v>0</v>
      </c>
      <c r="L481" s="47">
        <v>0</v>
      </c>
      <c r="M481" s="26">
        <f t="shared" ref="M481:M497" si="159">IFERROR(I481-J481,"")</f>
        <v>0</v>
      </c>
      <c r="N481" s="26" t="s">
        <v>237</v>
      </c>
    </row>
    <row r="482" ht="15" spans="1:14">
      <c r="A482" s="24">
        <v>46097</v>
      </c>
      <c r="B482" s="25">
        <v>46097</v>
      </c>
      <c r="C482" s="26">
        <v>0</v>
      </c>
      <c r="D482" s="26">
        <v>0</v>
      </c>
      <c r="E482" s="26">
        <v>0</v>
      </c>
      <c r="F482" s="26">
        <v>0</v>
      </c>
      <c r="G482" s="26"/>
      <c r="H482" s="26" t="str">
        <f>IFERROR(VLOOKUP(G482,Basic_Data!$E$2:$I$9,5,0),"")</f>
        <v/>
      </c>
      <c r="I482" s="26">
        <v>0</v>
      </c>
      <c r="J482" s="26">
        <v>0</v>
      </c>
      <c r="K482" s="47">
        <v>0</v>
      </c>
      <c r="L482" s="47">
        <v>0</v>
      </c>
      <c r="M482" s="26">
        <f t="shared" si="159"/>
        <v>0</v>
      </c>
      <c r="N482" s="26" t="s">
        <v>237</v>
      </c>
    </row>
    <row r="483" ht="15" spans="1:14">
      <c r="A483" s="24">
        <v>46098</v>
      </c>
      <c r="B483" s="25">
        <v>46098</v>
      </c>
      <c r="C483" s="26">
        <v>0</v>
      </c>
      <c r="D483" s="26">
        <v>0</v>
      </c>
      <c r="E483" s="26">
        <v>0</v>
      </c>
      <c r="F483" s="26">
        <v>0</v>
      </c>
      <c r="G483" s="26"/>
      <c r="H483" s="26" t="str">
        <f>IFERROR(VLOOKUP(G483,Basic_Data!$E$2:$I$9,5,0),"")</f>
        <v/>
      </c>
      <c r="I483" s="26">
        <v>0</v>
      </c>
      <c r="J483" s="26">
        <v>0</v>
      </c>
      <c r="K483" s="47">
        <v>0</v>
      </c>
      <c r="L483" s="47">
        <v>0</v>
      </c>
      <c r="M483" s="26">
        <f t="shared" si="159"/>
        <v>0</v>
      </c>
      <c r="N483" s="26" t="s">
        <v>237</v>
      </c>
    </row>
    <row r="484" ht="15" spans="1:14">
      <c r="A484" s="24">
        <v>46099</v>
      </c>
      <c r="B484" s="25">
        <v>46099</v>
      </c>
      <c r="C484" s="26">
        <v>0</v>
      </c>
      <c r="D484" s="26">
        <v>0</v>
      </c>
      <c r="E484" s="26">
        <v>0</v>
      </c>
      <c r="F484" s="26">
        <v>0</v>
      </c>
      <c r="G484" s="26"/>
      <c r="H484" s="26" t="str">
        <f>IFERROR(VLOOKUP(G484,Basic_Data!$E$2:$I$9,5,0),"")</f>
        <v/>
      </c>
      <c r="I484" s="26">
        <v>0</v>
      </c>
      <c r="J484" s="26">
        <v>0</v>
      </c>
      <c r="K484" s="47">
        <v>0</v>
      </c>
      <c r="L484" s="47">
        <v>0</v>
      </c>
      <c r="M484" s="26">
        <f t="shared" si="159"/>
        <v>0</v>
      </c>
      <c r="N484" s="26" t="s">
        <v>237</v>
      </c>
    </row>
    <row r="485" ht="15" spans="1:14">
      <c r="A485" s="24">
        <v>46100</v>
      </c>
      <c r="B485" s="25">
        <v>46100</v>
      </c>
      <c r="C485" s="26">
        <v>0</v>
      </c>
      <c r="D485" s="26">
        <v>0</v>
      </c>
      <c r="E485" s="26">
        <v>0</v>
      </c>
      <c r="F485" s="26">
        <v>0</v>
      </c>
      <c r="G485" s="26"/>
      <c r="H485" s="26" t="str">
        <f>IFERROR(VLOOKUP(G485,Basic_Data!$E$2:$I$9,5,0),"")</f>
        <v/>
      </c>
      <c r="I485" s="26">
        <v>0</v>
      </c>
      <c r="J485" s="26">
        <v>0</v>
      </c>
      <c r="K485" s="47">
        <v>0</v>
      </c>
      <c r="L485" s="47">
        <v>0</v>
      </c>
      <c r="M485" s="26">
        <f t="shared" si="159"/>
        <v>0</v>
      </c>
      <c r="N485" s="26" t="s">
        <v>237</v>
      </c>
    </row>
    <row r="486" ht="15" spans="1:14">
      <c r="A486" s="24">
        <v>46101</v>
      </c>
      <c r="B486" s="25">
        <v>46101</v>
      </c>
      <c r="C486" s="26">
        <v>0</v>
      </c>
      <c r="D486" s="26">
        <v>0</v>
      </c>
      <c r="E486" s="26">
        <v>0</v>
      </c>
      <c r="F486" s="26">
        <v>0</v>
      </c>
      <c r="G486" s="26"/>
      <c r="H486" s="26" t="str">
        <f>IFERROR(VLOOKUP(G486,Basic_Data!$E$2:$I$9,5,0),"")</f>
        <v/>
      </c>
      <c r="I486" s="26">
        <v>0</v>
      </c>
      <c r="J486" s="26">
        <v>0</v>
      </c>
      <c r="K486" s="47">
        <v>0</v>
      </c>
      <c r="L486" s="47">
        <v>0</v>
      </c>
      <c r="M486" s="26">
        <f t="shared" si="159"/>
        <v>0</v>
      </c>
      <c r="N486" s="26" t="s">
        <v>237</v>
      </c>
    </row>
    <row r="487" ht="15" spans="1:14">
      <c r="A487" s="24">
        <v>46102</v>
      </c>
      <c r="B487" s="25">
        <v>46102</v>
      </c>
      <c r="C487" s="26">
        <v>0</v>
      </c>
      <c r="D487" s="26">
        <v>0</v>
      </c>
      <c r="E487" s="26">
        <v>0</v>
      </c>
      <c r="F487" s="26">
        <v>0</v>
      </c>
      <c r="G487" s="26"/>
      <c r="H487" s="26" t="str">
        <f>IFERROR(VLOOKUP(G487,Basic_Data!$E$2:$I$9,5,0),"")</f>
        <v/>
      </c>
      <c r="I487" s="26">
        <v>0</v>
      </c>
      <c r="J487" s="26">
        <v>0</v>
      </c>
      <c r="K487" s="47">
        <v>0</v>
      </c>
      <c r="L487" s="47">
        <v>0</v>
      </c>
      <c r="M487" s="26">
        <v>0</v>
      </c>
      <c r="N487" s="26" t="s">
        <v>237</v>
      </c>
    </row>
    <row r="488" ht="15" spans="1:14">
      <c r="A488" s="24">
        <v>46103</v>
      </c>
      <c r="B488" s="25">
        <v>46103</v>
      </c>
      <c r="C488" s="26">
        <v>0</v>
      </c>
      <c r="D488" s="26">
        <v>0</v>
      </c>
      <c r="E488" s="26">
        <v>0</v>
      </c>
      <c r="F488" s="26">
        <v>0</v>
      </c>
      <c r="G488" s="26"/>
      <c r="H488" s="26" t="str">
        <f>IFERROR(VLOOKUP(G488,Basic_Data!$E$2:$I$9,5,0),"")</f>
        <v/>
      </c>
      <c r="I488" s="26">
        <v>0</v>
      </c>
      <c r="J488" s="26">
        <v>0</v>
      </c>
      <c r="K488" s="47">
        <v>0</v>
      </c>
      <c r="L488" s="47">
        <v>0</v>
      </c>
      <c r="M488" s="26">
        <v>0</v>
      </c>
      <c r="N488" s="26" t="s">
        <v>237</v>
      </c>
    </row>
    <row r="489" ht="15" spans="1:14">
      <c r="A489" s="24">
        <v>46104</v>
      </c>
      <c r="B489" s="25">
        <v>46104</v>
      </c>
      <c r="C489" s="26">
        <v>0</v>
      </c>
      <c r="D489" s="26">
        <v>0</v>
      </c>
      <c r="E489" s="26">
        <v>0</v>
      </c>
      <c r="F489" s="26">
        <v>0</v>
      </c>
      <c r="G489" s="26"/>
      <c r="H489" s="26" t="str">
        <f>IFERROR(VLOOKUP(G489,Basic_Data!$E$2:$I$9,5,0),"")</f>
        <v/>
      </c>
      <c r="I489" s="26">
        <v>0</v>
      </c>
      <c r="J489" s="26">
        <v>0</v>
      </c>
      <c r="K489" s="47">
        <v>0</v>
      </c>
      <c r="L489" s="47">
        <v>0</v>
      </c>
      <c r="M489" s="26">
        <f t="shared" si="159"/>
        <v>0</v>
      </c>
      <c r="N489" s="26" t="s">
        <v>237</v>
      </c>
    </row>
    <row r="490" ht="15" spans="1:14">
      <c r="A490" s="24">
        <v>46105</v>
      </c>
      <c r="B490" s="25">
        <v>46105</v>
      </c>
      <c r="C490" s="26">
        <v>0</v>
      </c>
      <c r="D490" s="26">
        <v>0</v>
      </c>
      <c r="E490" s="26">
        <v>0</v>
      </c>
      <c r="F490" s="26">
        <v>0</v>
      </c>
      <c r="G490" s="26"/>
      <c r="H490" s="26" t="str">
        <f>IFERROR(VLOOKUP(G490,Basic_Data!$E$2:$I$9,5,0),"")</f>
        <v/>
      </c>
      <c r="I490" s="26">
        <v>0</v>
      </c>
      <c r="J490" s="26">
        <v>0</v>
      </c>
      <c r="K490" s="47">
        <v>0</v>
      </c>
      <c r="L490" s="47">
        <v>0</v>
      </c>
      <c r="M490" s="26">
        <v>0</v>
      </c>
      <c r="N490" s="26" t="s">
        <v>237</v>
      </c>
    </row>
    <row r="491" ht="15" spans="1:14">
      <c r="A491" s="24">
        <v>46106</v>
      </c>
      <c r="B491" s="25">
        <v>46106</v>
      </c>
      <c r="C491" s="26">
        <v>0</v>
      </c>
      <c r="D491" s="26">
        <v>0</v>
      </c>
      <c r="E491" s="26">
        <v>0</v>
      </c>
      <c r="F491" s="26">
        <v>0</v>
      </c>
      <c r="G491" s="26"/>
      <c r="H491" s="26" t="str">
        <f>IFERROR(VLOOKUP(G491,Basic_Data!$E$2:$I$9,5,0),"")</f>
        <v/>
      </c>
      <c r="I491" s="26">
        <v>0</v>
      </c>
      <c r="J491" s="26">
        <v>0</v>
      </c>
      <c r="K491" s="47">
        <v>0</v>
      </c>
      <c r="L491" s="47">
        <v>0</v>
      </c>
      <c r="M491" s="26">
        <v>0</v>
      </c>
      <c r="N491" s="26" t="s">
        <v>237</v>
      </c>
    </row>
    <row r="492" ht="15" spans="1:14">
      <c r="A492" s="24">
        <v>46107</v>
      </c>
      <c r="B492" s="25">
        <v>46107</v>
      </c>
      <c r="C492" s="26">
        <v>0</v>
      </c>
      <c r="D492" s="26">
        <v>0</v>
      </c>
      <c r="E492" s="26">
        <v>0</v>
      </c>
      <c r="F492" s="26">
        <v>0</v>
      </c>
      <c r="G492" s="26"/>
      <c r="H492" s="26" t="str">
        <f>IFERROR(VLOOKUP(G492,Basic_Data!$E$2:$I$9,5,0),"")</f>
        <v/>
      </c>
      <c r="I492" s="26">
        <v>0</v>
      </c>
      <c r="J492" s="26">
        <v>0</v>
      </c>
      <c r="K492" s="47">
        <v>0</v>
      </c>
      <c r="L492" s="47">
        <v>0</v>
      </c>
      <c r="M492" s="26">
        <f t="shared" si="159"/>
        <v>0</v>
      </c>
      <c r="N492" s="26" t="s">
        <v>237</v>
      </c>
    </row>
    <row r="493" ht="15" spans="1:14">
      <c r="A493" s="24">
        <v>46108</v>
      </c>
      <c r="B493" s="25">
        <v>46108</v>
      </c>
      <c r="C493" s="26">
        <v>0</v>
      </c>
      <c r="D493" s="26">
        <v>0</v>
      </c>
      <c r="E493" s="26">
        <v>0</v>
      </c>
      <c r="F493" s="26">
        <v>0</v>
      </c>
      <c r="G493" s="26"/>
      <c r="H493" s="26" t="str">
        <f>IFERROR(VLOOKUP(G493,Basic_Data!$E$2:$I$9,5,0),"")</f>
        <v/>
      </c>
      <c r="I493" s="26">
        <v>0</v>
      </c>
      <c r="J493" s="26">
        <v>0</v>
      </c>
      <c r="K493" s="47">
        <v>0</v>
      </c>
      <c r="L493" s="47">
        <v>0</v>
      </c>
      <c r="M493" s="26">
        <f t="shared" si="159"/>
        <v>0</v>
      </c>
      <c r="N493" s="26" t="s">
        <v>237</v>
      </c>
    </row>
    <row r="494" ht="15" spans="1:14">
      <c r="A494" s="24">
        <v>46109</v>
      </c>
      <c r="B494" s="25">
        <v>46109</v>
      </c>
      <c r="C494" s="26">
        <v>0</v>
      </c>
      <c r="D494" s="26">
        <v>0</v>
      </c>
      <c r="E494" s="26">
        <v>0</v>
      </c>
      <c r="F494" s="26">
        <v>0</v>
      </c>
      <c r="G494" s="26"/>
      <c r="H494" s="26" t="str">
        <f>IFERROR(VLOOKUP(G494,Basic_Data!$E$2:$I$9,5,0),"")</f>
        <v/>
      </c>
      <c r="I494" s="26">
        <v>0</v>
      </c>
      <c r="J494" s="26">
        <v>0</v>
      </c>
      <c r="K494" s="47">
        <v>0</v>
      </c>
      <c r="L494" s="47">
        <v>0</v>
      </c>
      <c r="M494" s="26">
        <f t="shared" si="159"/>
        <v>0</v>
      </c>
      <c r="N494" s="26" t="s">
        <v>237</v>
      </c>
    </row>
    <row r="495" ht="15" spans="1:14">
      <c r="A495" s="24">
        <v>46110</v>
      </c>
      <c r="B495" s="25">
        <v>46110</v>
      </c>
      <c r="C495" s="26">
        <v>0</v>
      </c>
      <c r="D495" s="26">
        <v>0</v>
      </c>
      <c r="E495" s="26">
        <v>0</v>
      </c>
      <c r="F495" s="26">
        <v>0</v>
      </c>
      <c r="G495" s="26"/>
      <c r="H495" s="26" t="str">
        <f>IFERROR(VLOOKUP(G495,Basic_Data!$E$2:$I$9,5,0),"")</f>
        <v/>
      </c>
      <c r="I495" s="26">
        <v>0</v>
      </c>
      <c r="J495" s="26">
        <v>0</v>
      </c>
      <c r="K495" s="47">
        <v>0</v>
      </c>
      <c r="L495" s="47">
        <v>0</v>
      </c>
      <c r="M495" s="26">
        <v>0</v>
      </c>
      <c r="N495" s="26" t="s">
        <v>237</v>
      </c>
    </row>
    <row r="496" ht="15" spans="1:14">
      <c r="A496" s="24">
        <v>46111</v>
      </c>
      <c r="B496" s="25">
        <v>46111</v>
      </c>
      <c r="C496" s="26">
        <v>0</v>
      </c>
      <c r="D496" s="26">
        <v>0</v>
      </c>
      <c r="E496" s="26">
        <v>0</v>
      </c>
      <c r="F496" s="26">
        <v>0</v>
      </c>
      <c r="G496" s="26"/>
      <c r="H496" s="26" t="str">
        <f>IFERROR(VLOOKUP(G496,Basic_Data!$E$2:$I$9,5,0),"")</f>
        <v/>
      </c>
      <c r="I496" s="26">
        <v>0</v>
      </c>
      <c r="J496" s="26">
        <v>0</v>
      </c>
      <c r="K496" s="47">
        <v>0</v>
      </c>
      <c r="L496" s="47">
        <v>0</v>
      </c>
      <c r="M496" s="26">
        <f t="shared" si="159"/>
        <v>0</v>
      </c>
      <c r="N496" s="26" t="s">
        <v>237</v>
      </c>
    </row>
    <row r="497" ht="15" spans="1:14">
      <c r="A497" s="24">
        <v>46112</v>
      </c>
      <c r="B497" s="25">
        <v>46112</v>
      </c>
      <c r="C497" s="26">
        <v>4</v>
      </c>
      <c r="D497" s="26">
        <v>6000</v>
      </c>
      <c r="E497" s="26">
        <v>0</v>
      </c>
      <c r="F497" s="26">
        <v>2</v>
      </c>
      <c r="G497" s="26" t="s">
        <v>41</v>
      </c>
      <c r="H497" s="26">
        <f>IFERROR(VLOOKUP(G497,Basic_Data!$E$2:$I$9,5,0),"")</f>
        <v>8</v>
      </c>
      <c r="I497" s="26">
        <f>IFERROR(VLOOKUP($G497,Basic_Data!$E$2:$H$10,4,0),"")</f>
        <v>644</v>
      </c>
      <c r="J497" s="26">
        <v>644</v>
      </c>
      <c r="K497" s="27">
        <f>IFERROR(VLOOKUP($B497-1,Inverter_PR!$B:$I,Module_Cleaning!H497,0),"")</f>
        <v>1.18751580532322</v>
      </c>
      <c r="L497" s="47">
        <v>1</v>
      </c>
      <c r="M497" s="26">
        <f t="shared" si="159"/>
        <v>0</v>
      </c>
      <c r="N497" s="26" t="s">
        <v>239</v>
      </c>
    </row>
    <row r="498" ht="15" spans="1:14">
      <c r="A498" s="24"/>
      <c r="B498" s="25"/>
      <c r="C498" s="26"/>
      <c r="D498" s="26"/>
      <c r="E498" s="26"/>
      <c r="F498" s="26">
        <v>2</v>
      </c>
      <c r="G498" s="26" t="s">
        <v>35</v>
      </c>
      <c r="H498" s="26"/>
      <c r="I498" s="26"/>
      <c r="J498" s="26"/>
      <c r="K498" s="27" t="str">
        <f>IFERROR(VLOOKUP($B498-1,Inverter_PR!$B:$I,Module_Cleaning!H498,0),"")</f>
        <v/>
      </c>
      <c r="L498" s="47"/>
      <c r="M498" s="26"/>
      <c r="N498" s="26" t="s">
        <v>239</v>
      </c>
    </row>
    <row r="499" ht="15" spans="1:14">
      <c r="A499" s="24"/>
      <c r="B499" s="25"/>
      <c r="C499" s="26"/>
      <c r="D499" s="26"/>
      <c r="E499" s="26"/>
      <c r="F499" s="26">
        <v>2</v>
      </c>
      <c r="G499" s="26" t="s">
        <v>36</v>
      </c>
      <c r="H499" s="26"/>
      <c r="I499" s="26"/>
      <c r="J499" s="26"/>
      <c r="K499" s="27"/>
      <c r="L499" s="47"/>
      <c r="M499" s="26"/>
      <c r="N499" s="26" t="s">
        <v>239</v>
      </c>
    </row>
    <row r="500" ht="15" spans="1:14">
      <c r="A500" s="24"/>
      <c r="B500" s="25"/>
      <c r="C500" s="26"/>
      <c r="D500" s="26"/>
      <c r="E500" s="26"/>
      <c r="F500" s="26">
        <v>2</v>
      </c>
      <c r="G500" s="26" t="s">
        <v>37</v>
      </c>
      <c r="H500" s="26"/>
      <c r="I500" s="26"/>
      <c r="J500" s="26"/>
      <c r="K500" s="27"/>
      <c r="L500" s="27"/>
      <c r="M500" s="26"/>
      <c r="N500" s="26" t="s">
        <v>239</v>
      </c>
    </row>
    <row r="501" ht="15" spans="1:14">
      <c r="A501" s="24">
        <v>46138</v>
      </c>
      <c r="B501" s="25">
        <v>46113</v>
      </c>
      <c r="C501" s="26">
        <v>2</v>
      </c>
      <c r="D501" s="26">
        <v>3000</v>
      </c>
      <c r="E501" s="26"/>
      <c r="F501" s="26">
        <v>2</v>
      </c>
      <c r="G501" s="26" t="s">
        <v>38</v>
      </c>
      <c r="H501" s="26"/>
      <c r="I501" s="26">
        <v>644</v>
      </c>
      <c r="J501" s="26"/>
      <c r="K501" s="27"/>
      <c r="L501" s="27"/>
      <c r="M501" s="26"/>
      <c r="N501" s="26" t="s">
        <v>239</v>
      </c>
    </row>
    <row r="502" ht="15" spans="1:14">
      <c r="A502" s="24"/>
      <c r="B502" s="25"/>
      <c r="C502" s="26"/>
      <c r="D502" s="26"/>
      <c r="E502" s="26"/>
      <c r="F502" s="26"/>
      <c r="G502" s="26" t="s">
        <v>39</v>
      </c>
      <c r="H502" s="26"/>
      <c r="I502" s="26"/>
      <c r="J502" s="26"/>
      <c r="K502" s="27"/>
      <c r="L502" s="27"/>
      <c r="M502" s="26"/>
      <c r="N502" s="26" t="s">
        <v>239</v>
      </c>
    </row>
    <row r="503" ht="15" spans="1:14">
      <c r="A503" s="24"/>
      <c r="B503" s="25"/>
      <c r="C503" s="26"/>
      <c r="D503" s="26"/>
      <c r="E503" s="26"/>
      <c r="F503" s="26"/>
      <c r="G503" s="26" t="s">
        <v>40</v>
      </c>
      <c r="H503" s="26"/>
      <c r="I503" s="26"/>
      <c r="J503" s="26"/>
      <c r="K503" s="27"/>
      <c r="L503" s="27"/>
      <c r="M503" s="26"/>
      <c r="N503" s="26" t="s">
        <v>239</v>
      </c>
    </row>
    <row r="504" ht="15" spans="1:14">
      <c r="A504" s="24">
        <v>46138</v>
      </c>
      <c r="B504" s="25">
        <v>46114</v>
      </c>
      <c r="C504" s="26">
        <v>0</v>
      </c>
      <c r="D504" s="26">
        <v>0</v>
      </c>
      <c r="E504" s="26">
        <v>0</v>
      </c>
      <c r="F504" s="26">
        <v>0</v>
      </c>
      <c r="G504" s="26"/>
      <c r="H504" s="26"/>
      <c r="I504" s="26">
        <v>0</v>
      </c>
      <c r="J504" s="26">
        <v>0</v>
      </c>
      <c r="K504" s="47">
        <v>0</v>
      </c>
      <c r="L504" s="47">
        <v>0</v>
      </c>
      <c r="M504" s="26">
        <v>0</v>
      </c>
      <c r="N504" s="26" t="s">
        <v>237</v>
      </c>
    </row>
    <row r="505" ht="15" spans="1:14">
      <c r="A505" s="24">
        <v>46138</v>
      </c>
      <c r="B505" s="25">
        <v>46115</v>
      </c>
      <c r="C505" s="26">
        <v>0</v>
      </c>
      <c r="D505" s="26">
        <v>0</v>
      </c>
      <c r="E505" s="26">
        <v>0</v>
      </c>
      <c r="F505" s="26">
        <v>0</v>
      </c>
      <c r="G505" s="26"/>
      <c r="H505" s="26"/>
      <c r="I505" s="26">
        <v>0</v>
      </c>
      <c r="J505" s="26">
        <v>0</v>
      </c>
      <c r="K505" s="47">
        <v>0</v>
      </c>
      <c r="L505" s="47">
        <v>0</v>
      </c>
      <c r="M505" s="26">
        <v>0</v>
      </c>
      <c r="N505" s="26" t="s">
        <v>237</v>
      </c>
    </row>
    <row r="506" ht="15" spans="1:14">
      <c r="A506" s="24">
        <v>46138</v>
      </c>
      <c r="B506" s="25">
        <v>46116</v>
      </c>
      <c r="C506" s="26">
        <v>0</v>
      </c>
      <c r="D506" s="26">
        <v>0</v>
      </c>
      <c r="E506" s="26">
        <v>0</v>
      </c>
      <c r="F506" s="26">
        <v>0</v>
      </c>
      <c r="G506" s="26"/>
      <c r="H506" s="26"/>
      <c r="I506" s="26">
        <v>0</v>
      </c>
      <c r="J506" s="26">
        <v>0</v>
      </c>
      <c r="K506" s="47">
        <v>0</v>
      </c>
      <c r="L506" s="47">
        <v>0</v>
      </c>
      <c r="M506" s="26">
        <v>0</v>
      </c>
      <c r="N506" s="26" t="s">
        <v>237</v>
      </c>
    </row>
    <row r="507" ht="15" spans="1:14">
      <c r="A507" s="24">
        <v>46138</v>
      </c>
      <c r="B507" s="25">
        <v>46117</v>
      </c>
      <c r="C507" s="26">
        <v>0</v>
      </c>
      <c r="D507" s="26">
        <v>0</v>
      </c>
      <c r="E507" s="26">
        <v>0</v>
      </c>
      <c r="F507" s="26">
        <v>0</v>
      </c>
      <c r="G507" s="26"/>
      <c r="H507" s="26"/>
      <c r="I507" s="26">
        <v>0</v>
      </c>
      <c r="J507" s="26">
        <v>0</v>
      </c>
      <c r="K507" s="48">
        <v>0</v>
      </c>
      <c r="L507" s="48">
        <v>0</v>
      </c>
      <c r="M507" s="26">
        <v>0</v>
      </c>
      <c r="N507" s="26" t="s">
        <v>237</v>
      </c>
    </row>
    <row r="508" ht="15" spans="1:14">
      <c r="A508" s="24">
        <v>46138</v>
      </c>
      <c r="B508" s="25">
        <v>46118</v>
      </c>
      <c r="C508" s="26">
        <v>0</v>
      </c>
      <c r="D508" s="26">
        <v>0</v>
      </c>
      <c r="E508" s="26">
        <v>0</v>
      </c>
      <c r="F508" s="26">
        <v>0</v>
      </c>
      <c r="G508" s="26"/>
      <c r="H508" s="26"/>
      <c r="I508" s="26">
        <v>0</v>
      </c>
      <c r="J508" s="26">
        <v>0</v>
      </c>
      <c r="K508" s="47">
        <v>0</v>
      </c>
      <c r="L508" s="47">
        <v>0</v>
      </c>
      <c r="M508" s="26">
        <v>0</v>
      </c>
      <c r="N508" s="26" t="s">
        <v>237</v>
      </c>
    </row>
    <row r="509" ht="15" spans="1:14">
      <c r="A509" s="24">
        <v>46138</v>
      </c>
      <c r="B509" s="25">
        <v>46119</v>
      </c>
      <c r="C509" s="26"/>
      <c r="D509" s="26"/>
      <c r="E509" s="26"/>
      <c r="F509" s="26">
        <v>1</v>
      </c>
      <c r="G509" s="26" t="s">
        <v>35</v>
      </c>
      <c r="H509" s="26"/>
      <c r="I509" s="26">
        <v>616</v>
      </c>
      <c r="J509" s="26">
        <v>616</v>
      </c>
      <c r="K509" s="47"/>
      <c r="L509" s="47"/>
      <c r="M509" s="26"/>
      <c r="N509" s="26" t="s">
        <v>236</v>
      </c>
    </row>
    <row r="510" ht="15" spans="1:14">
      <c r="A510" s="24"/>
      <c r="B510" s="25"/>
      <c r="C510" s="26"/>
      <c r="D510" s="26"/>
      <c r="E510" s="26"/>
      <c r="F510" s="26">
        <v>1</v>
      </c>
      <c r="G510" s="26" t="s">
        <v>36</v>
      </c>
      <c r="H510" s="26"/>
      <c r="I510" s="26">
        <v>616</v>
      </c>
      <c r="J510" s="26">
        <v>616</v>
      </c>
      <c r="K510" s="47"/>
      <c r="L510" s="47"/>
      <c r="M510" s="26"/>
      <c r="N510" s="26" t="s">
        <v>236</v>
      </c>
    </row>
    <row r="511" ht="15" spans="1:14">
      <c r="A511" s="24"/>
      <c r="B511" s="25"/>
      <c r="C511" s="26"/>
      <c r="D511" s="26"/>
      <c r="E511" s="26"/>
      <c r="F511" s="26">
        <v>1</v>
      </c>
      <c r="G511" s="26" t="s">
        <v>37</v>
      </c>
      <c r="H511" s="26"/>
      <c r="I511" s="26">
        <v>616</v>
      </c>
      <c r="J511" s="26">
        <v>616</v>
      </c>
      <c r="K511" s="47"/>
      <c r="L511" s="27"/>
      <c r="M511" s="26"/>
      <c r="N511" s="26" t="s">
        <v>236</v>
      </c>
    </row>
    <row r="512" ht="15" spans="1:14">
      <c r="A512" s="24"/>
      <c r="B512" s="25"/>
      <c r="C512" s="26"/>
      <c r="D512" s="26"/>
      <c r="E512" s="26"/>
      <c r="F512" s="26">
        <v>1</v>
      </c>
      <c r="G512" s="26" t="s">
        <v>38</v>
      </c>
      <c r="H512" s="26"/>
      <c r="I512" s="26">
        <v>644</v>
      </c>
      <c r="J512" s="26">
        <v>644</v>
      </c>
      <c r="K512" s="47"/>
      <c r="L512" s="27"/>
      <c r="M512" s="26"/>
      <c r="N512" s="26" t="s">
        <v>236</v>
      </c>
    </row>
    <row r="513" ht="15" spans="1:14">
      <c r="A513" s="24">
        <v>46138</v>
      </c>
      <c r="B513" s="25">
        <v>46120</v>
      </c>
      <c r="C513" s="26"/>
      <c r="D513" s="26"/>
      <c r="E513" s="26"/>
      <c r="F513" s="26">
        <v>1</v>
      </c>
      <c r="G513" s="26" t="s">
        <v>39</v>
      </c>
      <c r="H513" s="26"/>
      <c r="I513" s="26">
        <v>644</v>
      </c>
      <c r="J513" s="26">
        <v>644</v>
      </c>
      <c r="K513" s="27"/>
      <c r="L513" s="27"/>
      <c r="M513" s="26"/>
      <c r="N513" s="26" t="s">
        <v>236</v>
      </c>
    </row>
    <row r="514" ht="15" spans="1:14">
      <c r="A514" s="24"/>
      <c r="B514" s="25"/>
      <c r="C514" s="26"/>
      <c r="D514" s="26"/>
      <c r="E514" s="26"/>
      <c r="F514" s="26">
        <v>1</v>
      </c>
      <c r="G514" s="26" t="s">
        <v>40</v>
      </c>
      <c r="H514" s="26"/>
      <c r="I514" s="26">
        <v>644</v>
      </c>
      <c r="J514" s="26">
        <v>644</v>
      </c>
      <c r="K514" s="27"/>
      <c r="L514" s="27"/>
      <c r="M514" s="26"/>
      <c r="N514" s="26" t="s">
        <v>236</v>
      </c>
    </row>
    <row r="515" ht="15" spans="1:14">
      <c r="A515" s="24"/>
      <c r="B515" s="25"/>
      <c r="C515" s="26"/>
      <c r="D515" s="26"/>
      <c r="E515" s="26"/>
      <c r="F515" s="26">
        <v>1</v>
      </c>
      <c r="G515" s="26" t="s">
        <v>41</v>
      </c>
      <c r="H515" s="26"/>
      <c r="I515" s="26">
        <v>644</v>
      </c>
      <c r="J515" s="26">
        <v>644</v>
      </c>
      <c r="K515" s="27"/>
      <c r="L515" s="27"/>
      <c r="M515" s="26"/>
      <c r="N515" s="26" t="s">
        <v>236</v>
      </c>
    </row>
    <row r="516" ht="15" spans="1:14">
      <c r="A516" s="24">
        <v>46138</v>
      </c>
      <c r="B516" s="25">
        <v>46121</v>
      </c>
      <c r="C516" s="26"/>
      <c r="D516" s="26"/>
      <c r="E516" s="26"/>
      <c r="F516" s="26"/>
      <c r="G516" s="26"/>
      <c r="H516" s="26"/>
      <c r="I516" s="26"/>
      <c r="J516" s="26"/>
      <c r="K516" s="27"/>
      <c r="L516" s="27"/>
      <c r="M516" s="26"/>
      <c r="N516" s="26"/>
    </row>
    <row r="517" ht="15" spans="1:14">
      <c r="A517" s="24">
        <v>46138</v>
      </c>
      <c r="B517" s="25">
        <v>46122</v>
      </c>
      <c r="C517" s="26"/>
      <c r="D517" s="26"/>
      <c r="E517" s="26"/>
      <c r="F517" s="26"/>
      <c r="G517" s="26"/>
      <c r="H517" s="26"/>
      <c r="I517" s="26"/>
      <c r="J517" s="26"/>
      <c r="K517" s="27"/>
      <c r="L517" s="27"/>
      <c r="M517" s="26"/>
      <c r="N517" s="26"/>
    </row>
    <row r="518" ht="15" spans="1:14">
      <c r="A518" s="24">
        <v>46138</v>
      </c>
      <c r="B518" s="25">
        <v>46123</v>
      </c>
      <c r="C518" s="26"/>
      <c r="D518" s="26"/>
      <c r="E518" s="26"/>
      <c r="F518" s="26"/>
      <c r="G518" s="26"/>
      <c r="H518" s="26"/>
      <c r="I518" s="26"/>
      <c r="J518" s="26"/>
      <c r="K518" s="27"/>
      <c r="L518" s="27"/>
      <c r="M518" s="26"/>
      <c r="N518" s="26"/>
    </row>
    <row r="519" ht="15" spans="1:14">
      <c r="A519" s="24">
        <v>46138</v>
      </c>
      <c r="B519" s="25">
        <v>46124</v>
      </c>
      <c r="C519" s="26"/>
      <c r="D519" s="26"/>
      <c r="E519" s="26"/>
      <c r="F519" s="26"/>
      <c r="G519" s="26"/>
      <c r="H519" s="26"/>
      <c r="I519" s="26"/>
      <c r="J519" s="26"/>
      <c r="K519" s="27"/>
      <c r="L519" s="27"/>
      <c r="M519" s="26"/>
      <c r="N519" s="26"/>
    </row>
    <row r="520" ht="15" spans="1:14">
      <c r="A520" s="24">
        <v>46138</v>
      </c>
      <c r="B520" s="25">
        <v>46125</v>
      </c>
      <c r="C520" s="26"/>
      <c r="D520" s="26"/>
      <c r="E520" s="26"/>
      <c r="F520" s="26">
        <v>2</v>
      </c>
      <c r="G520" s="26" t="s">
        <v>35</v>
      </c>
      <c r="H520" s="26"/>
      <c r="I520" s="26">
        <v>616</v>
      </c>
      <c r="J520" s="26">
        <v>616</v>
      </c>
      <c r="K520" s="27"/>
      <c r="L520" s="27"/>
      <c r="M520" s="26"/>
      <c r="N520" s="26" t="s">
        <v>236</v>
      </c>
    </row>
    <row r="521" ht="15" spans="1:14">
      <c r="A521" s="24"/>
      <c r="B521" s="25"/>
      <c r="C521" s="26"/>
      <c r="D521" s="26"/>
      <c r="E521" s="26"/>
      <c r="F521" s="26">
        <v>2</v>
      </c>
      <c r="G521" s="26" t="s">
        <v>36</v>
      </c>
      <c r="H521" s="26"/>
      <c r="I521" s="26">
        <v>616</v>
      </c>
      <c r="J521" s="26">
        <v>616</v>
      </c>
      <c r="K521" s="27"/>
      <c r="L521" s="27"/>
      <c r="M521" s="26"/>
      <c r="N521" s="26" t="s">
        <v>236</v>
      </c>
    </row>
    <row r="522" ht="15" spans="1:14">
      <c r="A522" s="24"/>
      <c r="B522" s="25"/>
      <c r="C522" s="26"/>
      <c r="D522" s="26"/>
      <c r="E522" s="26"/>
      <c r="F522" s="26">
        <v>2</v>
      </c>
      <c r="G522" s="26" t="s">
        <v>37</v>
      </c>
      <c r="H522" s="26"/>
      <c r="I522" s="26">
        <v>616</v>
      </c>
      <c r="J522" s="26">
        <v>616</v>
      </c>
      <c r="K522" s="27"/>
      <c r="L522" s="27"/>
      <c r="M522" s="26"/>
      <c r="N522" s="26" t="s">
        <v>236</v>
      </c>
    </row>
    <row r="523" ht="15" spans="1:14">
      <c r="A523" s="24"/>
      <c r="B523" s="25"/>
      <c r="C523" s="26"/>
      <c r="D523" s="26"/>
      <c r="E523" s="26"/>
      <c r="F523" s="26">
        <v>2</v>
      </c>
      <c r="G523" s="26" t="s">
        <v>38</v>
      </c>
      <c r="H523" s="26"/>
      <c r="I523" s="26">
        <v>644</v>
      </c>
      <c r="J523" s="26">
        <v>644</v>
      </c>
      <c r="K523" s="27"/>
      <c r="L523" s="27"/>
      <c r="M523" s="26"/>
      <c r="N523" s="26" t="s">
        <v>236</v>
      </c>
    </row>
    <row r="524" ht="15" spans="1:14">
      <c r="A524" s="24">
        <v>46138</v>
      </c>
      <c r="B524" s="25">
        <v>46126</v>
      </c>
      <c r="C524" s="26"/>
      <c r="D524" s="26"/>
      <c r="E524" s="26"/>
      <c r="F524" s="26">
        <v>2</v>
      </c>
      <c r="G524" s="26" t="s">
        <v>39</v>
      </c>
      <c r="H524" s="26"/>
      <c r="I524" s="26">
        <v>644</v>
      </c>
      <c r="J524" s="26">
        <v>644</v>
      </c>
      <c r="K524" s="27"/>
      <c r="L524" s="27"/>
      <c r="M524" s="26"/>
      <c r="N524" s="26" t="s">
        <v>236</v>
      </c>
    </row>
    <row r="525" ht="15" spans="1:14">
      <c r="A525" s="24"/>
      <c r="B525" s="25"/>
      <c r="C525" s="26"/>
      <c r="D525" s="26"/>
      <c r="E525" s="26"/>
      <c r="F525" s="26">
        <v>2</v>
      </c>
      <c r="G525" s="26" t="s">
        <v>40</v>
      </c>
      <c r="H525" s="26"/>
      <c r="I525" s="26">
        <v>644</v>
      </c>
      <c r="J525" s="26">
        <v>644</v>
      </c>
      <c r="K525" s="27"/>
      <c r="L525" s="27"/>
      <c r="M525" s="26"/>
      <c r="N525" s="26" t="s">
        <v>236</v>
      </c>
    </row>
    <row r="526" ht="15" spans="1:14">
      <c r="A526" s="24"/>
      <c r="B526" s="25"/>
      <c r="C526" s="26"/>
      <c r="D526" s="26"/>
      <c r="E526" s="26"/>
      <c r="F526" s="26">
        <v>2</v>
      </c>
      <c r="G526" s="26" t="s">
        <v>41</v>
      </c>
      <c r="H526" s="26"/>
      <c r="I526" s="26">
        <v>644</v>
      </c>
      <c r="J526" s="26">
        <v>644</v>
      </c>
      <c r="K526" s="27"/>
      <c r="L526" s="27"/>
      <c r="M526" s="26"/>
      <c r="N526" s="26" t="s">
        <v>236</v>
      </c>
    </row>
    <row r="527" ht="15" spans="1:14">
      <c r="A527" s="24">
        <v>46138</v>
      </c>
      <c r="B527" s="25">
        <v>46127</v>
      </c>
      <c r="C527" s="26">
        <v>0</v>
      </c>
      <c r="D527" s="26">
        <v>0</v>
      </c>
      <c r="E527" s="26">
        <v>0</v>
      </c>
      <c r="F527" s="26">
        <v>0</v>
      </c>
      <c r="G527" s="26"/>
      <c r="H527" s="26"/>
      <c r="I527" s="26">
        <v>0</v>
      </c>
      <c r="J527" s="26">
        <v>0</v>
      </c>
      <c r="K527" s="47">
        <v>0</v>
      </c>
      <c r="L527" s="47">
        <v>0</v>
      </c>
      <c r="M527" s="26">
        <v>0</v>
      </c>
      <c r="N527" s="26" t="s">
        <v>237</v>
      </c>
    </row>
    <row r="528" ht="15" spans="1:14">
      <c r="A528" s="24">
        <v>46138</v>
      </c>
      <c r="B528" s="25">
        <v>46128</v>
      </c>
      <c r="C528" s="26">
        <v>2</v>
      </c>
      <c r="D528" s="26">
        <v>3000</v>
      </c>
      <c r="E528" s="26"/>
      <c r="F528" s="26">
        <v>1</v>
      </c>
      <c r="G528" s="26" t="s">
        <v>41</v>
      </c>
      <c r="H528" s="26"/>
      <c r="I528" s="26">
        <v>644</v>
      </c>
      <c r="J528" s="26">
        <v>644</v>
      </c>
      <c r="K528" s="47"/>
      <c r="L528" s="27"/>
      <c r="M528" s="26"/>
      <c r="N528" s="26" t="s">
        <v>239</v>
      </c>
    </row>
    <row r="529" ht="15" spans="1:14">
      <c r="A529" s="24"/>
      <c r="B529" s="25"/>
      <c r="C529" s="26"/>
      <c r="D529" s="26"/>
      <c r="E529" s="26"/>
      <c r="F529" s="26">
        <v>1</v>
      </c>
      <c r="G529" s="26" t="s">
        <v>40</v>
      </c>
      <c r="H529" s="26"/>
      <c r="I529" s="26">
        <v>644</v>
      </c>
      <c r="J529" s="26">
        <v>168</v>
      </c>
      <c r="K529" s="27"/>
      <c r="L529" s="27"/>
      <c r="M529" s="26"/>
      <c r="N529" s="26" t="s">
        <v>239</v>
      </c>
    </row>
    <row r="530" ht="15" spans="1:14">
      <c r="A530" s="24"/>
      <c r="B530" s="25"/>
      <c r="C530" s="26"/>
      <c r="D530" s="26"/>
      <c r="E530" s="26"/>
      <c r="F530" s="26">
        <v>1</v>
      </c>
      <c r="G530" s="26" t="s">
        <v>38</v>
      </c>
      <c r="H530" s="26"/>
      <c r="I530" s="26">
        <v>644</v>
      </c>
      <c r="J530" s="26">
        <v>588</v>
      </c>
      <c r="K530" s="27"/>
      <c r="L530" s="27"/>
      <c r="M530" s="26"/>
      <c r="N530" s="26" t="s">
        <v>239</v>
      </c>
    </row>
    <row r="531" ht="15" spans="1:14">
      <c r="A531" s="24"/>
      <c r="B531" s="25"/>
      <c r="C531" s="26"/>
      <c r="D531" s="26"/>
      <c r="E531" s="26"/>
      <c r="F531" s="26">
        <v>1</v>
      </c>
      <c r="G531" s="26" t="s">
        <v>35</v>
      </c>
      <c r="H531" s="26"/>
      <c r="I531" s="26">
        <v>616</v>
      </c>
      <c r="J531" s="26">
        <v>364</v>
      </c>
      <c r="K531" s="27"/>
      <c r="L531" s="27"/>
      <c r="M531" s="26"/>
      <c r="N531" s="26" t="s">
        <v>239</v>
      </c>
    </row>
    <row r="532" ht="15" spans="1:14">
      <c r="A532" s="24">
        <v>46138</v>
      </c>
      <c r="B532" s="25">
        <v>46129</v>
      </c>
      <c r="C532" s="26">
        <v>1</v>
      </c>
      <c r="D532" s="26">
        <v>1500</v>
      </c>
      <c r="E532" s="26"/>
      <c r="F532" s="26">
        <v>1</v>
      </c>
      <c r="G532" s="26" t="s">
        <v>40</v>
      </c>
      <c r="H532" s="26"/>
      <c r="I532" s="26">
        <v>644</v>
      </c>
      <c r="J532" s="26">
        <v>252</v>
      </c>
      <c r="K532" s="27"/>
      <c r="L532" s="27"/>
      <c r="M532" s="26"/>
      <c r="N532" s="26" t="s">
        <v>239</v>
      </c>
    </row>
    <row r="533" ht="15" spans="1:14">
      <c r="A533" s="24"/>
      <c r="B533" s="25"/>
      <c r="C533" s="26"/>
      <c r="D533" s="26"/>
      <c r="E533" s="26"/>
      <c r="F533" s="26">
        <v>1</v>
      </c>
      <c r="G533" s="26" t="s">
        <v>39</v>
      </c>
      <c r="H533" s="26"/>
      <c r="I533" s="26">
        <v>644</v>
      </c>
      <c r="J533" s="26">
        <v>420</v>
      </c>
      <c r="K533" s="27"/>
      <c r="L533" s="27"/>
      <c r="M533" s="26"/>
      <c r="N533" s="26" t="s">
        <v>239</v>
      </c>
    </row>
    <row r="534" ht="15" spans="1:14">
      <c r="A534" s="24"/>
      <c r="B534" s="25"/>
      <c r="C534" s="26"/>
      <c r="D534" s="26"/>
      <c r="E534" s="26"/>
      <c r="F534" s="26">
        <v>1</v>
      </c>
      <c r="G534" s="26" t="s">
        <v>38</v>
      </c>
      <c r="H534" s="26"/>
      <c r="I534" s="26">
        <v>644</v>
      </c>
      <c r="J534" s="26">
        <v>56</v>
      </c>
      <c r="K534" s="27"/>
      <c r="L534" s="27"/>
      <c r="M534" s="26"/>
      <c r="N534" s="26" t="s">
        <v>239</v>
      </c>
    </row>
    <row r="535" ht="15" spans="1:14">
      <c r="A535" s="24"/>
      <c r="B535" s="25"/>
      <c r="C535" s="26"/>
      <c r="D535" s="26"/>
      <c r="E535" s="26"/>
      <c r="F535" s="26">
        <v>1</v>
      </c>
      <c r="G535" s="26" t="s">
        <v>37</v>
      </c>
      <c r="H535" s="26"/>
      <c r="I535" s="26">
        <v>616</v>
      </c>
      <c r="J535" s="26">
        <v>336</v>
      </c>
      <c r="K535" s="27"/>
      <c r="L535" s="27"/>
      <c r="M535" s="26"/>
      <c r="N535" s="26" t="s">
        <v>239</v>
      </c>
    </row>
    <row r="536" ht="15" spans="1:14">
      <c r="A536" s="24"/>
      <c r="B536" s="25"/>
      <c r="C536" s="26"/>
      <c r="D536" s="26"/>
      <c r="E536" s="26"/>
      <c r="F536" s="26">
        <v>1</v>
      </c>
      <c r="G536" s="26" t="s">
        <v>36</v>
      </c>
      <c r="H536" s="26"/>
      <c r="I536" s="26">
        <v>616</v>
      </c>
      <c r="J536" s="26">
        <v>392</v>
      </c>
      <c r="K536" s="27"/>
      <c r="L536" s="27"/>
      <c r="M536" s="26"/>
      <c r="N536" s="26" t="s">
        <v>239</v>
      </c>
    </row>
    <row r="537" ht="15" spans="1:14">
      <c r="A537" s="24"/>
      <c r="B537" s="25"/>
      <c r="C537" s="26"/>
      <c r="D537" s="26"/>
      <c r="E537" s="26"/>
      <c r="F537" s="26">
        <v>1</v>
      </c>
      <c r="G537" s="26" t="s">
        <v>35</v>
      </c>
      <c r="H537" s="26"/>
      <c r="I537" s="26">
        <v>616</v>
      </c>
      <c r="J537" s="26">
        <v>140</v>
      </c>
      <c r="K537" s="27"/>
      <c r="L537" s="27"/>
      <c r="M537" s="26"/>
      <c r="N537" s="26" t="s">
        <v>239</v>
      </c>
    </row>
    <row r="538" ht="15" spans="1:14">
      <c r="A538" s="24">
        <v>46138</v>
      </c>
      <c r="B538" s="25">
        <v>46130</v>
      </c>
      <c r="C538" s="26">
        <v>1</v>
      </c>
      <c r="D538" s="26">
        <v>1500</v>
      </c>
      <c r="E538" s="26"/>
      <c r="F538" s="26">
        <v>1</v>
      </c>
      <c r="G538" s="26" t="s">
        <v>35</v>
      </c>
      <c r="H538" s="26"/>
      <c r="I538" s="26">
        <v>616</v>
      </c>
      <c r="J538" s="26">
        <v>112</v>
      </c>
      <c r="K538" s="27"/>
      <c r="L538" s="27"/>
      <c r="M538" s="26"/>
      <c r="N538" s="26" t="s">
        <v>239</v>
      </c>
    </row>
    <row r="539" ht="15" spans="1:14">
      <c r="A539" s="24"/>
      <c r="B539" s="25"/>
      <c r="C539" s="26"/>
      <c r="D539" s="26"/>
      <c r="E539" s="26"/>
      <c r="F539" s="26">
        <v>1</v>
      </c>
      <c r="G539" s="26" t="s">
        <v>36</v>
      </c>
      <c r="H539" s="26"/>
      <c r="I539" s="26">
        <v>616</v>
      </c>
      <c r="J539" s="26">
        <v>224</v>
      </c>
      <c r="K539" s="27"/>
      <c r="L539" s="27"/>
      <c r="M539" s="26"/>
      <c r="N539" s="26" t="s">
        <v>239</v>
      </c>
    </row>
    <row r="540" ht="15" spans="1:14">
      <c r="A540" s="24"/>
      <c r="B540" s="25"/>
      <c r="C540" s="26"/>
      <c r="D540" s="26"/>
      <c r="E540" s="26"/>
      <c r="F540" s="26">
        <v>1</v>
      </c>
      <c r="G540" s="26" t="s">
        <v>37</v>
      </c>
      <c r="H540" s="26"/>
      <c r="I540" s="26">
        <v>616</v>
      </c>
      <c r="J540" s="26">
        <v>280</v>
      </c>
      <c r="K540" s="27"/>
      <c r="L540" s="27"/>
      <c r="M540" s="26"/>
      <c r="N540" s="26" t="s">
        <v>239</v>
      </c>
    </row>
    <row r="541" ht="15" spans="1:14">
      <c r="A541" s="24"/>
      <c r="B541" s="25"/>
      <c r="C541" s="26"/>
      <c r="D541" s="26"/>
      <c r="E541" s="26"/>
      <c r="F541" s="26">
        <v>1</v>
      </c>
      <c r="G541" s="26" t="s">
        <v>39</v>
      </c>
      <c r="H541" s="26"/>
      <c r="I541" s="26">
        <v>644</v>
      </c>
      <c r="J541" s="26">
        <v>224</v>
      </c>
      <c r="K541" s="27"/>
      <c r="L541" s="27"/>
      <c r="M541" s="26"/>
      <c r="N541" s="26" t="s">
        <v>239</v>
      </c>
    </row>
    <row r="542" ht="15" spans="1:14">
      <c r="A542" s="24"/>
      <c r="B542" s="25"/>
      <c r="C542" s="26"/>
      <c r="D542" s="26"/>
      <c r="E542" s="26"/>
      <c r="F542" s="26">
        <v>1</v>
      </c>
      <c r="G542" s="26" t="s">
        <v>40</v>
      </c>
      <c r="H542" s="26"/>
      <c r="I542" s="26">
        <v>644</v>
      </c>
      <c r="J542" s="26">
        <v>224</v>
      </c>
      <c r="K542" s="27"/>
      <c r="L542" s="27"/>
      <c r="M542" s="26"/>
      <c r="N542" s="26" t="s">
        <v>239</v>
      </c>
    </row>
    <row r="543" ht="15" spans="1:14">
      <c r="A543" s="24">
        <v>46138</v>
      </c>
      <c r="B543" s="25">
        <v>46131</v>
      </c>
      <c r="C543" s="26">
        <v>0</v>
      </c>
      <c r="D543" s="26">
        <v>0</v>
      </c>
      <c r="E543" s="26">
        <v>0</v>
      </c>
      <c r="F543" s="26">
        <v>0</v>
      </c>
      <c r="G543" s="26"/>
      <c r="H543" s="26"/>
      <c r="I543" s="26">
        <v>0</v>
      </c>
      <c r="J543" s="26">
        <v>0</v>
      </c>
      <c r="K543" s="47">
        <v>0</v>
      </c>
      <c r="L543" s="47">
        <v>0</v>
      </c>
      <c r="M543" s="26">
        <v>0</v>
      </c>
      <c r="N543" s="26" t="s">
        <v>237</v>
      </c>
    </row>
    <row r="544" ht="15" spans="1:14">
      <c r="A544" s="24">
        <v>46138</v>
      </c>
      <c r="B544" s="25">
        <v>46132</v>
      </c>
      <c r="C544" s="26"/>
      <c r="D544" s="26"/>
      <c r="E544" s="26"/>
      <c r="F544" s="26">
        <v>3</v>
      </c>
      <c r="G544" s="26" t="s">
        <v>35</v>
      </c>
      <c r="H544" s="26"/>
      <c r="I544" s="26">
        <v>616</v>
      </c>
      <c r="J544" s="26">
        <v>616</v>
      </c>
      <c r="K544" s="27"/>
      <c r="L544" s="27"/>
      <c r="M544" s="26"/>
      <c r="N544" s="26" t="s">
        <v>236</v>
      </c>
    </row>
    <row r="545" ht="15" spans="1:14">
      <c r="A545" s="24"/>
      <c r="B545" s="25"/>
      <c r="C545" s="26"/>
      <c r="D545" s="26"/>
      <c r="E545" s="26"/>
      <c r="F545" s="26">
        <v>3</v>
      </c>
      <c r="G545" s="26" t="s">
        <v>36</v>
      </c>
      <c r="H545" s="26"/>
      <c r="I545" s="26">
        <v>616</v>
      </c>
      <c r="J545" s="26">
        <v>616</v>
      </c>
      <c r="K545" s="27"/>
      <c r="L545" s="27"/>
      <c r="M545" s="26"/>
      <c r="N545" s="26" t="s">
        <v>236</v>
      </c>
    </row>
    <row r="546" ht="15" spans="1:14">
      <c r="A546" s="24"/>
      <c r="B546" s="25"/>
      <c r="C546" s="26"/>
      <c r="D546" s="26"/>
      <c r="E546" s="26"/>
      <c r="F546" s="26">
        <v>3</v>
      </c>
      <c r="G546" s="26" t="s">
        <v>37</v>
      </c>
      <c r="H546" s="26"/>
      <c r="I546" s="26">
        <v>616</v>
      </c>
      <c r="J546" s="26">
        <v>616</v>
      </c>
      <c r="K546" s="27"/>
      <c r="L546" s="27"/>
      <c r="M546" s="26"/>
      <c r="N546" s="26" t="s">
        <v>236</v>
      </c>
    </row>
    <row r="547" ht="15" spans="1:14">
      <c r="A547" s="24"/>
      <c r="B547" s="25"/>
      <c r="C547" s="26"/>
      <c r="D547" s="26"/>
      <c r="E547" s="26"/>
      <c r="F547" s="26">
        <v>3</v>
      </c>
      <c r="G547" s="26" t="s">
        <v>38</v>
      </c>
      <c r="H547" s="26"/>
      <c r="I547" s="26">
        <v>644</v>
      </c>
      <c r="J547" s="26">
        <v>644</v>
      </c>
      <c r="K547" s="27"/>
      <c r="L547" s="27"/>
      <c r="M547" s="26"/>
      <c r="N547" s="26" t="s">
        <v>236</v>
      </c>
    </row>
    <row r="548" ht="15" spans="1:14">
      <c r="A548" s="24"/>
      <c r="B548" s="25"/>
      <c r="C548" s="26"/>
      <c r="D548" s="26"/>
      <c r="E548" s="26"/>
      <c r="F548" s="26">
        <v>3</v>
      </c>
      <c r="G548" s="26" t="s">
        <v>39</v>
      </c>
      <c r="H548" s="26"/>
      <c r="I548" s="26">
        <v>644</v>
      </c>
      <c r="J548" s="26">
        <v>140</v>
      </c>
      <c r="K548" s="27"/>
      <c r="L548" s="27"/>
      <c r="M548" s="26"/>
      <c r="N548" s="26" t="s">
        <v>236</v>
      </c>
    </row>
    <row r="549" ht="15" spans="1:14">
      <c r="A549" s="24">
        <v>46138</v>
      </c>
      <c r="B549" s="25">
        <v>46133</v>
      </c>
      <c r="C549" s="26"/>
      <c r="D549" s="26"/>
      <c r="E549" s="26"/>
      <c r="F549" s="26">
        <v>3</v>
      </c>
      <c r="G549" s="26" t="s">
        <v>39</v>
      </c>
      <c r="H549" s="26"/>
      <c r="I549" s="26">
        <v>644</v>
      </c>
      <c r="J549" s="26">
        <v>504</v>
      </c>
      <c r="K549" s="27"/>
      <c r="L549" s="27"/>
      <c r="M549" s="26"/>
      <c r="N549" s="26" t="s">
        <v>236</v>
      </c>
    </row>
    <row r="550" ht="15" spans="1:14">
      <c r="A550" s="24"/>
      <c r="B550" s="25"/>
      <c r="C550" s="26"/>
      <c r="D550" s="26"/>
      <c r="E550" s="26"/>
      <c r="F550" s="26">
        <v>3</v>
      </c>
      <c r="G550" s="26" t="s">
        <v>40</v>
      </c>
      <c r="H550" s="26"/>
      <c r="I550" s="26">
        <v>644</v>
      </c>
      <c r="J550" s="26">
        <v>644</v>
      </c>
      <c r="K550" s="27"/>
      <c r="L550" s="27"/>
      <c r="M550" s="26"/>
      <c r="N550" s="26" t="s">
        <v>236</v>
      </c>
    </row>
    <row r="551" ht="15" spans="1:14">
      <c r="A551" s="24"/>
      <c r="B551" s="25"/>
      <c r="C551" s="26"/>
      <c r="D551" s="26"/>
      <c r="E551" s="26"/>
      <c r="F551" s="26">
        <v>3</v>
      </c>
      <c r="G551" s="26" t="s">
        <v>41</v>
      </c>
      <c r="H551" s="26"/>
      <c r="I551" s="26">
        <v>644</v>
      </c>
      <c r="J551" s="26">
        <v>644</v>
      </c>
      <c r="K551" s="27"/>
      <c r="L551" s="27"/>
      <c r="M551" s="26"/>
      <c r="N551" s="26" t="s">
        <v>236</v>
      </c>
    </row>
    <row r="552" ht="15" spans="1:14">
      <c r="A552" s="24">
        <v>46138</v>
      </c>
      <c r="B552" s="25">
        <v>46134</v>
      </c>
      <c r="C552" s="26">
        <v>0</v>
      </c>
      <c r="D552" s="26">
        <v>0</v>
      </c>
      <c r="E552" s="26">
        <v>0</v>
      </c>
      <c r="F552" s="26">
        <v>0</v>
      </c>
      <c r="G552" s="26"/>
      <c r="H552" s="26">
        <v>0</v>
      </c>
      <c r="I552" s="26">
        <v>0</v>
      </c>
      <c r="J552" s="26">
        <v>0</v>
      </c>
      <c r="K552" s="48">
        <v>0</v>
      </c>
      <c r="L552" s="48">
        <v>0</v>
      </c>
      <c r="M552" s="26">
        <v>0</v>
      </c>
      <c r="N552" s="26" t="s">
        <v>243</v>
      </c>
    </row>
    <row r="553" ht="15" spans="1:14">
      <c r="A553" s="24">
        <v>46138</v>
      </c>
      <c r="B553" s="25">
        <v>46135</v>
      </c>
      <c r="C553" s="26">
        <v>0</v>
      </c>
      <c r="D553" s="26">
        <v>0</v>
      </c>
      <c r="E553" s="26">
        <v>0</v>
      </c>
      <c r="F553" s="26">
        <v>0</v>
      </c>
      <c r="G553" s="26"/>
      <c r="H553" s="26"/>
      <c r="I553" s="26">
        <v>0</v>
      </c>
      <c r="J553" s="26">
        <v>0</v>
      </c>
      <c r="K553" s="47">
        <v>0</v>
      </c>
      <c r="L553" s="47">
        <v>0</v>
      </c>
      <c r="M553" s="26">
        <v>0</v>
      </c>
      <c r="N553" s="26" t="s">
        <v>243</v>
      </c>
    </row>
    <row r="554" ht="15" spans="1:14">
      <c r="A554" s="24">
        <v>46138</v>
      </c>
      <c r="B554" s="25">
        <v>46136</v>
      </c>
      <c r="C554" s="26">
        <v>0</v>
      </c>
      <c r="D554" s="26">
        <v>0</v>
      </c>
      <c r="E554" s="26">
        <v>0</v>
      </c>
      <c r="F554" s="26">
        <v>0</v>
      </c>
      <c r="G554" s="26"/>
      <c r="H554" s="26"/>
      <c r="I554" s="26">
        <v>0</v>
      </c>
      <c r="J554" s="26">
        <v>0</v>
      </c>
      <c r="K554" s="47">
        <v>0</v>
      </c>
      <c r="L554" s="47">
        <v>0</v>
      </c>
      <c r="M554" s="26">
        <v>0</v>
      </c>
      <c r="N554" s="26" t="s">
        <v>243</v>
      </c>
    </row>
    <row r="555" ht="15" spans="1:14">
      <c r="A555" s="24">
        <v>46138</v>
      </c>
      <c r="B555" s="25">
        <v>46137</v>
      </c>
      <c r="C555" s="26">
        <v>0</v>
      </c>
      <c r="D555" s="26">
        <v>0</v>
      </c>
      <c r="E555" s="26">
        <v>0</v>
      </c>
      <c r="F555" s="26">
        <v>0</v>
      </c>
      <c r="G555" s="26"/>
      <c r="H555" s="26" t="str">
        <f>IFERROR(VLOOKUP(G555,Basic_Data!$E$2:$I$9,5,0),"")</f>
        <v/>
      </c>
      <c r="I555" s="26">
        <v>0</v>
      </c>
      <c r="J555" s="26">
        <v>0</v>
      </c>
      <c r="K555" s="47">
        <v>0</v>
      </c>
      <c r="L555" s="47">
        <v>0</v>
      </c>
      <c r="M555" s="26">
        <f>IFERROR(I555-J555,"")</f>
        <v>0</v>
      </c>
      <c r="N555" s="26" t="s">
        <v>243</v>
      </c>
    </row>
    <row r="556" ht="15" spans="1:14">
      <c r="A556" s="24">
        <v>46138</v>
      </c>
      <c r="B556" s="25">
        <v>46138</v>
      </c>
      <c r="C556" s="26">
        <v>0</v>
      </c>
      <c r="D556" s="26">
        <v>0</v>
      </c>
      <c r="E556" s="26">
        <v>0</v>
      </c>
      <c r="F556" s="26">
        <v>0</v>
      </c>
      <c r="G556" s="26"/>
      <c r="H556" s="26" t="str">
        <f>IFERROR(VLOOKUP(G556,Basic_Data!$E$2:$I$9,5,0),"")</f>
        <v/>
      </c>
      <c r="I556" s="26">
        <v>0</v>
      </c>
      <c r="J556" s="26">
        <v>0</v>
      </c>
      <c r="K556" s="47">
        <v>0</v>
      </c>
      <c r="L556" s="47">
        <v>0</v>
      </c>
      <c r="M556" s="26">
        <v>0</v>
      </c>
      <c r="N556" s="26" t="s">
        <v>237</v>
      </c>
    </row>
    <row r="557" ht="15" spans="1:14">
      <c r="A557" s="24">
        <v>46138</v>
      </c>
      <c r="B557" s="25">
        <v>46139</v>
      </c>
      <c r="C557" s="26"/>
      <c r="D557" s="26"/>
      <c r="E557" s="26"/>
      <c r="F557" s="26">
        <v>4</v>
      </c>
      <c r="G557" s="26" t="s">
        <v>35</v>
      </c>
      <c r="H557" s="26">
        <f>IFERROR(VLOOKUP(G557,Basic_Data!$E$2:$I$9,5,0),"")</f>
        <v>2</v>
      </c>
      <c r="I557" s="26">
        <f>IFERROR(VLOOKUP($G557,Basic_Data!$E$2:$H$10,4,0),"")</f>
        <v>616</v>
      </c>
      <c r="J557" s="26">
        <v>616</v>
      </c>
      <c r="K557" s="27" t="str">
        <f>IFERROR(VLOOKUP($B557-1,Inverter_PR!$B:$I,Module_Cleaning!H557,0),"")</f>
        <v/>
      </c>
      <c r="L557" s="27" t="str">
        <f>IFERROR(VLOOKUP($B557+1,Inverter_PR!$B:$I,Module_Cleaning!H557,0),"")</f>
        <v/>
      </c>
      <c r="M557" s="26">
        <f>IFERROR(I557-J557,"")</f>
        <v>0</v>
      </c>
      <c r="N557" s="26" t="s">
        <v>236</v>
      </c>
    </row>
    <row r="558" ht="15" spans="1:14">
      <c r="A558" s="24"/>
      <c r="B558" s="25"/>
      <c r="C558" s="26"/>
      <c r="D558" s="26"/>
      <c r="E558" s="26"/>
      <c r="F558" s="26">
        <v>4</v>
      </c>
      <c r="G558" s="26" t="s">
        <v>36</v>
      </c>
      <c r="H558" s="26"/>
      <c r="I558" s="26">
        <v>616</v>
      </c>
      <c r="J558" s="26">
        <v>616</v>
      </c>
      <c r="K558" s="27" t="str">
        <f>IFERROR(VLOOKUP($B558-1,Inverter_PR!$B:$I,Module_Cleaning!H558,0),"")</f>
        <v/>
      </c>
      <c r="L558" s="27" t="str">
        <f>IFERROR(VLOOKUP($B558+1,Inverter_PR!$B:$I,Module_Cleaning!H558,0),"")</f>
        <v/>
      </c>
      <c r="M558" s="26"/>
      <c r="N558" s="26" t="s">
        <v>236</v>
      </c>
    </row>
    <row r="559" ht="15" spans="1:14">
      <c r="A559" s="24"/>
      <c r="B559" s="25"/>
      <c r="C559" s="26"/>
      <c r="D559" s="26"/>
      <c r="E559" s="26"/>
      <c r="F559" s="26">
        <v>4</v>
      </c>
      <c r="G559" s="26" t="s">
        <v>37</v>
      </c>
      <c r="H559" s="26"/>
      <c r="I559" s="26">
        <v>616</v>
      </c>
      <c r="J559" s="26">
        <v>112</v>
      </c>
      <c r="K559" s="27"/>
      <c r="L559" s="27"/>
      <c r="M559" s="26"/>
      <c r="N559" s="26" t="s">
        <v>236</v>
      </c>
    </row>
    <row r="560" ht="15" spans="1:14">
      <c r="A560" s="24">
        <v>46138</v>
      </c>
      <c r="B560" s="25">
        <v>45775</v>
      </c>
      <c r="C560" s="26"/>
      <c r="D560" s="26"/>
      <c r="E560" s="26"/>
      <c r="F560" s="26">
        <v>4</v>
      </c>
      <c r="G560" s="26" t="s">
        <v>37</v>
      </c>
      <c r="H560" s="26">
        <f>IFERROR(VLOOKUP(G560,Basic_Data!$E$2:$I$9,5,0),"")</f>
        <v>4</v>
      </c>
      <c r="I560" s="26">
        <f>IFERROR(VLOOKUP($G560,Basic_Data!$E$2:$H$10,4,0),"")</f>
        <v>616</v>
      </c>
      <c r="J560" s="26">
        <v>504</v>
      </c>
      <c r="K560" s="27">
        <f>IFERROR(VLOOKUP($B560-1,Inverter_PR!$B:$I,Module_Cleaning!H560,0),"")</f>
        <v>1.12034567192777</v>
      </c>
      <c r="L560" s="27">
        <f>IFERROR(VLOOKUP($B560+1,Inverter_PR!$B:$I,Module_Cleaning!H560,0),"")</f>
        <v>1.12753764129911</v>
      </c>
      <c r="M560" s="26">
        <v>0</v>
      </c>
      <c r="N560" s="26" t="s">
        <v>236</v>
      </c>
    </row>
    <row r="561" ht="15" spans="1:14">
      <c r="A561" s="24"/>
      <c r="B561" s="25"/>
      <c r="C561" s="26"/>
      <c r="D561" s="26"/>
      <c r="E561" s="26"/>
      <c r="F561" s="26">
        <v>4</v>
      </c>
      <c r="G561" s="26" t="s">
        <v>38</v>
      </c>
      <c r="H561" s="26"/>
      <c r="I561" s="26">
        <v>644</v>
      </c>
      <c r="J561" s="26">
        <v>644</v>
      </c>
      <c r="K561" s="27"/>
      <c r="L561" s="27"/>
      <c r="M561" s="26"/>
      <c r="N561" s="26" t="s">
        <v>236</v>
      </c>
    </row>
    <row r="562" ht="15" spans="1:14">
      <c r="A562" s="24"/>
      <c r="B562" s="25"/>
      <c r="C562" s="26"/>
      <c r="D562" s="26"/>
      <c r="E562" s="26"/>
      <c r="F562" s="26">
        <v>4</v>
      </c>
      <c r="G562" s="26" t="s">
        <v>39</v>
      </c>
      <c r="H562" s="26"/>
      <c r="I562" s="26">
        <v>644</v>
      </c>
      <c r="J562" s="26">
        <v>644</v>
      </c>
      <c r="K562" s="27"/>
      <c r="L562" s="27"/>
      <c r="M562" s="26"/>
      <c r="N562" s="26" t="s">
        <v>236</v>
      </c>
    </row>
    <row r="563" ht="15" spans="1:14">
      <c r="A563" s="24"/>
      <c r="B563" s="25"/>
      <c r="C563" s="26"/>
      <c r="D563" s="26"/>
      <c r="E563" s="26"/>
      <c r="F563" s="26">
        <v>4</v>
      </c>
      <c r="G563" s="26" t="s">
        <v>40</v>
      </c>
      <c r="H563" s="26"/>
      <c r="I563" s="26">
        <v>644</v>
      </c>
      <c r="J563" s="26">
        <v>336</v>
      </c>
      <c r="K563" s="27"/>
      <c r="L563" s="27"/>
      <c r="M563" s="26"/>
      <c r="N563" s="26" t="s">
        <v>236</v>
      </c>
    </row>
    <row r="564" ht="15" spans="1:14">
      <c r="A564" s="24">
        <v>46138</v>
      </c>
      <c r="B564" s="25">
        <v>46141</v>
      </c>
      <c r="C564" s="26"/>
      <c r="D564" s="26"/>
      <c r="E564" s="26"/>
      <c r="F564" s="26">
        <v>4</v>
      </c>
      <c r="G564" s="26" t="s">
        <v>40</v>
      </c>
      <c r="H564" s="26">
        <f>IFERROR(VLOOKUP(G564,Basic_Data!$E$2:$I$9,5,0),"")</f>
        <v>7</v>
      </c>
      <c r="I564" s="26">
        <f>IFERROR(VLOOKUP($G564,Basic_Data!$E$2:$H$10,4,0),"")</f>
        <v>644</v>
      </c>
      <c r="J564" s="26">
        <v>308</v>
      </c>
      <c r="K564" s="27" t="str">
        <f>IFERROR(VLOOKUP($B564-1,Inverter_PR!$B:$I,Module_Cleaning!H564,0),"")</f>
        <v/>
      </c>
      <c r="L564" s="27" t="str">
        <f>IFERROR(VLOOKUP($B564+1,Inverter_PR!$B:$I,Module_Cleaning!H564,0),"")</f>
        <v/>
      </c>
      <c r="M564" s="26">
        <v>0</v>
      </c>
      <c r="N564" s="26" t="s">
        <v>236</v>
      </c>
    </row>
    <row r="565" ht="15" spans="1:14">
      <c r="A565" s="24"/>
      <c r="B565" s="25"/>
      <c r="C565" s="26"/>
      <c r="D565" s="26"/>
      <c r="E565" s="26"/>
      <c r="F565" s="26">
        <v>4</v>
      </c>
      <c r="G565" s="26" t="s">
        <v>41</v>
      </c>
      <c r="H565" s="26"/>
      <c r="I565" s="26">
        <f>IFERROR(VLOOKUP($G565,Basic_Data!$E$2:$H$10,4,0),"")</f>
        <v>644</v>
      </c>
      <c r="J565" s="26">
        <v>644</v>
      </c>
      <c r="K565" s="27" t="str">
        <f>IFERROR(VLOOKUP($B565-1,Inverter_PR!$B:$I,Module_Cleaning!H565,0),"")</f>
        <v/>
      </c>
      <c r="L565" s="27" t="str">
        <f>IFERROR(VLOOKUP($B565+1,Inverter_PR!$B:$I,Module_Cleaning!H565,0),"")</f>
        <v/>
      </c>
      <c r="M565" s="26"/>
      <c r="N565" s="26" t="s">
        <v>236</v>
      </c>
    </row>
    <row r="566" ht="15" spans="1:14">
      <c r="A566" s="24">
        <v>46138</v>
      </c>
      <c r="B566" s="25">
        <v>46142</v>
      </c>
      <c r="C566" s="26">
        <v>0</v>
      </c>
      <c r="D566" s="26">
        <v>0</v>
      </c>
      <c r="E566" s="26">
        <v>0</v>
      </c>
      <c r="F566" s="26">
        <v>0</v>
      </c>
      <c r="G566" s="26"/>
      <c r="H566" s="26" t="str">
        <f>IFERROR(VLOOKUP(G566,Basic_Data!$E$2:$I$9,5,0),"")</f>
        <v/>
      </c>
      <c r="I566" s="26">
        <v>0</v>
      </c>
      <c r="J566" s="26">
        <v>0</v>
      </c>
      <c r="K566" s="47">
        <v>0</v>
      </c>
      <c r="L566" s="47">
        <v>0</v>
      </c>
      <c r="M566" s="26">
        <f>IFERROR(I566-J566,"")</f>
        <v>0</v>
      </c>
      <c r="N566" s="26" t="s">
        <v>237</v>
      </c>
    </row>
    <row r="567" ht="15" spans="1:14">
      <c r="A567" s="24">
        <v>46143</v>
      </c>
      <c r="B567" s="25">
        <v>46143</v>
      </c>
      <c r="C567" s="26">
        <v>0</v>
      </c>
      <c r="D567" s="26">
        <v>0</v>
      </c>
      <c r="E567" s="26">
        <v>0</v>
      </c>
      <c r="F567" s="26">
        <v>0</v>
      </c>
      <c r="G567" s="26"/>
      <c r="H567" s="26" t="str">
        <f>IFERROR(VLOOKUP(G567,Basic_Data!$E$2:$I$9,5,0),"")</f>
        <v/>
      </c>
      <c r="I567" s="26">
        <v>0</v>
      </c>
      <c r="J567" s="26">
        <v>0</v>
      </c>
      <c r="K567" s="47">
        <v>0</v>
      </c>
      <c r="L567" s="47">
        <v>0</v>
      </c>
      <c r="M567" s="26">
        <f>IFERROR(I567-J567,"")</f>
        <v>0</v>
      </c>
      <c r="N567" s="26" t="s">
        <v>237</v>
      </c>
    </row>
    <row r="568" ht="15" spans="1:14">
      <c r="A568" s="24">
        <v>46143</v>
      </c>
      <c r="B568" s="25">
        <v>46144</v>
      </c>
      <c r="C568" s="26">
        <v>0</v>
      </c>
      <c r="D568" s="26">
        <v>0</v>
      </c>
      <c r="E568" s="26">
        <v>0</v>
      </c>
      <c r="F568" s="26">
        <v>0</v>
      </c>
      <c r="G568" s="26"/>
      <c r="H568" s="26" t="str">
        <f>IFERROR(VLOOKUP(G568,Basic_Data!$E$2:$I$9,5,0),"")</f>
        <v/>
      </c>
      <c r="I568" s="26">
        <v>0</v>
      </c>
      <c r="J568" s="26">
        <v>0</v>
      </c>
      <c r="K568" s="47">
        <v>0</v>
      </c>
      <c r="L568" s="47">
        <v>0</v>
      </c>
      <c r="M568" s="26">
        <v>0</v>
      </c>
      <c r="N568" s="26" t="s">
        <v>237</v>
      </c>
    </row>
    <row r="569" ht="15" spans="1:14">
      <c r="A569" s="24">
        <v>46143</v>
      </c>
      <c r="B569" s="25">
        <v>46145</v>
      </c>
      <c r="C569" s="26">
        <v>0</v>
      </c>
      <c r="D569" s="26">
        <v>0</v>
      </c>
      <c r="E569" s="26">
        <v>0</v>
      </c>
      <c r="F569" s="26">
        <v>0</v>
      </c>
      <c r="G569" s="26"/>
      <c r="H569" s="26">
        <v>0</v>
      </c>
      <c r="I569" s="26">
        <v>0</v>
      </c>
      <c r="J569" s="26">
        <v>0</v>
      </c>
      <c r="K569" s="47">
        <v>0</v>
      </c>
      <c r="L569" s="47">
        <v>0</v>
      </c>
      <c r="M569" s="26">
        <f>IFERROR(I569-J569,"")</f>
        <v>0</v>
      </c>
      <c r="N569" s="26" t="s">
        <v>237</v>
      </c>
    </row>
    <row r="570" ht="15" spans="1:14">
      <c r="A570" s="24">
        <v>46143</v>
      </c>
      <c r="B570" s="25">
        <v>46146</v>
      </c>
      <c r="C570" s="26"/>
      <c r="D570" s="26"/>
      <c r="E570" s="26"/>
      <c r="F570" s="26">
        <v>1</v>
      </c>
      <c r="G570" s="26" t="s">
        <v>35</v>
      </c>
      <c r="H570" s="26">
        <f>IFERROR(VLOOKUP(G570,Basic_Data!$E$2:$I$9,5,0),"")</f>
        <v>2</v>
      </c>
      <c r="I570" s="26">
        <f>IFERROR(VLOOKUP($G570,Basic_Data!$E$2:$H$10,4,0),"")</f>
        <v>616</v>
      </c>
      <c r="J570" s="26">
        <v>616</v>
      </c>
      <c r="K570" s="27" t="str">
        <f>IFERROR(VLOOKUP($B570-1,Inverter_PR!$B:$I,Module_Cleaning!H570,0),"")</f>
        <v/>
      </c>
      <c r="L570" s="27" t="str">
        <f>IFERROR(VLOOKUP($B570+1,Inverter_PR!$B:$I,Module_Cleaning!H570,0),"")</f>
        <v/>
      </c>
      <c r="M570" s="26">
        <f>IFERROR(I570-J570,"")</f>
        <v>0</v>
      </c>
      <c r="N570" s="26" t="s">
        <v>236</v>
      </c>
    </row>
    <row r="571" ht="15" spans="1:14">
      <c r="A571" s="24"/>
      <c r="B571" s="25"/>
      <c r="C571" s="26"/>
      <c r="D571" s="26"/>
      <c r="E571" s="26"/>
      <c r="F571" s="26">
        <v>1</v>
      </c>
      <c r="G571" s="26" t="s">
        <v>36</v>
      </c>
      <c r="H571" s="26"/>
      <c r="I571" s="26"/>
      <c r="J571" s="26"/>
      <c r="K571" s="27"/>
      <c r="L571" s="27"/>
      <c r="M571" s="26"/>
      <c r="N571" s="26" t="s">
        <v>236</v>
      </c>
    </row>
    <row r="572" ht="15" spans="1:14">
      <c r="A572" s="24"/>
      <c r="B572" s="25"/>
      <c r="C572" s="26"/>
      <c r="D572" s="26"/>
      <c r="E572" s="26"/>
      <c r="F572" s="26">
        <v>1</v>
      </c>
      <c r="G572" s="26" t="s">
        <v>37</v>
      </c>
      <c r="H572" s="26"/>
      <c r="I572" s="26"/>
      <c r="J572" s="26"/>
      <c r="K572" s="27"/>
      <c r="L572" s="27"/>
      <c r="M572" s="26"/>
      <c r="N572" s="26" t="s">
        <v>236</v>
      </c>
    </row>
    <row r="573" ht="15" spans="1:14">
      <c r="A573" s="24"/>
      <c r="B573" s="25"/>
      <c r="C573" s="26"/>
      <c r="D573" s="26"/>
      <c r="E573" s="26"/>
      <c r="F573" s="26">
        <v>1</v>
      </c>
      <c r="G573" s="26" t="s">
        <v>38</v>
      </c>
      <c r="H573" s="26"/>
      <c r="I573" s="26"/>
      <c r="J573" s="26"/>
      <c r="K573" s="27"/>
      <c r="L573" s="27"/>
      <c r="M573" s="26"/>
      <c r="N573" s="26" t="s">
        <v>236</v>
      </c>
    </row>
    <row r="574" ht="15" spans="1:14">
      <c r="A574" s="24">
        <v>46143</v>
      </c>
      <c r="B574" s="25">
        <v>46147</v>
      </c>
      <c r="C574" s="26"/>
      <c r="D574" s="26"/>
      <c r="E574" s="26"/>
      <c r="F574" s="26">
        <v>1</v>
      </c>
      <c r="G574" s="26" t="s">
        <v>39</v>
      </c>
      <c r="H574" s="26">
        <f>IFERROR(VLOOKUP(G574,Basic_Data!$E$2:$I$9,5,0),"")</f>
        <v>6</v>
      </c>
      <c r="I574" s="26">
        <f>IFERROR(VLOOKUP($G574,Basic_Data!$E$2:$H$10,4,0),"")</f>
        <v>644</v>
      </c>
      <c r="J574" s="26">
        <v>644</v>
      </c>
      <c r="K574" s="27" t="str">
        <f>IFERROR(VLOOKUP($B574-1,Inverter_PR!$B:$I,Module_Cleaning!H574,0),"")</f>
        <v/>
      </c>
      <c r="L574" s="27" t="str">
        <f>IFERROR(VLOOKUP($B574+1,Inverter_PR!$B:$I,Module_Cleaning!H574,0),"")</f>
        <v/>
      </c>
      <c r="M574" s="26">
        <f>IFERROR(I574-J574,"")</f>
        <v>0</v>
      </c>
      <c r="N574" s="26" t="s">
        <v>236</v>
      </c>
    </row>
    <row r="575" ht="15" spans="1:14">
      <c r="A575" s="24"/>
      <c r="B575" s="25"/>
      <c r="D575" s="26"/>
      <c r="E575" s="26"/>
      <c r="F575" s="26">
        <v>1</v>
      </c>
      <c r="G575" s="26" t="s">
        <v>40</v>
      </c>
      <c r="H575" s="26"/>
      <c r="I575" s="26">
        <v>644</v>
      </c>
      <c r="J575" s="26"/>
      <c r="K575" s="27"/>
      <c r="L575" s="27"/>
      <c r="M575" s="26"/>
      <c r="N575" s="26" t="s">
        <v>236</v>
      </c>
    </row>
    <row r="576" ht="15" spans="1:14">
      <c r="A576" s="24"/>
      <c r="B576" s="25"/>
      <c r="D576" s="26"/>
      <c r="E576" s="26"/>
      <c r="F576" s="26">
        <v>1</v>
      </c>
      <c r="G576" s="26" t="s">
        <v>41</v>
      </c>
      <c r="H576" s="26"/>
      <c r="I576" s="26">
        <v>644</v>
      </c>
      <c r="J576" s="26"/>
      <c r="K576" s="27"/>
      <c r="L576" s="27"/>
      <c r="M576" s="26"/>
      <c r="N576" s="26" t="s">
        <v>236</v>
      </c>
    </row>
    <row r="577" ht="15" spans="1:14">
      <c r="A577" s="24">
        <v>46143</v>
      </c>
      <c r="B577" s="25">
        <v>46148</v>
      </c>
      <c r="C577">
        <v>2</v>
      </c>
      <c r="D577" s="26">
        <v>3000</v>
      </c>
      <c r="E577" s="26"/>
      <c r="F577" s="26">
        <v>1</v>
      </c>
      <c r="G577" s="26" t="s">
        <v>41</v>
      </c>
      <c r="H577" s="26">
        <f>IFERROR(VLOOKUP(G577,Basic_Data!$E$2:$I$9,5,0),"")</f>
        <v>8</v>
      </c>
      <c r="I577" s="26">
        <f>IFERROR(VLOOKUP($G577,Basic_Data!$E$2:$H$10,4,0),"")</f>
        <v>644</v>
      </c>
      <c r="J577" s="26">
        <v>644</v>
      </c>
      <c r="K577" s="27" t="str">
        <f>IFERROR(VLOOKUP($B577-1,Inverter_PR!$B:$I,Module_Cleaning!H577,0),"")</f>
        <v/>
      </c>
      <c r="L577" s="27" t="str">
        <f>IFERROR(VLOOKUP($B577+1,Inverter_PR!$B:$I,Module_Cleaning!H577,0),"")</f>
        <v/>
      </c>
      <c r="M577" s="26">
        <f>IFERROR(I577-J577,"")</f>
        <v>0</v>
      </c>
      <c r="N577" s="26" t="s">
        <v>239</v>
      </c>
    </row>
    <row r="578" ht="15" spans="1:14">
      <c r="A578" s="24"/>
      <c r="B578" s="25"/>
      <c r="D578" s="26"/>
      <c r="E578" s="26"/>
      <c r="F578" s="26">
        <v>1</v>
      </c>
      <c r="G578" s="26" t="s">
        <v>40</v>
      </c>
      <c r="H578" s="26"/>
      <c r="I578" s="26">
        <f>IFERROR(VLOOKUP($G578,Basic_Data!$E$2:$H$10,4,0),"")</f>
        <v>644</v>
      </c>
      <c r="J578" s="26">
        <v>168</v>
      </c>
      <c r="K578" s="27"/>
      <c r="L578" s="27"/>
      <c r="M578" s="26"/>
      <c r="N578" s="26" t="s">
        <v>239</v>
      </c>
    </row>
    <row r="579" ht="15" spans="1:14">
      <c r="A579" s="24"/>
      <c r="B579" s="25"/>
      <c r="D579" s="26"/>
      <c r="E579" s="26"/>
      <c r="F579" s="26">
        <v>1</v>
      </c>
      <c r="G579" s="26" t="s">
        <v>38</v>
      </c>
      <c r="H579" s="26"/>
      <c r="I579" s="26">
        <f>IFERROR(VLOOKUP($G579,Basic_Data!$E$2:$H$10,4,0),"")</f>
        <v>644</v>
      </c>
      <c r="J579" s="26">
        <v>644</v>
      </c>
      <c r="K579" s="27"/>
      <c r="L579" s="27"/>
      <c r="M579" s="26"/>
      <c r="N579" s="26" t="s">
        <v>239</v>
      </c>
    </row>
    <row r="580" ht="15" spans="1:14">
      <c r="A580" s="24"/>
      <c r="B580" s="25"/>
      <c r="D580" s="26"/>
      <c r="E580" s="26"/>
      <c r="F580" s="26">
        <v>1</v>
      </c>
      <c r="G580" s="26" t="s">
        <v>37</v>
      </c>
      <c r="H580" s="26"/>
      <c r="I580" s="26">
        <v>616</v>
      </c>
      <c r="J580" s="26">
        <v>224</v>
      </c>
      <c r="K580" s="27"/>
      <c r="L580" s="27"/>
      <c r="M580" s="26"/>
      <c r="N580" s="26" t="s">
        <v>239</v>
      </c>
    </row>
    <row r="581" ht="15" spans="1:14">
      <c r="A581" s="24"/>
      <c r="B581" s="25"/>
      <c r="D581" s="26"/>
      <c r="E581" s="26"/>
      <c r="F581" s="26">
        <v>1</v>
      </c>
      <c r="G581" s="26" t="s">
        <v>35</v>
      </c>
      <c r="H581" s="26"/>
      <c r="I581" s="26">
        <v>616</v>
      </c>
      <c r="J581" s="26">
        <v>364</v>
      </c>
      <c r="K581" s="27"/>
      <c r="L581" s="27"/>
      <c r="M581" s="26"/>
      <c r="N581" s="26" t="s">
        <v>239</v>
      </c>
    </row>
    <row r="582" ht="15" spans="1:14">
      <c r="A582" s="24">
        <v>46143</v>
      </c>
      <c r="B582" s="25">
        <v>46149</v>
      </c>
      <c r="C582" s="26">
        <v>2</v>
      </c>
      <c r="D582" s="26">
        <v>3000</v>
      </c>
      <c r="E582" s="26"/>
      <c r="F582" s="26">
        <v>1</v>
      </c>
      <c r="G582" s="26" t="s">
        <v>40</v>
      </c>
      <c r="H582" s="26">
        <f>IFERROR(VLOOKUP(G582,Basic_Data!$E$2:$I$9,5,0),"")</f>
        <v>7</v>
      </c>
      <c r="I582" s="26">
        <f>IFERROR(VLOOKUP($G582,Basic_Data!$E$2:$H$10,4,0),"")</f>
        <v>644</v>
      </c>
      <c r="J582" s="26">
        <v>252</v>
      </c>
      <c r="K582" s="27" t="str">
        <f>IFERROR(VLOOKUP($B582-1,Inverter_PR!$B:$I,Module_Cleaning!H582,0),"")</f>
        <v/>
      </c>
      <c r="L582" s="27" t="str">
        <f>IFERROR(VLOOKUP($B582+1,Inverter_PR!$B:$I,Module_Cleaning!H582,0),"")</f>
        <v/>
      </c>
      <c r="M582" s="26">
        <v>0</v>
      </c>
      <c r="N582" s="26" t="s">
        <v>239</v>
      </c>
    </row>
    <row r="583" ht="15" spans="1:14">
      <c r="A583" s="24"/>
      <c r="B583" s="25"/>
      <c r="C583" s="26"/>
      <c r="D583" s="26"/>
      <c r="E583" s="26"/>
      <c r="F583" s="26">
        <v>1</v>
      </c>
      <c r="G583" s="26" t="s">
        <v>39</v>
      </c>
      <c r="H583" s="26"/>
      <c r="I583" s="26">
        <v>644</v>
      </c>
      <c r="J583" s="26">
        <v>420</v>
      </c>
      <c r="K583" s="27"/>
      <c r="L583" s="27"/>
      <c r="M583" s="26"/>
      <c r="N583" s="26" t="s">
        <v>239</v>
      </c>
    </row>
    <row r="584" ht="15" spans="1:14">
      <c r="A584" s="24"/>
      <c r="B584" s="25"/>
      <c r="C584" s="26"/>
      <c r="D584" s="26"/>
      <c r="E584" s="26"/>
      <c r="F584" s="26">
        <v>1</v>
      </c>
      <c r="G584" s="26" t="s">
        <v>37</v>
      </c>
      <c r="H584" s="26"/>
      <c r="I584" s="26">
        <v>616</v>
      </c>
      <c r="J584" s="26">
        <v>224</v>
      </c>
      <c r="K584" s="27"/>
      <c r="L584" s="27"/>
      <c r="M584" s="26"/>
      <c r="N584" s="26" t="s">
        <v>239</v>
      </c>
    </row>
    <row r="585" ht="15" spans="1:14">
      <c r="A585" s="24"/>
      <c r="B585" s="25"/>
      <c r="C585" s="26"/>
      <c r="D585" s="26"/>
      <c r="E585" s="26"/>
      <c r="F585" s="26">
        <v>1</v>
      </c>
      <c r="G585" s="26" t="s">
        <v>36</v>
      </c>
      <c r="H585" s="26"/>
      <c r="I585" s="26">
        <v>616</v>
      </c>
      <c r="J585" s="26">
        <v>392</v>
      </c>
      <c r="K585" s="27"/>
      <c r="L585" s="27"/>
      <c r="M585" s="26"/>
      <c r="N585" s="26" t="s">
        <v>239</v>
      </c>
    </row>
    <row r="586" ht="15" spans="1:14">
      <c r="A586" s="24"/>
      <c r="B586" s="25"/>
      <c r="C586" s="26"/>
      <c r="D586" s="26"/>
      <c r="E586" s="26"/>
      <c r="F586" s="26">
        <v>1</v>
      </c>
      <c r="G586" s="26" t="s">
        <v>35</v>
      </c>
      <c r="H586" s="26"/>
      <c r="I586" s="26">
        <v>616</v>
      </c>
      <c r="J586" s="26">
        <v>140</v>
      </c>
      <c r="K586" s="27"/>
      <c r="L586" s="27"/>
      <c r="M586" s="26"/>
      <c r="N586" s="26" t="s">
        <v>239</v>
      </c>
    </row>
    <row r="587" ht="15" spans="1:14">
      <c r="A587" s="24">
        <v>46143</v>
      </c>
      <c r="B587" s="25">
        <v>46150</v>
      </c>
      <c r="C587" s="26"/>
      <c r="D587" s="26"/>
      <c r="E587" s="26"/>
      <c r="F587" s="26">
        <v>1</v>
      </c>
      <c r="G587" s="26" t="s">
        <v>35</v>
      </c>
      <c r="H587" s="26">
        <f>IFERROR(VLOOKUP(G587,Basic_Data!$E$2:$I$9,5,0),"")</f>
        <v>2</v>
      </c>
      <c r="I587" s="26">
        <f>IFERROR(VLOOKUP($G587,Basic_Data!$E$2:$H$10,4,0),"")</f>
        <v>616</v>
      </c>
      <c r="J587" s="26">
        <v>112</v>
      </c>
      <c r="K587" s="27" t="str">
        <f>IFERROR(VLOOKUP($B587-1,Inverter_PR!$B:$I,Module_Cleaning!H587,0),"")</f>
        <v/>
      </c>
      <c r="L587" s="27" t="str">
        <f>IFERROR(VLOOKUP($B587+1,Inverter_PR!$B:$I,Module_Cleaning!H587,0),"")</f>
        <v/>
      </c>
      <c r="M587" s="26">
        <v>0</v>
      </c>
      <c r="N587" s="26" t="s">
        <v>239</v>
      </c>
    </row>
    <row r="588" ht="15" spans="1:14">
      <c r="A588" s="24"/>
      <c r="B588" s="25"/>
      <c r="C588" s="26"/>
      <c r="D588" s="26"/>
      <c r="E588" s="26"/>
      <c r="F588" s="26">
        <v>1</v>
      </c>
      <c r="G588" s="26" t="s">
        <v>36</v>
      </c>
      <c r="H588" s="26"/>
      <c r="I588" s="26">
        <v>616</v>
      </c>
      <c r="J588" s="26">
        <v>224</v>
      </c>
      <c r="K588" s="27"/>
      <c r="L588" s="27"/>
      <c r="M588" s="26"/>
      <c r="N588" s="26" t="s">
        <v>239</v>
      </c>
    </row>
    <row r="589" ht="15" spans="1:14">
      <c r="A589" s="24"/>
      <c r="B589" s="25"/>
      <c r="C589" s="26"/>
      <c r="D589" s="26"/>
      <c r="E589" s="26"/>
      <c r="F589" s="26">
        <v>1</v>
      </c>
      <c r="G589" s="26" t="s">
        <v>37</v>
      </c>
      <c r="H589" s="26"/>
      <c r="I589" s="26">
        <v>616</v>
      </c>
      <c r="J589" s="26">
        <v>168</v>
      </c>
      <c r="K589" s="27"/>
      <c r="L589" s="27"/>
      <c r="M589" s="26"/>
      <c r="N589" s="26" t="s">
        <v>239</v>
      </c>
    </row>
    <row r="590" ht="15" spans="1:14">
      <c r="A590" s="24"/>
      <c r="B590" s="25"/>
      <c r="C590" s="26"/>
      <c r="D590" s="26"/>
      <c r="E590" s="26"/>
      <c r="F590" s="26">
        <v>1</v>
      </c>
      <c r="G590" s="26" t="s">
        <v>39</v>
      </c>
      <c r="H590" s="26"/>
      <c r="I590" s="26">
        <v>644</v>
      </c>
      <c r="J590" s="26">
        <v>224</v>
      </c>
      <c r="K590" s="27"/>
      <c r="L590" s="27"/>
      <c r="M590" s="26"/>
      <c r="N590" s="26" t="s">
        <v>239</v>
      </c>
    </row>
    <row r="591" ht="15" spans="1:14">
      <c r="A591" s="24"/>
      <c r="B591" s="25"/>
      <c r="C591" s="26"/>
      <c r="D591" s="26"/>
      <c r="E591" s="26"/>
      <c r="F591" s="26">
        <v>1</v>
      </c>
      <c r="G591" s="26" t="s">
        <v>40</v>
      </c>
      <c r="H591" s="26"/>
      <c r="I591" s="26">
        <v>644</v>
      </c>
      <c r="J591" s="26">
        <v>224</v>
      </c>
      <c r="K591" s="27"/>
      <c r="L591" s="27"/>
      <c r="M591" s="26"/>
      <c r="N591" s="26" t="s">
        <v>239</v>
      </c>
    </row>
    <row r="592" ht="15" spans="1:14">
      <c r="A592" s="24">
        <v>46143</v>
      </c>
      <c r="B592" s="25">
        <v>46151</v>
      </c>
      <c r="C592" s="26">
        <v>0</v>
      </c>
      <c r="D592" s="26">
        <v>0</v>
      </c>
      <c r="E592" s="26">
        <v>0</v>
      </c>
      <c r="F592" s="26">
        <v>0</v>
      </c>
      <c r="G592" s="26"/>
      <c r="H592" s="26" t="str">
        <f>IFERROR(VLOOKUP(G592,Basic_Data!$E$2:$I$9,5,0),"")</f>
        <v/>
      </c>
      <c r="I592" s="26">
        <v>0</v>
      </c>
      <c r="J592" s="26">
        <v>0</v>
      </c>
      <c r="K592" s="47">
        <v>0</v>
      </c>
      <c r="L592" s="47">
        <v>0</v>
      </c>
      <c r="M592" s="26">
        <f>IFERROR(I592-J592,"")</f>
        <v>0</v>
      </c>
      <c r="N592" s="26" t="s">
        <v>237</v>
      </c>
    </row>
    <row r="593" ht="15" spans="1:14">
      <c r="A593" s="24">
        <v>46143</v>
      </c>
      <c r="B593" s="25">
        <v>46152</v>
      </c>
      <c r="C593" s="26">
        <v>0</v>
      </c>
      <c r="D593" s="26">
        <v>0</v>
      </c>
      <c r="E593" s="26">
        <v>0</v>
      </c>
      <c r="F593" s="26">
        <v>0</v>
      </c>
      <c r="G593" s="26"/>
      <c r="H593" s="26" t="str">
        <f>IFERROR(VLOOKUP(G593,Basic_Data!$E$2:$I$9,5,0),"")</f>
        <v/>
      </c>
      <c r="I593" s="26">
        <v>0</v>
      </c>
      <c r="J593" s="26">
        <v>0</v>
      </c>
      <c r="K593" s="47">
        <v>0</v>
      </c>
      <c r="L593" s="47">
        <v>0</v>
      </c>
      <c r="M593" s="26">
        <v>0</v>
      </c>
      <c r="N593" s="26" t="s">
        <v>237</v>
      </c>
    </row>
    <row r="594" ht="15" spans="1:14">
      <c r="A594" s="24">
        <v>46143</v>
      </c>
      <c r="B594" s="25">
        <v>46153</v>
      </c>
      <c r="C594" s="26"/>
      <c r="D594" s="26"/>
      <c r="E594" s="26"/>
      <c r="F594" s="26">
        <v>2</v>
      </c>
      <c r="G594" s="26" t="s">
        <v>35</v>
      </c>
      <c r="H594" s="26">
        <f>IFERROR(VLOOKUP(G594,Basic_Data!$E$2:$I$9,5,0),"")</f>
        <v>2</v>
      </c>
      <c r="I594" s="26">
        <f>IFERROR(VLOOKUP($G594,Basic_Data!$E$2:$H$10,4,0),"")</f>
        <v>616</v>
      </c>
      <c r="J594" s="26">
        <v>616</v>
      </c>
      <c r="K594" s="27" t="str">
        <f>IFERROR(VLOOKUP($B594-1,Inverter_PR!$B:$I,Module_Cleaning!H594,0),"")</f>
        <v/>
      </c>
      <c r="L594" s="27" t="str">
        <f>IFERROR(VLOOKUP($B594+1,Inverter_PR!$B:$I,Module_Cleaning!H594,0),"")</f>
        <v/>
      </c>
      <c r="M594" s="26">
        <f>IFERROR(I594-J594,"")</f>
        <v>0</v>
      </c>
      <c r="N594" s="26" t="s">
        <v>236</v>
      </c>
    </row>
    <row r="595" ht="15" spans="1:14">
      <c r="A595" s="24"/>
      <c r="B595" s="25"/>
      <c r="C595" s="26"/>
      <c r="D595" s="26"/>
      <c r="E595" s="26"/>
      <c r="F595" s="26">
        <v>2</v>
      </c>
      <c r="G595" s="26" t="s">
        <v>36</v>
      </c>
      <c r="H595" s="26"/>
      <c r="I595" s="26">
        <v>616</v>
      </c>
      <c r="J595" s="26">
        <v>616</v>
      </c>
      <c r="K595" s="27"/>
      <c r="L595" s="27"/>
      <c r="M595" s="26"/>
      <c r="N595" s="26" t="s">
        <v>236</v>
      </c>
    </row>
    <row r="596" ht="15" spans="1:14">
      <c r="A596" s="24"/>
      <c r="B596" s="25"/>
      <c r="C596" s="26"/>
      <c r="D596" s="26"/>
      <c r="E596" s="26"/>
      <c r="F596" s="26">
        <v>2</v>
      </c>
      <c r="G596" s="26" t="s">
        <v>37</v>
      </c>
      <c r="H596" s="26"/>
      <c r="I596" s="26">
        <v>616</v>
      </c>
      <c r="J596" s="26">
        <v>616</v>
      </c>
      <c r="K596" s="27"/>
      <c r="L596" s="27"/>
      <c r="M596" s="26"/>
      <c r="N596" s="26" t="s">
        <v>236</v>
      </c>
    </row>
    <row r="597" ht="15" spans="1:14">
      <c r="A597" s="24"/>
      <c r="B597" s="25"/>
      <c r="C597" s="26"/>
      <c r="D597" s="26"/>
      <c r="E597" s="26"/>
      <c r="F597" s="26">
        <v>2</v>
      </c>
      <c r="G597" s="26" t="s">
        <v>38</v>
      </c>
      <c r="H597" s="26"/>
      <c r="I597" s="26">
        <v>644</v>
      </c>
      <c r="J597" s="26">
        <v>644</v>
      </c>
      <c r="K597" s="27"/>
      <c r="L597" s="27"/>
      <c r="M597" s="26"/>
      <c r="N597" s="26" t="s">
        <v>236</v>
      </c>
    </row>
    <row r="598" ht="15" spans="1:14">
      <c r="A598" s="24">
        <v>46143</v>
      </c>
      <c r="B598" s="25">
        <v>46154</v>
      </c>
      <c r="C598" s="26"/>
      <c r="D598" s="26"/>
      <c r="E598" s="26"/>
      <c r="F598" s="26">
        <v>2</v>
      </c>
      <c r="G598" s="26" t="s">
        <v>39</v>
      </c>
      <c r="H598" s="26">
        <f>IFERROR(VLOOKUP(G598,Basic_Data!$E$2:$I$9,5,0),"")</f>
        <v>6</v>
      </c>
      <c r="I598" s="26">
        <f>IFERROR(VLOOKUP($G598,Basic_Data!$E$2:$H$10,4,0),"")</f>
        <v>644</v>
      </c>
      <c r="J598" s="26">
        <v>644</v>
      </c>
      <c r="K598" s="27" t="str">
        <f>IFERROR(VLOOKUP($B598-1,Inverter_PR!$B:$I,Module_Cleaning!H598,0),"")</f>
        <v/>
      </c>
      <c r="L598" s="27" t="str">
        <f>IFERROR(VLOOKUP($B598+1,Inverter_PR!$B:$I,Module_Cleaning!H598,0),"")</f>
        <v/>
      </c>
      <c r="M598" s="26">
        <f>IFERROR(I598-J598,"")</f>
        <v>0</v>
      </c>
      <c r="N598" s="26" t="s">
        <v>236</v>
      </c>
    </row>
    <row r="599" ht="15" spans="1:14">
      <c r="A599" s="24"/>
      <c r="B599" s="25"/>
      <c r="C599" s="26"/>
      <c r="D599" s="26"/>
      <c r="E599" s="26"/>
      <c r="F599" s="26">
        <v>2</v>
      </c>
      <c r="G599" s="26" t="s">
        <v>40</v>
      </c>
      <c r="H599" s="26"/>
      <c r="I599" s="26">
        <v>644</v>
      </c>
      <c r="J599" s="26">
        <v>644</v>
      </c>
      <c r="K599" s="27"/>
      <c r="L599" s="27"/>
      <c r="M599" s="26"/>
      <c r="N599" s="26" t="s">
        <v>236</v>
      </c>
    </row>
    <row r="600" ht="15" spans="1:14">
      <c r="A600" s="24"/>
      <c r="B600" s="25"/>
      <c r="C600" s="26"/>
      <c r="D600" s="26"/>
      <c r="E600" s="26"/>
      <c r="F600" s="26">
        <v>2</v>
      </c>
      <c r="G600" s="26" t="s">
        <v>41</v>
      </c>
      <c r="H600" s="26"/>
      <c r="I600" s="26">
        <v>644</v>
      </c>
      <c r="J600" s="26">
        <v>644</v>
      </c>
      <c r="K600" s="27"/>
      <c r="L600" s="27"/>
      <c r="M600" s="26"/>
      <c r="N600" s="26" t="s">
        <v>236</v>
      </c>
    </row>
    <row r="601" ht="15" spans="1:14">
      <c r="A601" s="24">
        <v>46143</v>
      </c>
      <c r="B601" s="25">
        <v>46155</v>
      </c>
      <c r="C601" s="26">
        <v>0</v>
      </c>
      <c r="D601" s="26">
        <v>0</v>
      </c>
      <c r="E601" s="26">
        <v>0</v>
      </c>
      <c r="F601" s="26">
        <v>0</v>
      </c>
      <c r="G601" s="26"/>
      <c r="H601" s="26" t="str">
        <f>IFERROR(VLOOKUP(G601,Basic_Data!$E$2:$I$9,5,0),"")</f>
        <v/>
      </c>
      <c r="I601" s="26">
        <v>0</v>
      </c>
      <c r="J601" s="26">
        <v>0</v>
      </c>
      <c r="K601" s="47">
        <v>0</v>
      </c>
      <c r="L601" s="47">
        <v>0</v>
      </c>
      <c r="M601" s="26">
        <f>IFERROR(I601-J601,"")</f>
        <v>0</v>
      </c>
      <c r="N601" s="26" t="s">
        <v>243</v>
      </c>
    </row>
    <row r="602" ht="15" spans="1:14">
      <c r="A602" s="24">
        <v>46143</v>
      </c>
      <c r="B602" s="25">
        <v>46156</v>
      </c>
      <c r="C602" s="26">
        <v>0</v>
      </c>
      <c r="D602" s="26">
        <v>0</v>
      </c>
      <c r="E602" s="26">
        <v>0</v>
      </c>
      <c r="F602" s="26">
        <v>0</v>
      </c>
      <c r="G602" s="26"/>
      <c r="H602" s="26" t="str">
        <f>IFERROR(VLOOKUP(G602,Basic_Data!$E$2:$I$9,5,0),"")</f>
        <v/>
      </c>
      <c r="I602" s="26">
        <v>0</v>
      </c>
      <c r="J602" s="26">
        <v>0</v>
      </c>
      <c r="K602" s="47">
        <v>0</v>
      </c>
      <c r="L602" s="47">
        <v>0</v>
      </c>
      <c r="M602" s="26">
        <v>0</v>
      </c>
      <c r="N602" s="26" t="s">
        <v>237</v>
      </c>
    </row>
    <row r="603" ht="15" spans="1:14">
      <c r="A603" s="24">
        <v>46143</v>
      </c>
      <c r="B603" s="25">
        <v>46157</v>
      </c>
      <c r="C603" s="26">
        <v>0</v>
      </c>
      <c r="D603" s="26">
        <v>0</v>
      </c>
      <c r="E603" s="26">
        <v>0</v>
      </c>
      <c r="F603" s="26">
        <v>0</v>
      </c>
      <c r="G603" s="26"/>
      <c r="H603" s="26" t="str">
        <f>IFERROR(VLOOKUP(G603,Basic_Data!$E$2:$I$9,5,0),"")</f>
        <v/>
      </c>
      <c r="I603" s="26">
        <v>0</v>
      </c>
      <c r="J603" s="26">
        <v>0</v>
      </c>
      <c r="K603" s="47">
        <v>0</v>
      </c>
      <c r="L603" s="47">
        <v>0</v>
      </c>
      <c r="M603" s="26">
        <v>0</v>
      </c>
      <c r="N603" s="26" t="s">
        <v>243</v>
      </c>
    </row>
    <row r="604" ht="15" spans="1:14">
      <c r="A604" s="24">
        <v>46143</v>
      </c>
      <c r="B604" s="25">
        <v>46158</v>
      </c>
      <c r="C604" s="26">
        <v>0</v>
      </c>
      <c r="D604" s="26">
        <v>0</v>
      </c>
      <c r="E604" s="26">
        <v>0</v>
      </c>
      <c r="F604" s="26">
        <v>0</v>
      </c>
      <c r="G604" s="26"/>
      <c r="H604" s="26" t="str">
        <f>IFERROR(VLOOKUP(G604,Basic_Data!$E$2:$I$9,5,0),"")</f>
        <v/>
      </c>
      <c r="I604" s="26">
        <v>0</v>
      </c>
      <c r="J604" s="26">
        <v>0</v>
      </c>
      <c r="K604" s="47">
        <v>0</v>
      </c>
      <c r="L604" s="47">
        <v>0</v>
      </c>
      <c r="M604" s="26">
        <v>0</v>
      </c>
      <c r="N604" s="26" t="s">
        <v>243</v>
      </c>
    </row>
    <row r="605" ht="15" spans="1:14">
      <c r="A605" s="24">
        <v>46143</v>
      </c>
      <c r="B605" s="25">
        <v>46159</v>
      </c>
      <c r="C605" s="26">
        <v>0</v>
      </c>
      <c r="D605" s="26">
        <v>0</v>
      </c>
      <c r="E605" s="26">
        <v>0</v>
      </c>
      <c r="F605" s="26">
        <v>0</v>
      </c>
      <c r="G605" s="26"/>
      <c r="H605" s="26" t="str">
        <f>IFERROR(VLOOKUP(G605,Basic_Data!$E$2:$I$9,5,0),"")</f>
        <v/>
      </c>
      <c r="I605" s="26">
        <v>0</v>
      </c>
      <c r="J605" s="26">
        <v>0</v>
      </c>
      <c r="K605" s="47">
        <v>0</v>
      </c>
      <c r="L605" s="47">
        <v>0</v>
      </c>
      <c r="M605" s="26">
        <v>0</v>
      </c>
      <c r="N605" s="26" t="s">
        <v>243</v>
      </c>
    </row>
    <row r="606" ht="15" spans="1:14">
      <c r="A606" s="24">
        <v>46143</v>
      </c>
      <c r="B606" s="25">
        <v>46160</v>
      </c>
      <c r="C606" s="26">
        <v>0</v>
      </c>
      <c r="D606" s="26">
        <v>0</v>
      </c>
      <c r="E606" s="26">
        <v>0</v>
      </c>
      <c r="F606" s="26">
        <v>0</v>
      </c>
      <c r="G606" s="26"/>
      <c r="H606" s="26" t="str">
        <f>IFERROR(VLOOKUP(G606,Basic_Data!$E$2:$I$9,5,0),"")</f>
        <v/>
      </c>
      <c r="I606" s="26">
        <v>0</v>
      </c>
      <c r="J606" s="26">
        <v>0</v>
      </c>
      <c r="K606" s="47">
        <v>0</v>
      </c>
      <c r="L606" s="47">
        <v>0</v>
      </c>
      <c r="M606" s="26">
        <v>0</v>
      </c>
      <c r="N606" s="26" t="s">
        <v>244</v>
      </c>
    </row>
    <row r="607" ht="15" spans="1:14">
      <c r="A607" s="24">
        <v>46143</v>
      </c>
      <c r="B607" s="25">
        <v>46161</v>
      </c>
      <c r="C607" s="26">
        <v>0</v>
      </c>
      <c r="D607" s="26">
        <v>0</v>
      </c>
      <c r="E607" s="26">
        <v>0</v>
      </c>
      <c r="F607" s="26">
        <v>0</v>
      </c>
      <c r="G607" s="26"/>
      <c r="H607" s="26" t="str">
        <f>IFERROR(VLOOKUP(G607,Basic_Data!$E$2:$I$9,5,0),"")</f>
        <v/>
      </c>
      <c r="I607" s="26">
        <v>0</v>
      </c>
      <c r="J607" s="26">
        <v>0</v>
      </c>
      <c r="K607" s="47">
        <v>0</v>
      </c>
      <c r="L607" s="47">
        <v>0</v>
      </c>
      <c r="M607" s="26">
        <f>IFERROR(I607-J607,"")</f>
        <v>0</v>
      </c>
      <c r="N607" s="26" t="s">
        <v>243</v>
      </c>
    </row>
    <row r="608" ht="15" spans="1:14">
      <c r="A608" s="24">
        <v>46143</v>
      </c>
      <c r="B608" s="25">
        <v>46162</v>
      </c>
      <c r="C608" s="26">
        <v>0</v>
      </c>
      <c r="D608" s="26">
        <v>0</v>
      </c>
      <c r="E608" s="26">
        <v>0</v>
      </c>
      <c r="F608" s="26">
        <v>0</v>
      </c>
      <c r="G608" s="26"/>
      <c r="H608" s="26" t="str">
        <f>IFERROR(VLOOKUP(G608,Basic_Data!$E$2:$I$9,5,0),"")</f>
        <v/>
      </c>
      <c r="I608" s="26">
        <v>0</v>
      </c>
      <c r="J608" s="26">
        <v>0</v>
      </c>
      <c r="K608" s="47">
        <v>0</v>
      </c>
      <c r="L608" s="47">
        <v>0</v>
      </c>
      <c r="M608" s="26">
        <f>IFERROR(I608-J608,"")</f>
        <v>0</v>
      </c>
      <c r="N608" s="26" t="s">
        <v>243</v>
      </c>
    </row>
    <row r="609" ht="15" spans="1:14">
      <c r="A609" s="24">
        <v>46143</v>
      </c>
      <c r="B609" s="25">
        <v>46163</v>
      </c>
      <c r="C609" s="26">
        <v>0</v>
      </c>
      <c r="D609" s="26">
        <v>0</v>
      </c>
      <c r="E609" s="26">
        <v>0</v>
      </c>
      <c r="F609" s="26">
        <v>0</v>
      </c>
      <c r="G609" s="26"/>
      <c r="H609" s="26" t="str">
        <f>IFERROR(VLOOKUP(G609,Basic_Data!$E$2:$I$9,5,0),"")</f>
        <v/>
      </c>
      <c r="I609" s="26">
        <v>0</v>
      </c>
      <c r="J609" s="26">
        <v>0</v>
      </c>
      <c r="K609" s="47">
        <v>0</v>
      </c>
      <c r="L609" s="47">
        <v>0</v>
      </c>
      <c r="M609" s="26">
        <f>IFERROR(I609-J609,"")</f>
        <v>0</v>
      </c>
      <c r="N609" s="26" t="s">
        <v>243</v>
      </c>
    </row>
    <row r="610" ht="15" spans="1:14">
      <c r="A610" s="24">
        <v>46143</v>
      </c>
      <c r="B610" s="25">
        <v>46164</v>
      </c>
      <c r="C610" s="26">
        <v>0</v>
      </c>
      <c r="D610" s="26">
        <v>0</v>
      </c>
      <c r="E610" s="26">
        <v>0</v>
      </c>
      <c r="F610" s="26">
        <v>0</v>
      </c>
      <c r="G610" s="26"/>
      <c r="H610" s="26"/>
      <c r="I610" s="26">
        <v>0</v>
      </c>
      <c r="J610" s="26">
        <v>0</v>
      </c>
      <c r="K610" s="47">
        <v>0</v>
      </c>
      <c r="L610" s="47">
        <v>0</v>
      </c>
      <c r="M610" s="26">
        <v>0</v>
      </c>
      <c r="N610" s="26" t="s">
        <v>237</v>
      </c>
    </row>
    <row r="611" ht="15" spans="1:14">
      <c r="A611" s="24">
        <v>46143</v>
      </c>
      <c r="B611" s="25">
        <v>46165</v>
      </c>
      <c r="C611" s="26">
        <v>0</v>
      </c>
      <c r="D611" s="26">
        <v>0</v>
      </c>
      <c r="E611" s="26">
        <v>0</v>
      </c>
      <c r="F611" s="26">
        <v>0</v>
      </c>
      <c r="G611" s="26"/>
      <c r="H611" s="26">
        <v>0</v>
      </c>
      <c r="I611" s="26">
        <v>0</v>
      </c>
      <c r="J611" s="26">
        <v>0</v>
      </c>
      <c r="K611" s="47">
        <v>0</v>
      </c>
      <c r="L611" s="47">
        <v>0</v>
      </c>
      <c r="M611" s="26">
        <v>0</v>
      </c>
      <c r="N611" s="26" t="s">
        <v>237</v>
      </c>
    </row>
    <row r="612" ht="15" spans="1:14">
      <c r="A612" s="24">
        <v>46143</v>
      </c>
      <c r="B612" s="25">
        <v>46166</v>
      </c>
      <c r="C612" s="26">
        <v>0</v>
      </c>
      <c r="D612" s="26">
        <v>0</v>
      </c>
      <c r="E612" s="26">
        <v>0</v>
      </c>
      <c r="F612" s="26">
        <v>0</v>
      </c>
      <c r="G612" s="26"/>
      <c r="H612" s="26" t="str">
        <f>IFERROR(VLOOKUP(G612,Basic_Data!$E$2:$I$9,5,0),"")</f>
        <v/>
      </c>
      <c r="I612" s="26">
        <v>0</v>
      </c>
      <c r="J612" s="26">
        <v>0</v>
      </c>
      <c r="K612" s="47">
        <v>0</v>
      </c>
      <c r="L612" s="47">
        <v>0</v>
      </c>
      <c r="M612" s="26">
        <v>0</v>
      </c>
      <c r="N612" s="26" t="s">
        <v>237</v>
      </c>
    </row>
    <row r="613" ht="15" spans="1:14">
      <c r="A613" s="24">
        <v>46143</v>
      </c>
      <c r="B613" s="25">
        <v>46167</v>
      </c>
      <c r="C613" s="26">
        <v>0</v>
      </c>
      <c r="D613" s="26">
        <v>0</v>
      </c>
      <c r="E613" s="26">
        <v>0</v>
      </c>
      <c r="F613" s="26">
        <v>0</v>
      </c>
      <c r="G613" s="26"/>
      <c r="H613" s="26" t="str">
        <f>IFERROR(VLOOKUP(G613,Basic_Data!$E$2:$I$9,5,0),"")</f>
        <v/>
      </c>
      <c r="I613" s="26">
        <v>0</v>
      </c>
      <c r="J613" s="26">
        <v>0</v>
      </c>
      <c r="K613" s="47">
        <v>0</v>
      </c>
      <c r="L613" s="47">
        <v>0</v>
      </c>
      <c r="M613" s="26">
        <f>IFERROR(I613-J613,"")</f>
        <v>0</v>
      </c>
      <c r="N613" s="26" t="s">
        <v>237</v>
      </c>
    </row>
    <row r="614" ht="15" spans="1:14">
      <c r="A614" s="24">
        <v>46143</v>
      </c>
      <c r="B614" s="25">
        <v>46168</v>
      </c>
      <c r="C614" s="26">
        <v>0</v>
      </c>
      <c r="D614" s="26">
        <v>0</v>
      </c>
      <c r="E614" s="26">
        <v>0</v>
      </c>
      <c r="F614" s="26">
        <v>0</v>
      </c>
      <c r="G614" s="26"/>
      <c r="H614" s="26" t="str">
        <f>IFERROR(VLOOKUP(G614,Basic_Data!$E$2:$I$9,5,0),"")</f>
        <v/>
      </c>
      <c r="I614" s="26">
        <v>0</v>
      </c>
      <c r="J614" s="26">
        <v>0</v>
      </c>
      <c r="K614" s="47">
        <v>0</v>
      </c>
      <c r="L614" s="47">
        <v>0</v>
      </c>
      <c r="M614" s="26">
        <v>0</v>
      </c>
      <c r="N614" s="26" t="s">
        <v>237</v>
      </c>
    </row>
    <row r="615" ht="15" spans="1:14">
      <c r="A615" s="24">
        <v>46143</v>
      </c>
      <c r="B615" s="25">
        <v>46169</v>
      </c>
      <c r="C615" s="26">
        <v>0</v>
      </c>
      <c r="D615" s="26">
        <v>0</v>
      </c>
      <c r="E615" s="26">
        <v>0</v>
      </c>
      <c r="F615" s="26">
        <v>0</v>
      </c>
      <c r="G615" s="26"/>
      <c r="H615" s="26" t="str">
        <f>IFERROR(VLOOKUP(G615,Basic_Data!$E$2:$I$9,5,0),"")</f>
        <v/>
      </c>
      <c r="I615" s="26">
        <v>0</v>
      </c>
      <c r="J615" s="26">
        <v>0</v>
      </c>
      <c r="K615" s="47">
        <v>0</v>
      </c>
      <c r="L615" s="47">
        <v>0</v>
      </c>
      <c r="M615" s="26">
        <v>0</v>
      </c>
      <c r="N615" s="26" t="s">
        <v>237</v>
      </c>
    </row>
    <row r="616" ht="15" spans="1:14">
      <c r="A616" s="24">
        <v>46143</v>
      </c>
      <c r="B616" s="25">
        <v>46170</v>
      </c>
      <c r="C616" s="26">
        <v>0</v>
      </c>
      <c r="D616" s="26">
        <v>0</v>
      </c>
      <c r="E616" s="26">
        <v>0</v>
      </c>
      <c r="F616" s="26">
        <v>0</v>
      </c>
      <c r="G616" s="26"/>
      <c r="H616" s="26" t="str">
        <f>IFERROR(VLOOKUP(G616,Basic_Data!$E$2:$I$9,5,0),"")</f>
        <v/>
      </c>
      <c r="I616" s="26">
        <v>0</v>
      </c>
      <c r="J616" s="26">
        <v>0</v>
      </c>
      <c r="K616" s="47">
        <v>0</v>
      </c>
      <c r="L616" s="47">
        <v>0</v>
      </c>
      <c r="M616" s="26">
        <f>IFERROR(I616-J616,"")</f>
        <v>0</v>
      </c>
      <c r="N616" s="26" t="s">
        <v>237</v>
      </c>
    </row>
    <row r="617" ht="15" spans="1:14">
      <c r="A617" s="24">
        <v>46143</v>
      </c>
      <c r="B617" s="25">
        <v>46171</v>
      </c>
      <c r="C617" s="26">
        <v>0</v>
      </c>
      <c r="D617" s="26">
        <v>0</v>
      </c>
      <c r="E617" s="26">
        <v>0</v>
      </c>
      <c r="F617" s="26">
        <v>0</v>
      </c>
      <c r="G617" s="26"/>
      <c r="H617" s="26" t="str">
        <f>IFERROR(VLOOKUP(G617,Basic_Data!$E$2:$I$9,5,0),"")</f>
        <v/>
      </c>
      <c r="I617" s="26">
        <v>0</v>
      </c>
      <c r="J617" s="26">
        <v>0</v>
      </c>
      <c r="K617" s="47">
        <v>0</v>
      </c>
      <c r="L617" s="47">
        <v>0</v>
      </c>
      <c r="M617" s="26">
        <v>0</v>
      </c>
      <c r="N617" s="26" t="s">
        <v>237</v>
      </c>
    </row>
    <row r="618" ht="15" spans="1:14">
      <c r="A618" s="24">
        <v>46143</v>
      </c>
      <c r="B618" s="25">
        <v>46172</v>
      </c>
      <c r="C618" s="26">
        <v>0</v>
      </c>
      <c r="D618" s="26">
        <v>0</v>
      </c>
      <c r="E618" s="26">
        <v>0</v>
      </c>
      <c r="F618" s="26">
        <v>0</v>
      </c>
      <c r="G618" s="26"/>
      <c r="H618" s="26" t="str">
        <f>IFERROR(VLOOKUP(G618,Basic_Data!$E$2:$I$9,5,0),"")</f>
        <v/>
      </c>
      <c r="I618" s="26">
        <v>0</v>
      </c>
      <c r="J618" s="26">
        <v>0</v>
      </c>
      <c r="K618" s="47">
        <v>0</v>
      </c>
      <c r="L618" s="47">
        <v>0</v>
      </c>
      <c r="M618" s="26">
        <v>0</v>
      </c>
      <c r="N618" s="26" t="s">
        <v>237</v>
      </c>
    </row>
    <row r="619" ht="15" spans="1:14">
      <c r="A619" s="24">
        <v>46143</v>
      </c>
      <c r="B619" s="25">
        <v>46173</v>
      </c>
      <c r="C619" s="26">
        <v>0</v>
      </c>
      <c r="D619" s="26">
        <v>0</v>
      </c>
      <c r="E619" s="26">
        <v>0</v>
      </c>
      <c r="F619" s="26">
        <v>0</v>
      </c>
      <c r="G619" s="26"/>
      <c r="H619" s="26" t="str">
        <f>IFERROR(VLOOKUP(G619,Basic_Data!$E$2:$I$9,5,0),"")</f>
        <v/>
      </c>
      <c r="I619" s="26">
        <v>0</v>
      </c>
      <c r="J619" s="26">
        <v>0</v>
      </c>
      <c r="K619" s="47">
        <v>0</v>
      </c>
      <c r="L619" s="47">
        <v>0</v>
      </c>
      <c r="M619" s="26">
        <f>IFERROR(I619-J619,"")</f>
        <v>0</v>
      </c>
      <c r="N619" s="26" t="s">
        <v>237</v>
      </c>
    </row>
    <row r="620" ht="15" spans="1:14">
      <c r="A620" s="24">
        <v>46174</v>
      </c>
      <c r="B620" s="25">
        <v>46174</v>
      </c>
      <c r="C620" s="26">
        <v>0</v>
      </c>
      <c r="D620" s="26">
        <v>0</v>
      </c>
      <c r="E620" s="26">
        <v>0</v>
      </c>
      <c r="F620" s="26">
        <v>0</v>
      </c>
      <c r="G620" s="26"/>
      <c r="H620" s="26" t="str">
        <f>IFERROR(VLOOKUP(G620,Basic_Data!$E$2:$I$9,5,0),"")</f>
        <v/>
      </c>
      <c r="I620" s="26">
        <v>0</v>
      </c>
      <c r="J620" s="26">
        <v>0</v>
      </c>
      <c r="K620" s="47">
        <v>0</v>
      </c>
      <c r="L620" s="47">
        <v>0</v>
      </c>
      <c r="M620" s="26">
        <v>0</v>
      </c>
      <c r="N620" s="26" t="s">
        <v>237</v>
      </c>
    </row>
    <row r="621" ht="15" spans="1:14">
      <c r="A621" s="24">
        <v>46174</v>
      </c>
      <c r="B621" s="25">
        <v>46175</v>
      </c>
      <c r="C621" s="26">
        <v>1</v>
      </c>
      <c r="D621" s="26">
        <v>4000</v>
      </c>
      <c r="E621" s="26"/>
      <c r="F621" s="26">
        <v>1</v>
      </c>
      <c r="G621" s="26" t="s">
        <v>35</v>
      </c>
      <c r="H621" s="26">
        <f>IFERROR(VLOOKUP(G621,Basic_Data!$E$2:$I$9,5,0),"")</f>
        <v>2</v>
      </c>
      <c r="I621" s="26">
        <f>IFERROR(VLOOKUP($G621,Basic_Data!$E$2:$H$10,4,0),"")</f>
        <v>616</v>
      </c>
      <c r="J621" s="26">
        <v>616</v>
      </c>
      <c r="K621" s="47"/>
      <c r="L621" s="47"/>
      <c r="M621" s="26">
        <f t="shared" ref="M621:M626" si="160">IFERROR(I621-J621,"")</f>
        <v>0</v>
      </c>
      <c r="N621" s="26" t="s">
        <v>239</v>
      </c>
    </row>
    <row r="622" ht="15" spans="1:14">
      <c r="A622" s="24"/>
      <c r="B622" s="25"/>
      <c r="C622" s="26"/>
      <c r="D622" s="26"/>
      <c r="E622" s="26"/>
      <c r="F622" s="26">
        <v>1</v>
      </c>
      <c r="G622" s="26" t="s">
        <v>36</v>
      </c>
      <c r="H622" s="26"/>
      <c r="I622" s="26">
        <f>IFERROR(VLOOKUP($G622,Basic_Data!$E$2:$H$10,4,0),"")</f>
        <v>616</v>
      </c>
      <c r="J622" s="26">
        <v>616</v>
      </c>
      <c r="K622" s="47"/>
      <c r="L622" s="47"/>
      <c r="M622" s="26">
        <f t="shared" si="160"/>
        <v>0</v>
      </c>
      <c r="N622" s="26" t="s">
        <v>239</v>
      </c>
    </row>
    <row r="623" ht="15" spans="1:14">
      <c r="A623" s="24"/>
      <c r="B623" s="25"/>
      <c r="C623" s="26"/>
      <c r="D623" s="26"/>
      <c r="E623" s="26"/>
      <c r="F623" s="26">
        <v>1</v>
      </c>
      <c r="G623" s="26" t="s">
        <v>37</v>
      </c>
      <c r="H623" s="26"/>
      <c r="I623" s="26">
        <f>IFERROR(VLOOKUP($G623,Basic_Data!$E$2:$H$10,4,0),"")</f>
        <v>616</v>
      </c>
      <c r="J623" s="26">
        <v>616</v>
      </c>
      <c r="K623" s="47"/>
      <c r="L623" s="47"/>
      <c r="M623" s="26">
        <f t="shared" si="160"/>
        <v>0</v>
      </c>
      <c r="N623" s="26" t="s">
        <v>239</v>
      </c>
    </row>
    <row r="624" ht="15" spans="1:14">
      <c r="A624" s="24">
        <v>46199</v>
      </c>
      <c r="B624" s="25">
        <v>46176</v>
      </c>
      <c r="C624" s="26">
        <v>10</v>
      </c>
      <c r="D624" s="26">
        <v>2000</v>
      </c>
      <c r="E624" s="26"/>
      <c r="F624" s="26">
        <v>1</v>
      </c>
      <c r="G624" s="26" t="s">
        <v>38</v>
      </c>
      <c r="H624" s="26">
        <f>IFERROR(VLOOKUP(G624,Basic_Data!$E$2:$I$9,5,0),"")</f>
        <v>5</v>
      </c>
      <c r="I624" s="26">
        <f>IFERROR(VLOOKUP($G624,Basic_Data!$E$2:$H$10,4,0),"")</f>
        <v>644</v>
      </c>
      <c r="J624" s="26">
        <v>644</v>
      </c>
      <c r="K624" s="27" t="str">
        <f>IFERROR(VLOOKUP($B624-1,Inverter_PR!$B:$I,Module_Cleaning!H624,0),"")</f>
        <v/>
      </c>
      <c r="L624" s="27" t="str">
        <f>IFERROR(VLOOKUP($B624+1,Inverter_PR!$B:$I,Module_Cleaning!H624,0),"")</f>
        <v/>
      </c>
      <c r="M624" s="26">
        <f t="shared" si="160"/>
        <v>0</v>
      </c>
      <c r="N624" s="26" t="s">
        <v>239</v>
      </c>
    </row>
    <row r="625" ht="15" spans="1:14">
      <c r="A625" s="24"/>
      <c r="B625" s="25"/>
      <c r="C625" s="26"/>
      <c r="D625" s="26"/>
      <c r="E625" s="26"/>
      <c r="F625" s="26">
        <v>1</v>
      </c>
      <c r="G625" s="26" t="s">
        <v>39</v>
      </c>
      <c r="H625" s="26"/>
      <c r="I625" s="26">
        <f>IFERROR(VLOOKUP($G625,Basic_Data!$E$2:$H$10,4,0),"")</f>
        <v>644</v>
      </c>
      <c r="J625" s="26">
        <v>644</v>
      </c>
      <c r="K625" s="27"/>
      <c r="L625" s="27"/>
      <c r="M625" s="26">
        <f t="shared" si="160"/>
        <v>0</v>
      </c>
      <c r="N625" s="26" t="s">
        <v>239</v>
      </c>
    </row>
    <row r="626" ht="15" spans="1:14">
      <c r="A626" s="24">
        <v>46174</v>
      </c>
      <c r="B626" s="25">
        <v>46177</v>
      </c>
      <c r="C626" s="26">
        <v>10</v>
      </c>
      <c r="D626" s="26">
        <v>2000</v>
      </c>
      <c r="E626" s="26"/>
      <c r="F626" s="26">
        <v>1</v>
      </c>
      <c r="G626" s="26" t="s">
        <v>40</v>
      </c>
      <c r="H626" s="26">
        <f>IFERROR(VLOOKUP(G626,Basic_Data!$E$2:$I$9,5,0),"")</f>
        <v>7</v>
      </c>
      <c r="I626" s="26">
        <f>IFERROR(VLOOKUP($G626,Basic_Data!$E$2:$H$10,4,0),"")</f>
        <v>644</v>
      </c>
      <c r="J626" s="26">
        <v>644</v>
      </c>
      <c r="K626" s="27" t="str">
        <f>IFERROR(VLOOKUP($B626-1,Inverter_PR!$B:$I,Module_Cleaning!H626,0),"")</f>
        <v/>
      </c>
      <c r="L626" s="27" t="str">
        <f>IFERROR(VLOOKUP($B626+1,Inverter_PR!$B:$I,Module_Cleaning!H626,0),"")</f>
        <v/>
      </c>
      <c r="M626" s="26">
        <f t="shared" si="160"/>
        <v>0</v>
      </c>
      <c r="N626" s="26" t="s">
        <v>239</v>
      </c>
    </row>
    <row r="627" ht="15" spans="1:14">
      <c r="A627" s="24"/>
      <c r="B627" s="25"/>
      <c r="C627" s="26"/>
      <c r="D627" s="26"/>
      <c r="E627" s="26"/>
      <c r="F627" s="26">
        <v>1</v>
      </c>
      <c r="G627" s="26" t="s">
        <v>41</v>
      </c>
      <c r="H627" s="26"/>
      <c r="I627" s="26">
        <f>IFERROR(VLOOKUP($G627,Basic_Data!$E$2:$H$10,4,0),"")</f>
        <v>644</v>
      </c>
      <c r="J627" s="26">
        <v>644</v>
      </c>
      <c r="K627" s="27"/>
      <c r="L627" s="27"/>
      <c r="M627" s="26">
        <v>0</v>
      </c>
      <c r="N627" s="26" t="s">
        <v>239</v>
      </c>
    </row>
    <row r="628" ht="15" spans="1:14">
      <c r="A628" s="24">
        <v>46174</v>
      </c>
      <c r="B628" s="25">
        <v>46178</v>
      </c>
      <c r="C628" s="26"/>
      <c r="D628" s="26"/>
      <c r="E628" s="26"/>
      <c r="F628" s="26"/>
      <c r="G628" s="26" t="s">
        <v>35</v>
      </c>
      <c r="H628" s="26">
        <f>IFERROR(VLOOKUP(G628,Basic_Data!$E$2:$I$9,5,0),"")</f>
        <v>2</v>
      </c>
      <c r="I628" s="26">
        <f>IFERROR(VLOOKUP($G628,Basic_Data!$E$2:$H$10,4,0),"")</f>
        <v>616</v>
      </c>
      <c r="J628" s="26">
        <v>616</v>
      </c>
      <c r="K628" s="27" t="str">
        <f>IFERROR(VLOOKUP($B628-1,Inverter_PR!$B:$I,Module_Cleaning!H628,0),"")</f>
        <v/>
      </c>
      <c r="L628" s="27" t="str">
        <f>IFERROR(VLOOKUP($B628+1,Inverter_PR!$B:$I,Module_Cleaning!H628,0),"")</f>
        <v/>
      </c>
      <c r="M628" s="26">
        <v>0</v>
      </c>
      <c r="N628" s="26" t="s">
        <v>236</v>
      </c>
    </row>
    <row r="629" ht="15" spans="1:14">
      <c r="A629" s="24"/>
      <c r="B629" s="25"/>
      <c r="C629" s="26"/>
      <c r="D629" s="26"/>
      <c r="E629" s="26"/>
      <c r="F629" s="26"/>
      <c r="G629" s="26" t="s">
        <v>36</v>
      </c>
      <c r="H629" s="26"/>
      <c r="I629" s="26">
        <f>IFERROR(VLOOKUP($G629,Basic_Data!$E$2:$H$10,4,0),"")</f>
        <v>616</v>
      </c>
      <c r="J629" s="26">
        <v>616</v>
      </c>
      <c r="K629" s="27"/>
      <c r="L629" s="27"/>
      <c r="M629" s="26">
        <v>0</v>
      </c>
      <c r="N629" s="26" t="s">
        <v>236</v>
      </c>
    </row>
    <row r="630" ht="15" spans="1:14">
      <c r="A630" s="24"/>
      <c r="B630" s="25"/>
      <c r="C630" s="26"/>
      <c r="D630" s="26"/>
      <c r="E630" s="26"/>
      <c r="F630" s="26"/>
      <c r="G630" s="26" t="s">
        <v>37</v>
      </c>
      <c r="H630" s="26"/>
      <c r="I630" s="26">
        <f>IFERROR(VLOOKUP($G630,Basic_Data!$E$2:$H$10,4,0),"")</f>
        <v>616</v>
      </c>
      <c r="J630" s="26">
        <v>616</v>
      </c>
      <c r="K630" s="27"/>
      <c r="L630" s="27"/>
      <c r="M630" s="26">
        <v>0</v>
      </c>
      <c r="N630" s="26" t="s">
        <v>236</v>
      </c>
    </row>
    <row r="631" ht="15" spans="1:14">
      <c r="A631" s="24">
        <v>46174</v>
      </c>
      <c r="B631" s="25">
        <v>46179</v>
      </c>
      <c r="C631" s="26"/>
      <c r="D631" s="26"/>
      <c r="E631" s="26"/>
      <c r="F631" s="26"/>
      <c r="G631" s="26" t="s">
        <v>38</v>
      </c>
      <c r="H631" s="26">
        <f>IFERROR(VLOOKUP(G631,Basic_Data!$E$2:$I$9,5,0),"")</f>
        <v>5</v>
      </c>
      <c r="I631" s="26">
        <f>IFERROR(VLOOKUP($G631,Basic_Data!$E$2:$H$10,4,0),"")</f>
        <v>644</v>
      </c>
      <c r="J631" s="26">
        <v>644</v>
      </c>
      <c r="K631" s="27" t="str">
        <f>IFERROR(VLOOKUP($B631-1,Inverter_PR!$B:$I,Module_Cleaning!H631,0),"")</f>
        <v/>
      </c>
      <c r="L631" s="27" t="str">
        <f>IFERROR(VLOOKUP($B631+1,Inverter_PR!$B:$I,Module_Cleaning!H631,0),"")</f>
        <v/>
      </c>
      <c r="M631" s="26">
        <f>IFERROR(I631-J631,"")</f>
        <v>0</v>
      </c>
      <c r="N631" s="26" t="s">
        <v>236</v>
      </c>
    </row>
    <row r="632" ht="15" spans="1:14">
      <c r="A632" s="24"/>
      <c r="B632" s="25"/>
      <c r="C632" s="26"/>
      <c r="D632" s="26"/>
      <c r="E632" s="26"/>
      <c r="F632" s="26"/>
      <c r="G632" s="26" t="s">
        <v>39</v>
      </c>
      <c r="H632" s="26"/>
      <c r="I632" s="26">
        <v>644</v>
      </c>
      <c r="J632" s="26">
        <v>644</v>
      </c>
      <c r="K632" s="27"/>
      <c r="L632" s="27"/>
      <c r="M632" s="26">
        <f>IFERROR(I632-J632,"")</f>
        <v>0</v>
      </c>
      <c r="N632" s="26" t="s">
        <v>236</v>
      </c>
    </row>
    <row r="633" ht="15" spans="1:14">
      <c r="A633" s="24"/>
      <c r="B633" s="25"/>
      <c r="C633" s="26"/>
      <c r="D633" s="26"/>
      <c r="E633" s="26"/>
      <c r="F633" s="26"/>
      <c r="G633" s="26" t="s">
        <v>40</v>
      </c>
      <c r="H633" s="26"/>
      <c r="I633" s="26">
        <v>644</v>
      </c>
      <c r="J633" s="26">
        <v>644</v>
      </c>
      <c r="K633" s="27"/>
      <c r="L633" s="27"/>
      <c r="M633" s="26">
        <f>IFERROR(I633-J633,"")</f>
        <v>0</v>
      </c>
      <c r="N633" s="26" t="s">
        <v>236</v>
      </c>
    </row>
    <row r="634" ht="15" spans="1:14">
      <c r="A634" s="24"/>
      <c r="B634" s="25"/>
      <c r="C634" s="26"/>
      <c r="D634" s="26"/>
      <c r="E634" s="26"/>
      <c r="F634" s="26"/>
      <c r="G634" s="26" t="s">
        <v>41</v>
      </c>
      <c r="H634" s="26"/>
      <c r="I634" s="26">
        <v>644</v>
      </c>
      <c r="J634" s="26">
        <v>644</v>
      </c>
      <c r="K634" s="27"/>
      <c r="L634" s="27"/>
      <c r="M634" s="26">
        <f>IFERROR(I634-J634,"")</f>
        <v>0</v>
      </c>
      <c r="N634" s="26" t="s">
        <v>236</v>
      </c>
    </row>
    <row r="635" ht="15" spans="1:14">
      <c r="A635" s="24">
        <v>46174</v>
      </c>
      <c r="B635" s="25">
        <v>46180</v>
      </c>
      <c r="C635" s="26">
        <v>0</v>
      </c>
      <c r="D635" s="26">
        <v>0</v>
      </c>
      <c r="E635" s="26">
        <v>0</v>
      </c>
      <c r="F635" s="26">
        <v>0</v>
      </c>
      <c r="G635" s="26"/>
      <c r="H635" s="26" t="str">
        <f>IFERROR(VLOOKUP(G635,Basic_Data!$E$2:$I$9,5,0),"")</f>
        <v/>
      </c>
      <c r="I635" s="26">
        <v>0</v>
      </c>
      <c r="J635" s="26">
        <v>0</v>
      </c>
      <c r="K635" s="47">
        <v>0</v>
      </c>
      <c r="L635" s="47">
        <v>0</v>
      </c>
      <c r="M635" s="26">
        <v>0</v>
      </c>
      <c r="N635" s="26" t="s">
        <v>237</v>
      </c>
    </row>
    <row r="636" ht="15" spans="1:14">
      <c r="A636" s="24">
        <v>46174</v>
      </c>
      <c r="B636" s="25">
        <v>46181</v>
      </c>
      <c r="C636" s="26">
        <v>0</v>
      </c>
      <c r="D636" s="26">
        <v>0</v>
      </c>
      <c r="E636" s="26">
        <v>0</v>
      </c>
      <c r="F636" s="26">
        <v>0</v>
      </c>
      <c r="G636" s="26"/>
      <c r="H636" s="26" t="str">
        <f>IFERROR(VLOOKUP(G636,Basic_Data!$E$2:$I$9,5,0),"")</f>
        <v/>
      </c>
      <c r="I636" s="26">
        <v>0</v>
      </c>
      <c r="J636" s="26">
        <v>0</v>
      </c>
      <c r="K636" s="47">
        <v>0</v>
      </c>
      <c r="L636" s="47">
        <v>0</v>
      </c>
      <c r="M636" s="26">
        <v>0</v>
      </c>
      <c r="N636" s="26" t="s">
        <v>237</v>
      </c>
    </row>
    <row r="637" ht="15" spans="1:14">
      <c r="A637" s="24">
        <v>46174</v>
      </c>
      <c r="B637" s="25">
        <v>46182</v>
      </c>
      <c r="C637" s="26"/>
      <c r="D637" s="26"/>
      <c r="E637" s="26"/>
      <c r="F637" s="26"/>
      <c r="G637" s="26"/>
      <c r="H637" s="26" t="str">
        <f>IFERROR(VLOOKUP(G637,Basic_Data!$E$2:$I$9,5,0),"")</f>
        <v/>
      </c>
      <c r="I637" s="26" t="str">
        <f>IFERROR(VLOOKUP($G637,Basic_Data!$E$2:$H$10,4,0),"")</f>
        <v/>
      </c>
      <c r="J637" s="26"/>
      <c r="K637" s="27" t="str">
        <f>IFERROR(VLOOKUP($B637-1,Inverter_PR!$B:$I,Module_Cleaning!H637,0),"")</f>
        <v/>
      </c>
      <c r="L637" s="27" t="str">
        <f>IFERROR(VLOOKUP($B637+1,Inverter_PR!$B:$I,Module_Cleaning!H637,0),"")</f>
        <v/>
      </c>
      <c r="M637" s="26" t="str">
        <f t="shared" ref="M635:M658" si="161">IFERROR(I637-J637,"")</f>
        <v/>
      </c>
      <c r="N637" s="26"/>
    </row>
    <row r="638" ht="15" spans="1:14">
      <c r="A638" s="24">
        <v>46174</v>
      </c>
      <c r="B638" s="25">
        <v>46183</v>
      </c>
      <c r="C638" s="26"/>
      <c r="D638" s="26"/>
      <c r="E638" s="26"/>
      <c r="F638" s="26"/>
      <c r="G638" s="26"/>
      <c r="H638" s="26" t="str">
        <f>IFERROR(VLOOKUP(G638,Basic_Data!$E$2:$I$9,5,0),"")</f>
        <v/>
      </c>
      <c r="I638" s="26" t="str">
        <f>IFERROR(VLOOKUP($G638,Basic_Data!$E$2:$H$10,4,0),"")</f>
        <v/>
      </c>
      <c r="J638" s="26"/>
      <c r="K638" s="27" t="str">
        <f>IFERROR(VLOOKUP($B638-1,Inverter_PR!$B:$I,Module_Cleaning!H638,0),"")</f>
        <v/>
      </c>
      <c r="L638" s="27" t="str">
        <f>IFERROR(VLOOKUP($B638+1,Inverter_PR!$B:$I,Module_Cleaning!H638,0),"")</f>
        <v/>
      </c>
      <c r="M638" s="26" t="str">
        <f t="shared" si="161"/>
        <v/>
      </c>
      <c r="N638" s="26"/>
    </row>
    <row r="639" ht="15" spans="1:14">
      <c r="A639" s="24">
        <v>46174</v>
      </c>
      <c r="B639" s="25">
        <v>46184</v>
      </c>
      <c r="C639" s="26"/>
      <c r="D639" s="26"/>
      <c r="E639" s="26"/>
      <c r="F639" s="26"/>
      <c r="G639" s="26"/>
      <c r="H639" s="26" t="str">
        <f>IFERROR(VLOOKUP(G639,Basic_Data!$E$2:$I$9,5,0),"")</f>
        <v/>
      </c>
      <c r="I639" s="26" t="str">
        <f>IFERROR(VLOOKUP($G639,Basic_Data!$E$2:$H$10,4,0),"")</f>
        <v/>
      </c>
      <c r="J639" s="26"/>
      <c r="K639" s="27" t="str">
        <f>IFERROR(VLOOKUP($B639-1,Inverter_PR!$B:$I,Module_Cleaning!H639,0),"")</f>
        <v/>
      </c>
      <c r="L639" s="27" t="str">
        <f>IFERROR(VLOOKUP($B639+1,Inverter_PR!$B:$I,Module_Cleaning!H639,0),"")</f>
        <v/>
      </c>
      <c r="M639" s="26" t="str">
        <f t="shared" si="161"/>
        <v/>
      </c>
      <c r="N639" s="26"/>
    </row>
    <row r="640" ht="15" spans="1:14">
      <c r="A640" s="24">
        <v>46174</v>
      </c>
      <c r="B640" s="25">
        <v>46185</v>
      </c>
      <c r="C640" s="26"/>
      <c r="D640" s="26"/>
      <c r="E640" s="26"/>
      <c r="F640" s="26"/>
      <c r="G640" s="26"/>
      <c r="H640" s="26" t="str">
        <f>IFERROR(VLOOKUP(G640,Basic_Data!$E$2:$I$9,5,0),"")</f>
        <v/>
      </c>
      <c r="I640" s="26" t="str">
        <f>IFERROR(VLOOKUP($G640,Basic_Data!$E$2:$H$10,4,0),"")</f>
        <v/>
      </c>
      <c r="J640" s="26"/>
      <c r="K640" s="27" t="str">
        <f>IFERROR(VLOOKUP($B640-1,Inverter_PR!$B:$I,Module_Cleaning!H640,0),"")</f>
        <v/>
      </c>
      <c r="L640" s="27" t="str">
        <f>IFERROR(VLOOKUP($B640+1,Inverter_PR!$B:$I,Module_Cleaning!H640,0),"")</f>
        <v/>
      </c>
      <c r="M640" s="26" t="str">
        <f t="shared" si="161"/>
        <v/>
      </c>
      <c r="N640" s="26"/>
    </row>
    <row r="641" ht="15" spans="1:14">
      <c r="A641" s="24">
        <v>46174</v>
      </c>
      <c r="B641" s="25">
        <v>46186</v>
      </c>
      <c r="C641" s="26"/>
      <c r="D641" s="26"/>
      <c r="E641" s="26"/>
      <c r="F641" s="26"/>
      <c r="G641" s="26"/>
      <c r="H641" s="26" t="str">
        <f>IFERROR(VLOOKUP(G641,Basic_Data!$E$2:$I$9,5,0),"")</f>
        <v/>
      </c>
      <c r="I641" s="26" t="str">
        <f>IFERROR(VLOOKUP($G641,Basic_Data!$E$2:$H$10,4,0),"")</f>
        <v/>
      </c>
      <c r="J641" s="26"/>
      <c r="K641" s="27" t="str">
        <f>IFERROR(VLOOKUP($B641-1,Inverter_PR!$B:$I,Module_Cleaning!H641,0),"")</f>
        <v/>
      </c>
      <c r="L641" s="27" t="str">
        <f>IFERROR(VLOOKUP($B641+1,Inverter_PR!$B:$I,Module_Cleaning!H641,0),"")</f>
        <v/>
      </c>
      <c r="M641" s="26" t="str">
        <f t="shared" si="161"/>
        <v/>
      </c>
      <c r="N641" s="26"/>
    </row>
    <row r="642" ht="15" spans="1:14">
      <c r="A642" s="24">
        <v>46174</v>
      </c>
      <c r="B642" s="25">
        <v>46187</v>
      </c>
      <c r="C642" s="26"/>
      <c r="D642" s="26"/>
      <c r="E642" s="26"/>
      <c r="F642" s="26"/>
      <c r="G642" s="26"/>
      <c r="H642" s="26" t="str">
        <f>IFERROR(VLOOKUP(G642,Basic_Data!$E$2:$I$9,5,0),"")</f>
        <v/>
      </c>
      <c r="I642" s="26" t="str">
        <f>IFERROR(VLOOKUP($G642,Basic_Data!$E$2:$H$10,4,0),"")</f>
        <v/>
      </c>
      <c r="J642" s="26"/>
      <c r="K642" s="27" t="str">
        <f>IFERROR(VLOOKUP($B642-1,Inverter_PR!$B:$I,Module_Cleaning!H642,0),"")</f>
        <v/>
      </c>
      <c r="L642" s="27" t="str">
        <f>IFERROR(VLOOKUP($B642+1,Inverter_PR!$B:$I,Module_Cleaning!H642,0),"")</f>
        <v/>
      </c>
      <c r="M642" s="26" t="str">
        <f t="shared" si="161"/>
        <v/>
      </c>
      <c r="N642" s="26"/>
    </row>
    <row r="643" ht="15" spans="1:14">
      <c r="A643" s="24">
        <v>46174</v>
      </c>
      <c r="B643" s="25">
        <v>46188</v>
      </c>
      <c r="C643" s="26"/>
      <c r="D643" s="26"/>
      <c r="E643" s="26"/>
      <c r="F643" s="26"/>
      <c r="G643" s="26"/>
      <c r="H643" s="26" t="str">
        <f>IFERROR(VLOOKUP(G643,Basic_Data!$E$2:$I$9,5,0),"")</f>
        <v/>
      </c>
      <c r="I643" s="26" t="str">
        <f>IFERROR(VLOOKUP($G643,Basic_Data!$E$2:$H$10,4,0),"")</f>
        <v/>
      </c>
      <c r="J643" s="26"/>
      <c r="K643" s="27" t="str">
        <f>IFERROR(VLOOKUP($B643-1,Inverter_PR!$B:$I,Module_Cleaning!H643,0),"")</f>
        <v/>
      </c>
      <c r="L643" s="27" t="str">
        <f>IFERROR(VLOOKUP($B643+1,Inverter_PR!$B:$I,Module_Cleaning!H643,0),"")</f>
        <v/>
      </c>
      <c r="M643" s="26" t="str">
        <f t="shared" si="161"/>
        <v/>
      </c>
      <c r="N643" s="26"/>
    </row>
    <row r="644" ht="15" spans="1:14">
      <c r="A644" s="24">
        <v>46174</v>
      </c>
      <c r="B644" s="25">
        <v>46189</v>
      </c>
      <c r="C644" s="26"/>
      <c r="D644" s="26"/>
      <c r="E644" s="26"/>
      <c r="F644" s="26"/>
      <c r="G644" s="26"/>
      <c r="H644" s="26" t="str">
        <f>IFERROR(VLOOKUP(G644,Basic_Data!$E$2:$I$9,5,0),"")</f>
        <v/>
      </c>
      <c r="I644" s="26" t="str">
        <f>IFERROR(VLOOKUP($G644,Basic_Data!$E$2:$H$10,4,0),"")</f>
        <v/>
      </c>
      <c r="J644" s="26"/>
      <c r="K644" s="27" t="str">
        <f>IFERROR(VLOOKUP($B644-1,Inverter_PR!$B:$I,Module_Cleaning!H644,0),"")</f>
        <v/>
      </c>
      <c r="L644" s="27" t="str">
        <f>IFERROR(VLOOKUP($B644+1,Inverter_PR!$B:$I,Module_Cleaning!H644,0),"")</f>
        <v/>
      </c>
      <c r="M644" s="26" t="str">
        <f t="shared" si="161"/>
        <v/>
      </c>
      <c r="N644" s="26"/>
    </row>
    <row r="645" ht="15" spans="1:14">
      <c r="A645" s="24">
        <v>46174</v>
      </c>
      <c r="B645" s="25">
        <v>46190</v>
      </c>
      <c r="C645" s="26"/>
      <c r="D645" s="26"/>
      <c r="E645" s="26"/>
      <c r="F645" s="26"/>
      <c r="G645" s="26"/>
      <c r="H645" s="26" t="str">
        <f>IFERROR(VLOOKUP(G645,Basic_Data!$E$2:$I$9,5,0),"")</f>
        <v/>
      </c>
      <c r="I645" s="26" t="str">
        <f>IFERROR(VLOOKUP($G645,Basic_Data!$E$2:$H$10,4,0),"")</f>
        <v/>
      </c>
      <c r="J645" s="26"/>
      <c r="K645" s="27" t="str">
        <f>IFERROR(VLOOKUP($B645-1,Inverter_PR!$B:$I,Module_Cleaning!H645,0),"")</f>
        <v/>
      </c>
      <c r="L645" s="27" t="str">
        <f>IFERROR(VLOOKUP($B645+1,Inverter_PR!$B:$I,Module_Cleaning!H645,0),"")</f>
        <v/>
      </c>
      <c r="M645" s="26" t="str">
        <f t="shared" si="161"/>
        <v/>
      </c>
      <c r="N645" s="26"/>
    </row>
    <row r="646" ht="15" spans="1:14">
      <c r="A646" s="24">
        <v>46174</v>
      </c>
      <c r="B646" s="25">
        <v>46191</v>
      </c>
      <c r="C646" s="26"/>
      <c r="D646" s="26"/>
      <c r="E646" s="26"/>
      <c r="F646" s="26"/>
      <c r="G646" s="26"/>
      <c r="H646" s="26" t="str">
        <f>IFERROR(VLOOKUP(G646,Basic_Data!$E$2:$I$9,5,0),"")</f>
        <v/>
      </c>
      <c r="I646" s="26" t="str">
        <f>IFERROR(VLOOKUP($G646,Basic_Data!$E$2:$H$10,4,0),"")</f>
        <v/>
      </c>
      <c r="J646" s="26"/>
      <c r="K646" s="27" t="str">
        <f>IFERROR(VLOOKUP($B646-1,Inverter_PR!$B:$I,Module_Cleaning!H646,0),"")</f>
        <v/>
      </c>
      <c r="L646" s="27" t="str">
        <f>IFERROR(VLOOKUP($B646+1,Inverter_PR!$B:$I,Module_Cleaning!H646,0),"")</f>
        <v/>
      </c>
      <c r="M646" s="26" t="str">
        <f t="shared" si="161"/>
        <v/>
      </c>
      <c r="N646" s="26"/>
    </row>
    <row r="647" ht="15" spans="1:14">
      <c r="A647" s="24">
        <v>46174</v>
      </c>
      <c r="B647" s="25">
        <v>46192</v>
      </c>
      <c r="C647" s="26"/>
      <c r="D647" s="26"/>
      <c r="E647" s="26"/>
      <c r="F647" s="26"/>
      <c r="G647" s="26"/>
      <c r="H647" s="26" t="str">
        <f>IFERROR(VLOOKUP(G647,Basic_Data!$E$2:$I$9,5,0),"")</f>
        <v/>
      </c>
      <c r="I647" s="26" t="str">
        <f>IFERROR(VLOOKUP($G647,Basic_Data!$E$2:$H$10,4,0),"")</f>
        <v/>
      </c>
      <c r="J647" s="26"/>
      <c r="K647" s="27" t="str">
        <f>IFERROR(VLOOKUP($B647-1,Inverter_PR!$B:$I,Module_Cleaning!H647,0),"")</f>
        <v/>
      </c>
      <c r="L647" s="27" t="str">
        <f>IFERROR(VLOOKUP($B647+1,Inverter_PR!$B:$I,Module_Cleaning!H647,0),"")</f>
        <v/>
      </c>
      <c r="M647" s="26" t="str">
        <f t="shared" si="161"/>
        <v/>
      </c>
      <c r="N647" s="26"/>
    </row>
    <row r="648" ht="15" spans="1:14">
      <c r="A648" s="24">
        <v>46174</v>
      </c>
      <c r="B648" s="25">
        <v>46193</v>
      </c>
      <c r="C648" s="26"/>
      <c r="D648" s="26"/>
      <c r="E648" s="26"/>
      <c r="F648" s="26"/>
      <c r="G648" s="26"/>
      <c r="H648" s="26" t="str">
        <f>IFERROR(VLOOKUP(G648,Basic_Data!$E$2:$I$9,5,0),"")</f>
        <v/>
      </c>
      <c r="I648" s="26" t="str">
        <f>IFERROR(VLOOKUP($G648,Basic_Data!$E$2:$H$10,4,0),"")</f>
        <v/>
      </c>
      <c r="J648" s="26"/>
      <c r="K648" s="27" t="str">
        <f>IFERROR(VLOOKUP($B648-1,Inverter_PR!$B:$I,Module_Cleaning!H648,0),"")</f>
        <v/>
      </c>
      <c r="L648" s="27" t="str">
        <f>IFERROR(VLOOKUP($B648+1,Inverter_PR!$B:$I,Module_Cleaning!H648,0),"")</f>
        <v/>
      </c>
      <c r="M648" s="26" t="str">
        <f t="shared" si="161"/>
        <v/>
      </c>
      <c r="N648" s="26"/>
    </row>
    <row r="649" ht="15" spans="1:14">
      <c r="A649" s="24">
        <v>46174</v>
      </c>
      <c r="B649" s="25">
        <v>46194</v>
      </c>
      <c r="C649" s="26"/>
      <c r="D649" s="26"/>
      <c r="E649" s="26"/>
      <c r="F649" s="26"/>
      <c r="G649" s="26"/>
      <c r="H649" s="26" t="str">
        <f>IFERROR(VLOOKUP(G649,Basic_Data!$E$2:$I$9,5,0),"")</f>
        <v/>
      </c>
      <c r="I649" s="26" t="str">
        <f>IFERROR(VLOOKUP($G649,Basic_Data!$E$2:$H$10,4,0),"")</f>
        <v/>
      </c>
      <c r="J649" s="26"/>
      <c r="K649" s="27" t="str">
        <f>IFERROR(VLOOKUP($B649-1,Inverter_PR!$B:$I,Module_Cleaning!H649,0),"")</f>
        <v/>
      </c>
      <c r="L649" s="27" t="str">
        <f>IFERROR(VLOOKUP($B649+1,Inverter_PR!$B:$I,Module_Cleaning!H649,0),"")</f>
        <v/>
      </c>
      <c r="M649" s="26" t="str">
        <f t="shared" si="161"/>
        <v/>
      </c>
      <c r="N649" s="26"/>
    </row>
    <row r="650" ht="15" spans="1:14">
      <c r="A650" s="24">
        <v>46174</v>
      </c>
      <c r="B650" s="25">
        <v>46195</v>
      </c>
      <c r="C650" s="26"/>
      <c r="D650" s="26"/>
      <c r="E650" s="26"/>
      <c r="F650" s="26"/>
      <c r="G650" s="26"/>
      <c r="H650" s="26" t="str">
        <f>IFERROR(VLOOKUP(G650,Basic_Data!$E$2:$I$9,5,0),"")</f>
        <v/>
      </c>
      <c r="I650" s="26" t="str">
        <f>IFERROR(VLOOKUP($G650,Basic_Data!$E$2:$H$10,4,0),"")</f>
        <v/>
      </c>
      <c r="J650" s="26"/>
      <c r="K650" s="27" t="str">
        <f>IFERROR(VLOOKUP($B650-1,Inverter_PR!$B:$I,Module_Cleaning!H650,0),"")</f>
        <v/>
      </c>
      <c r="L650" s="27" t="str">
        <f>IFERROR(VLOOKUP($B650+1,Inverter_PR!$B:$I,Module_Cleaning!H650,0),"")</f>
        <v/>
      </c>
      <c r="M650" s="26" t="str">
        <f t="shared" si="161"/>
        <v/>
      </c>
      <c r="N650" s="26"/>
    </row>
    <row r="651" ht="15" spans="1:14">
      <c r="A651" s="24">
        <v>46174</v>
      </c>
      <c r="B651" s="25">
        <v>46196</v>
      </c>
      <c r="C651" s="26"/>
      <c r="D651" s="26"/>
      <c r="E651" s="26"/>
      <c r="F651" s="26"/>
      <c r="G651" s="26"/>
      <c r="H651" s="26" t="str">
        <f>IFERROR(VLOOKUP(G651,Basic_Data!$E$2:$I$9,5,0),"")</f>
        <v/>
      </c>
      <c r="I651" s="26" t="str">
        <f>IFERROR(VLOOKUP($G651,Basic_Data!$E$2:$H$10,4,0),"")</f>
        <v/>
      </c>
      <c r="J651" s="26"/>
      <c r="K651" s="27" t="str">
        <f>IFERROR(VLOOKUP($B651-1,Inverter_PR!$B:$I,Module_Cleaning!H651,0),"")</f>
        <v/>
      </c>
      <c r="L651" s="27" t="str">
        <f>IFERROR(VLOOKUP($B651+1,Inverter_PR!$B:$I,Module_Cleaning!H651,0),"")</f>
        <v/>
      </c>
      <c r="M651" s="26" t="str">
        <f t="shared" si="161"/>
        <v/>
      </c>
      <c r="N651" s="26"/>
    </row>
    <row r="652" ht="15" spans="1:14">
      <c r="A652" s="24">
        <v>46174</v>
      </c>
      <c r="B652" s="25">
        <v>46197</v>
      </c>
      <c r="C652" s="26"/>
      <c r="D652" s="26"/>
      <c r="E652" s="26"/>
      <c r="F652" s="26"/>
      <c r="G652" s="26"/>
      <c r="H652" s="26" t="str">
        <f>IFERROR(VLOOKUP(G652,Basic_Data!$E$2:$I$9,5,0),"")</f>
        <v/>
      </c>
      <c r="I652" s="26" t="str">
        <f>IFERROR(VLOOKUP($G652,Basic_Data!$E$2:$H$10,4,0),"")</f>
        <v/>
      </c>
      <c r="J652" s="26"/>
      <c r="K652" s="27" t="str">
        <f>IFERROR(VLOOKUP($B652-1,Inverter_PR!$B:$I,Module_Cleaning!H652,0),"")</f>
        <v/>
      </c>
      <c r="L652" s="27" t="str">
        <f>IFERROR(VLOOKUP($B652+1,Inverter_PR!$B:$I,Module_Cleaning!H652,0),"")</f>
        <v/>
      </c>
      <c r="M652" s="26" t="str">
        <f t="shared" si="161"/>
        <v/>
      </c>
      <c r="N652" s="26"/>
    </row>
    <row r="653" ht="15" spans="1:14">
      <c r="A653" s="24">
        <v>46174</v>
      </c>
      <c r="B653" s="25">
        <v>46198</v>
      </c>
      <c r="C653" s="26"/>
      <c r="D653" s="26"/>
      <c r="E653" s="26"/>
      <c r="F653" s="26"/>
      <c r="G653" s="26"/>
      <c r="H653" s="26" t="str">
        <f>IFERROR(VLOOKUP(G653,Basic_Data!$E$2:$I$9,5,0),"")</f>
        <v/>
      </c>
      <c r="I653" s="26" t="str">
        <f>IFERROR(VLOOKUP($G653,Basic_Data!$E$2:$H$10,4,0),"")</f>
        <v/>
      </c>
      <c r="J653" s="26"/>
      <c r="K653" s="27" t="str">
        <f>IFERROR(VLOOKUP($B653-1,Inverter_PR!$B:$I,Module_Cleaning!H653,0),"")</f>
        <v/>
      </c>
      <c r="L653" s="27" t="str">
        <f>IFERROR(VLOOKUP($B653+1,Inverter_PR!$B:$I,Module_Cleaning!H653,0),"")</f>
        <v/>
      </c>
      <c r="M653" s="26" t="str">
        <f t="shared" si="161"/>
        <v/>
      </c>
      <c r="N653" s="26"/>
    </row>
    <row r="654" ht="15" spans="1:14">
      <c r="A654" s="24">
        <v>46174</v>
      </c>
      <c r="B654" s="25">
        <v>46199</v>
      </c>
      <c r="C654" s="26"/>
      <c r="D654" s="26"/>
      <c r="E654" s="26"/>
      <c r="F654" s="26"/>
      <c r="G654" s="26"/>
      <c r="H654" s="26" t="str">
        <f>IFERROR(VLOOKUP(G654,Basic_Data!$E$2:$I$9,5,0),"")</f>
        <v/>
      </c>
      <c r="I654" s="26" t="str">
        <f>IFERROR(VLOOKUP($G654,Basic_Data!$E$2:$H$10,4,0),"")</f>
        <v/>
      </c>
      <c r="J654" s="26"/>
      <c r="K654" s="27" t="str">
        <f>IFERROR(VLOOKUP($B654-1,Inverter_PR!$B:$I,Module_Cleaning!H654,0),"")</f>
        <v/>
      </c>
      <c r="L654" s="27" t="str">
        <f>IFERROR(VLOOKUP($B654+1,Inverter_PR!$B:$I,Module_Cleaning!H654,0),"")</f>
        <v/>
      </c>
      <c r="M654" s="26" t="str">
        <f t="shared" si="161"/>
        <v/>
      </c>
      <c r="N654" s="26"/>
    </row>
    <row r="655" ht="15" spans="1:14">
      <c r="A655" s="24">
        <v>46174</v>
      </c>
      <c r="B655" s="25">
        <v>46200</v>
      </c>
      <c r="C655" s="26"/>
      <c r="D655" s="26"/>
      <c r="E655" s="26"/>
      <c r="F655" s="26"/>
      <c r="G655" s="26"/>
      <c r="H655" s="26" t="str">
        <f>IFERROR(VLOOKUP(G655,Basic_Data!$E$2:$I$9,5,0),"")</f>
        <v/>
      </c>
      <c r="I655" s="26" t="str">
        <f>IFERROR(VLOOKUP($G655,Basic_Data!$E$2:$H$10,4,0),"")</f>
        <v/>
      </c>
      <c r="J655" s="26"/>
      <c r="K655" s="27" t="str">
        <f>IFERROR(VLOOKUP($B655-1,Inverter_PR!$B:$I,Module_Cleaning!H655,0),"")</f>
        <v/>
      </c>
      <c r="L655" s="27" t="str">
        <f>IFERROR(VLOOKUP($B655+1,Inverter_PR!$B:$I,Module_Cleaning!H655,0),"")</f>
        <v/>
      </c>
      <c r="M655" s="26" t="str">
        <f t="shared" si="161"/>
        <v/>
      </c>
      <c r="N655" s="26"/>
    </row>
    <row r="656" ht="15" spans="1:14">
      <c r="A656" s="24">
        <v>46174</v>
      </c>
      <c r="B656" s="25">
        <v>46201</v>
      </c>
      <c r="C656" s="26"/>
      <c r="D656" s="26"/>
      <c r="E656" s="26"/>
      <c r="F656" s="26"/>
      <c r="G656" s="26"/>
      <c r="H656" s="26" t="str">
        <f>IFERROR(VLOOKUP(G656,Basic_Data!$E$2:$I$9,5,0),"")</f>
        <v/>
      </c>
      <c r="I656" s="26" t="str">
        <f>IFERROR(VLOOKUP($G656,Basic_Data!$E$2:$H$10,4,0),"")</f>
        <v/>
      </c>
      <c r="J656" s="26"/>
      <c r="K656" s="27" t="str">
        <f>IFERROR(VLOOKUP($B656-1,Inverter_PR!$B:$I,Module_Cleaning!H656,0),"")</f>
        <v/>
      </c>
      <c r="L656" s="27" t="str">
        <f>IFERROR(VLOOKUP($B656+1,Inverter_PR!$B:$I,Module_Cleaning!H656,0),"")</f>
        <v/>
      </c>
      <c r="M656" s="26" t="str">
        <f t="shared" si="161"/>
        <v/>
      </c>
      <c r="N656" s="26"/>
    </row>
    <row r="657" ht="15" spans="1:14">
      <c r="A657" s="24">
        <v>46174</v>
      </c>
      <c r="B657" s="25">
        <v>46202</v>
      </c>
      <c r="C657" s="26"/>
      <c r="D657" s="26"/>
      <c r="E657" s="26"/>
      <c r="F657" s="26"/>
      <c r="G657" s="26"/>
      <c r="H657" s="26" t="str">
        <f>IFERROR(VLOOKUP(G657,Basic_Data!$E$2:$I$9,5,0),"")</f>
        <v/>
      </c>
      <c r="I657" s="26" t="str">
        <f>IFERROR(VLOOKUP($G657,Basic_Data!$E$2:$H$10,4,0),"")</f>
        <v/>
      </c>
      <c r="J657" s="26"/>
      <c r="K657" s="27" t="str">
        <f>IFERROR(VLOOKUP($B657-1,Inverter_PR!$B:$I,Module_Cleaning!H657,0),"")</f>
        <v/>
      </c>
      <c r="L657" s="27" t="str">
        <f>IFERROR(VLOOKUP($B657+1,Inverter_PR!$B:$I,Module_Cleaning!H657,0),"")</f>
        <v/>
      </c>
      <c r="M657" s="26" t="str">
        <f t="shared" si="161"/>
        <v/>
      </c>
      <c r="N657" s="26"/>
    </row>
    <row r="658" ht="15" spans="1:14">
      <c r="A658" s="24">
        <v>46175</v>
      </c>
      <c r="B658" s="25">
        <v>46203</v>
      </c>
      <c r="C658" s="26"/>
      <c r="D658" s="26"/>
      <c r="E658" s="26"/>
      <c r="F658" s="26"/>
      <c r="G658" s="26"/>
      <c r="H658" s="26" t="str">
        <f>IFERROR(VLOOKUP(G658,Basic_Data!$E$2:$I$9,5,0),"")</f>
        <v/>
      </c>
      <c r="I658" s="26" t="str">
        <f>IFERROR(VLOOKUP($G658,Basic_Data!$E$2:$H$10,4,0),"")</f>
        <v/>
      </c>
      <c r="J658" s="26"/>
      <c r="K658" s="27" t="str">
        <f>IFERROR(VLOOKUP($B658-1,Inverter_PR!$B:$I,Module_Cleaning!H658,0),"")</f>
        <v/>
      </c>
      <c r="L658" s="27" t="str">
        <f>IFERROR(VLOOKUP($B658+1,Inverter_PR!$B:$I,Module_Cleaning!H658,0),"")</f>
        <v/>
      </c>
      <c r="M658" s="26" t="str">
        <f t="shared" si="161"/>
        <v/>
      </c>
      <c r="N658" s="26"/>
    </row>
    <row r="659" ht="15" spans="1:14">
      <c r="A659" s="24"/>
      <c r="B659" s="25"/>
      <c r="C659" s="26"/>
      <c r="D659" s="26"/>
      <c r="E659" s="26"/>
      <c r="F659" s="26"/>
      <c r="G659" s="26"/>
      <c r="H659" s="26"/>
      <c r="I659" s="26"/>
      <c r="J659" s="26"/>
      <c r="K659" s="27"/>
      <c r="L659" s="27"/>
      <c r="M659" s="26"/>
      <c r="N659" s="26"/>
    </row>
  </sheetData>
  <mergeCells count="11">
    <mergeCell ref="C2:E2"/>
    <mergeCell ref="A18:A19"/>
    <mergeCell ref="A20:A26"/>
    <mergeCell ref="A27:A29"/>
    <mergeCell ref="B18:B19"/>
    <mergeCell ref="B20:B26"/>
    <mergeCell ref="B27:B29"/>
    <mergeCell ref="C27:C29"/>
    <mergeCell ref="D27:D29"/>
    <mergeCell ref="F20:F26"/>
    <mergeCell ref="F27:F29"/>
  </mergeCells>
  <dataValidations count="1">
    <dataValidation type="list" allowBlank="1" showInputMessage="1" showErrorMessage="1" sqref="G4:G14 G16:G659">
      <formula1>Basic_Data!$E$3:$E$9</formula1>
    </dataValidation>
  </dataValidations>
  <pageMargins left="0.7" right="0.7" top="0.75" bottom="0.75" header="0.3" footer="0.3"/>
  <pageSetup paperSize="1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1100"/>
  <sheetViews>
    <sheetView workbookViewId="0">
      <pane ySplit="2" topLeftCell="A376" activePane="bottomLeft" state="frozen"/>
      <selection/>
      <selection pane="bottomLeft" activeCell="C343" sqref="C343:C399"/>
    </sheetView>
  </sheetViews>
  <sheetFormatPr defaultColWidth="9" defaultRowHeight="12.75"/>
  <cols>
    <col min="1" max="1" width="9" style="13"/>
    <col min="2" max="4" width="9" style="14"/>
    <col min="5" max="15" width="9" style="13"/>
    <col min="16" max="16" width="12.625" style="13" customWidth="1"/>
    <col min="17" max="16384" width="9" style="13"/>
  </cols>
  <sheetData>
    <row r="1" ht="36" customHeight="1"/>
    <row r="2" ht="38.25" spans="1:18">
      <c r="A2" s="1" t="s">
        <v>1</v>
      </c>
      <c r="B2" s="1" t="s">
        <v>245</v>
      </c>
      <c r="C2" s="1" t="s">
        <v>246</v>
      </c>
      <c r="D2" s="1" t="s">
        <v>247</v>
      </c>
      <c r="E2" s="1" t="s">
        <v>248</v>
      </c>
      <c r="F2" s="1" t="s">
        <v>249</v>
      </c>
      <c r="G2" s="1" t="s">
        <v>250</v>
      </c>
      <c r="H2" s="1" t="s">
        <v>251</v>
      </c>
      <c r="I2" s="1" t="s">
        <v>252</v>
      </c>
      <c r="J2" s="1" t="s">
        <v>253</v>
      </c>
      <c r="K2" s="1" t="s">
        <v>254</v>
      </c>
      <c r="L2" s="1" t="s">
        <v>255</v>
      </c>
      <c r="M2" s="1" t="s">
        <v>256</v>
      </c>
      <c r="N2" s="1" t="s">
        <v>257</v>
      </c>
      <c r="O2" s="1" t="s">
        <v>258</v>
      </c>
      <c r="P2" s="1" t="s">
        <v>259</v>
      </c>
      <c r="Q2" s="1" t="s">
        <v>260</v>
      </c>
      <c r="R2" s="1" t="s">
        <v>261</v>
      </c>
    </row>
    <row r="3" ht="14.25" spans="1:18">
      <c r="A3" s="15">
        <v>45839</v>
      </c>
      <c r="B3" s="3">
        <f>Data_Entry!P94</f>
        <v>9120.00000000006</v>
      </c>
      <c r="C3" s="3">
        <v>0</v>
      </c>
      <c r="D3" s="4">
        <f>Data_Entry!V94</f>
        <v>4.07</v>
      </c>
      <c r="E3" s="5">
        <f t="shared" ref="E3:E68" si="0">B3/(24*J3)</f>
        <v>0.157610949813357</v>
      </c>
      <c r="F3" s="6">
        <v>0</v>
      </c>
      <c r="G3" s="6">
        <v>0</v>
      </c>
      <c r="H3" s="7">
        <f t="shared" ref="H3:H68" si="1">(G3-F3)*24*60</f>
        <v>0</v>
      </c>
      <c r="I3" s="7">
        <f t="shared" ref="I3:I68" si="2">H3/60</f>
        <v>0</v>
      </c>
      <c r="J3" s="8">
        <v>2411</v>
      </c>
      <c r="K3" s="9"/>
      <c r="L3" s="8">
        <f t="shared" ref="L3:L68" si="3">J3*12</f>
        <v>28932</v>
      </c>
      <c r="M3" s="7">
        <f t="shared" ref="M3:M68" si="4">K3*I3</f>
        <v>0</v>
      </c>
      <c r="N3" s="10">
        <f t="shared" ref="N3:N68" si="5">(L3-M3)/L3</f>
        <v>1</v>
      </c>
      <c r="O3" s="11">
        <f t="shared" ref="O3:O68" si="6">E3/N3</f>
        <v>0.157610949813357</v>
      </c>
      <c r="P3" s="11"/>
      <c r="Q3" s="8">
        <f t="shared" ref="Q3:Q68" si="7">O3*J3*24</f>
        <v>9120.00000000006</v>
      </c>
      <c r="R3" s="12">
        <f t="shared" ref="R3:R68" si="8">Q3-B3</f>
        <v>0</v>
      </c>
    </row>
    <row r="4" ht="14.25" spans="1:18">
      <c r="A4" s="15">
        <v>45840</v>
      </c>
      <c r="B4" s="3">
        <f>Data_Entry!P95</f>
        <v>4619.99999999989</v>
      </c>
      <c r="C4" s="3">
        <v>0</v>
      </c>
      <c r="D4" s="4">
        <f>Data_Entry!V95</f>
        <v>1.77</v>
      </c>
      <c r="E4" s="5">
        <f t="shared" si="0"/>
        <v>0.0798423890501848</v>
      </c>
      <c r="F4" s="6">
        <v>0</v>
      </c>
      <c r="G4" s="6">
        <v>0</v>
      </c>
      <c r="H4" s="7">
        <f t="shared" si="1"/>
        <v>0</v>
      </c>
      <c r="I4" s="7">
        <f t="shared" si="2"/>
        <v>0</v>
      </c>
      <c r="J4" s="8">
        <v>2411</v>
      </c>
      <c r="K4" s="9"/>
      <c r="L4" s="8">
        <f t="shared" si="3"/>
        <v>28932</v>
      </c>
      <c r="M4" s="7">
        <f t="shared" si="4"/>
        <v>0</v>
      </c>
      <c r="N4" s="10">
        <f t="shared" si="5"/>
        <v>1</v>
      </c>
      <c r="O4" s="11">
        <f t="shared" si="6"/>
        <v>0.0798423890501848</v>
      </c>
      <c r="P4" s="11"/>
      <c r="Q4" s="8">
        <f t="shared" si="7"/>
        <v>4619.99999999989</v>
      </c>
      <c r="R4" s="12">
        <f t="shared" si="8"/>
        <v>0</v>
      </c>
    </row>
    <row r="5" ht="14.25" spans="1:18">
      <c r="A5" s="15">
        <v>45841</v>
      </c>
      <c r="B5" s="3">
        <f>Data_Entry!P96</f>
        <v>4050.00000000007</v>
      </c>
      <c r="C5" s="3">
        <v>0</v>
      </c>
      <c r="D5" s="4">
        <f>Data_Entry!V96</f>
        <v>1.54</v>
      </c>
      <c r="E5" s="5">
        <f t="shared" si="0"/>
        <v>0.0699917046868531</v>
      </c>
      <c r="F5" s="6">
        <v>0</v>
      </c>
      <c r="G5" s="6">
        <v>0</v>
      </c>
      <c r="H5" s="7">
        <f t="shared" si="1"/>
        <v>0</v>
      </c>
      <c r="I5" s="7">
        <f t="shared" si="2"/>
        <v>0</v>
      </c>
      <c r="J5" s="8">
        <v>2411</v>
      </c>
      <c r="K5" s="9"/>
      <c r="L5" s="8">
        <f t="shared" si="3"/>
        <v>28932</v>
      </c>
      <c r="M5" s="7">
        <f t="shared" si="4"/>
        <v>0</v>
      </c>
      <c r="N5" s="10">
        <f t="shared" si="5"/>
        <v>1</v>
      </c>
      <c r="O5" s="11">
        <f t="shared" si="6"/>
        <v>0.0699917046868531</v>
      </c>
      <c r="P5" s="11"/>
      <c r="Q5" s="8">
        <f t="shared" si="7"/>
        <v>4050.00000000007</v>
      </c>
      <c r="R5" s="12">
        <f t="shared" si="8"/>
        <v>0</v>
      </c>
    </row>
    <row r="6" ht="14.25" spans="1:18">
      <c r="A6" s="15">
        <v>45842</v>
      </c>
      <c r="B6" s="3">
        <f>Data_Entry!P97</f>
        <v>5580.00000000004</v>
      </c>
      <c r="C6" s="3">
        <v>0</v>
      </c>
      <c r="D6" s="4">
        <f>Data_Entry!V97</f>
        <v>2.25</v>
      </c>
      <c r="E6" s="5">
        <f t="shared" si="0"/>
        <v>0.09643301534633</v>
      </c>
      <c r="F6" s="6">
        <v>0</v>
      </c>
      <c r="G6" s="6">
        <v>0</v>
      </c>
      <c r="H6" s="7">
        <f t="shared" si="1"/>
        <v>0</v>
      </c>
      <c r="I6" s="7">
        <f t="shared" si="2"/>
        <v>0</v>
      </c>
      <c r="J6" s="8">
        <v>2411</v>
      </c>
      <c r="K6" s="9"/>
      <c r="L6" s="8">
        <f t="shared" si="3"/>
        <v>28932</v>
      </c>
      <c r="M6" s="7">
        <f t="shared" si="4"/>
        <v>0</v>
      </c>
      <c r="N6" s="10">
        <f t="shared" si="5"/>
        <v>1</v>
      </c>
      <c r="O6" s="11">
        <f t="shared" si="6"/>
        <v>0.09643301534633</v>
      </c>
      <c r="P6" s="11"/>
      <c r="Q6" s="8">
        <f t="shared" si="7"/>
        <v>5580.00000000004</v>
      </c>
      <c r="R6" s="12">
        <f t="shared" si="8"/>
        <v>0</v>
      </c>
    </row>
    <row r="7" ht="14.25" spans="1:18">
      <c r="A7" s="15">
        <v>45843</v>
      </c>
      <c r="B7" s="3">
        <f>Data_Entry!P98</f>
        <v>3209.99999999998</v>
      </c>
      <c r="C7" s="3">
        <v>0</v>
      </c>
      <c r="D7" s="4">
        <f>Data_Entry!V98</f>
        <v>1.2</v>
      </c>
      <c r="E7" s="5">
        <f t="shared" si="0"/>
        <v>0.0554749066777267</v>
      </c>
      <c r="F7" s="6">
        <v>0</v>
      </c>
      <c r="G7" s="6">
        <v>0</v>
      </c>
      <c r="H7" s="7">
        <f t="shared" si="1"/>
        <v>0</v>
      </c>
      <c r="I7" s="7">
        <f t="shared" si="2"/>
        <v>0</v>
      </c>
      <c r="J7" s="8">
        <v>2411</v>
      </c>
      <c r="K7" s="9"/>
      <c r="L7" s="8">
        <f t="shared" si="3"/>
        <v>28932</v>
      </c>
      <c r="M7" s="7">
        <f t="shared" si="4"/>
        <v>0</v>
      </c>
      <c r="N7" s="10">
        <f t="shared" si="5"/>
        <v>1</v>
      </c>
      <c r="O7" s="11">
        <f t="shared" si="6"/>
        <v>0.0554749066777267</v>
      </c>
      <c r="P7" s="16"/>
      <c r="Q7" s="8">
        <f t="shared" si="7"/>
        <v>3209.99999999998</v>
      </c>
      <c r="R7" s="12">
        <f t="shared" si="8"/>
        <v>0</v>
      </c>
    </row>
    <row r="8" ht="14.25" spans="1:18">
      <c r="A8" s="15">
        <v>45844</v>
      </c>
      <c r="B8" s="3">
        <f>Data_Entry!P99</f>
        <v>4979.9999999999</v>
      </c>
      <c r="C8" s="3">
        <v>0</v>
      </c>
      <c r="D8" s="4">
        <f>Data_Entry!V99</f>
        <v>1.93</v>
      </c>
      <c r="E8" s="5">
        <f t="shared" si="0"/>
        <v>0.0860638739112385</v>
      </c>
      <c r="F8" s="6">
        <v>0</v>
      </c>
      <c r="G8" s="6">
        <v>0</v>
      </c>
      <c r="H8" s="7">
        <f t="shared" si="1"/>
        <v>0</v>
      </c>
      <c r="I8" s="7">
        <f t="shared" si="2"/>
        <v>0</v>
      </c>
      <c r="J8" s="8">
        <v>2411</v>
      </c>
      <c r="K8" s="9"/>
      <c r="L8" s="8">
        <f t="shared" si="3"/>
        <v>28932</v>
      </c>
      <c r="M8" s="7">
        <f t="shared" si="4"/>
        <v>0</v>
      </c>
      <c r="N8" s="10">
        <f t="shared" si="5"/>
        <v>1</v>
      </c>
      <c r="O8" s="11">
        <f t="shared" si="6"/>
        <v>0.0860638739112385</v>
      </c>
      <c r="P8" s="11"/>
      <c r="Q8" s="8">
        <f t="shared" si="7"/>
        <v>4979.9999999999</v>
      </c>
      <c r="R8" s="12">
        <f t="shared" si="8"/>
        <v>0</v>
      </c>
    </row>
    <row r="9" ht="14.25" spans="1:18">
      <c r="A9" s="15">
        <v>45845</v>
      </c>
      <c r="B9" s="3">
        <f>Data_Entry!P100</f>
        <v>3690.00000000005</v>
      </c>
      <c r="C9" s="3">
        <v>0</v>
      </c>
      <c r="D9" s="4">
        <f>Data_Entry!V100</f>
        <v>1.43</v>
      </c>
      <c r="E9" s="5">
        <f t="shared" si="0"/>
        <v>0.0637702198257994</v>
      </c>
      <c r="F9" s="6">
        <v>0</v>
      </c>
      <c r="G9" s="6">
        <v>0</v>
      </c>
      <c r="H9" s="7">
        <f t="shared" si="1"/>
        <v>0</v>
      </c>
      <c r="I9" s="7">
        <f t="shared" si="2"/>
        <v>0</v>
      </c>
      <c r="J9" s="8">
        <v>2411</v>
      </c>
      <c r="K9" s="9"/>
      <c r="L9" s="8">
        <f t="shared" si="3"/>
        <v>28932</v>
      </c>
      <c r="M9" s="7">
        <f t="shared" si="4"/>
        <v>0</v>
      </c>
      <c r="N9" s="10">
        <f t="shared" si="5"/>
        <v>1</v>
      </c>
      <c r="O9" s="11">
        <f t="shared" si="6"/>
        <v>0.0637702198257994</v>
      </c>
      <c r="P9" s="11"/>
      <c r="Q9" s="8">
        <f t="shared" si="7"/>
        <v>3690.00000000005</v>
      </c>
      <c r="R9" s="12">
        <f t="shared" si="8"/>
        <v>0</v>
      </c>
    </row>
    <row r="10" ht="14.25" spans="1:18">
      <c r="A10" s="15">
        <v>45846</v>
      </c>
      <c r="B10" s="3">
        <f>Data_Entry!P101</f>
        <v>6989.99999999995</v>
      </c>
      <c r="C10" s="3">
        <v>0</v>
      </c>
      <c r="D10" s="4">
        <f>Data_Entry!V101</f>
        <v>2.81</v>
      </c>
      <c r="E10" s="5">
        <f t="shared" si="0"/>
        <v>0.120800497718788</v>
      </c>
      <c r="F10" s="6">
        <v>0</v>
      </c>
      <c r="G10" s="6">
        <v>0</v>
      </c>
      <c r="H10" s="7">
        <f t="shared" si="1"/>
        <v>0</v>
      </c>
      <c r="I10" s="7">
        <f t="shared" si="2"/>
        <v>0</v>
      </c>
      <c r="J10" s="8">
        <v>2411</v>
      </c>
      <c r="K10" s="9"/>
      <c r="L10" s="8">
        <f t="shared" si="3"/>
        <v>28932</v>
      </c>
      <c r="M10" s="7">
        <f t="shared" si="4"/>
        <v>0</v>
      </c>
      <c r="N10" s="10">
        <f t="shared" si="5"/>
        <v>1</v>
      </c>
      <c r="O10" s="11">
        <f t="shared" si="6"/>
        <v>0.120800497718788</v>
      </c>
      <c r="P10" s="11"/>
      <c r="Q10" s="8">
        <f t="shared" si="7"/>
        <v>6989.99999999995</v>
      </c>
      <c r="R10" s="12">
        <f t="shared" si="8"/>
        <v>0</v>
      </c>
    </row>
    <row r="11" ht="14.25" spans="1:18">
      <c r="A11" s="15">
        <v>45847</v>
      </c>
      <c r="B11" s="3">
        <f>Data_Entry!P102</f>
        <v>11880.0000000001</v>
      </c>
      <c r="C11" s="3">
        <v>0</v>
      </c>
      <c r="D11" s="4">
        <f>Data_Entry!V102</f>
        <v>5.06</v>
      </c>
      <c r="E11" s="5">
        <f t="shared" si="0"/>
        <v>0.205309000414768</v>
      </c>
      <c r="F11" s="6">
        <v>0</v>
      </c>
      <c r="G11" s="6">
        <v>0</v>
      </c>
      <c r="H11" s="7">
        <f t="shared" si="1"/>
        <v>0</v>
      </c>
      <c r="I11" s="7">
        <f t="shared" si="2"/>
        <v>0</v>
      </c>
      <c r="J11" s="8">
        <v>2411</v>
      </c>
      <c r="K11" s="9"/>
      <c r="L11" s="8">
        <f t="shared" si="3"/>
        <v>28932</v>
      </c>
      <c r="M11" s="7">
        <f t="shared" si="4"/>
        <v>0</v>
      </c>
      <c r="N11" s="10">
        <f t="shared" si="5"/>
        <v>1</v>
      </c>
      <c r="O11" s="11">
        <f t="shared" si="6"/>
        <v>0.205309000414768</v>
      </c>
      <c r="P11" s="11"/>
      <c r="Q11" s="8">
        <f t="shared" si="7"/>
        <v>11880.0000000001</v>
      </c>
      <c r="R11" s="12">
        <f t="shared" si="8"/>
        <v>0</v>
      </c>
    </row>
    <row r="12" ht="14.25" spans="1:18">
      <c r="A12" s="15">
        <v>45848</v>
      </c>
      <c r="B12" s="3">
        <f>Data_Entry!P103</f>
        <v>4949.99999999993</v>
      </c>
      <c r="C12" s="3">
        <v>0</v>
      </c>
      <c r="D12" s="4">
        <f>Data_Entry!V103</f>
        <v>2.01</v>
      </c>
      <c r="E12" s="5">
        <f t="shared" si="0"/>
        <v>0.0855454168394845</v>
      </c>
      <c r="F12" s="6">
        <v>0</v>
      </c>
      <c r="G12" s="6">
        <v>0</v>
      </c>
      <c r="H12" s="7">
        <f t="shared" si="1"/>
        <v>0</v>
      </c>
      <c r="I12" s="7">
        <f t="shared" si="2"/>
        <v>0</v>
      </c>
      <c r="J12" s="8">
        <v>2411</v>
      </c>
      <c r="K12" s="9"/>
      <c r="L12" s="8">
        <f t="shared" si="3"/>
        <v>28932</v>
      </c>
      <c r="M12" s="7">
        <f t="shared" si="4"/>
        <v>0</v>
      </c>
      <c r="N12" s="10">
        <f t="shared" si="5"/>
        <v>1</v>
      </c>
      <c r="O12" s="11">
        <f t="shared" si="6"/>
        <v>0.0855454168394845</v>
      </c>
      <c r="P12" s="11"/>
      <c r="Q12" s="8">
        <f t="shared" si="7"/>
        <v>4949.99999999993</v>
      </c>
      <c r="R12" s="12">
        <f t="shared" si="8"/>
        <v>0</v>
      </c>
    </row>
    <row r="13" ht="14.25" spans="1:18">
      <c r="A13" s="15">
        <v>45849</v>
      </c>
      <c r="B13" s="3">
        <f>Data_Entry!P104</f>
        <v>3540.00000000002</v>
      </c>
      <c r="C13" s="3">
        <v>0</v>
      </c>
      <c r="D13" s="4">
        <f>Data_Entry!V104</f>
        <v>1.32</v>
      </c>
      <c r="E13" s="5">
        <f t="shared" si="0"/>
        <v>0.0611779344670265</v>
      </c>
      <c r="F13" s="6">
        <v>0</v>
      </c>
      <c r="G13" s="6">
        <v>0</v>
      </c>
      <c r="H13" s="7">
        <f t="shared" si="1"/>
        <v>0</v>
      </c>
      <c r="I13" s="7">
        <f t="shared" si="2"/>
        <v>0</v>
      </c>
      <c r="J13" s="8">
        <v>2411</v>
      </c>
      <c r="K13" s="9"/>
      <c r="L13" s="8">
        <f t="shared" si="3"/>
        <v>28932</v>
      </c>
      <c r="M13" s="7">
        <f t="shared" si="4"/>
        <v>0</v>
      </c>
      <c r="N13" s="10">
        <f t="shared" si="5"/>
        <v>1</v>
      </c>
      <c r="O13" s="11">
        <f t="shared" si="6"/>
        <v>0.0611779344670265</v>
      </c>
      <c r="P13" s="11"/>
      <c r="Q13" s="8">
        <f t="shared" si="7"/>
        <v>3540.00000000002</v>
      </c>
      <c r="R13" s="12">
        <f t="shared" si="8"/>
        <v>0</v>
      </c>
    </row>
    <row r="14" ht="14.25" spans="1:18">
      <c r="A14" s="15">
        <v>45850</v>
      </c>
      <c r="B14" s="3">
        <f>Data_Entry!P105</f>
        <v>10290</v>
      </c>
      <c r="C14" s="3">
        <v>0</v>
      </c>
      <c r="D14" s="4">
        <f>Data_Entry!V105</f>
        <v>3.95</v>
      </c>
      <c r="E14" s="5">
        <f t="shared" si="0"/>
        <v>0.17783077561178</v>
      </c>
      <c r="F14" s="6">
        <v>0</v>
      </c>
      <c r="G14" s="6">
        <v>0</v>
      </c>
      <c r="H14" s="7">
        <f t="shared" si="1"/>
        <v>0</v>
      </c>
      <c r="I14" s="7">
        <f t="shared" si="2"/>
        <v>0</v>
      </c>
      <c r="J14" s="8">
        <v>2411</v>
      </c>
      <c r="K14" s="9"/>
      <c r="L14" s="8">
        <f t="shared" si="3"/>
        <v>28932</v>
      </c>
      <c r="M14" s="7">
        <f t="shared" si="4"/>
        <v>0</v>
      </c>
      <c r="N14" s="10">
        <f t="shared" si="5"/>
        <v>1</v>
      </c>
      <c r="O14" s="11">
        <f t="shared" si="6"/>
        <v>0.17783077561178</v>
      </c>
      <c r="P14" s="11"/>
      <c r="Q14" s="8">
        <f t="shared" si="7"/>
        <v>10290</v>
      </c>
      <c r="R14" s="12">
        <f t="shared" si="8"/>
        <v>0</v>
      </c>
    </row>
    <row r="15" ht="14.25" spans="1:18">
      <c r="A15" s="15">
        <v>45851</v>
      </c>
      <c r="B15" s="3">
        <f>Data_Entry!P106</f>
        <v>13350</v>
      </c>
      <c r="C15" s="3">
        <v>0</v>
      </c>
      <c r="D15" s="4">
        <f>Data_Entry!V106</f>
        <v>6.02</v>
      </c>
      <c r="E15" s="5">
        <f t="shared" si="0"/>
        <v>0.230713396930734</v>
      </c>
      <c r="F15" s="6">
        <v>0</v>
      </c>
      <c r="G15" s="6">
        <v>0</v>
      </c>
      <c r="H15" s="7">
        <f t="shared" si="1"/>
        <v>0</v>
      </c>
      <c r="I15" s="7">
        <f t="shared" si="2"/>
        <v>0</v>
      </c>
      <c r="J15" s="8">
        <v>2411</v>
      </c>
      <c r="K15" s="9"/>
      <c r="L15" s="8">
        <f t="shared" si="3"/>
        <v>28932</v>
      </c>
      <c r="M15" s="7">
        <f t="shared" si="4"/>
        <v>0</v>
      </c>
      <c r="N15" s="10">
        <f t="shared" si="5"/>
        <v>1</v>
      </c>
      <c r="O15" s="11">
        <f t="shared" si="6"/>
        <v>0.230713396930734</v>
      </c>
      <c r="P15" s="11"/>
      <c r="Q15" s="8">
        <f t="shared" si="7"/>
        <v>13350</v>
      </c>
      <c r="R15" s="12">
        <f t="shared" si="8"/>
        <v>0</v>
      </c>
    </row>
    <row r="16" ht="14.25" spans="1:18">
      <c r="A16" s="15">
        <v>45852</v>
      </c>
      <c r="B16" s="3">
        <f>Data_Entry!P107</f>
        <v>10559.9999999999</v>
      </c>
      <c r="C16" s="3">
        <v>0</v>
      </c>
      <c r="D16" s="4">
        <f>Data_Entry!V107</f>
        <v>4.11</v>
      </c>
      <c r="E16" s="5">
        <f t="shared" si="0"/>
        <v>0.182496889257569</v>
      </c>
      <c r="F16" s="6">
        <v>0</v>
      </c>
      <c r="G16" s="6">
        <v>0</v>
      </c>
      <c r="H16" s="7">
        <f t="shared" si="1"/>
        <v>0</v>
      </c>
      <c r="I16" s="7">
        <f t="shared" si="2"/>
        <v>0</v>
      </c>
      <c r="J16" s="8">
        <v>2411</v>
      </c>
      <c r="K16" s="9"/>
      <c r="L16" s="8">
        <f t="shared" si="3"/>
        <v>28932</v>
      </c>
      <c r="M16" s="7">
        <f t="shared" si="4"/>
        <v>0</v>
      </c>
      <c r="N16" s="10">
        <f t="shared" si="5"/>
        <v>1</v>
      </c>
      <c r="O16" s="11">
        <f t="shared" si="6"/>
        <v>0.182496889257569</v>
      </c>
      <c r="P16" s="11"/>
      <c r="Q16" s="8">
        <f t="shared" si="7"/>
        <v>10559.9999999999</v>
      </c>
      <c r="R16" s="12">
        <f t="shared" si="8"/>
        <v>0</v>
      </c>
    </row>
    <row r="17" ht="14.25" spans="1:18">
      <c r="A17" s="15">
        <v>45853</v>
      </c>
      <c r="B17" s="3">
        <f>Data_Entry!P108</f>
        <v>11040</v>
      </c>
      <c r="C17" s="3">
        <v>0</v>
      </c>
      <c r="D17" s="4">
        <f>Data_Entry!V108</f>
        <v>4.66</v>
      </c>
      <c r="E17" s="5">
        <f t="shared" si="0"/>
        <v>0.190792202405641</v>
      </c>
      <c r="F17" s="6">
        <v>0</v>
      </c>
      <c r="G17" s="6">
        <v>0</v>
      </c>
      <c r="H17" s="7">
        <f t="shared" si="1"/>
        <v>0</v>
      </c>
      <c r="I17" s="7">
        <f t="shared" si="2"/>
        <v>0</v>
      </c>
      <c r="J17" s="8">
        <v>2411</v>
      </c>
      <c r="K17" s="9"/>
      <c r="L17" s="8">
        <f t="shared" si="3"/>
        <v>28932</v>
      </c>
      <c r="M17" s="7">
        <f t="shared" si="4"/>
        <v>0</v>
      </c>
      <c r="N17" s="10">
        <f t="shared" si="5"/>
        <v>1</v>
      </c>
      <c r="O17" s="11">
        <f t="shared" si="6"/>
        <v>0.190792202405641</v>
      </c>
      <c r="P17" s="11"/>
      <c r="Q17" s="8">
        <f t="shared" si="7"/>
        <v>11040</v>
      </c>
      <c r="R17" s="12">
        <f t="shared" si="8"/>
        <v>0</v>
      </c>
    </row>
    <row r="18" ht="14.25" spans="1:18">
      <c r="A18" s="15">
        <v>45854</v>
      </c>
      <c r="B18" s="3">
        <f>Data_Entry!P109</f>
        <v>12720</v>
      </c>
      <c r="C18" s="3">
        <v>0</v>
      </c>
      <c r="D18" s="4">
        <f>Data_Entry!V109</f>
        <v>5.64</v>
      </c>
      <c r="E18" s="5">
        <f t="shared" si="0"/>
        <v>0.219825798423891</v>
      </c>
      <c r="F18" s="6">
        <v>0</v>
      </c>
      <c r="G18" s="6">
        <v>0</v>
      </c>
      <c r="H18" s="7">
        <f t="shared" si="1"/>
        <v>0</v>
      </c>
      <c r="I18" s="7">
        <f t="shared" si="2"/>
        <v>0</v>
      </c>
      <c r="J18" s="8">
        <v>2411</v>
      </c>
      <c r="K18" s="9"/>
      <c r="L18" s="8">
        <f t="shared" si="3"/>
        <v>28932</v>
      </c>
      <c r="M18" s="7">
        <f t="shared" si="4"/>
        <v>0</v>
      </c>
      <c r="N18" s="10">
        <f t="shared" si="5"/>
        <v>1</v>
      </c>
      <c r="O18" s="11">
        <f t="shared" si="6"/>
        <v>0.219825798423891</v>
      </c>
      <c r="P18" s="11"/>
      <c r="Q18" s="8">
        <f t="shared" si="7"/>
        <v>12720</v>
      </c>
      <c r="R18" s="12">
        <f t="shared" si="8"/>
        <v>0</v>
      </c>
    </row>
    <row r="19" ht="14.25" spans="1:18">
      <c r="A19" s="15">
        <v>45855</v>
      </c>
      <c r="B19" s="3">
        <f>Data_Entry!P110</f>
        <v>11400</v>
      </c>
      <c r="C19" s="3">
        <v>0</v>
      </c>
      <c r="D19" s="4">
        <f>Data_Entry!V110</f>
        <v>4.43</v>
      </c>
      <c r="E19" s="5">
        <f t="shared" si="0"/>
        <v>0.197013687266695</v>
      </c>
      <c r="F19" s="6">
        <v>0</v>
      </c>
      <c r="G19" s="6">
        <v>0</v>
      </c>
      <c r="H19" s="7">
        <f t="shared" si="1"/>
        <v>0</v>
      </c>
      <c r="I19" s="7">
        <f t="shared" si="2"/>
        <v>0</v>
      </c>
      <c r="J19" s="8">
        <v>2411</v>
      </c>
      <c r="K19" s="9"/>
      <c r="L19" s="8">
        <f t="shared" si="3"/>
        <v>28932</v>
      </c>
      <c r="M19" s="7">
        <f t="shared" si="4"/>
        <v>0</v>
      </c>
      <c r="N19" s="10">
        <f t="shared" si="5"/>
        <v>1</v>
      </c>
      <c r="O19" s="11">
        <f t="shared" si="6"/>
        <v>0.197013687266695</v>
      </c>
      <c r="P19" s="11"/>
      <c r="Q19" s="8">
        <f t="shared" si="7"/>
        <v>11400</v>
      </c>
      <c r="R19" s="12">
        <f t="shared" si="8"/>
        <v>0</v>
      </c>
    </row>
    <row r="20" ht="14.25" spans="1:18">
      <c r="A20" s="15">
        <v>45856</v>
      </c>
      <c r="B20" s="3">
        <f>Data_Entry!P111</f>
        <v>12449.9999999999</v>
      </c>
      <c r="C20" s="3">
        <v>0</v>
      </c>
      <c r="D20" s="4">
        <f>Data_Entry!V111</f>
        <v>5.55</v>
      </c>
      <c r="E20" s="5">
        <f t="shared" si="0"/>
        <v>0.215159684778099</v>
      </c>
      <c r="F20" s="6">
        <v>0</v>
      </c>
      <c r="G20" s="6">
        <v>0</v>
      </c>
      <c r="H20" s="7">
        <f t="shared" si="1"/>
        <v>0</v>
      </c>
      <c r="I20" s="7">
        <f t="shared" si="2"/>
        <v>0</v>
      </c>
      <c r="J20" s="8">
        <v>2411</v>
      </c>
      <c r="K20" s="9"/>
      <c r="L20" s="8">
        <f t="shared" si="3"/>
        <v>28932</v>
      </c>
      <c r="M20" s="7">
        <f t="shared" si="4"/>
        <v>0</v>
      </c>
      <c r="N20" s="10">
        <f t="shared" si="5"/>
        <v>1</v>
      </c>
      <c r="O20" s="11">
        <f t="shared" si="6"/>
        <v>0.215159684778099</v>
      </c>
      <c r="P20" s="11"/>
      <c r="Q20" s="8">
        <f t="shared" si="7"/>
        <v>12449.9999999999</v>
      </c>
      <c r="R20" s="12">
        <f t="shared" si="8"/>
        <v>0</v>
      </c>
    </row>
    <row r="21" ht="14.25" spans="1:18">
      <c r="A21" s="15">
        <v>45857</v>
      </c>
      <c r="B21" s="3">
        <f>Data_Entry!P112</f>
        <v>6630.00000000011</v>
      </c>
      <c r="C21" s="3">
        <v>0</v>
      </c>
      <c r="D21" s="4">
        <f>Data_Entry!V112</f>
        <v>2.7</v>
      </c>
      <c r="E21" s="5">
        <f t="shared" si="0"/>
        <v>0.114579012857737</v>
      </c>
      <c r="F21" s="6">
        <v>0</v>
      </c>
      <c r="G21" s="6">
        <v>0</v>
      </c>
      <c r="H21" s="7">
        <f t="shared" si="1"/>
        <v>0</v>
      </c>
      <c r="I21" s="7">
        <f t="shared" si="2"/>
        <v>0</v>
      </c>
      <c r="J21" s="8">
        <v>2411</v>
      </c>
      <c r="K21" s="9"/>
      <c r="L21" s="8">
        <f t="shared" si="3"/>
        <v>28932</v>
      </c>
      <c r="M21" s="7">
        <f t="shared" si="4"/>
        <v>0</v>
      </c>
      <c r="N21" s="10">
        <f t="shared" si="5"/>
        <v>1</v>
      </c>
      <c r="O21" s="11">
        <f t="shared" si="6"/>
        <v>0.114579012857737</v>
      </c>
      <c r="P21" s="11"/>
      <c r="Q21" s="8">
        <f t="shared" si="7"/>
        <v>6630.00000000011</v>
      </c>
      <c r="R21" s="12">
        <f t="shared" si="8"/>
        <v>0</v>
      </c>
    </row>
    <row r="22" ht="14.25" spans="1:18">
      <c r="A22" s="15">
        <v>45858</v>
      </c>
      <c r="B22" s="3">
        <f>Data_Entry!P113</f>
        <v>7769.99999999993</v>
      </c>
      <c r="C22" s="3">
        <v>0</v>
      </c>
      <c r="D22" s="4">
        <f>Data_Entry!V113</f>
        <v>3.16</v>
      </c>
      <c r="E22" s="5">
        <f t="shared" si="0"/>
        <v>0.134280381584404</v>
      </c>
      <c r="F22" s="6">
        <v>0</v>
      </c>
      <c r="G22" s="6">
        <v>0</v>
      </c>
      <c r="H22" s="7">
        <f t="shared" si="1"/>
        <v>0</v>
      </c>
      <c r="I22" s="7">
        <f t="shared" si="2"/>
        <v>0</v>
      </c>
      <c r="J22" s="8">
        <v>2411</v>
      </c>
      <c r="K22" s="9"/>
      <c r="L22" s="8">
        <f t="shared" si="3"/>
        <v>28932</v>
      </c>
      <c r="M22" s="7">
        <f t="shared" si="4"/>
        <v>0</v>
      </c>
      <c r="N22" s="10">
        <f t="shared" si="5"/>
        <v>1</v>
      </c>
      <c r="O22" s="11">
        <f t="shared" si="6"/>
        <v>0.134280381584404</v>
      </c>
      <c r="P22" s="11"/>
      <c r="Q22" s="8">
        <f t="shared" si="7"/>
        <v>7769.99999999993</v>
      </c>
      <c r="R22" s="12">
        <f t="shared" si="8"/>
        <v>0</v>
      </c>
    </row>
    <row r="23" ht="14.25" spans="1:18">
      <c r="A23" s="15">
        <v>45859</v>
      </c>
      <c r="B23" s="3">
        <f>Data_Entry!P114</f>
        <v>9180.00000000001</v>
      </c>
      <c r="C23" s="3">
        <v>0</v>
      </c>
      <c r="D23" s="4">
        <f>Data_Entry!V114</f>
        <v>3.92</v>
      </c>
      <c r="E23" s="5">
        <f t="shared" si="0"/>
        <v>0.158647863956865</v>
      </c>
      <c r="F23" s="6">
        <v>0</v>
      </c>
      <c r="G23" s="6">
        <v>0</v>
      </c>
      <c r="H23" s="7">
        <f t="shared" si="1"/>
        <v>0</v>
      </c>
      <c r="I23" s="7">
        <f t="shared" si="2"/>
        <v>0</v>
      </c>
      <c r="J23" s="8">
        <v>2411</v>
      </c>
      <c r="K23" s="9"/>
      <c r="L23" s="8">
        <f t="shared" si="3"/>
        <v>28932</v>
      </c>
      <c r="M23" s="7">
        <f t="shared" si="4"/>
        <v>0</v>
      </c>
      <c r="N23" s="10">
        <f t="shared" si="5"/>
        <v>1</v>
      </c>
      <c r="O23" s="11">
        <f t="shared" si="6"/>
        <v>0.158647863956865</v>
      </c>
      <c r="P23" s="11"/>
      <c r="Q23" s="8">
        <f t="shared" si="7"/>
        <v>9180.00000000001</v>
      </c>
      <c r="R23" s="12">
        <f t="shared" si="8"/>
        <v>0</v>
      </c>
    </row>
    <row r="24" ht="14.25" spans="1:18">
      <c r="A24" s="15">
        <v>45860</v>
      </c>
      <c r="B24" s="3">
        <f>Data_Entry!P115</f>
        <v>9239.99999999995</v>
      </c>
      <c r="C24" s="3">
        <v>0</v>
      </c>
      <c r="D24" s="4">
        <f>Data_Entry!V115</f>
        <v>4.14</v>
      </c>
      <c r="E24" s="5">
        <f t="shared" si="0"/>
        <v>0.159684778100372</v>
      </c>
      <c r="F24" s="6">
        <v>0</v>
      </c>
      <c r="G24" s="6">
        <v>0</v>
      </c>
      <c r="H24" s="7">
        <f t="shared" si="1"/>
        <v>0</v>
      </c>
      <c r="I24" s="7">
        <f t="shared" si="2"/>
        <v>0</v>
      </c>
      <c r="J24" s="8">
        <v>2411</v>
      </c>
      <c r="K24" s="9"/>
      <c r="L24" s="8">
        <f t="shared" si="3"/>
        <v>28932</v>
      </c>
      <c r="M24" s="7">
        <f t="shared" si="4"/>
        <v>0</v>
      </c>
      <c r="N24" s="10">
        <f t="shared" si="5"/>
        <v>1</v>
      </c>
      <c r="O24" s="11">
        <f t="shared" si="6"/>
        <v>0.159684778100372</v>
      </c>
      <c r="P24" s="11"/>
      <c r="Q24" s="8">
        <f t="shared" si="7"/>
        <v>9239.99999999995</v>
      </c>
      <c r="R24" s="12">
        <f t="shared" si="8"/>
        <v>0</v>
      </c>
    </row>
    <row r="25" ht="14.25" spans="1:18">
      <c r="A25" s="15">
        <v>45861</v>
      </c>
      <c r="B25" s="3">
        <f>Data_Entry!P116</f>
        <v>6090.00000000009</v>
      </c>
      <c r="C25" s="3">
        <v>0</v>
      </c>
      <c r="D25" s="4">
        <f>Data_Entry!V116</f>
        <v>2.6</v>
      </c>
      <c r="E25" s="5">
        <f t="shared" si="0"/>
        <v>0.105246785566157</v>
      </c>
      <c r="F25" s="6">
        <v>0</v>
      </c>
      <c r="G25" s="6">
        <v>0</v>
      </c>
      <c r="H25" s="7">
        <f t="shared" si="1"/>
        <v>0</v>
      </c>
      <c r="I25" s="7">
        <f t="shared" si="2"/>
        <v>0</v>
      </c>
      <c r="J25" s="8">
        <v>2411</v>
      </c>
      <c r="K25" s="9"/>
      <c r="L25" s="8">
        <f t="shared" si="3"/>
        <v>28932</v>
      </c>
      <c r="M25" s="7">
        <f t="shared" si="4"/>
        <v>0</v>
      </c>
      <c r="N25" s="10">
        <f t="shared" si="5"/>
        <v>1</v>
      </c>
      <c r="O25" s="11">
        <f t="shared" si="6"/>
        <v>0.105246785566157</v>
      </c>
      <c r="P25" s="11"/>
      <c r="Q25" s="8">
        <f t="shared" si="7"/>
        <v>6090.00000000009</v>
      </c>
      <c r="R25" s="12">
        <f t="shared" si="8"/>
        <v>0</v>
      </c>
    </row>
    <row r="26" ht="14.25" spans="1:18">
      <c r="A26" s="15">
        <v>45862</v>
      </c>
      <c r="B26" s="3">
        <f>Data_Entry!P117</f>
        <v>3720.00000000003</v>
      </c>
      <c r="C26" s="3">
        <v>7</v>
      </c>
      <c r="D26" s="4">
        <f>Data_Entry!V117</f>
        <v>1.49</v>
      </c>
      <c r="E26" s="5">
        <f t="shared" si="0"/>
        <v>0.0642886768975534</v>
      </c>
      <c r="F26" s="6">
        <v>0.284722222222222</v>
      </c>
      <c r="G26" s="6">
        <v>0.322916666666667</v>
      </c>
      <c r="H26" s="7">
        <f t="shared" si="1"/>
        <v>55</v>
      </c>
      <c r="I26" s="7">
        <f t="shared" si="2"/>
        <v>0.916666666666667</v>
      </c>
      <c r="J26" s="8">
        <v>2411</v>
      </c>
      <c r="K26" s="9">
        <v>2411</v>
      </c>
      <c r="L26" s="8">
        <f t="shared" si="3"/>
        <v>28932</v>
      </c>
      <c r="M26" s="7">
        <f t="shared" si="4"/>
        <v>2210.08333333334</v>
      </c>
      <c r="N26" s="10">
        <f t="shared" si="5"/>
        <v>0.923611111111111</v>
      </c>
      <c r="O26" s="11">
        <f t="shared" si="6"/>
        <v>0.0696057855131405</v>
      </c>
      <c r="P26" s="11"/>
      <c r="Q26" s="8">
        <f t="shared" si="7"/>
        <v>4027.66917293236</v>
      </c>
      <c r="R26" s="12">
        <f t="shared" si="8"/>
        <v>307.669172932333</v>
      </c>
    </row>
    <row r="27" ht="14.25" spans="1:18">
      <c r="A27" s="15">
        <v>45863</v>
      </c>
      <c r="B27" s="3">
        <f>Data_Entry!P118</f>
        <v>7799.9999999999</v>
      </c>
      <c r="C27" s="3">
        <v>0</v>
      </c>
      <c r="D27" s="4">
        <f>Data_Entry!V118</f>
        <v>3.14</v>
      </c>
      <c r="E27" s="5">
        <f t="shared" si="0"/>
        <v>0.134798838656158</v>
      </c>
      <c r="F27" s="6">
        <v>0</v>
      </c>
      <c r="G27" s="6">
        <v>0</v>
      </c>
      <c r="H27" s="7">
        <f t="shared" si="1"/>
        <v>0</v>
      </c>
      <c r="I27" s="7">
        <f t="shared" si="2"/>
        <v>0</v>
      </c>
      <c r="J27" s="8">
        <v>2411</v>
      </c>
      <c r="K27" s="9"/>
      <c r="L27" s="8">
        <f t="shared" si="3"/>
        <v>28932</v>
      </c>
      <c r="M27" s="7">
        <f t="shared" si="4"/>
        <v>0</v>
      </c>
      <c r="N27" s="10">
        <f t="shared" si="5"/>
        <v>1</v>
      </c>
      <c r="O27" s="11">
        <f t="shared" si="6"/>
        <v>0.134798838656158</v>
      </c>
      <c r="P27" s="11"/>
      <c r="Q27" s="8">
        <f t="shared" si="7"/>
        <v>7799.9999999999</v>
      </c>
      <c r="R27" s="12">
        <f t="shared" si="8"/>
        <v>0</v>
      </c>
    </row>
    <row r="28" ht="14.25" spans="1:18">
      <c r="A28" s="15">
        <v>45864</v>
      </c>
      <c r="B28" s="3">
        <f>Data_Entry!P119</f>
        <v>5550.00000000007</v>
      </c>
      <c r="C28" s="3">
        <v>0</v>
      </c>
      <c r="D28" s="4">
        <f>Data_Entry!V119</f>
        <v>2.26</v>
      </c>
      <c r="E28" s="5">
        <f t="shared" si="0"/>
        <v>0.095914558274576</v>
      </c>
      <c r="F28" s="6">
        <v>0</v>
      </c>
      <c r="G28" s="6">
        <v>0</v>
      </c>
      <c r="H28" s="7">
        <f t="shared" si="1"/>
        <v>0</v>
      </c>
      <c r="I28" s="7">
        <f t="shared" si="2"/>
        <v>0</v>
      </c>
      <c r="J28" s="8">
        <v>2411</v>
      </c>
      <c r="K28" s="9"/>
      <c r="L28" s="8">
        <f t="shared" si="3"/>
        <v>28932</v>
      </c>
      <c r="M28" s="7">
        <f t="shared" si="4"/>
        <v>0</v>
      </c>
      <c r="N28" s="10">
        <f t="shared" si="5"/>
        <v>1</v>
      </c>
      <c r="O28" s="11">
        <f t="shared" si="6"/>
        <v>0.095914558274576</v>
      </c>
      <c r="P28" s="11"/>
      <c r="Q28" s="8">
        <f t="shared" si="7"/>
        <v>5550.00000000007</v>
      </c>
      <c r="R28" s="12">
        <f t="shared" si="8"/>
        <v>0</v>
      </c>
    </row>
    <row r="29" ht="14.25" spans="1:18">
      <c r="A29" s="15">
        <v>45865</v>
      </c>
      <c r="B29" s="3">
        <f>Data_Entry!P120</f>
        <v>4260.00000000005</v>
      </c>
      <c r="C29" s="3">
        <v>0</v>
      </c>
      <c r="D29" s="4">
        <f>Data_Entry!V120</f>
        <v>1.6</v>
      </c>
      <c r="E29" s="5">
        <f t="shared" si="0"/>
        <v>0.073620904189134</v>
      </c>
      <c r="F29" s="6">
        <v>0</v>
      </c>
      <c r="G29" s="6">
        <v>0</v>
      </c>
      <c r="H29" s="7">
        <f t="shared" si="1"/>
        <v>0</v>
      </c>
      <c r="I29" s="7">
        <f t="shared" si="2"/>
        <v>0</v>
      </c>
      <c r="J29" s="8">
        <v>2411</v>
      </c>
      <c r="K29" s="9"/>
      <c r="L29" s="8">
        <f t="shared" si="3"/>
        <v>28932</v>
      </c>
      <c r="M29" s="7">
        <f t="shared" si="4"/>
        <v>0</v>
      </c>
      <c r="N29" s="10">
        <f t="shared" si="5"/>
        <v>1</v>
      </c>
      <c r="O29" s="11">
        <f t="shared" si="6"/>
        <v>0.073620904189134</v>
      </c>
      <c r="P29" s="11"/>
      <c r="Q29" s="8">
        <f t="shared" si="7"/>
        <v>4260.00000000005</v>
      </c>
      <c r="R29" s="12">
        <f t="shared" si="8"/>
        <v>0</v>
      </c>
    </row>
    <row r="30" ht="14.25" spans="1:18">
      <c r="A30" s="15">
        <v>45866</v>
      </c>
      <c r="B30" s="3">
        <f>Data_Entry!P121</f>
        <v>5519.99999999993</v>
      </c>
      <c r="C30" s="3">
        <v>0</v>
      </c>
      <c r="D30" s="4">
        <f>Data_Entry!V121</f>
        <v>2.18</v>
      </c>
      <c r="E30" s="5">
        <f t="shared" si="0"/>
        <v>0.0953961012028191</v>
      </c>
      <c r="F30" s="6">
        <v>0</v>
      </c>
      <c r="G30" s="6">
        <v>0</v>
      </c>
      <c r="H30" s="7">
        <f t="shared" si="1"/>
        <v>0</v>
      </c>
      <c r="I30" s="7">
        <f t="shared" si="2"/>
        <v>0</v>
      </c>
      <c r="J30" s="8">
        <v>2411</v>
      </c>
      <c r="K30" s="9"/>
      <c r="L30" s="8">
        <f t="shared" si="3"/>
        <v>28932</v>
      </c>
      <c r="M30" s="7">
        <f t="shared" si="4"/>
        <v>0</v>
      </c>
      <c r="N30" s="10">
        <f t="shared" si="5"/>
        <v>1</v>
      </c>
      <c r="O30" s="11">
        <f t="shared" si="6"/>
        <v>0.0953961012028191</v>
      </c>
      <c r="P30" s="11"/>
      <c r="Q30" s="8">
        <f t="shared" si="7"/>
        <v>5519.99999999993</v>
      </c>
      <c r="R30" s="12">
        <f t="shared" si="8"/>
        <v>0</v>
      </c>
    </row>
    <row r="31" ht="14.25" spans="1:18">
      <c r="A31" s="15">
        <v>45867</v>
      </c>
      <c r="B31" s="3">
        <f>Data_Entry!P122</f>
        <v>4830.00000000004</v>
      </c>
      <c r="C31" s="3">
        <v>0</v>
      </c>
      <c r="D31" s="4">
        <f>Data_Entry!V122</f>
        <v>1.89</v>
      </c>
      <c r="E31" s="5">
        <f t="shared" si="0"/>
        <v>0.0834715885524686</v>
      </c>
      <c r="F31" s="6">
        <v>0</v>
      </c>
      <c r="G31" s="6">
        <v>0</v>
      </c>
      <c r="H31" s="7">
        <f t="shared" si="1"/>
        <v>0</v>
      </c>
      <c r="I31" s="7">
        <f t="shared" si="2"/>
        <v>0</v>
      </c>
      <c r="J31" s="8">
        <v>2411</v>
      </c>
      <c r="K31" s="9"/>
      <c r="L31" s="8">
        <f t="shared" si="3"/>
        <v>28932</v>
      </c>
      <c r="M31" s="7">
        <f t="shared" si="4"/>
        <v>0</v>
      </c>
      <c r="N31" s="10">
        <f t="shared" si="5"/>
        <v>1</v>
      </c>
      <c r="O31" s="11">
        <f t="shared" si="6"/>
        <v>0.0834715885524686</v>
      </c>
      <c r="P31" s="11"/>
      <c r="Q31" s="8">
        <f t="shared" si="7"/>
        <v>4830.00000000004</v>
      </c>
      <c r="R31" s="12">
        <f t="shared" si="8"/>
        <v>0</v>
      </c>
    </row>
    <row r="32" ht="14.25" spans="1:18">
      <c r="A32" s="15">
        <v>45868</v>
      </c>
      <c r="B32" s="3">
        <f>Data_Entry!P123</f>
        <v>7440.00000000005</v>
      </c>
      <c r="C32" s="3">
        <v>0</v>
      </c>
      <c r="D32" s="4">
        <f>Data_Entry!V123</f>
        <v>3.4</v>
      </c>
      <c r="E32" s="5">
        <f t="shared" si="0"/>
        <v>0.128577353795107</v>
      </c>
      <c r="F32" s="6">
        <v>0</v>
      </c>
      <c r="G32" s="6">
        <v>0</v>
      </c>
      <c r="H32" s="7">
        <f t="shared" si="1"/>
        <v>0</v>
      </c>
      <c r="I32" s="7">
        <f t="shared" si="2"/>
        <v>0</v>
      </c>
      <c r="J32" s="8">
        <v>2411</v>
      </c>
      <c r="K32" s="9"/>
      <c r="L32" s="8">
        <f t="shared" si="3"/>
        <v>28932</v>
      </c>
      <c r="M32" s="7">
        <f t="shared" si="4"/>
        <v>0</v>
      </c>
      <c r="N32" s="10">
        <f t="shared" si="5"/>
        <v>1</v>
      </c>
      <c r="O32" s="11">
        <f t="shared" si="6"/>
        <v>0.128577353795107</v>
      </c>
      <c r="P32" s="11"/>
      <c r="Q32" s="8">
        <f t="shared" si="7"/>
        <v>7440.00000000005</v>
      </c>
      <c r="R32" s="12">
        <f t="shared" si="8"/>
        <v>0</v>
      </c>
    </row>
    <row r="33" ht="14.25" spans="1:18">
      <c r="A33" s="15">
        <v>45869</v>
      </c>
      <c r="B33" s="3">
        <f>Data_Entry!P124</f>
        <v>6029.99999999997</v>
      </c>
      <c r="C33" s="3">
        <v>0</v>
      </c>
      <c r="D33" s="4">
        <f>Data_Entry!V124</f>
        <v>2.19</v>
      </c>
      <c r="E33" s="5">
        <f t="shared" si="0"/>
        <v>0.104209871422646</v>
      </c>
      <c r="F33" s="6">
        <v>0</v>
      </c>
      <c r="G33" s="6">
        <v>0</v>
      </c>
      <c r="H33" s="7">
        <f t="shared" si="1"/>
        <v>0</v>
      </c>
      <c r="I33" s="7">
        <f t="shared" si="2"/>
        <v>0</v>
      </c>
      <c r="J33" s="8">
        <v>2411</v>
      </c>
      <c r="K33" s="9"/>
      <c r="L33" s="8">
        <f t="shared" si="3"/>
        <v>28932</v>
      </c>
      <c r="M33" s="7">
        <f t="shared" si="4"/>
        <v>0</v>
      </c>
      <c r="N33" s="10">
        <f t="shared" si="5"/>
        <v>1</v>
      </c>
      <c r="O33" s="11">
        <f t="shared" si="6"/>
        <v>0.104209871422646</v>
      </c>
      <c r="P33" s="11"/>
      <c r="Q33" s="8">
        <f t="shared" si="7"/>
        <v>6029.99999999997</v>
      </c>
      <c r="R33" s="12">
        <f t="shared" si="8"/>
        <v>0</v>
      </c>
    </row>
    <row r="34" ht="14.25" spans="1:18">
      <c r="A34" s="15"/>
      <c r="B34" s="3"/>
      <c r="C34" s="3"/>
      <c r="D34" s="4"/>
      <c r="E34" s="5"/>
      <c r="F34" s="6"/>
      <c r="G34" s="6"/>
      <c r="H34" s="7"/>
      <c r="I34" s="7"/>
      <c r="J34" s="8"/>
      <c r="K34" s="9"/>
      <c r="L34" s="8"/>
      <c r="M34" s="7"/>
      <c r="N34" s="10"/>
      <c r="O34" s="11"/>
      <c r="P34" s="11"/>
      <c r="Q34" s="8"/>
      <c r="R34" s="12"/>
    </row>
    <row r="35" ht="14.25" spans="1:18">
      <c r="A35" s="15">
        <v>45870</v>
      </c>
      <c r="B35" s="3">
        <f>Data_Entry!P126</f>
        <v>7379.99999999994</v>
      </c>
      <c r="C35" s="3">
        <v>0</v>
      </c>
      <c r="D35" s="4">
        <f>Data_Entry!V125</f>
        <v>2.71</v>
      </c>
      <c r="E35" s="5">
        <f t="shared" si="0"/>
        <v>0.127540439651596</v>
      </c>
      <c r="F35" s="6">
        <v>0</v>
      </c>
      <c r="G35" s="6">
        <v>0</v>
      </c>
      <c r="H35" s="7">
        <f t="shared" si="1"/>
        <v>0</v>
      </c>
      <c r="I35" s="7">
        <f t="shared" si="2"/>
        <v>0</v>
      </c>
      <c r="J35" s="8">
        <v>2411</v>
      </c>
      <c r="K35" s="9"/>
      <c r="L35" s="8">
        <f t="shared" si="3"/>
        <v>28932</v>
      </c>
      <c r="M35" s="7">
        <f t="shared" si="4"/>
        <v>0</v>
      </c>
      <c r="N35" s="10">
        <f t="shared" si="5"/>
        <v>1</v>
      </c>
      <c r="O35" s="11">
        <f t="shared" si="6"/>
        <v>0.127540439651596</v>
      </c>
      <c r="P35" s="11"/>
      <c r="Q35" s="8">
        <f t="shared" si="7"/>
        <v>7379.99999999994</v>
      </c>
      <c r="R35" s="12">
        <f t="shared" si="8"/>
        <v>0</v>
      </c>
    </row>
    <row r="36" ht="14.25" spans="1:18">
      <c r="A36" s="15">
        <v>45871</v>
      </c>
      <c r="B36" s="3">
        <f>Data_Entry!P127</f>
        <v>5280.00000000014</v>
      </c>
      <c r="C36" s="3">
        <v>0</v>
      </c>
      <c r="D36" s="4">
        <f>Data_Entry!V126</f>
        <v>3.07</v>
      </c>
      <c r="E36" s="5">
        <f t="shared" si="0"/>
        <v>0.0912484446287872</v>
      </c>
      <c r="F36" s="6">
        <v>0</v>
      </c>
      <c r="G36" s="6">
        <v>0</v>
      </c>
      <c r="H36" s="7">
        <f t="shared" si="1"/>
        <v>0</v>
      </c>
      <c r="I36" s="7">
        <f t="shared" si="2"/>
        <v>0</v>
      </c>
      <c r="J36" s="8">
        <v>2411</v>
      </c>
      <c r="K36" s="9"/>
      <c r="L36" s="8">
        <f t="shared" si="3"/>
        <v>28932</v>
      </c>
      <c r="M36" s="7">
        <f t="shared" si="4"/>
        <v>0</v>
      </c>
      <c r="N36" s="10">
        <f t="shared" si="5"/>
        <v>1</v>
      </c>
      <c r="O36" s="11">
        <f t="shared" si="6"/>
        <v>0.0912484446287872</v>
      </c>
      <c r="P36" s="11"/>
      <c r="Q36" s="8">
        <f t="shared" si="7"/>
        <v>5280.00000000014</v>
      </c>
      <c r="R36" s="12">
        <f t="shared" si="8"/>
        <v>0</v>
      </c>
    </row>
    <row r="37" ht="14.25" spans="1:18">
      <c r="A37" s="15">
        <v>45872</v>
      </c>
      <c r="B37" s="3">
        <f>Data_Entry!P128</f>
        <v>5189.99999999988</v>
      </c>
      <c r="C37" s="3">
        <v>0</v>
      </c>
      <c r="D37" s="4">
        <f>Data_Entry!V127</f>
        <v>2.18</v>
      </c>
      <c r="E37" s="5">
        <f t="shared" si="0"/>
        <v>0.0896930734135193</v>
      </c>
      <c r="F37" s="6">
        <v>0</v>
      </c>
      <c r="G37" s="6">
        <v>0</v>
      </c>
      <c r="H37" s="7">
        <f t="shared" si="1"/>
        <v>0</v>
      </c>
      <c r="I37" s="7">
        <f t="shared" si="2"/>
        <v>0</v>
      </c>
      <c r="J37" s="8">
        <v>2411</v>
      </c>
      <c r="K37" s="9"/>
      <c r="L37" s="8">
        <f t="shared" si="3"/>
        <v>28932</v>
      </c>
      <c r="M37" s="7">
        <f t="shared" si="4"/>
        <v>0</v>
      </c>
      <c r="N37" s="10">
        <f t="shared" si="5"/>
        <v>1</v>
      </c>
      <c r="O37" s="11">
        <f t="shared" si="6"/>
        <v>0.0896930734135193</v>
      </c>
      <c r="P37" s="11"/>
      <c r="Q37" s="8">
        <f t="shared" si="7"/>
        <v>5189.99999999988</v>
      </c>
      <c r="R37" s="12">
        <f t="shared" si="8"/>
        <v>0</v>
      </c>
    </row>
    <row r="38" ht="14.25" spans="1:18">
      <c r="A38" s="15">
        <v>45873</v>
      </c>
      <c r="B38" s="3">
        <f>Data_Entry!P129</f>
        <v>7080.00000000004</v>
      </c>
      <c r="C38" s="3">
        <v>0</v>
      </c>
      <c r="D38" s="4">
        <f>Data_Entry!V128</f>
        <v>1.96</v>
      </c>
      <c r="E38" s="5">
        <f t="shared" si="0"/>
        <v>0.122355868934053</v>
      </c>
      <c r="F38" s="6">
        <v>0</v>
      </c>
      <c r="G38" s="6">
        <v>0</v>
      </c>
      <c r="H38" s="7">
        <f t="shared" si="1"/>
        <v>0</v>
      </c>
      <c r="I38" s="7">
        <f t="shared" si="2"/>
        <v>0</v>
      </c>
      <c r="J38" s="8">
        <v>2411</v>
      </c>
      <c r="K38" s="9"/>
      <c r="L38" s="8">
        <f t="shared" si="3"/>
        <v>28932</v>
      </c>
      <c r="M38" s="7">
        <f t="shared" si="4"/>
        <v>0</v>
      </c>
      <c r="N38" s="10">
        <f t="shared" si="5"/>
        <v>1</v>
      </c>
      <c r="O38" s="11">
        <f t="shared" si="6"/>
        <v>0.122355868934053</v>
      </c>
      <c r="P38" s="11"/>
      <c r="Q38" s="8">
        <f t="shared" si="7"/>
        <v>7080.00000000004</v>
      </c>
      <c r="R38" s="12">
        <f t="shared" si="8"/>
        <v>0</v>
      </c>
    </row>
    <row r="39" ht="14.25" spans="1:18">
      <c r="A39" s="15">
        <v>45874</v>
      </c>
      <c r="B39" s="3">
        <f>Data_Entry!P130</f>
        <v>10620.0000000001</v>
      </c>
      <c r="C39" s="3">
        <v>0</v>
      </c>
      <c r="D39" s="4">
        <f>Data_Entry!V129</f>
        <v>3</v>
      </c>
      <c r="E39" s="5">
        <f t="shared" si="0"/>
        <v>0.183533803401079</v>
      </c>
      <c r="F39" s="6">
        <v>0</v>
      </c>
      <c r="G39" s="6">
        <v>0</v>
      </c>
      <c r="H39" s="7">
        <f t="shared" si="1"/>
        <v>0</v>
      </c>
      <c r="I39" s="7">
        <f t="shared" si="2"/>
        <v>0</v>
      </c>
      <c r="J39" s="8">
        <v>2411</v>
      </c>
      <c r="K39" s="9"/>
      <c r="L39" s="8">
        <f t="shared" si="3"/>
        <v>28932</v>
      </c>
      <c r="M39" s="7">
        <f t="shared" si="4"/>
        <v>0</v>
      </c>
      <c r="N39" s="10">
        <f t="shared" si="5"/>
        <v>1</v>
      </c>
      <c r="O39" s="11">
        <f t="shared" si="6"/>
        <v>0.183533803401079</v>
      </c>
      <c r="P39" s="11"/>
      <c r="Q39" s="8">
        <f t="shared" si="7"/>
        <v>10620.0000000001</v>
      </c>
      <c r="R39" s="12">
        <f t="shared" si="8"/>
        <v>0</v>
      </c>
    </row>
    <row r="40" ht="14.25" spans="1:18">
      <c r="A40" s="15">
        <v>45875</v>
      </c>
      <c r="B40" s="3">
        <f>Data_Entry!P131</f>
        <v>12329.9999999999</v>
      </c>
      <c r="C40" s="3">
        <v>0</v>
      </c>
      <c r="D40" s="4">
        <f>Data_Entry!V130</f>
        <v>4.33</v>
      </c>
      <c r="E40" s="5">
        <f t="shared" si="0"/>
        <v>0.21308585649108</v>
      </c>
      <c r="F40" s="6">
        <v>0</v>
      </c>
      <c r="G40" s="6">
        <v>0</v>
      </c>
      <c r="H40" s="7">
        <f t="shared" si="1"/>
        <v>0</v>
      </c>
      <c r="I40" s="7">
        <f t="shared" si="2"/>
        <v>0</v>
      </c>
      <c r="J40" s="8">
        <v>2411</v>
      </c>
      <c r="K40" s="9"/>
      <c r="L40" s="8">
        <f t="shared" si="3"/>
        <v>28932</v>
      </c>
      <c r="M40" s="7">
        <f t="shared" si="4"/>
        <v>0</v>
      </c>
      <c r="N40" s="10">
        <f t="shared" si="5"/>
        <v>1</v>
      </c>
      <c r="O40" s="11">
        <f t="shared" si="6"/>
        <v>0.21308585649108</v>
      </c>
      <c r="P40" s="11"/>
      <c r="Q40" s="8">
        <f t="shared" si="7"/>
        <v>12329.9999999999</v>
      </c>
      <c r="R40" s="12">
        <f t="shared" si="8"/>
        <v>0</v>
      </c>
    </row>
    <row r="41" ht="14.25" spans="1:18">
      <c r="A41" s="15">
        <v>45876</v>
      </c>
      <c r="B41" s="3">
        <f>Data_Entry!P132</f>
        <v>10380.0000000001</v>
      </c>
      <c r="C41" s="3">
        <v>0</v>
      </c>
      <c r="D41" s="4">
        <f>Data_Entry!V131</f>
        <v>5.09</v>
      </c>
      <c r="E41" s="5">
        <f t="shared" si="0"/>
        <v>0.179386146827045</v>
      </c>
      <c r="F41" s="6">
        <v>0</v>
      </c>
      <c r="G41" s="6">
        <v>0</v>
      </c>
      <c r="H41" s="7">
        <f t="shared" si="1"/>
        <v>0</v>
      </c>
      <c r="I41" s="7">
        <f t="shared" si="2"/>
        <v>0</v>
      </c>
      <c r="J41" s="8">
        <v>2411</v>
      </c>
      <c r="K41" s="9"/>
      <c r="L41" s="8">
        <f t="shared" si="3"/>
        <v>28932</v>
      </c>
      <c r="M41" s="7">
        <f t="shared" si="4"/>
        <v>0</v>
      </c>
      <c r="N41" s="10">
        <f t="shared" si="5"/>
        <v>1</v>
      </c>
      <c r="O41" s="11">
        <f t="shared" si="6"/>
        <v>0.179386146827045</v>
      </c>
      <c r="P41" s="11"/>
      <c r="Q41" s="8">
        <f t="shared" si="7"/>
        <v>10380.0000000001</v>
      </c>
      <c r="R41" s="12">
        <f t="shared" si="8"/>
        <v>0</v>
      </c>
    </row>
    <row r="42" ht="14.25" spans="1:18">
      <c r="A42" s="15">
        <v>45877</v>
      </c>
      <c r="B42" s="3">
        <f>Data_Entry!P133</f>
        <v>7769.99999999993</v>
      </c>
      <c r="C42" s="3">
        <v>0</v>
      </c>
      <c r="D42" s="4">
        <f>Data_Entry!V132</f>
        <v>4.32</v>
      </c>
      <c r="E42" s="5">
        <f t="shared" si="0"/>
        <v>0.134280381584404</v>
      </c>
      <c r="F42" s="6">
        <v>0</v>
      </c>
      <c r="G42" s="6">
        <v>0</v>
      </c>
      <c r="H42" s="7">
        <f t="shared" si="1"/>
        <v>0</v>
      </c>
      <c r="I42" s="7">
        <f t="shared" si="2"/>
        <v>0</v>
      </c>
      <c r="J42" s="8">
        <v>2411</v>
      </c>
      <c r="K42" s="9"/>
      <c r="L42" s="8">
        <f t="shared" si="3"/>
        <v>28932</v>
      </c>
      <c r="M42" s="7">
        <f t="shared" si="4"/>
        <v>0</v>
      </c>
      <c r="N42" s="10">
        <f t="shared" si="5"/>
        <v>1</v>
      </c>
      <c r="O42" s="11">
        <f t="shared" si="6"/>
        <v>0.134280381584404</v>
      </c>
      <c r="P42" s="11"/>
      <c r="Q42" s="8">
        <f t="shared" si="7"/>
        <v>7769.99999999993</v>
      </c>
      <c r="R42" s="12">
        <f t="shared" si="8"/>
        <v>0</v>
      </c>
    </row>
    <row r="43" ht="14.25" spans="1:18">
      <c r="A43" s="15">
        <v>45878</v>
      </c>
      <c r="B43" s="3">
        <f>Data_Entry!P134</f>
        <v>9000</v>
      </c>
      <c r="C43" s="3">
        <v>0</v>
      </c>
      <c r="D43" s="4">
        <f>Data_Entry!V133</f>
        <v>3.13</v>
      </c>
      <c r="E43" s="5">
        <f t="shared" si="0"/>
        <v>0.155537121526338</v>
      </c>
      <c r="F43" s="6">
        <v>0</v>
      </c>
      <c r="G43" s="6">
        <v>0</v>
      </c>
      <c r="H43" s="7">
        <f t="shared" si="1"/>
        <v>0</v>
      </c>
      <c r="I43" s="7">
        <f t="shared" si="2"/>
        <v>0</v>
      </c>
      <c r="J43" s="8">
        <v>2411</v>
      </c>
      <c r="K43" s="9"/>
      <c r="L43" s="8">
        <f t="shared" si="3"/>
        <v>28932</v>
      </c>
      <c r="M43" s="7">
        <f t="shared" si="4"/>
        <v>0</v>
      </c>
      <c r="N43" s="10">
        <f t="shared" si="5"/>
        <v>1</v>
      </c>
      <c r="O43" s="11">
        <f t="shared" si="6"/>
        <v>0.155537121526338</v>
      </c>
      <c r="P43" s="11"/>
      <c r="Q43" s="8">
        <f t="shared" si="7"/>
        <v>9000</v>
      </c>
      <c r="R43" s="12">
        <f t="shared" si="8"/>
        <v>0</v>
      </c>
    </row>
    <row r="44" ht="14.25" spans="1:18">
      <c r="A44" s="15">
        <v>45879</v>
      </c>
      <c r="B44" s="3">
        <f>Data_Entry!P135</f>
        <v>9870.00000000006</v>
      </c>
      <c r="C44" s="3">
        <v>0</v>
      </c>
      <c r="D44" s="4">
        <f>Data_Entry!V134</f>
        <v>3.41</v>
      </c>
      <c r="E44" s="5">
        <f t="shared" si="0"/>
        <v>0.170572376607218</v>
      </c>
      <c r="F44" s="6">
        <v>0</v>
      </c>
      <c r="G44" s="6">
        <v>0</v>
      </c>
      <c r="H44" s="7">
        <f t="shared" si="1"/>
        <v>0</v>
      </c>
      <c r="I44" s="7">
        <f t="shared" si="2"/>
        <v>0</v>
      </c>
      <c r="J44" s="8">
        <v>2411</v>
      </c>
      <c r="K44" s="9"/>
      <c r="L44" s="8">
        <f t="shared" si="3"/>
        <v>28932</v>
      </c>
      <c r="M44" s="7">
        <f t="shared" si="4"/>
        <v>0</v>
      </c>
      <c r="N44" s="10">
        <f t="shared" si="5"/>
        <v>1</v>
      </c>
      <c r="O44" s="11">
        <f t="shared" si="6"/>
        <v>0.170572376607218</v>
      </c>
      <c r="P44" s="11"/>
      <c r="Q44" s="8">
        <f t="shared" si="7"/>
        <v>9870.00000000006</v>
      </c>
      <c r="R44" s="12">
        <f t="shared" si="8"/>
        <v>0</v>
      </c>
    </row>
    <row r="45" ht="14.25" spans="1:18">
      <c r="A45" s="15">
        <v>45880</v>
      </c>
      <c r="B45" s="3">
        <f>Data_Entry!P136</f>
        <v>7979.9999999999</v>
      </c>
      <c r="C45" s="3">
        <v>0</v>
      </c>
      <c r="D45" s="4">
        <f>Data_Entry!V135</f>
        <v>3.67</v>
      </c>
      <c r="E45" s="5">
        <f t="shared" si="0"/>
        <v>0.137909581086684</v>
      </c>
      <c r="F45" s="6">
        <v>0</v>
      </c>
      <c r="G45" s="6">
        <v>0</v>
      </c>
      <c r="H45" s="7">
        <f t="shared" si="1"/>
        <v>0</v>
      </c>
      <c r="I45" s="7">
        <f t="shared" si="2"/>
        <v>0</v>
      </c>
      <c r="J45" s="8">
        <v>2411</v>
      </c>
      <c r="K45" s="9"/>
      <c r="L45" s="8">
        <f t="shared" si="3"/>
        <v>28932</v>
      </c>
      <c r="M45" s="7">
        <f t="shared" si="4"/>
        <v>0</v>
      </c>
      <c r="N45" s="10">
        <f t="shared" si="5"/>
        <v>1</v>
      </c>
      <c r="O45" s="11">
        <f t="shared" si="6"/>
        <v>0.137909581086684</v>
      </c>
      <c r="P45" s="11"/>
      <c r="Q45" s="8">
        <f t="shared" si="7"/>
        <v>7979.99999999991</v>
      </c>
      <c r="R45" s="12">
        <f t="shared" si="8"/>
        <v>0</v>
      </c>
    </row>
    <row r="46" ht="14.25" spans="1:18">
      <c r="A46" s="15">
        <v>45881</v>
      </c>
      <c r="B46" s="3">
        <f>Data_Entry!P137</f>
        <v>9090.00000000009</v>
      </c>
      <c r="C46" s="3">
        <v>0</v>
      </c>
      <c r="D46" s="4">
        <f>Data_Entry!V136</f>
        <v>2.94</v>
      </c>
      <c r="E46" s="5">
        <f t="shared" si="0"/>
        <v>0.157092492741603</v>
      </c>
      <c r="F46" s="6">
        <v>0</v>
      </c>
      <c r="G46" s="6">
        <v>0</v>
      </c>
      <c r="H46" s="7">
        <f t="shared" si="1"/>
        <v>0</v>
      </c>
      <c r="I46" s="7">
        <f t="shared" si="2"/>
        <v>0</v>
      </c>
      <c r="J46" s="8">
        <v>2411</v>
      </c>
      <c r="K46" s="9"/>
      <c r="L46" s="8">
        <f t="shared" si="3"/>
        <v>28932</v>
      </c>
      <c r="M46" s="7">
        <f t="shared" si="4"/>
        <v>0</v>
      </c>
      <c r="N46" s="10">
        <f t="shared" si="5"/>
        <v>1</v>
      </c>
      <c r="O46" s="11">
        <f t="shared" si="6"/>
        <v>0.157092492741603</v>
      </c>
      <c r="P46" s="11"/>
      <c r="Q46" s="8">
        <f t="shared" si="7"/>
        <v>9090.00000000009</v>
      </c>
      <c r="R46" s="12">
        <f t="shared" si="8"/>
        <v>0</v>
      </c>
    </row>
    <row r="47" ht="14.25" spans="1:18">
      <c r="A47" s="15">
        <v>45882</v>
      </c>
      <c r="B47" s="3">
        <f>Data_Entry!P138</f>
        <v>6959.99999999998</v>
      </c>
      <c r="C47" s="3">
        <v>0</v>
      </c>
      <c r="D47" s="4">
        <f>Data_Entry!V137</f>
        <v>3.69</v>
      </c>
      <c r="E47" s="5">
        <f t="shared" si="0"/>
        <v>0.120282040647034</v>
      </c>
      <c r="F47" s="6">
        <v>0</v>
      </c>
      <c r="G47" s="6">
        <v>0</v>
      </c>
      <c r="H47" s="7">
        <f t="shared" si="1"/>
        <v>0</v>
      </c>
      <c r="I47" s="7">
        <f t="shared" si="2"/>
        <v>0</v>
      </c>
      <c r="J47" s="8">
        <v>2411</v>
      </c>
      <c r="K47" s="9"/>
      <c r="L47" s="8">
        <f t="shared" si="3"/>
        <v>28932</v>
      </c>
      <c r="M47" s="7">
        <f t="shared" si="4"/>
        <v>0</v>
      </c>
      <c r="N47" s="10">
        <f t="shared" si="5"/>
        <v>1</v>
      </c>
      <c r="O47" s="11">
        <f t="shared" si="6"/>
        <v>0.120282040647034</v>
      </c>
      <c r="P47" s="11"/>
      <c r="Q47" s="8">
        <f t="shared" si="7"/>
        <v>6959.99999999998</v>
      </c>
      <c r="R47" s="12">
        <f t="shared" si="8"/>
        <v>0</v>
      </c>
    </row>
    <row r="48" ht="14.25" spans="1:18">
      <c r="A48" s="15">
        <v>45883</v>
      </c>
      <c r="B48" s="3">
        <f>Data_Entry!P139</f>
        <v>6720.00000000003</v>
      </c>
      <c r="C48" s="3">
        <v>0</v>
      </c>
      <c r="D48" s="4">
        <f>Data_Entry!V138</f>
        <v>2.7</v>
      </c>
      <c r="E48" s="5">
        <f t="shared" si="0"/>
        <v>0.116134384072999</v>
      </c>
      <c r="F48" s="6">
        <v>0</v>
      </c>
      <c r="G48" s="6">
        <v>0</v>
      </c>
      <c r="H48" s="7">
        <f t="shared" si="1"/>
        <v>0</v>
      </c>
      <c r="I48" s="7">
        <f t="shared" si="2"/>
        <v>0</v>
      </c>
      <c r="J48" s="8">
        <v>2411</v>
      </c>
      <c r="K48" s="9"/>
      <c r="L48" s="8">
        <f t="shared" si="3"/>
        <v>28932</v>
      </c>
      <c r="M48" s="7">
        <f t="shared" si="4"/>
        <v>0</v>
      </c>
      <c r="N48" s="10">
        <f t="shared" si="5"/>
        <v>1</v>
      </c>
      <c r="O48" s="11">
        <f t="shared" si="6"/>
        <v>0.116134384072999</v>
      </c>
      <c r="P48" s="11"/>
      <c r="Q48" s="8">
        <f t="shared" si="7"/>
        <v>6720.00000000003</v>
      </c>
      <c r="R48" s="12">
        <f t="shared" si="8"/>
        <v>0</v>
      </c>
    </row>
    <row r="49" ht="14.25" spans="1:18">
      <c r="A49" s="15">
        <v>45884</v>
      </c>
      <c r="B49" s="3">
        <f>Data_Entry!P140</f>
        <v>9209.99999999998</v>
      </c>
      <c r="C49" s="3">
        <v>7</v>
      </c>
      <c r="D49" s="4">
        <f>Data_Entry!V139</f>
        <v>3.05</v>
      </c>
      <c r="E49" s="5">
        <f t="shared" si="0"/>
        <v>0.159166321028618</v>
      </c>
      <c r="F49" s="6">
        <v>0.572916666666667</v>
      </c>
      <c r="G49" s="6">
        <v>0.638888888888889</v>
      </c>
      <c r="H49" s="7">
        <f t="shared" si="1"/>
        <v>95.0000000000001</v>
      </c>
      <c r="I49" s="7">
        <f t="shared" si="2"/>
        <v>1.58333333333334</v>
      </c>
      <c r="J49" s="8">
        <v>2411</v>
      </c>
      <c r="K49" s="9">
        <v>2411</v>
      </c>
      <c r="L49" s="8">
        <f t="shared" si="3"/>
        <v>28932</v>
      </c>
      <c r="M49" s="7">
        <f t="shared" si="4"/>
        <v>3817.41666666667</v>
      </c>
      <c r="N49" s="10">
        <f t="shared" si="5"/>
        <v>0.868055555555555</v>
      </c>
      <c r="O49" s="11">
        <f t="shared" si="6"/>
        <v>0.183359601824969</v>
      </c>
      <c r="P49" s="11"/>
      <c r="Q49" s="8">
        <f t="shared" si="7"/>
        <v>10609.92</v>
      </c>
      <c r="R49" s="12">
        <f t="shared" si="8"/>
        <v>1399.92</v>
      </c>
    </row>
    <row r="50" ht="14.25" spans="1:18">
      <c r="A50" s="15">
        <v>45885</v>
      </c>
      <c r="B50" s="3">
        <f>Data_Entry!P141</f>
        <v>8220.00000000003</v>
      </c>
      <c r="C50" s="3">
        <v>0</v>
      </c>
      <c r="D50" s="4">
        <f>Data_Entry!V140</f>
        <v>3.53</v>
      </c>
      <c r="E50" s="5">
        <f t="shared" si="0"/>
        <v>0.142057237660722</v>
      </c>
      <c r="F50" s="6">
        <v>0</v>
      </c>
      <c r="G50" s="6">
        <v>0</v>
      </c>
      <c r="H50" s="7">
        <f t="shared" si="1"/>
        <v>0</v>
      </c>
      <c r="I50" s="7">
        <f t="shared" si="2"/>
        <v>0</v>
      </c>
      <c r="J50" s="8">
        <v>2411</v>
      </c>
      <c r="K50" s="9"/>
      <c r="L50" s="8">
        <f t="shared" si="3"/>
        <v>28932</v>
      </c>
      <c r="M50" s="7">
        <f t="shared" si="4"/>
        <v>0</v>
      </c>
      <c r="N50" s="10">
        <f t="shared" si="5"/>
        <v>1</v>
      </c>
      <c r="O50" s="11">
        <f t="shared" si="6"/>
        <v>0.142057237660722</v>
      </c>
      <c r="P50" s="11"/>
      <c r="Q50" s="8">
        <f t="shared" si="7"/>
        <v>8220.00000000003</v>
      </c>
      <c r="R50" s="12">
        <f t="shared" si="8"/>
        <v>0</v>
      </c>
    </row>
    <row r="51" ht="14.25" spans="1:18">
      <c r="A51" s="15">
        <v>45886</v>
      </c>
      <c r="B51" s="3">
        <f>Data_Entry!P142</f>
        <v>8250</v>
      </c>
      <c r="C51" s="3">
        <v>0</v>
      </c>
      <c r="D51" s="4">
        <f>Data_Entry!V141</f>
        <v>3.05</v>
      </c>
      <c r="E51" s="5">
        <f t="shared" si="0"/>
        <v>0.142575694732476</v>
      </c>
      <c r="F51" s="6">
        <v>0</v>
      </c>
      <c r="G51" s="6">
        <v>0</v>
      </c>
      <c r="H51" s="7">
        <f t="shared" si="1"/>
        <v>0</v>
      </c>
      <c r="I51" s="7">
        <f t="shared" si="2"/>
        <v>0</v>
      </c>
      <c r="J51" s="8">
        <v>2411</v>
      </c>
      <c r="K51" s="9"/>
      <c r="L51" s="8">
        <f t="shared" si="3"/>
        <v>28932</v>
      </c>
      <c r="M51" s="7">
        <f t="shared" si="4"/>
        <v>0</v>
      </c>
      <c r="N51" s="10">
        <f t="shared" si="5"/>
        <v>1</v>
      </c>
      <c r="O51" s="11">
        <f t="shared" si="6"/>
        <v>0.142575694732476</v>
      </c>
      <c r="P51" s="11"/>
      <c r="Q51" s="8">
        <f t="shared" si="7"/>
        <v>8250</v>
      </c>
      <c r="R51" s="12">
        <f t="shared" si="8"/>
        <v>0</v>
      </c>
    </row>
    <row r="52" ht="14.25" spans="1:18">
      <c r="A52" s="15">
        <v>45887</v>
      </c>
      <c r="B52" s="3">
        <f>Data_Entry!P143</f>
        <v>9239.99999999995</v>
      </c>
      <c r="C52" s="3">
        <v>0</v>
      </c>
      <c r="D52" s="4">
        <f>Data_Entry!V142</f>
        <v>3.27</v>
      </c>
      <c r="E52" s="5">
        <f t="shared" si="0"/>
        <v>0.159684778100372</v>
      </c>
      <c r="F52" s="6">
        <v>0</v>
      </c>
      <c r="G52" s="6">
        <v>0</v>
      </c>
      <c r="H52" s="7">
        <f t="shared" si="1"/>
        <v>0</v>
      </c>
      <c r="I52" s="7">
        <f t="shared" si="2"/>
        <v>0</v>
      </c>
      <c r="J52" s="8">
        <v>2411</v>
      </c>
      <c r="K52" s="9"/>
      <c r="L52" s="8">
        <f t="shared" si="3"/>
        <v>28932</v>
      </c>
      <c r="M52" s="7">
        <f t="shared" si="4"/>
        <v>0</v>
      </c>
      <c r="N52" s="10">
        <f t="shared" si="5"/>
        <v>1</v>
      </c>
      <c r="O52" s="11">
        <f t="shared" si="6"/>
        <v>0.159684778100372</v>
      </c>
      <c r="P52" s="11"/>
      <c r="Q52" s="8">
        <f t="shared" si="7"/>
        <v>9239.99999999995</v>
      </c>
      <c r="R52" s="12">
        <f t="shared" si="8"/>
        <v>0</v>
      </c>
    </row>
    <row r="53" ht="14.25" spans="1:18">
      <c r="A53" s="15">
        <v>45888</v>
      </c>
      <c r="B53" s="3">
        <f>Data_Entry!P144</f>
        <v>2760.00000000005</v>
      </c>
      <c r="C53" s="3">
        <v>0</v>
      </c>
      <c r="D53" s="4">
        <f>Data_Entry!V143</f>
        <v>0</v>
      </c>
      <c r="E53" s="5">
        <f t="shared" si="0"/>
        <v>0.047698050601411</v>
      </c>
      <c r="F53" s="6">
        <v>0</v>
      </c>
      <c r="G53" s="6">
        <v>0</v>
      </c>
      <c r="H53" s="7">
        <f t="shared" si="1"/>
        <v>0</v>
      </c>
      <c r="I53" s="7">
        <f t="shared" si="2"/>
        <v>0</v>
      </c>
      <c r="J53" s="8">
        <v>2411</v>
      </c>
      <c r="K53" s="9"/>
      <c r="L53" s="8">
        <f t="shared" si="3"/>
        <v>28932</v>
      </c>
      <c r="M53" s="7">
        <f t="shared" si="4"/>
        <v>0</v>
      </c>
      <c r="N53" s="10">
        <f t="shared" si="5"/>
        <v>1</v>
      </c>
      <c r="O53" s="11">
        <f t="shared" si="6"/>
        <v>0.047698050601411</v>
      </c>
      <c r="P53" s="11"/>
      <c r="Q53" s="8">
        <f t="shared" si="7"/>
        <v>2760.00000000005</v>
      </c>
      <c r="R53" s="12">
        <f t="shared" si="8"/>
        <v>0</v>
      </c>
    </row>
    <row r="54" ht="14.25" spans="1:18">
      <c r="A54" s="15">
        <v>45889</v>
      </c>
      <c r="B54" s="3">
        <f>Data_Entry!P145</f>
        <v>8069.99999999999</v>
      </c>
      <c r="C54" s="3">
        <v>0</v>
      </c>
      <c r="D54" s="4">
        <f>Data_Entry!V144</f>
        <v>0</v>
      </c>
      <c r="E54" s="5">
        <f t="shared" si="0"/>
        <v>0.139464952301949</v>
      </c>
      <c r="F54" s="6">
        <v>0</v>
      </c>
      <c r="G54" s="6">
        <v>0</v>
      </c>
      <c r="H54" s="7">
        <f t="shared" si="1"/>
        <v>0</v>
      </c>
      <c r="I54" s="7">
        <f t="shared" si="2"/>
        <v>0</v>
      </c>
      <c r="J54" s="8">
        <v>2411</v>
      </c>
      <c r="K54" s="9"/>
      <c r="L54" s="8">
        <f t="shared" si="3"/>
        <v>28932</v>
      </c>
      <c r="M54" s="7">
        <f t="shared" si="4"/>
        <v>0</v>
      </c>
      <c r="N54" s="10">
        <f t="shared" si="5"/>
        <v>1</v>
      </c>
      <c r="O54" s="11">
        <f t="shared" si="6"/>
        <v>0.139464952301949</v>
      </c>
      <c r="P54" s="11"/>
      <c r="Q54" s="8">
        <f t="shared" si="7"/>
        <v>8069.99999999999</v>
      </c>
      <c r="R54" s="12">
        <f t="shared" si="8"/>
        <v>0</v>
      </c>
    </row>
    <row r="55" ht="14.25" spans="1:18">
      <c r="A55" s="15">
        <v>45890</v>
      </c>
      <c r="B55" s="3">
        <f>Data_Entry!P146</f>
        <v>8459.99999999998</v>
      </c>
      <c r="C55" s="3">
        <v>0</v>
      </c>
      <c r="D55" s="4">
        <f>Data_Entry!V145</f>
        <v>0</v>
      </c>
      <c r="E55" s="5">
        <f t="shared" si="0"/>
        <v>0.146204894234757</v>
      </c>
      <c r="F55" s="6">
        <v>0</v>
      </c>
      <c r="G55" s="6">
        <v>0</v>
      </c>
      <c r="H55" s="7">
        <f t="shared" si="1"/>
        <v>0</v>
      </c>
      <c r="I55" s="7">
        <f t="shared" si="2"/>
        <v>0</v>
      </c>
      <c r="J55" s="8">
        <v>2411</v>
      </c>
      <c r="K55" s="9"/>
      <c r="L55" s="8">
        <f t="shared" si="3"/>
        <v>28932</v>
      </c>
      <c r="M55" s="7">
        <f t="shared" si="4"/>
        <v>0</v>
      </c>
      <c r="N55" s="10">
        <f t="shared" si="5"/>
        <v>1</v>
      </c>
      <c r="O55" s="11">
        <f t="shared" si="6"/>
        <v>0.146204894234757</v>
      </c>
      <c r="P55" s="11"/>
      <c r="Q55" s="8">
        <f t="shared" si="7"/>
        <v>8459.99999999998</v>
      </c>
      <c r="R55" s="12">
        <f t="shared" si="8"/>
        <v>0</v>
      </c>
    </row>
    <row r="56" ht="14.25" spans="1:18">
      <c r="A56" s="15">
        <v>45891</v>
      </c>
      <c r="B56" s="3">
        <f>Data_Entry!P147</f>
        <v>5790.00000000002</v>
      </c>
      <c r="C56" s="3">
        <v>0</v>
      </c>
      <c r="D56" s="4">
        <f>Data_Entry!V146</f>
        <v>0</v>
      </c>
      <c r="E56" s="5">
        <f t="shared" si="0"/>
        <v>0.100062214848611</v>
      </c>
      <c r="F56" s="6">
        <v>0</v>
      </c>
      <c r="G56" s="6">
        <v>0</v>
      </c>
      <c r="H56" s="7">
        <f t="shared" si="1"/>
        <v>0</v>
      </c>
      <c r="I56" s="7">
        <f t="shared" si="2"/>
        <v>0</v>
      </c>
      <c r="J56" s="8">
        <v>2411</v>
      </c>
      <c r="K56" s="9"/>
      <c r="L56" s="8">
        <f t="shared" si="3"/>
        <v>28932</v>
      </c>
      <c r="M56" s="7">
        <f t="shared" si="4"/>
        <v>0</v>
      </c>
      <c r="N56" s="10">
        <f t="shared" si="5"/>
        <v>1</v>
      </c>
      <c r="O56" s="11">
        <f t="shared" si="6"/>
        <v>0.100062214848611</v>
      </c>
      <c r="P56" s="11"/>
      <c r="Q56" s="8">
        <f t="shared" si="7"/>
        <v>5790.00000000002</v>
      </c>
      <c r="R56" s="12">
        <f t="shared" si="8"/>
        <v>0</v>
      </c>
    </row>
    <row r="57" ht="14.25" spans="1:18">
      <c r="A57" s="15">
        <v>45892</v>
      </c>
      <c r="B57" s="3">
        <f>Data_Entry!P148</f>
        <v>5940.00000000005</v>
      </c>
      <c r="C57" s="3">
        <v>0</v>
      </c>
      <c r="D57" s="4">
        <f>Data_Entry!V147</f>
        <v>0</v>
      </c>
      <c r="E57" s="5">
        <f t="shared" si="0"/>
        <v>0.102654500207384</v>
      </c>
      <c r="F57" s="6">
        <v>0</v>
      </c>
      <c r="G57" s="6">
        <v>0</v>
      </c>
      <c r="H57" s="7">
        <f t="shared" si="1"/>
        <v>0</v>
      </c>
      <c r="I57" s="7">
        <f t="shared" si="2"/>
        <v>0</v>
      </c>
      <c r="J57" s="8">
        <v>2411</v>
      </c>
      <c r="K57" s="9"/>
      <c r="L57" s="8">
        <f t="shared" si="3"/>
        <v>28932</v>
      </c>
      <c r="M57" s="7">
        <f t="shared" si="4"/>
        <v>0</v>
      </c>
      <c r="N57" s="10">
        <f t="shared" si="5"/>
        <v>1</v>
      </c>
      <c r="O57" s="11">
        <f t="shared" si="6"/>
        <v>0.102654500207384</v>
      </c>
      <c r="P57" s="11"/>
      <c r="Q57" s="8">
        <f t="shared" si="7"/>
        <v>5940.00000000005</v>
      </c>
      <c r="R57" s="12">
        <f t="shared" si="8"/>
        <v>0</v>
      </c>
    </row>
    <row r="58" ht="14.25" spans="1:18">
      <c r="A58" s="15">
        <v>45893</v>
      </c>
      <c r="B58" s="3">
        <f>Data_Entry!P149</f>
        <v>6180.00000000001</v>
      </c>
      <c r="C58" s="3">
        <v>0</v>
      </c>
      <c r="D58" s="4">
        <f>Data_Entry!V148</f>
        <v>0</v>
      </c>
      <c r="E58" s="5">
        <f t="shared" si="0"/>
        <v>0.106802156781419</v>
      </c>
      <c r="F58" s="6">
        <v>0</v>
      </c>
      <c r="G58" s="6">
        <v>0</v>
      </c>
      <c r="H58" s="7">
        <f t="shared" si="1"/>
        <v>0</v>
      </c>
      <c r="I58" s="7">
        <f t="shared" si="2"/>
        <v>0</v>
      </c>
      <c r="J58" s="8">
        <v>2411</v>
      </c>
      <c r="K58" s="9"/>
      <c r="L58" s="8">
        <f t="shared" si="3"/>
        <v>28932</v>
      </c>
      <c r="M58" s="7">
        <f t="shared" si="4"/>
        <v>0</v>
      </c>
      <c r="N58" s="10">
        <f t="shared" si="5"/>
        <v>1</v>
      </c>
      <c r="O58" s="11">
        <f t="shared" si="6"/>
        <v>0.106802156781419</v>
      </c>
      <c r="P58" s="11"/>
      <c r="Q58" s="8">
        <f t="shared" si="7"/>
        <v>6180.00000000001</v>
      </c>
      <c r="R58" s="12">
        <f t="shared" si="8"/>
        <v>0</v>
      </c>
    </row>
    <row r="59" ht="14.25" spans="1:18">
      <c r="A59" s="15">
        <v>45894</v>
      </c>
      <c r="B59" s="3">
        <f>Data_Entry!P150</f>
        <v>7619.99999999989</v>
      </c>
      <c r="C59" s="3">
        <v>0</v>
      </c>
      <c r="D59" s="4">
        <f>Data_Entry!V149</f>
        <v>0</v>
      </c>
      <c r="E59" s="5">
        <f t="shared" si="0"/>
        <v>0.131688096225631</v>
      </c>
      <c r="F59" s="6">
        <v>0</v>
      </c>
      <c r="G59" s="6">
        <v>0</v>
      </c>
      <c r="H59" s="7">
        <f t="shared" si="1"/>
        <v>0</v>
      </c>
      <c r="I59" s="7">
        <f t="shared" si="2"/>
        <v>0</v>
      </c>
      <c r="J59" s="8">
        <v>2411</v>
      </c>
      <c r="K59" s="9"/>
      <c r="L59" s="8">
        <f t="shared" si="3"/>
        <v>28932</v>
      </c>
      <c r="M59" s="7">
        <f t="shared" si="4"/>
        <v>0</v>
      </c>
      <c r="N59" s="10">
        <f t="shared" si="5"/>
        <v>1</v>
      </c>
      <c r="O59" s="11">
        <f t="shared" si="6"/>
        <v>0.131688096225631</v>
      </c>
      <c r="P59" s="11"/>
      <c r="Q59" s="8">
        <f t="shared" si="7"/>
        <v>7619.99999999989</v>
      </c>
      <c r="R59" s="12">
        <f t="shared" si="8"/>
        <v>0</v>
      </c>
    </row>
    <row r="60" ht="14.25" spans="1:18">
      <c r="A60" s="15">
        <v>45895</v>
      </c>
      <c r="B60" s="3">
        <f>Data_Entry!P151</f>
        <v>9419.99999999996</v>
      </c>
      <c r="C60" s="3">
        <v>0</v>
      </c>
      <c r="D60" s="4">
        <f>Data_Entry!V150</f>
        <v>0</v>
      </c>
      <c r="E60" s="5">
        <f t="shared" si="0"/>
        <v>0.162795520530899</v>
      </c>
      <c r="F60" s="6">
        <v>0</v>
      </c>
      <c r="G60" s="6">
        <v>0</v>
      </c>
      <c r="H60" s="7">
        <f t="shared" si="1"/>
        <v>0</v>
      </c>
      <c r="I60" s="7">
        <f t="shared" si="2"/>
        <v>0</v>
      </c>
      <c r="J60" s="8">
        <v>2411</v>
      </c>
      <c r="K60" s="9"/>
      <c r="L60" s="8">
        <f t="shared" si="3"/>
        <v>28932</v>
      </c>
      <c r="M60" s="7">
        <f t="shared" si="4"/>
        <v>0</v>
      </c>
      <c r="N60" s="10">
        <f t="shared" si="5"/>
        <v>1</v>
      </c>
      <c r="O60" s="11">
        <f t="shared" si="6"/>
        <v>0.162795520530899</v>
      </c>
      <c r="P60" s="11"/>
      <c r="Q60" s="8">
        <f t="shared" si="7"/>
        <v>9419.99999999996</v>
      </c>
      <c r="R60" s="12">
        <f t="shared" si="8"/>
        <v>0</v>
      </c>
    </row>
    <row r="61" ht="14.25" spans="1:18">
      <c r="A61" s="15">
        <v>45896</v>
      </c>
      <c r="B61" s="3">
        <f>Data_Entry!P152</f>
        <v>9030.00000000014</v>
      </c>
      <c r="C61" s="3">
        <v>0</v>
      </c>
      <c r="D61" s="4">
        <f>Data_Entry!V151</f>
        <v>0</v>
      </c>
      <c r="E61" s="5">
        <f t="shared" si="0"/>
        <v>0.156055578598095</v>
      </c>
      <c r="F61" s="6">
        <v>0</v>
      </c>
      <c r="G61" s="6">
        <v>0</v>
      </c>
      <c r="H61" s="7">
        <f t="shared" si="1"/>
        <v>0</v>
      </c>
      <c r="I61" s="7">
        <f t="shared" si="2"/>
        <v>0</v>
      </c>
      <c r="J61" s="8">
        <v>2411</v>
      </c>
      <c r="K61" s="9"/>
      <c r="L61" s="8">
        <f t="shared" si="3"/>
        <v>28932</v>
      </c>
      <c r="M61" s="7">
        <f t="shared" si="4"/>
        <v>0</v>
      </c>
      <c r="N61" s="10">
        <f t="shared" si="5"/>
        <v>1</v>
      </c>
      <c r="O61" s="11">
        <f t="shared" si="6"/>
        <v>0.156055578598095</v>
      </c>
      <c r="P61" s="11"/>
      <c r="Q61" s="8">
        <f t="shared" si="7"/>
        <v>9030.00000000015</v>
      </c>
      <c r="R61" s="12">
        <f t="shared" si="8"/>
        <v>0</v>
      </c>
    </row>
    <row r="62" ht="14.25" spans="1:18">
      <c r="A62" s="15">
        <v>45897</v>
      </c>
      <c r="B62" s="3">
        <f>Data_Entry!P153</f>
        <v>7110.00000000001</v>
      </c>
      <c r="C62" s="3">
        <v>0</v>
      </c>
      <c r="D62" s="4">
        <f>Data_Entry!V152</f>
        <v>0</v>
      </c>
      <c r="E62" s="5">
        <f t="shared" si="0"/>
        <v>0.122874326005807</v>
      </c>
      <c r="F62" s="6">
        <v>0</v>
      </c>
      <c r="G62" s="6">
        <v>0</v>
      </c>
      <c r="H62" s="7">
        <f t="shared" si="1"/>
        <v>0</v>
      </c>
      <c r="I62" s="7">
        <f t="shared" si="2"/>
        <v>0</v>
      </c>
      <c r="J62" s="8">
        <v>2411</v>
      </c>
      <c r="K62" s="9"/>
      <c r="L62" s="8">
        <f t="shared" si="3"/>
        <v>28932</v>
      </c>
      <c r="M62" s="7">
        <f t="shared" si="4"/>
        <v>0</v>
      </c>
      <c r="N62" s="10">
        <f t="shared" si="5"/>
        <v>1</v>
      </c>
      <c r="O62" s="11">
        <f t="shared" si="6"/>
        <v>0.122874326005807</v>
      </c>
      <c r="P62" s="11"/>
      <c r="Q62" s="8">
        <f t="shared" si="7"/>
        <v>7110.00000000001</v>
      </c>
      <c r="R62" s="12">
        <f t="shared" si="8"/>
        <v>0</v>
      </c>
    </row>
    <row r="63" ht="14.25" spans="1:18">
      <c r="A63" s="15">
        <v>45898</v>
      </c>
      <c r="B63" s="3">
        <f>Data_Entry!P154</f>
        <v>8250</v>
      </c>
      <c r="C63" s="3">
        <v>0</v>
      </c>
      <c r="D63" s="4">
        <f>Data_Entry!V153</f>
        <v>0</v>
      </c>
      <c r="E63" s="5">
        <f t="shared" si="0"/>
        <v>0.142575694732476</v>
      </c>
      <c r="F63" s="6">
        <v>0</v>
      </c>
      <c r="G63" s="6">
        <v>0</v>
      </c>
      <c r="H63" s="7">
        <f t="shared" si="1"/>
        <v>0</v>
      </c>
      <c r="I63" s="7">
        <f t="shared" si="2"/>
        <v>0</v>
      </c>
      <c r="J63" s="8">
        <v>2411</v>
      </c>
      <c r="K63" s="9"/>
      <c r="L63" s="8">
        <f t="shared" si="3"/>
        <v>28932</v>
      </c>
      <c r="M63" s="7">
        <f t="shared" si="4"/>
        <v>0</v>
      </c>
      <c r="N63" s="10">
        <f t="shared" si="5"/>
        <v>1</v>
      </c>
      <c r="O63" s="11">
        <f t="shared" si="6"/>
        <v>0.142575694732476</v>
      </c>
      <c r="P63" s="11"/>
      <c r="Q63" s="8">
        <f t="shared" si="7"/>
        <v>8250</v>
      </c>
      <c r="R63" s="12">
        <f t="shared" si="8"/>
        <v>0</v>
      </c>
    </row>
    <row r="64" ht="14.25" spans="1:18">
      <c r="A64" s="15">
        <v>45899</v>
      </c>
      <c r="B64" s="3">
        <f>Data_Entry!P155</f>
        <v>7409.99999999991</v>
      </c>
      <c r="C64" s="3">
        <v>0</v>
      </c>
      <c r="D64" s="4">
        <f>Data_Entry!V154</f>
        <v>0</v>
      </c>
      <c r="E64" s="5">
        <f t="shared" si="0"/>
        <v>0.12805889672335</v>
      </c>
      <c r="F64" s="6">
        <v>0</v>
      </c>
      <c r="G64" s="6">
        <v>0</v>
      </c>
      <c r="H64" s="7">
        <f t="shared" si="1"/>
        <v>0</v>
      </c>
      <c r="I64" s="7">
        <f t="shared" si="2"/>
        <v>0</v>
      </c>
      <c r="J64" s="8">
        <v>2411</v>
      </c>
      <c r="K64" s="9"/>
      <c r="L64" s="8">
        <f t="shared" si="3"/>
        <v>28932</v>
      </c>
      <c r="M64" s="7">
        <f t="shared" si="4"/>
        <v>0</v>
      </c>
      <c r="N64" s="10">
        <f t="shared" si="5"/>
        <v>1</v>
      </c>
      <c r="O64" s="11">
        <f t="shared" si="6"/>
        <v>0.12805889672335</v>
      </c>
      <c r="P64" s="11"/>
      <c r="Q64" s="8">
        <f t="shared" si="7"/>
        <v>7409.99999999991</v>
      </c>
      <c r="R64" s="12">
        <f t="shared" si="8"/>
        <v>0</v>
      </c>
    </row>
    <row r="65" ht="14.25" spans="1:18">
      <c r="A65" s="15">
        <v>45900</v>
      </c>
      <c r="B65" s="3">
        <f>Data_Entry!P156</f>
        <v>8519.99999999993</v>
      </c>
      <c r="C65" s="3">
        <v>0</v>
      </c>
      <c r="D65" s="4">
        <f>Data_Entry!V155</f>
        <v>0</v>
      </c>
      <c r="E65" s="5">
        <f t="shared" si="0"/>
        <v>0.147241808378265</v>
      </c>
      <c r="F65" s="6">
        <v>0</v>
      </c>
      <c r="G65" s="6">
        <v>0</v>
      </c>
      <c r="H65" s="7">
        <f t="shared" si="1"/>
        <v>0</v>
      </c>
      <c r="I65" s="7">
        <f t="shared" si="2"/>
        <v>0</v>
      </c>
      <c r="J65" s="8">
        <v>2411</v>
      </c>
      <c r="K65" s="9"/>
      <c r="L65" s="8">
        <f t="shared" si="3"/>
        <v>28932</v>
      </c>
      <c r="M65" s="7">
        <f t="shared" si="4"/>
        <v>0</v>
      </c>
      <c r="N65" s="10">
        <f t="shared" si="5"/>
        <v>1</v>
      </c>
      <c r="O65" s="11">
        <f t="shared" si="6"/>
        <v>0.147241808378265</v>
      </c>
      <c r="P65" s="11"/>
      <c r="Q65" s="8">
        <f t="shared" si="7"/>
        <v>8519.99999999993</v>
      </c>
      <c r="R65" s="12">
        <f t="shared" si="8"/>
        <v>0</v>
      </c>
    </row>
    <row r="66" ht="14.25" spans="1:18">
      <c r="A66" s="15"/>
      <c r="B66" s="3"/>
      <c r="C66" s="3"/>
      <c r="D66" s="4"/>
      <c r="E66" s="5"/>
      <c r="F66" s="6"/>
      <c r="G66" s="6"/>
      <c r="H66" s="7"/>
      <c r="I66" s="7"/>
      <c r="J66" s="8"/>
      <c r="K66" s="9"/>
      <c r="L66" s="8"/>
      <c r="M66" s="7"/>
      <c r="N66" s="10">
        <f>AVERAGE(N35:N65)</f>
        <v>0.995743727598566</v>
      </c>
      <c r="O66" s="11"/>
      <c r="P66" s="11"/>
      <c r="Q66" s="8"/>
      <c r="R66" s="12"/>
    </row>
    <row r="67" ht="14.25" spans="1:18">
      <c r="A67" s="15">
        <v>45901</v>
      </c>
      <c r="B67" s="3">
        <f>Data_Entry!P157</f>
        <v>11910.0000000001</v>
      </c>
      <c r="C67" s="3">
        <v>0</v>
      </c>
      <c r="D67" s="4">
        <f>Data_Entry!V156</f>
        <v>0</v>
      </c>
      <c r="E67" s="5">
        <f t="shared" si="0"/>
        <v>0.205827457486522</v>
      </c>
      <c r="F67" s="6">
        <v>0</v>
      </c>
      <c r="G67" s="6">
        <v>0</v>
      </c>
      <c r="H67" s="7">
        <f t="shared" si="1"/>
        <v>0</v>
      </c>
      <c r="I67" s="7">
        <f t="shared" si="2"/>
        <v>0</v>
      </c>
      <c r="J67" s="8">
        <v>2411</v>
      </c>
      <c r="K67" s="9"/>
      <c r="L67" s="8">
        <f t="shared" si="3"/>
        <v>28932</v>
      </c>
      <c r="M67" s="7">
        <f t="shared" si="4"/>
        <v>0</v>
      </c>
      <c r="N67" s="10">
        <f t="shared" si="5"/>
        <v>1</v>
      </c>
      <c r="O67" s="11">
        <f t="shared" si="6"/>
        <v>0.205827457486522</v>
      </c>
      <c r="P67" s="11"/>
      <c r="Q67" s="8">
        <f t="shared" si="7"/>
        <v>11910.0000000001</v>
      </c>
      <c r="R67" s="12">
        <f t="shared" si="8"/>
        <v>0</v>
      </c>
    </row>
    <row r="68" ht="14.25" spans="1:18">
      <c r="A68" s="15">
        <v>45902</v>
      </c>
      <c r="B68" s="3">
        <f>Data_Entry!P158</f>
        <v>12449.9999999999</v>
      </c>
      <c r="C68" s="3">
        <v>0</v>
      </c>
      <c r="D68" s="4">
        <f>Data_Entry!V157</f>
        <v>0</v>
      </c>
      <c r="E68" s="5">
        <f t="shared" si="0"/>
        <v>0.215159684778099</v>
      </c>
      <c r="F68" s="6">
        <v>0</v>
      </c>
      <c r="G68" s="6">
        <v>0</v>
      </c>
      <c r="H68" s="7">
        <f t="shared" si="1"/>
        <v>0</v>
      </c>
      <c r="I68" s="7">
        <f t="shared" si="2"/>
        <v>0</v>
      </c>
      <c r="J68" s="8">
        <v>2411</v>
      </c>
      <c r="K68" s="9"/>
      <c r="L68" s="8">
        <f t="shared" si="3"/>
        <v>28932</v>
      </c>
      <c r="M68" s="7">
        <f t="shared" si="4"/>
        <v>0</v>
      </c>
      <c r="N68" s="10">
        <f t="shared" si="5"/>
        <v>1</v>
      </c>
      <c r="O68" s="11">
        <f t="shared" si="6"/>
        <v>0.215159684778099</v>
      </c>
      <c r="P68" s="11"/>
      <c r="Q68" s="8">
        <f t="shared" si="7"/>
        <v>12449.9999999999</v>
      </c>
      <c r="R68" s="12">
        <f t="shared" si="8"/>
        <v>0</v>
      </c>
    </row>
    <row r="69" ht="14.25" spans="1:18">
      <c r="A69" s="15">
        <v>45903</v>
      </c>
      <c r="B69" s="3">
        <f>Data_Entry!P159</f>
        <v>6029.99999999997</v>
      </c>
      <c r="C69" s="3">
        <v>0</v>
      </c>
      <c r="D69" s="4">
        <f>Data_Entry!V158</f>
        <v>0</v>
      </c>
      <c r="E69" s="5">
        <f t="shared" ref="E69:E132" si="9">B69/(24*J69)</f>
        <v>0.104209871422646</v>
      </c>
      <c r="F69" s="6">
        <v>0</v>
      </c>
      <c r="G69" s="6">
        <v>0</v>
      </c>
      <c r="H69" s="7">
        <f t="shared" ref="H69:H132" si="10">(G69-F69)*24*60</f>
        <v>0</v>
      </c>
      <c r="I69" s="7">
        <f t="shared" ref="I69:I132" si="11">H69/60</f>
        <v>0</v>
      </c>
      <c r="J69" s="8">
        <v>2411</v>
      </c>
      <c r="K69" s="9"/>
      <c r="L69" s="8">
        <f t="shared" ref="L69:L132" si="12">J69*12</f>
        <v>28932</v>
      </c>
      <c r="M69" s="7">
        <f t="shared" ref="M69:M132" si="13">K69*I69</f>
        <v>0</v>
      </c>
      <c r="N69" s="10">
        <f t="shared" ref="N69:N132" si="14">(L69-M69)/L69</f>
        <v>1</v>
      </c>
      <c r="O69" s="11">
        <f t="shared" ref="O69:O132" si="15">E69/N69</f>
        <v>0.104209871422646</v>
      </c>
      <c r="P69" s="11"/>
      <c r="Q69" s="8">
        <f t="shared" ref="Q69:Q132" si="16">O69*J69*24</f>
        <v>6029.99999999997</v>
      </c>
      <c r="R69" s="12">
        <f t="shared" ref="R69:R132" si="17">Q69-B69</f>
        <v>0</v>
      </c>
    </row>
    <row r="70" ht="14.25" spans="1:18">
      <c r="A70" s="15">
        <v>45904</v>
      </c>
      <c r="B70" s="3">
        <f>Data_Entry!P160</f>
        <v>5430.00000000018</v>
      </c>
      <c r="C70" s="3">
        <v>0</v>
      </c>
      <c r="D70" s="4">
        <f>Data_Entry!V159</f>
        <v>0</v>
      </c>
      <c r="E70" s="5">
        <f t="shared" si="9"/>
        <v>0.0938407299875601</v>
      </c>
      <c r="F70" s="6">
        <v>0</v>
      </c>
      <c r="G70" s="6">
        <v>0</v>
      </c>
      <c r="H70" s="7">
        <f t="shared" si="10"/>
        <v>0</v>
      </c>
      <c r="I70" s="7">
        <f t="shared" si="11"/>
        <v>0</v>
      </c>
      <c r="J70" s="8">
        <v>2411</v>
      </c>
      <c r="K70" s="9"/>
      <c r="L70" s="8">
        <f t="shared" si="12"/>
        <v>28932</v>
      </c>
      <c r="M70" s="7">
        <f t="shared" si="13"/>
        <v>0</v>
      </c>
      <c r="N70" s="10">
        <f t="shared" si="14"/>
        <v>1</v>
      </c>
      <c r="O70" s="11">
        <f t="shared" si="15"/>
        <v>0.0938407299875601</v>
      </c>
      <c r="P70" s="11"/>
      <c r="Q70" s="8">
        <f t="shared" si="16"/>
        <v>5430.00000000018</v>
      </c>
      <c r="R70" s="12">
        <f t="shared" si="17"/>
        <v>0</v>
      </c>
    </row>
    <row r="71" ht="14.25" spans="1:18">
      <c r="A71" s="15">
        <v>45905</v>
      </c>
      <c r="B71" s="3">
        <f>Data_Entry!P161</f>
        <v>3419.99999999996</v>
      </c>
      <c r="C71" s="3">
        <v>0</v>
      </c>
      <c r="D71" s="4">
        <f>Data_Entry!V160</f>
        <v>0</v>
      </c>
      <c r="E71" s="5">
        <f t="shared" si="9"/>
        <v>0.0591041061800076</v>
      </c>
      <c r="F71" s="6">
        <v>0</v>
      </c>
      <c r="G71" s="6">
        <v>0</v>
      </c>
      <c r="H71" s="7">
        <f t="shared" si="10"/>
        <v>0</v>
      </c>
      <c r="I71" s="7">
        <f t="shared" si="11"/>
        <v>0</v>
      </c>
      <c r="J71" s="8">
        <v>2411</v>
      </c>
      <c r="K71" s="9"/>
      <c r="L71" s="8">
        <f t="shared" si="12"/>
        <v>28932</v>
      </c>
      <c r="M71" s="7">
        <f t="shared" si="13"/>
        <v>0</v>
      </c>
      <c r="N71" s="10">
        <f t="shared" si="14"/>
        <v>1</v>
      </c>
      <c r="O71" s="11">
        <f t="shared" si="15"/>
        <v>0.0591041061800076</v>
      </c>
      <c r="P71" s="11"/>
      <c r="Q71" s="8">
        <f t="shared" si="16"/>
        <v>3419.99999999996</v>
      </c>
      <c r="R71" s="12">
        <f t="shared" si="17"/>
        <v>0</v>
      </c>
    </row>
    <row r="72" ht="14.25" spans="1:18">
      <c r="A72" s="15">
        <v>45906</v>
      </c>
      <c r="B72" s="3">
        <f>Data_Entry!P162</f>
        <v>3119.99999999989</v>
      </c>
      <c r="C72" s="3">
        <v>0</v>
      </c>
      <c r="D72" s="4">
        <f>Data_Entry!V161</f>
        <v>0</v>
      </c>
      <c r="E72" s="5">
        <f t="shared" si="9"/>
        <v>0.0539195354624618</v>
      </c>
      <c r="F72" s="6">
        <v>0</v>
      </c>
      <c r="G72" s="6">
        <v>0</v>
      </c>
      <c r="H72" s="7">
        <f t="shared" si="10"/>
        <v>0</v>
      </c>
      <c r="I72" s="7">
        <f t="shared" si="11"/>
        <v>0</v>
      </c>
      <c r="J72" s="8">
        <v>2411</v>
      </c>
      <c r="K72" s="9"/>
      <c r="L72" s="8">
        <f t="shared" si="12"/>
        <v>28932</v>
      </c>
      <c r="M72" s="7">
        <f t="shared" si="13"/>
        <v>0</v>
      </c>
      <c r="N72" s="10">
        <f t="shared" si="14"/>
        <v>1</v>
      </c>
      <c r="O72" s="11">
        <f t="shared" si="15"/>
        <v>0.0539195354624618</v>
      </c>
      <c r="P72" s="11"/>
      <c r="Q72" s="8">
        <f t="shared" si="16"/>
        <v>3119.99999999989</v>
      </c>
      <c r="R72" s="12">
        <f t="shared" si="17"/>
        <v>0</v>
      </c>
    </row>
    <row r="73" ht="14.25" spans="1:18">
      <c r="A73" s="15">
        <v>45907</v>
      </c>
      <c r="B73" s="3">
        <f>Data_Entry!P163</f>
        <v>3600.00000000014</v>
      </c>
      <c r="C73" s="3">
        <v>0</v>
      </c>
      <c r="D73" s="4">
        <f>Data_Entry!V162</f>
        <v>0</v>
      </c>
      <c r="E73" s="5">
        <f t="shared" si="9"/>
        <v>0.0622148486105374</v>
      </c>
      <c r="F73" s="6">
        <v>0</v>
      </c>
      <c r="G73" s="6">
        <v>0</v>
      </c>
      <c r="H73" s="7">
        <f t="shared" si="10"/>
        <v>0</v>
      </c>
      <c r="I73" s="7">
        <f t="shared" si="11"/>
        <v>0</v>
      </c>
      <c r="J73" s="8">
        <v>2411</v>
      </c>
      <c r="K73" s="9"/>
      <c r="L73" s="8">
        <f t="shared" si="12"/>
        <v>28932</v>
      </c>
      <c r="M73" s="7">
        <f t="shared" si="13"/>
        <v>0</v>
      </c>
      <c r="N73" s="10">
        <f t="shared" si="14"/>
        <v>1</v>
      </c>
      <c r="O73" s="11">
        <f t="shared" si="15"/>
        <v>0.0622148486105374</v>
      </c>
      <c r="P73" s="11"/>
      <c r="Q73" s="8">
        <f t="shared" si="16"/>
        <v>3600.00000000014</v>
      </c>
      <c r="R73" s="12">
        <f t="shared" si="17"/>
        <v>0</v>
      </c>
    </row>
    <row r="74" ht="14.25" spans="1:18">
      <c r="A74" s="15">
        <v>45908</v>
      </c>
      <c r="B74" s="3">
        <f>Data_Entry!P164</f>
        <v>11250</v>
      </c>
      <c r="C74" s="3">
        <v>0</v>
      </c>
      <c r="D74" s="4">
        <f>Data_Entry!V163</f>
        <v>0</v>
      </c>
      <c r="E74" s="5">
        <f t="shared" si="9"/>
        <v>0.194421401907922</v>
      </c>
      <c r="F74" s="6">
        <v>0</v>
      </c>
      <c r="G74" s="6">
        <v>0</v>
      </c>
      <c r="H74" s="7">
        <f t="shared" si="10"/>
        <v>0</v>
      </c>
      <c r="I74" s="7">
        <f t="shared" si="11"/>
        <v>0</v>
      </c>
      <c r="J74" s="8">
        <v>2411</v>
      </c>
      <c r="K74" s="9"/>
      <c r="L74" s="8">
        <f t="shared" si="12"/>
        <v>28932</v>
      </c>
      <c r="M74" s="7">
        <f t="shared" si="13"/>
        <v>0</v>
      </c>
      <c r="N74" s="10">
        <f t="shared" si="14"/>
        <v>1</v>
      </c>
      <c r="O74" s="11">
        <f t="shared" si="15"/>
        <v>0.194421401907922</v>
      </c>
      <c r="P74" s="11"/>
      <c r="Q74" s="8">
        <f t="shared" si="16"/>
        <v>11250</v>
      </c>
      <c r="R74" s="12">
        <f t="shared" si="17"/>
        <v>0</v>
      </c>
    </row>
    <row r="75" ht="14.25" spans="1:18">
      <c r="A75" s="15">
        <v>45909</v>
      </c>
      <c r="B75" s="3">
        <f>Data_Entry!P165</f>
        <v>10349.9999999998</v>
      </c>
      <c r="C75" s="3">
        <v>0</v>
      </c>
      <c r="D75" s="4">
        <f>Data_Entry!V164</f>
        <v>0</v>
      </c>
      <c r="E75" s="5">
        <f t="shared" si="9"/>
        <v>0.178867689755285</v>
      </c>
      <c r="F75" s="6">
        <v>0</v>
      </c>
      <c r="G75" s="6">
        <v>0</v>
      </c>
      <c r="H75" s="7">
        <f t="shared" si="10"/>
        <v>0</v>
      </c>
      <c r="I75" s="7">
        <f t="shared" si="11"/>
        <v>0</v>
      </c>
      <c r="J75" s="8">
        <v>2411</v>
      </c>
      <c r="K75" s="9"/>
      <c r="L75" s="8">
        <f t="shared" si="12"/>
        <v>28932</v>
      </c>
      <c r="M75" s="7">
        <f t="shared" si="13"/>
        <v>0</v>
      </c>
      <c r="N75" s="10">
        <f t="shared" si="14"/>
        <v>1</v>
      </c>
      <c r="O75" s="11">
        <f t="shared" si="15"/>
        <v>0.178867689755285</v>
      </c>
      <c r="P75" s="11"/>
      <c r="Q75" s="8">
        <f t="shared" si="16"/>
        <v>10349.9999999998</v>
      </c>
      <c r="R75" s="12">
        <f t="shared" si="17"/>
        <v>0</v>
      </c>
    </row>
    <row r="76" ht="14.25" spans="1:18">
      <c r="A76" s="15">
        <v>45910</v>
      </c>
      <c r="B76" s="3">
        <f>Data_Entry!P166</f>
        <v>14070.0000000002</v>
      </c>
      <c r="C76" s="3">
        <v>0</v>
      </c>
      <c r="D76" s="4">
        <f>Data_Entry!V165</f>
        <v>0</v>
      </c>
      <c r="E76" s="5">
        <f t="shared" si="9"/>
        <v>0.243156366652844</v>
      </c>
      <c r="F76" s="6">
        <v>0</v>
      </c>
      <c r="G76" s="6">
        <v>0</v>
      </c>
      <c r="H76" s="7">
        <f t="shared" si="10"/>
        <v>0</v>
      </c>
      <c r="I76" s="7">
        <f t="shared" si="11"/>
        <v>0</v>
      </c>
      <c r="J76" s="8">
        <v>2411</v>
      </c>
      <c r="K76" s="9"/>
      <c r="L76" s="8">
        <f t="shared" si="12"/>
        <v>28932</v>
      </c>
      <c r="M76" s="7">
        <f t="shared" si="13"/>
        <v>0</v>
      </c>
      <c r="N76" s="10">
        <f t="shared" si="14"/>
        <v>1</v>
      </c>
      <c r="O76" s="11">
        <f t="shared" si="15"/>
        <v>0.243156366652844</v>
      </c>
      <c r="P76" s="11"/>
      <c r="Q76" s="8">
        <f t="shared" si="16"/>
        <v>14070.0000000002</v>
      </c>
      <c r="R76" s="12">
        <f t="shared" si="17"/>
        <v>0</v>
      </c>
    </row>
    <row r="77" ht="14.25" spans="1:18">
      <c r="A77" s="15">
        <v>45911</v>
      </c>
      <c r="B77" s="3">
        <f>Data_Entry!P167</f>
        <v>12209.9999999998</v>
      </c>
      <c r="C77" s="3">
        <v>0</v>
      </c>
      <c r="D77" s="4">
        <f>Data_Entry!V166</f>
        <v>0</v>
      </c>
      <c r="E77" s="5">
        <f t="shared" si="9"/>
        <v>0.211012028204061</v>
      </c>
      <c r="F77" s="6">
        <v>0</v>
      </c>
      <c r="G77" s="6">
        <v>0</v>
      </c>
      <c r="H77" s="7">
        <f t="shared" si="10"/>
        <v>0</v>
      </c>
      <c r="I77" s="7">
        <f t="shared" si="11"/>
        <v>0</v>
      </c>
      <c r="J77" s="8">
        <v>2411</v>
      </c>
      <c r="K77" s="9"/>
      <c r="L77" s="8">
        <f t="shared" si="12"/>
        <v>28932</v>
      </c>
      <c r="M77" s="7">
        <f t="shared" si="13"/>
        <v>0</v>
      </c>
      <c r="N77" s="10">
        <f t="shared" si="14"/>
        <v>1</v>
      </c>
      <c r="O77" s="11">
        <f t="shared" si="15"/>
        <v>0.211012028204061</v>
      </c>
      <c r="P77" s="11"/>
      <c r="Q77" s="8">
        <f t="shared" si="16"/>
        <v>12209.9999999998</v>
      </c>
      <c r="R77" s="12">
        <f t="shared" si="17"/>
        <v>0</v>
      </c>
    </row>
    <row r="78" ht="14.25" spans="1:18">
      <c r="A78" s="15">
        <v>45912</v>
      </c>
      <c r="B78" s="3">
        <f>Data_Entry!P168</f>
        <v>12450.0000000003</v>
      </c>
      <c r="C78" s="3">
        <v>0</v>
      </c>
      <c r="D78" s="4">
        <f>Data_Entry!V167</f>
        <v>0</v>
      </c>
      <c r="E78" s="5">
        <f t="shared" si="9"/>
        <v>0.215159684778105</v>
      </c>
      <c r="F78" s="6">
        <v>0</v>
      </c>
      <c r="G78" s="6">
        <v>0</v>
      </c>
      <c r="H78" s="7">
        <f t="shared" si="10"/>
        <v>0</v>
      </c>
      <c r="I78" s="7">
        <f t="shared" si="11"/>
        <v>0</v>
      </c>
      <c r="J78" s="8">
        <v>2411</v>
      </c>
      <c r="K78" s="9"/>
      <c r="L78" s="8">
        <f t="shared" si="12"/>
        <v>28932</v>
      </c>
      <c r="M78" s="7">
        <f t="shared" si="13"/>
        <v>0</v>
      </c>
      <c r="N78" s="10">
        <f t="shared" si="14"/>
        <v>1</v>
      </c>
      <c r="O78" s="11">
        <f t="shared" si="15"/>
        <v>0.215159684778105</v>
      </c>
      <c r="P78" s="11"/>
      <c r="Q78" s="8">
        <f t="shared" si="16"/>
        <v>12450.0000000003</v>
      </c>
      <c r="R78" s="12">
        <f t="shared" si="17"/>
        <v>0</v>
      </c>
    </row>
    <row r="79" ht="14.25" spans="1:18">
      <c r="A79" s="15">
        <v>45913</v>
      </c>
      <c r="B79" s="3">
        <f>Data_Entry!P169</f>
        <v>8759.99999999988</v>
      </c>
      <c r="C79" s="3">
        <v>0</v>
      </c>
      <c r="D79" s="4">
        <f>Data_Entry!V168</f>
        <v>0</v>
      </c>
      <c r="E79" s="5">
        <f t="shared" si="9"/>
        <v>0.1513894649523</v>
      </c>
      <c r="F79" s="6">
        <v>0</v>
      </c>
      <c r="G79" s="6">
        <v>0</v>
      </c>
      <c r="H79" s="7">
        <f t="shared" si="10"/>
        <v>0</v>
      </c>
      <c r="I79" s="7">
        <f t="shared" si="11"/>
        <v>0</v>
      </c>
      <c r="J79" s="8">
        <v>2411</v>
      </c>
      <c r="K79" s="9"/>
      <c r="L79" s="8">
        <f t="shared" si="12"/>
        <v>28932</v>
      </c>
      <c r="M79" s="7">
        <f t="shared" si="13"/>
        <v>0</v>
      </c>
      <c r="N79" s="10">
        <f t="shared" si="14"/>
        <v>1</v>
      </c>
      <c r="O79" s="11">
        <f t="shared" si="15"/>
        <v>0.1513894649523</v>
      </c>
      <c r="P79" s="11"/>
      <c r="Q79" s="8">
        <f t="shared" si="16"/>
        <v>8759.99999999988</v>
      </c>
      <c r="R79" s="12">
        <f t="shared" si="17"/>
        <v>0</v>
      </c>
    </row>
    <row r="80" ht="14.25" spans="1:18">
      <c r="A80" s="15">
        <v>45914</v>
      </c>
      <c r="B80" s="3">
        <f>Data_Entry!P170</f>
        <v>7289.99999999985</v>
      </c>
      <c r="C80" s="3">
        <v>0</v>
      </c>
      <c r="D80" s="4">
        <f>Data_Entry!V169</f>
        <v>0</v>
      </c>
      <c r="E80" s="5">
        <f t="shared" si="9"/>
        <v>0.125985068436331</v>
      </c>
      <c r="F80" s="6">
        <v>0</v>
      </c>
      <c r="G80" s="6">
        <v>0</v>
      </c>
      <c r="H80" s="7">
        <f t="shared" si="10"/>
        <v>0</v>
      </c>
      <c r="I80" s="7">
        <f t="shared" si="11"/>
        <v>0</v>
      </c>
      <c r="J80" s="8">
        <v>2411</v>
      </c>
      <c r="K80" s="9"/>
      <c r="L80" s="8">
        <f t="shared" si="12"/>
        <v>28932</v>
      </c>
      <c r="M80" s="7">
        <f t="shared" si="13"/>
        <v>0</v>
      </c>
      <c r="N80" s="10">
        <f t="shared" si="14"/>
        <v>1</v>
      </c>
      <c r="O80" s="11">
        <f t="shared" si="15"/>
        <v>0.125985068436331</v>
      </c>
      <c r="P80" s="11"/>
      <c r="Q80" s="8">
        <f t="shared" si="16"/>
        <v>7289.99999999985</v>
      </c>
      <c r="R80" s="12">
        <f t="shared" si="17"/>
        <v>0</v>
      </c>
    </row>
    <row r="81" ht="14.25" spans="1:18">
      <c r="A81" s="15">
        <v>45915</v>
      </c>
      <c r="B81" s="3">
        <f>Data_Entry!P171</f>
        <v>13140.0000000003</v>
      </c>
      <c r="C81" s="3">
        <v>0</v>
      </c>
      <c r="D81" s="4">
        <f>Data_Entry!V170</f>
        <v>0</v>
      </c>
      <c r="E81" s="5">
        <f t="shared" si="9"/>
        <v>0.227084197428459</v>
      </c>
      <c r="F81" s="6">
        <v>0</v>
      </c>
      <c r="G81" s="6">
        <v>0</v>
      </c>
      <c r="H81" s="7">
        <f t="shared" si="10"/>
        <v>0</v>
      </c>
      <c r="I81" s="7">
        <f t="shared" si="11"/>
        <v>0</v>
      </c>
      <c r="J81" s="8">
        <v>2411</v>
      </c>
      <c r="K81" s="9"/>
      <c r="L81" s="8">
        <f t="shared" si="12"/>
        <v>28932</v>
      </c>
      <c r="M81" s="7">
        <f t="shared" si="13"/>
        <v>0</v>
      </c>
      <c r="N81" s="10">
        <f t="shared" si="14"/>
        <v>1</v>
      </c>
      <c r="O81" s="11">
        <f t="shared" si="15"/>
        <v>0.227084197428459</v>
      </c>
      <c r="P81" s="11"/>
      <c r="Q81" s="8">
        <f t="shared" si="16"/>
        <v>13140.0000000003</v>
      </c>
      <c r="R81" s="12">
        <f t="shared" si="17"/>
        <v>0</v>
      </c>
    </row>
    <row r="82" ht="14.25" spans="1:18">
      <c r="A82" s="15">
        <v>45916</v>
      </c>
      <c r="B82" s="3">
        <f>Data_Entry!P172</f>
        <v>10890</v>
      </c>
      <c r="C82" s="3">
        <v>0</v>
      </c>
      <c r="D82" s="4">
        <f>Data_Entry!V171</f>
        <v>0</v>
      </c>
      <c r="E82" s="5">
        <f t="shared" si="9"/>
        <v>0.188199917046868</v>
      </c>
      <c r="F82" s="6">
        <v>0</v>
      </c>
      <c r="G82" s="6">
        <v>0</v>
      </c>
      <c r="H82" s="7">
        <f t="shared" si="10"/>
        <v>0</v>
      </c>
      <c r="I82" s="7">
        <f t="shared" si="11"/>
        <v>0</v>
      </c>
      <c r="J82" s="8">
        <v>2411</v>
      </c>
      <c r="K82" s="9"/>
      <c r="L82" s="8">
        <f t="shared" si="12"/>
        <v>28932</v>
      </c>
      <c r="M82" s="7">
        <f t="shared" si="13"/>
        <v>0</v>
      </c>
      <c r="N82" s="10">
        <f t="shared" si="14"/>
        <v>1</v>
      </c>
      <c r="O82" s="11">
        <f t="shared" si="15"/>
        <v>0.188199917046868</v>
      </c>
      <c r="P82" s="11"/>
      <c r="Q82" s="8">
        <f t="shared" si="16"/>
        <v>10890</v>
      </c>
      <c r="R82" s="12">
        <f t="shared" si="17"/>
        <v>0</v>
      </c>
    </row>
    <row r="83" ht="14.25" spans="1:18">
      <c r="A83" s="15">
        <v>45917</v>
      </c>
      <c r="B83" s="3">
        <f>Data_Entry!P173</f>
        <v>12239.9999999998</v>
      </c>
      <c r="C83" s="3">
        <v>0</v>
      </c>
      <c r="D83" s="4">
        <f>Data_Entry!V172</f>
        <v>0</v>
      </c>
      <c r="E83" s="5">
        <f t="shared" si="9"/>
        <v>0.211530485275815</v>
      </c>
      <c r="F83" s="6">
        <v>0</v>
      </c>
      <c r="G83" s="6">
        <v>0</v>
      </c>
      <c r="H83" s="7">
        <f t="shared" si="10"/>
        <v>0</v>
      </c>
      <c r="I83" s="7">
        <f t="shared" si="11"/>
        <v>0</v>
      </c>
      <c r="J83" s="8">
        <v>2411</v>
      </c>
      <c r="K83" s="9"/>
      <c r="L83" s="8">
        <f t="shared" si="12"/>
        <v>28932</v>
      </c>
      <c r="M83" s="7">
        <f t="shared" si="13"/>
        <v>0</v>
      </c>
      <c r="N83" s="10">
        <f t="shared" si="14"/>
        <v>1</v>
      </c>
      <c r="O83" s="11">
        <f t="shared" si="15"/>
        <v>0.211530485275815</v>
      </c>
      <c r="P83" s="11"/>
      <c r="Q83" s="8">
        <f t="shared" si="16"/>
        <v>12239.9999999998</v>
      </c>
      <c r="R83" s="12">
        <f t="shared" si="17"/>
        <v>0</v>
      </c>
    </row>
    <row r="84" ht="14.25" spans="1:18">
      <c r="A84" s="15">
        <v>45918</v>
      </c>
      <c r="B84" s="3">
        <f>Data_Entry!P174</f>
        <v>9690.00000000005</v>
      </c>
      <c r="C84" s="3">
        <v>0</v>
      </c>
      <c r="D84" s="4">
        <f>Data_Entry!V173</f>
        <v>0</v>
      </c>
      <c r="E84" s="5">
        <f t="shared" si="9"/>
        <v>0.167461634176691</v>
      </c>
      <c r="F84" s="6">
        <v>0</v>
      </c>
      <c r="G84" s="6">
        <v>0</v>
      </c>
      <c r="H84" s="7">
        <f t="shared" si="10"/>
        <v>0</v>
      </c>
      <c r="I84" s="7">
        <f t="shared" si="11"/>
        <v>0</v>
      </c>
      <c r="J84" s="8">
        <v>2411</v>
      </c>
      <c r="K84" s="9"/>
      <c r="L84" s="8">
        <f t="shared" si="12"/>
        <v>28932</v>
      </c>
      <c r="M84" s="7">
        <f t="shared" si="13"/>
        <v>0</v>
      </c>
      <c r="N84" s="10">
        <f t="shared" si="14"/>
        <v>1</v>
      </c>
      <c r="O84" s="11">
        <f t="shared" si="15"/>
        <v>0.167461634176691</v>
      </c>
      <c r="P84" s="11"/>
      <c r="Q84" s="8">
        <f t="shared" si="16"/>
        <v>9690.00000000005</v>
      </c>
      <c r="R84" s="12">
        <f t="shared" si="17"/>
        <v>0</v>
      </c>
    </row>
    <row r="85" ht="14.25" spans="1:18">
      <c r="A85" s="15">
        <v>45919</v>
      </c>
      <c r="B85" s="3">
        <f>Data_Entry!P175</f>
        <v>7380.00000000011</v>
      </c>
      <c r="C85" s="3">
        <v>0</v>
      </c>
      <c r="D85" s="4">
        <f>Data_Entry!V174</f>
        <v>0</v>
      </c>
      <c r="E85" s="5">
        <f t="shared" si="9"/>
        <v>0.127540439651599</v>
      </c>
      <c r="F85" s="6">
        <v>0</v>
      </c>
      <c r="G85" s="6">
        <v>0</v>
      </c>
      <c r="H85" s="7">
        <f t="shared" si="10"/>
        <v>0</v>
      </c>
      <c r="I85" s="7">
        <f t="shared" si="11"/>
        <v>0</v>
      </c>
      <c r="J85" s="8">
        <v>2411</v>
      </c>
      <c r="K85" s="9"/>
      <c r="L85" s="8">
        <f t="shared" si="12"/>
        <v>28932</v>
      </c>
      <c r="M85" s="7">
        <f t="shared" si="13"/>
        <v>0</v>
      </c>
      <c r="N85" s="10">
        <f t="shared" si="14"/>
        <v>1</v>
      </c>
      <c r="O85" s="11">
        <f t="shared" si="15"/>
        <v>0.127540439651599</v>
      </c>
      <c r="P85" s="11"/>
      <c r="Q85" s="8">
        <f t="shared" si="16"/>
        <v>7380.00000000011</v>
      </c>
      <c r="R85" s="12">
        <f t="shared" si="17"/>
        <v>0</v>
      </c>
    </row>
    <row r="86" ht="14.25" spans="1:18">
      <c r="A86" s="15">
        <v>45920</v>
      </c>
      <c r="B86" s="3">
        <f>Data_Entry!P176</f>
        <v>10709.9999999998</v>
      </c>
      <c r="C86" s="3">
        <v>0</v>
      </c>
      <c r="D86" s="4">
        <f>Data_Entry!V175</f>
        <v>0</v>
      </c>
      <c r="E86" s="5">
        <f t="shared" si="9"/>
        <v>0.185089174616338</v>
      </c>
      <c r="F86" s="6">
        <v>0</v>
      </c>
      <c r="G86" s="6">
        <v>0</v>
      </c>
      <c r="H86" s="7">
        <f t="shared" si="10"/>
        <v>0</v>
      </c>
      <c r="I86" s="7">
        <f t="shared" si="11"/>
        <v>0</v>
      </c>
      <c r="J86" s="8">
        <v>2411</v>
      </c>
      <c r="K86" s="9"/>
      <c r="L86" s="8">
        <f t="shared" si="12"/>
        <v>28932</v>
      </c>
      <c r="M86" s="7">
        <f t="shared" si="13"/>
        <v>0</v>
      </c>
      <c r="N86" s="10">
        <f t="shared" si="14"/>
        <v>1</v>
      </c>
      <c r="O86" s="11">
        <f t="shared" si="15"/>
        <v>0.185089174616338</v>
      </c>
      <c r="P86" s="11"/>
      <c r="Q86" s="8">
        <f t="shared" si="16"/>
        <v>10709.9999999998</v>
      </c>
      <c r="R86" s="12">
        <f t="shared" si="17"/>
        <v>0</v>
      </c>
    </row>
    <row r="87" ht="14.25" spans="1:18">
      <c r="A87" s="15">
        <v>45921</v>
      </c>
      <c r="B87" s="3">
        <f>Data_Entry!P177</f>
        <v>7980.00000000025</v>
      </c>
      <c r="C87" s="3">
        <v>0</v>
      </c>
      <c r="D87" s="4">
        <f>Data_Entry!V176</f>
        <v>3.75</v>
      </c>
      <c r="E87" s="5">
        <f t="shared" si="9"/>
        <v>0.13790958108669</v>
      </c>
      <c r="F87" s="6">
        <v>0</v>
      </c>
      <c r="G87" s="6">
        <v>0</v>
      </c>
      <c r="H87" s="7">
        <f t="shared" si="10"/>
        <v>0</v>
      </c>
      <c r="I87" s="7">
        <f t="shared" si="11"/>
        <v>0</v>
      </c>
      <c r="J87" s="8">
        <v>2411</v>
      </c>
      <c r="K87" s="9"/>
      <c r="L87" s="8">
        <f t="shared" si="12"/>
        <v>28932</v>
      </c>
      <c r="M87" s="7">
        <f t="shared" si="13"/>
        <v>0</v>
      </c>
      <c r="N87" s="10">
        <f t="shared" si="14"/>
        <v>1</v>
      </c>
      <c r="O87" s="11">
        <f t="shared" si="15"/>
        <v>0.13790958108669</v>
      </c>
      <c r="P87" s="11"/>
      <c r="Q87" s="8">
        <f t="shared" si="16"/>
        <v>7980.00000000025</v>
      </c>
      <c r="R87" s="12">
        <f t="shared" si="17"/>
        <v>0</v>
      </c>
    </row>
    <row r="88" ht="14.25" spans="1:18">
      <c r="A88" s="15">
        <v>45922</v>
      </c>
      <c r="B88" s="3">
        <f>Data_Entry!P178</f>
        <v>12959.9999999998</v>
      </c>
      <c r="C88" s="3">
        <v>0</v>
      </c>
      <c r="D88" s="4">
        <f>Data_Entry!V177</f>
        <v>3.24</v>
      </c>
      <c r="E88" s="5">
        <f t="shared" si="9"/>
        <v>0.223973454997923</v>
      </c>
      <c r="F88" s="6">
        <v>0</v>
      </c>
      <c r="G88" s="6">
        <v>0</v>
      </c>
      <c r="H88" s="7">
        <f t="shared" si="10"/>
        <v>0</v>
      </c>
      <c r="I88" s="7">
        <f t="shared" si="11"/>
        <v>0</v>
      </c>
      <c r="J88" s="8">
        <v>2411</v>
      </c>
      <c r="K88" s="9"/>
      <c r="L88" s="8">
        <f t="shared" si="12"/>
        <v>28932</v>
      </c>
      <c r="M88" s="7">
        <f t="shared" si="13"/>
        <v>0</v>
      </c>
      <c r="N88" s="10">
        <f t="shared" si="14"/>
        <v>1</v>
      </c>
      <c r="O88" s="11">
        <f t="shared" si="15"/>
        <v>0.223973454997923</v>
      </c>
      <c r="P88" s="11"/>
      <c r="Q88" s="8">
        <f t="shared" si="16"/>
        <v>12959.9999999998</v>
      </c>
      <c r="R88" s="12">
        <f t="shared" si="17"/>
        <v>0</v>
      </c>
    </row>
    <row r="89" ht="14.25" spans="1:18">
      <c r="A89" s="15">
        <v>45923</v>
      </c>
      <c r="B89" s="3">
        <f>Data_Entry!P179</f>
        <v>12479.9999999999</v>
      </c>
      <c r="C89" s="3">
        <v>0</v>
      </c>
      <c r="D89" s="4">
        <f>Data_Entry!V178</f>
        <v>3.71</v>
      </c>
      <c r="E89" s="5">
        <f t="shared" si="9"/>
        <v>0.215678141849853</v>
      </c>
      <c r="F89" s="6">
        <v>0</v>
      </c>
      <c r="G89" s="6">
        <v>0</v>
      </c>
      <c r="H89" s="7">
        <f t="shared" si="10"/>
        <v>0</v>
      </c>
      <c r="I89" s="7">
        <f t="shared" si="11"/>
        <v>0</v>
      </c>
      <c r="J89" s="8">
        <v>2411</v>
      </c>
      <c r="K89" s="9"/>
      <c r="L89" s="8">
        <f t="shared" si="12"/>
        <v>28932</v>
      </c>
      <c r="M89" s="7">
        <f t="shared" si="13"/>
        <v>0</v>
      </c>
      <c r="N89" s="10">
        <f t="shared" si="14"/>
        <v>1</v>
      </c>
      <c r="O89" s="11">
        <f t="shared" si="15"/>
        <v>0.215678141849853</v>
      </c>
      <c r="P89" s="11"/>
      <c r="Q89" s="8">
        <f t="shared" si="16"/>
        <v>12479.9999999999</v>
      </c>
      <c r="R89" s="12">
        <f t="shared" si="17"/>
        <v>0</v>
      </c>
    </row>
    <row r="90" ht="14.25" spans="1:18">
      <c r="A90" s="15">
        <v>45924</v>
      </c>
      <c r="B90" s="3">
        <f>Data_Entry!P180</f>
        <v>11430.0000000002</v>
      </c>
      <c r="C90" s="3">
        <v>0</v>
      </c>
      <c r="D90" s="4">
        <f>Data_Entry!V179</f>
        <v>2.42</v>
      </c>
      <c r="E90" s="5">
        <f t="shared" si="9"/>
        <v>0.197532144338452</v>
      </c>
      <c r="F90" s="6">
        <v>0</v>
      </c>
      <c r="G90" s="6">
        <v>0</v>
      </c>
      <c r="H90" s="7">
        <f t="shared" si="10"/>
        <v>0</v>
      </c>
      <c r="I90" s="7">
        <f t="shared" si="11"/>
        <v>0</v>
      </c>
      <c r="J90" s="8">
        <v>2411</v>
      </c>
      <c r="K90" s="9"/>
      <c r="L90" s="8">
        <f t="shared" si="12"/>
        <v>28932</v>
      </c>
      <c r="M90" s="7">
        <f t="shared" si="13"/>
        <v>0</v>
      </c>
      <c r="N90" s="10">
        <f t="shared" si="14"/>
        <v>1</v>
      </c>
      <c r="O90" s="11">
        <f t="shared" si="15"/>
        <v>0.197532144338452</v>
      </c>
      <c r="P90" s="11"/>
      <c r="Q90" s="8">
        <f t="shared" si="16"/>
        <v>11430.0000000002</v>
      </c>
      <c r="R90" s="12">
        <f t="shared" si="17"/>
        <v>0</v>
      </c>
    </row>
    <row r="91" ht="14.25" spans="1:18">
      <c r="A91" s="15">
        <v>45925</v>
      </c>
      <c r="B91" s="3">
        <f>Data_Entry!P181</f>
        <v>2669.99999999996</v>
      </c>
      <c r="C91" s="3">
        <v>0</v>
      </c>
      <c r="D91" s="4">
        <f>Data_Entry!V180</f>
        <v>4.09</v>
      </c>
      <c r="E91" s="5">
        <f t="shared" si="9"/>
        <v>0.0461426793861461</v>
      </c>
      <c r="F91" s="6">
        <v>0</v>
      </c>
      <c r="G91" s="6">
        <v>0</v>
      </c>
      <c r="H91" s="7">
        <f t="shared" si="10"/>
        <v>0</v>
      </c>
      <c r="I91" s="7">
        <f t="shared" si="11"/>
        <v>0</v>
      </c>
      <c r="J91" s="8">
        <v>2411</v>
      </c>
      <c r="K91" s="9"/>
      <c r="L91" s="8">
        <f t="shared" si="12"/>
        <v>28932</v>
      </c>
      <c r="M91" s="7">
        <f t="shared" si="13"/>
        <v>0</v>
      </c>
      <c r="N91" s="10">
        <f t="shared" si="14"/>
        <v>1</v>
      </c>
      <c r="O91" s="11">
        <f t="shared" si="15"/>
        <v>0.0461426793861461</v>
      </c>
      <c r="P91" s="11"/>
      <c r="Q91" s="8">
        <f t="shared" si="16"/>
        <v>2669.99999999996</v>
      </c>
      <c r="R91" s="12">
        <f t="shared" si="17"/>
        <v>0</v>
      </c>
    </row>
    <row r="92" ht="14.25" spans="1:18">
      <c r="A92" s="15">
        <v>45926</v>
      </c>
      <c r="B92" s="3">
        <f>Data_Entry!P182</f>
        <v>10860</v>
      </c>
      <c r="C92" s="3">
        <v>0</v>
      </c>
      <c r="D92" s="4">
        <f>Data_Entry!V181</f>
        <v>0.37</v>
      </c>
      <c r="E92" s="5">
        <f t="shared" si="9"/>
        <v>0.187681459975114</v>
      </c>
      <c r="F92" s="6">
        <v>0</v>
      </c>
      <c r="G92" s="6">
        <v>0</v>
      </c>
      <c r="H92" s="7">
        <f t="shared" si="10"/>
        <v>0</v>
      </c>
      <c r="I92" s="7">
        <f t="shared" si="11"/>
        <v>0</v>
      </c>
      <c r="J92" s="8">
        <v>2411</v>
      </c>
      <c r="K92" s="9"/>
      <c r="L92" s="8">
        <f t="shared" si="12"/>
        <v>28932</v>
      </c>
      <c r="M92" s="7">
        <f t="shared" si="13"/>
        <v>0</v>
      </c>
      <c r="N92" s="10">
        <f t="shared" si="14"/>
        <v>1</v>
      </c>
      <c r="O92" s="11">
        <f t="shared" si="15"/>
        <v>0.187681459975114</v>
      </c>
      <c r="P92" s="11"/>
      <c r="Q92" s="8">
        <f t="shared" si="16"/>
        <v>10860</v>
      </c>
      <c r="R92" s="12">
        <f t="shared" si="17"/>
        <v>0</v>
      </c>
    </row>
    <row r="93" ht="14.25" spans="1:18">
      <c r="A93" s="15">
        <v>45927</v>
      </c>
      <c r="B93" s="3">
        <f>Data_Entry!P183</f>
        <v>3660.00000000008</v>
      </c>
      <c r="C93" s="3">
        <v>0</v>
      </c>
      <c r="D93" s="4">
        <f>Data_Entry!V182</f>
        <v>4.13</v>
      </c>
      <c r="E93" s="5">
        <f t="shared" si="9"/>
        <v>0.0632517627540454</v>
      </c>
      <c r="F93" s="6">
        <v>0</v>
      </c>
      <c r="G93" s="6">
        <v>0</v>
      </c>
      <c r="H93" s="7">
        <f t="shared" si="10"/>
        <v>0</v>
      </c>
      <c r="I93" s="7">
        <f t="shared" si="11"/>
        <v>0</v>
      </c>
      <c r="J93" s="8">
        <v>2411</v>
      </c>
      <c r="K93" s="9"/>
      <c r="L93" s="8">
        <f t="shared" si="12"/>
        <v>28932</v>
      </c>
      <c r="M93" s="7">
        <f t="shared" si="13"/>
        <v>0</v>
      </c>
      <c r="N93" s="10">
        <f t="shared" si="14"/>
        <v>1</v>
      </c>
      <c r="O93" s="11">
        <f t="shared" si="15"/>
        <v>0.0632517627540454</v>
      </c>
      <c r="P93" s="11"/>
      <c r="Q93" s="8">
        <f t="shared" si="16"/>
        <v>3660.00000000008</v>
      </c>
      <c r="R93" s="12">
        <f t="shared" si="17"/>
        <v>0</v>
      </c>
    </row>
    <row r="94" ht="14.25" spans="1:18">
      <c r="A94" s="15">
        <v>45928</v>
      </c>
      <c r="B94" s="3">
        <f>Data_Entry!P184</f>
        <v>4169.99999999996</v>
      </c>
      <c r="C94" s="3">
        <v>0</v>
      </c>
      <c r="D94" s="4">
        <f>Data_Entry!V183</f>
        <v>1.72</v>
      </c>
      <c r="E94" s="5">
        <f t="shared" si="9"/>
        <v>0.0720655329738691</v>
      </c>
      <c r="F94" s="6">
        <v>0</v>
      </c>
      <c r="G94" s="6">
        <v>0</v>
      </c>
      <c r="H94" s="7">
        <f t="shared" si="10"/>
        <v>0</v>
      </c>
      <c r="I94" s="7">
        <f t="shared" si="11"/>
        <v>0</v>
      </c>
      <c r="J94" s="8">
        <v>2411</v>
      </c>
      <c r="K94" s="9"/>
      <c r="L94" s="8">
        <f t="shared" si="12"/>
        <v>28932</v>
      </c>
      <c r="M94" s="7">
        <f t="shared" si="13"/>
        <v>0</v>
      </c>
      <c r="N94" s="10">
        <f t="shared" si="14"/>
        <v>1</v>
      </c>
      <c r="O94" s="11">
        <f t="shared" si="15"/>
        <v>0.0720655329738691</v>
      </c>
      <c r="P94" s="11"/>
      <c r="Q94" s="8">
        <f t="shared" si="16"/>
        <v>4169.99999999996</v>
      </c>
      <c r="R94" s="12">
        <f t="shared" si="17"/>
        <v>0</v>
      </c>
    </row>
    <row r="95" ht="14.25" spans="1:18">
      <c r="A95" s="15">
        <v>45929</v>
      </c>
      <c r="B95" s="3">
        <f>Data_Entry!P185</f>
        <v>3720.00000000003</v>
      </c>
      <c r="C95" s="3">
        <v>0</v>
      </c>
      <c r="D95" s="4">
        <f>Data_Entry!V184</f>
        <v>1.45</v>
      </c>
      <c r="E95" s="5">
        <f t="shared" si="9"/>
        <v>0.0642886768975534</v>
      </c>
      <c r="F95" s="6">
        <v>0</v>
      </c>
      <c r="G95" s="6">
        <v>0</v>
      </c>
      <c r="H95" s="7">
        <f t="shared" si="10"/>
        <v>0</v>
      </c>
      <c r="I95" s="7">
        <f t="shared" si="11"/>
        <v>0</v>
      </c>
      <c r="J95" s="8">
        <v>2411</v>
      </c>
      <c r="K95" s="9"/>
      <c r="L95" s="8">
        <f t="shared" si="12"/>
        <v>28932</v>
      </c>
      <c r="M95" s="7">
        <f t="shared" si="13"/>
        <v>0</v>
      </c>
      <c r="N95" s="10">
        <f t="shared" si="14"/>
        <v>1</v>
      </c>
      <c r="O95" s="11">
        <f t="shared" si="15"/>
        <v>0.0642886768975534</v>
      </c>
      <c r="P95" s="11"/>
      <c r="Q95" s="8">
        <f t="shared" si="16"/>
        <v>3720.00000000003</v>
      </c>
      <c r="R95" s="12">
        <f t="shared" si="17"/>
        <v>0</v>
      </c>
    </row>
    <row r="96" ht="14.25" spans="1:18">
      <c r="A96" s="15">
        <v>45930</v>
      </c>
      <c r="B96" s="3">
        <f>Data_Entry!P186</f>
        <v>5550.00000000007</v>
      </c>
      <c r="C96" s="3">
        <v>0</v>
      </c>
      <c r="D96" s="4">
        <f>Data_Entry!V185</f>
        <v>1.22</v>
      </c>
      <c r="E96" s="5">
        <f t="shared" si="9"/>
        <v>0.095914558274576</v>
      </c>
      <c r="F96" s="6">
        <v>0</v>
      </c>
      <c r="G96" s="6">
        <v>0</v>
      </c>
      <c r="H96" s="7">
        <f t="shared" si="10"/>
        <v>0</v>
      </c>
      <c r="I96" s="7">
        <f t="shared" si="11"/>
        <v>0</v>
      </c>
      <c r="J96" s="8">
        <v>2411</v>
      </c>
      <c r="K96" s="9"/>
      <c r="L96" s="8">
        <f t="shared" si="12"/>
        <v>28932</v>
      </c>
      <c r="M96" s="7">
        <f t="shared" si="13"/>
        <v>0</v>
      </c>
      <c r="N96" s="10">
        <f t="shared" si="14"/>
        <v>1</v>
      </c>
      <c r="O96" s="11">
        <f t="shared" si="15"/>
        <v>0.095914558274576</v>
      </c>
      <c r="P96" s="11"/>
      <c r="Q96" s="8">
        <f t="shared" si="16"/>
        <v>5550.00000000007</v>
      </c>
      <c r="R96" s="12">
        <f t="shared" si="17"/>
        <v>0</v>
      </c>
    </row>
    <row r="97" ht="14.25" spans="1:18">
      <c r="A97" s="15">
        <v>45931</v>
      </c>
      <c r="B97" s="3">
        <f>Data_Entry!P186</f>
        <v>5550.00000000007</v>
      </c>
      <c r="C97" s="3">
        <v>0</v>
      </c>
      <c r="D97" s="4">
        <f>Data_Entry!V186</f>
        <v>1.61</v>
      </c>
      <c r="E97" s="5">
        <f t="shared" si="9"/>
        <v>0.095914558274576</v>
      </c>
      <c r="F97" s="6">
        <v>0</v>
      </c>
      <c r="G97" s="6">
        <v>0</v>
      </c>
      <c r="H97" s="7">
        <f t="shared" si="10"/>
        <v>0</v>
      </c>
      <c r="I97" s="7">
        <f t="shared" si="11"/>
        <v>0</v>
      </c>
      <c r="J97" s="8">
        <v>2411</v>
      </c>
      <c r="K97" s="9"/>
      <c r="L97" s="8">
        <f t="shared" si="12"/>
        <v>28932</v>
      </c>
      <c r="M97" s="7">
        <f t="shared" si="13"/>
        <v>0</v>
      </c>
      <c r="N97" s="10">
        <f t="shared" si="14"/>
        <v>1</v>
      </c>
      <c r="O97" s="11">
        <f t="shared" si="15"/>
        <v>0.095914558274576</v>
      </c>
      <c r="P97" s="11"/>
      <c r="Q97" s="8">
        <f t="shared" si="16"/>
        <v>5550.00000000007</v>
      </c>
      <c r="R97" s="12">
        <f t="shared" si="17"/>
        <v>0</v>
      </c>
    </row>
    <row r="98" ht="14.25" spans="1:18">
      <c r="A98" s="15">
        <v>45932</v>
      </c>
      <c r="B98" s="3">
        <f>Data_Entry!P187</f>
        <v>7110.00000000001</v>
      </c>
      <c r="C98" s="3">
        <v>0</v>
      </c>
      <c r="D98" s="4">
        <f>Data_Entry!V187</f>
        <v>2.03</v>
      </c>
      <c r="E98" s="5">
        <f t="shared" si="9"/>
        <v>0.122874326005807</v>
      </c>
      <c r="F98" s="6">
        <v>0</v>
      </c>
      <c r="G98" s="6">
        <v>0</v>
      </c>
      <c r="H98" s="7">
        <f t="shared" si="10"/>
        <v>0</v>
      </c>
      <c r="I98" s="7">
        <f t="shared" si="11"/>
        <v>0</v>
      </c>
      <c r="J98" s="8">
        <v>2411</v>
      </c>
      <c r="K98" s="9"/>
      <c r="L98" s="8">
        <f t="shared" si="12"/>
        <v>28932</v>
      </c>
      <c r="M98" s="7">
        <f t="shared" si="13"/>
        <v>0</v>
      </c>
      <c r="N98" s="10">
        <f t="shared" si="14"/>
        <v>1</v>
      </c>
      <c r="O98" s="11">
        <f t="shared" si="15"/>
        <v>0.122874326005807</v>
      </c>
      <c r="P98" s="11"/>
      <c r="Q98" s="8">
        <f t="shared" si="16"/>
        <v>7110.00000000001</v>
      </c>
      <c r="R98" s="12">
        <f t="shared" si="17"/>
        <v>0</v>
      </c>
    </row>
    <row r="99" ht="14.25" spans="1:18">
      <c r="A99" s="15">
        <v>45933</v>
      </c>
      <c r="B99" s="3">
        <f>Data_Entry!P188</f>
        <v>9209.99999999981</v>
      </c>
      <c r="C99" s="3">
        <v>0</v>
      </c>
      <c r="D99" s="4">
        <f>Data_Entry!V188</f>
        <v>4.45</v>
      </c>
      <c r="E99" s="5">
        <f t="shared" si="9"/>
        <v>0.159166321028616</v>
      </c>
      <c r="F99" s="6">
        <v>0</v>
      </c>
      <c r="G99" s="6">
        <v>0</v>
      </c>
      <c r="H99" s="7">
        <f t="shared" si="10"/>
        <v>0</v>
      </c>
      <c r="I99" s="7">
        <f t="shared" si="11"/>
        <v>0</v>
      </c>
      <c r="J99" s="8">
        <v>2411</v>
      </c>
      <c r="K99" s="9"/>
      <c r="L99" s="8">
        <f t="shared" si="12"/>
        <v>28932</v>
      </c>
      <c r="M99" s="7">
        <f t="shared" si="13"/>
        <v>0</v>
      </c>
      <c r="N99" s="10">
        <f t="shared" si="14"/>
        <v>1</v>
      </c>
      <c r="O99" s="11">
        <f t="shared" si="15"/>
        <v>0.159166321028616</v>
      </c>
      <c r="P99" s="11"/>
      <c r="Q99" s="8">
        <f t="shared" si="16"/>
        <v>9209.99999999981</v>
      </c>
      <c r="R99" s="12">
        <f t="shared" si="17"/>
        <v>0</v>
      </c>
    </row>
    <row r="100" ht="14.25" spans="1:18">
      <c r="A100" s="15">
        <v>45934</v>
      </c>
      <c r="B100" s="3">
        <f>Data_Entry!P189</f>
        <v>13440.0000000001</v>
      </c>
      <c r="C100" s="3">
        <v>0</v>
      </c>
      <c r="D100" s="4">
        <f>Data_Entry!V189</f>
        <v>4.57</v>
      </c>
      <c r="E100" s="5">
        <f t="shared" si="9"/>
        <v>0.232268768145998</v>
      </c>
      <c r="F100" s="6">
        <v>0</v>
      </c>
      <c r="G100" s="6">
        <v>0</v>
      </c>
      <c r="H100" s="7">
        <f t="shared" si="10"/>
        <v>0</v>
      </c>
      <c r="I100" s="7">
        <f t="shared" si="11"/>
        <v>0</v>
      </c>
      <c r="J100" s="8">
        <v>2411</v>
      </c>
      <c r="K100" s="9"/>
      <c r="L100" s="8">
        <f t="shared" si="12"/>
        <v>28932</v>
      </c>
      <c r="M100" s="7">
        <f t="shared" si="13"/>
        <v>0</v>
      </c>
      <c r="N100" s="10">
        <f t="shared" si="14"/>
        <v>1</v>
      </c>
      <c r="O100" s="11">
        <f t="shared" si="15"/>
        <v>0.232268768145998</v>
      </c>
      <c r="P100" s="11"/>
      <c r="Q100" s="8">
        <f t="shared" si="16"/>
        <v>13440.0000000001</v>
      </c>
      <c r="R100" s="12">
        <f t="shared" si="17"/>
        <v>0</v>
      </c>
    </row>
    <row r="101" ht="14.25" spans="1:18">
      <c r="A101" s="15">
        <v>45935</v>
      </c>
      <c r="B101" s="3">
        <f>Data_Entry!P190</f>
        <v>9569.99999999982</v>
      </c>
      <c r="C101" s="3">
        <v>0</v>
      </c>
      <c r="D101" s="4">
        <f>Data_Entry!V190</f>
        <v>4.59</v>
      </c>
      <c r="E101" s="5">
        <f t="shared" si="9"/>
        <v>0.165387805889669</v>
      </c>
      <c r="F101" s="6">
        <v>0</v>
      </c>
      <c r="G101" s="6">
        <v>0</v>
      </c>
      <c r="H101" s="7">
        <f t="shared" si="10"/>
        <v>0</v>
      </c>
      <c r="I101" s="7">
        <f t="shared" si="11"/>
        <v>0</v>
      </c>
      <c r="J101" s="8">
        <v>2411</v>
      </c>
      <c r="K101" s="9"/>
      <c r="L101" s="8">
        <f t="shared" si="12"/>
        <v>28932</v>
      </c>
      <c r="M101" s="7">
        <f t="shared" si="13"/>
        <v>0</v>
      </c>
      <c r="N101" s="10">
        <f t="shared" si="14"/>
        <v>1</v>
      </c>
      <c r="O101" s="11">
        <f t="shared" si="15"/>
        <v>0.165387805889669</v>
      </c>
      <c r="P101" s="11"/>
      <c r="Q101" s="8">
        <f t="shared" si="16"/>
        <v>9569.99999999982</v>
      </c>
      <c r="R101" s="12">
        <f t="shared" si="17"/>
        <v>0</v>
      </c>
    </row>
    <row r="102" ht="14.25" spans="1:18">
      <c r="A102" s="15">
        <v>45936</v>
      </c>
      <c r="B102" s="3">
        <f>Data_Entry!P191</f>
        <v>11700.0000000003</v>
      </c>
      <c r="C102" s="3">
        <v>0</v>
      </c>
      <c r="D102" s="4">
        <f>Data_Entry!V191</f>
        <v>4.79</v>
      </c>
      <c r="E102" s="5">
        <f t="shared" si="9"/>
        <v>0.202198257984244</v>
      </c>
      <c r="F102" s="6">
        <v>0</v>
      </c>
      <c r="G102" s="6">
        <v>0</v>
      </c>
      <c r="H102" s="7">
        <f t="shared" si="10"/>
        <v>0</v>
      </c>
      <c r="I102" s="7">
        <f t="shared" si="11"/>
        <v>0</v>
      </c>
      <c r="J102" s="8">
        <v>2411</v>
      </c>
      <c r="K102" s="9"/>
      <c r="L102" s="8">
        <f t="shared" si="12"/>
        <v>28932</v>
      </c>
      <c r="M102" s="7">
        <f t="shared" si="13"/>
        <v>0</v>
      </c>
      <c r="N102" s="10">
        <f t="shared" si="14"/>
        <v>1</v>
      </c>
      <c r="O102" s="11">
        <f t="shared" si="15"/>
        <v>0.202198257984244</v>
      </c>
      <c r="P102" s="11"/>
      <c r="Q102" s="8">
        <f t="shared" si="16"/>
        <v>11700.0000000003</v>
      </c>
      <c r="R102" s="12">
        <f t="shared" si="17"/>
        <v>0</v>
      </c>
    </row>
    <row r="103" ht="14.25" spans="1:18">
      <c r="A103" s="15">
        <v>45937</v>
      </c>
      <c r="B103" s="3">
        <f>Data_Entry!P192</f>
        <v>12239.9999999998</v>
      </c>
      <c r="C103" s="3">
        <v>0</v>
      </c>
      <c r="D103" s="4">
        <f>Data_Entry!V192</f>
        <v>4.85</v>
      </c>
      <c r="E103" s="5">
        <f t="shared" si="9"/>
        <v>0.211530485275815</v>
      </c>
      <c r="F103" s="6">
        <v>0</v>
      </c>
      <c r="G103" s="6">
        <v>0</v>
      </c>
      <c r="H103" s="7">
        <f t="shared" si="10"/>
        <v>0</v>
      </c>
      <c r="I103" s="7">
        <f t="shared" si="11"/>
        <v>0</v>
      </c>
      <c r="J103" s="8">
        <v>2411</v>
      </c>
      <c r="K103" s="9"/>
      <c r="L103" s="8">
        <f t="shared" si="12"/>
        <v>28932</v>
      </c>
      <c r="M103" s="7">
        <f t="shared" si="13"/>
        <v>0</v>
      </c>
      <c r="N103" s="10">
        <f t="shared" si="14"/>
        <v>1</v>
      </c>
      <c r="O103" s="11">
        <f t="shared" si="15"/>
        <v>0.211530485275815</v>
      </c>
      <c r="P103" s="11"/>
      <c r="Q103" s="8">
        <f t="shared" si="16"/>
        <v>12239.9999999998</v>
      </c>
      <c r="R103" s="12">
        <f t="shared" si="17"/>
        <v>0</v>
      </c>
    </row>
    <row r="104" ht="14.25" spans="1:18">
      <c r="A104" s="15">
        <v>45938</v>
      </c>
      <c r="B104" s="3">
        <f>Data_Entry!P193</f>
        <v>12420</v>
      </c>
      <c r="C104" s="3">
        <v>7</v>
      </c>
      <c r="D104" s="4">
        <f>Data_Entry!V193</f>
        <v>4.32</v>
      </c>
      <c r="E104" s="5">
        <f t="shared" si="9"/>
        <v>0.214641227706345</v>
      </c>
      <c r="F104" s="6">
        <v>0.385416666666667</v>
      </c>
      <c r="G104" s="6">
        <v>0.416666666666667</v>
      </c>
      <c r="H104" s="7">
        <f t="shared" si="10"/>
        <v>45</v>
      </c>
      <c r="I104" s="7">
        <f t="shared" si="11"/>
        <v>0.75</v>
      </c>
      <c r="J104" s="8">
        <v>2411</v>
      </c>
      <c r="K104" s="9">
        <v>2411</v>
      </c>
      <c r="L104" s="8">
        <f t="shared" si="12"/>
        <v>28932</v>
      </c>
      <c r="M104" s="7">
        <f t="shared" si="13"/>
        <v>1808.25</v>
      </c>
      <c r="N104" s="10">
        <f t="shared" si="14"/>
        <v>0.9375</v>
      </c>
      <c r="O104" s="11">
        <f t="shared" si="15"/>
        <v>0.228950642886768</v>
      </c>
      <c r="P104" s="11"/>
      <c r="Q104" s="8">
        <f t="shared" si="16"/>
        <v>13248</v>
      </c>
      <c r="R104" s="12">
        <f t="shared" si="17"/>
        <v>827.999999999996</v>
      </c>
    </row>
    <row r="105" ht="14.25" spans="1:18">
      <c r="A105" s="15">
        <v>45939</v>
      </c>
      <c r="B105" s="3">
        <f>Data_Entry!P194</f>
        <v>9270.00000000009</v>
      </c>
      <c r="C105" s="3">
        <v>0</v>
      </c>
      <c r="D105" s="4">
        <f>Data_Entry!V194</f>
        <v>4.69</v>
      </c>
      <c r="E105" s="5">
        <f t="shared" si="9"/>
        <v>0.160203235172129</v>
      </c>
      <c r="F105" s="6">
        <v>0</v>
      </c>
      <c r="G105" s="6">
        <v>0</v>
      </c>
      <c r="H105" s="7">
        <f t="shared" si="10"/>
        <v>0</v>
      </c>
      <c r="I105" s="7">
        <f t="shared" si="11"/>
        <v>0</v>
      </c>
      <c r="J105" s="8">
        <v>2411</v>
      </c>
      <c r="K105" s="9"/>
      <c r="L105" s="8">
        <f t="shared" si="12"/>
        <v>28932</v>
      </c>
      <c r="M105" s="7">
        <f t="shared" si="13"/>
        <v>0</v>
      </c>
      <c r="N105" s="10">
        <f t="shared" si="14"/>
        <v>1</v>
      </c>
      <c r="O105" s="11">
        <f t="shared" si="15"/>
        <v>0.160203235172129</v>
      </c>
      <c r="P105" s="11"/>
      <c r="Q105" s="8">
        <f t="shared" si="16"/>
        <v>9270.00000000009</v>
      </c>
      <c r="R105" s="12">
        <f t="shared" si="17"/>
        <v>0</v>
      </c>
    </row>
    <row r="106" ht="14.25" spans="1:18">
      <c r="A106" s="15">
        <v>45940</v>
      </c>
      <c r="B106" s="3">
        <f>Data_Entry!P195</f>
        <v>12449.9999999999</v>
      </c>
      <c r="C106" s="3">
        <v>0</v>
      </c>
      <c r="D106" s="4">
        <f>Data_Entry!V195</f>
        <v>3.91</v>
      </c>
      <c r="E106" s="5">
        <f t="shared" si="9"/>
        <v>0.215159684778099</v>
      </c>
      <c r="F106" s="6">
        <v>0</v>
      </c>
      <c r="G106" s="6">
        <v>0</v>
      </c>
      <c r="H106" s="7">
        <f t="shared" si="10"/>
        <v>0</v>
      </c>
      <c r="I106" s="7">
        <f t="shared" si="11"/>
        <v>0</v>
      </c>
      <c r="J106" s="8">
        <v>2411</v>
      </c>
      <c r="K106" s="9"/>
      <c r="L106" s="8">
        <f t="shared" si="12"/>
        <v>28932</v>
      </c>
      <c r="M106" s="7">
        <f t="shared" si="13"/>
        <v>0</v>
      </c>
      <c r="N106" s="10">
        <f t="shared" si="14"/>
        <v>1</v>
      </c>
      <c r="O106" s="11">
        <f t="shared" si="15"/>
        <v>0.215159684778099</v>
      </c>
      <c r="P106" s="11"/>
      <c r="Q106" s="8">
        <f t="shared" si="16"/>
        <v>12449.9999999999</v>
      </c>
      <c r="R106" s="12">
        <f t="shared" si="17"/>
        <v>0</v>
      </c>
    </row>
    <row r="107" ht="14.25" spans="1:18">
      <c r="A107" s="15">
        <v>45941</v>
      </c>
      <c r="B107" s="3">
        <f>Data_Entry!P196</f>
        <v>12240.0000000001</v>
      </c>
      <c r="C107" s="3">
        <v>0</v>
      </c>
      <c r="D107" s="4">
        <f>Data_Entry!V196</f>
        <v>3.48</v>
      </c>
      <c r="E107" s="5">
        <f t="shared" si="9"/>
        <v>0.211530485275821</v>
      </c>
      <c r="F107" s="6">
        <v>0</v>
      </c>
      <c r="G107" s="6">
        <v>0</v>
      </c>
      <c r="H107" s="7">
        <f t="shared" si="10"/>
        <v>0</v>
      </c>
      <c r="I107" s="7">
        <f t="shared" si="11"/>
        <v>0</v>
      </c>
      <c r="J107" s="8">
        <v>2411</v>
      </c>
      <c r="K107" s="9"/>
      <c r="L107" s="8">
        <f t="shared" si="12"/>
        <v>28932</v>
      </c>
      <c r="M107" s="7">
        <f t="shared" si="13"/>
        <v>0</v>
      </c>
      <c r="N107" s="10">
        <f t="shared" si="14"/>
        <v>1</v>
      </c>
      <c r="O107" s="11">
        <f t="shared" si="15"/>
        <v>0.211530485275821</v>
      </c>
      <c r="P107" s="11"/>
      <c r="Q107" s="8">
        <f t="shared" si="16"/>
        <v>12240.0000000001</v>
      </c>
      <c r="R107" s="12">
        <f t="shared" si="17"/>
        <v>0</v>
      </c>
    </row>
    <row r="108" ht="14.25" spans="1:18">
      <c r="A108" s="15">
        <v>45942</v>
      </c>
      <c r="B108" s="3">
        <f>Data_Entry!P197</f>
        <v>13140</v>
      </c>
      <c r="C108" s="3">
        <v>0</v>
      </c>
      <c r="D108" s="4">
        <f>Data_Entry!V197</f>
        <v>3.55</v>
      </c>
      <c r="E108" s="5">
        <f t="shared" si="9"/>
        <v>0.227084197428453</v>
      </c>
      <c r="F108" s="6">
        <v>0</v>
      </c>
      <c r="G108" s="6">
        <v>0</v>
      </c>
      <c r="H108" s="7">
        <f t="shared" si="10"/>
        <v>0</v>
      </c>
      <c r="I108" s="7">
        <f t="shared" si="11"/>
        <v>0</v>
      </c>
      <c r="J108" s="8">
        <v>2411</v>
      </c>
      <c r="K108" s="9"/>
      <c r="L108" s="8">
        <f t="shared" si="12"/>
        <v>28932</v>
      </c>
      <c r="M108" s="7">
        <f t="shared" si="13"/>
        <v>0</v>
      </c>
      <c r="N108" s="10">
        <f t="shared" si="14"/>
        <v>1</v>
      </c>
      <c r="O108" s="11">
        <f t="shared" si="15"/>
        <v>0.227084197428453</v>
      </c>
      <c r="P108" s="11"/>
      <c r="Q108" s="8">
        <f t="shared" si="16"/>
        <v>13140</v>
      </c>
      <c r="R108" s="12">
        <f t="shared" si="17"/>
        <v>0</v>
      </c>
    </row>
    <row r="109" ht="14.25" spans="1:18">
      <c r="A109" s="15">
        <v>45943</v>
      </c>
      <c r="B109" s="3">
        <f>Data_Entry!P198</f>
        <v>12630.0000000001</v>
      </c>
      <c r="C109" s="3">
        <v>0</v>
      </c>
      <c r="D109" s="4">
        <f>Data_Entry!V198</f>
        <v>3.54</v>
      </c>
      <c r="E109" s="5">
        <f t="shared" si="9"/>
        <v>0.218270427208629</v>
      </c>
      <c r="F109" s="6">
        <v>0</v>
      </c>
      <c r="G109" s="6">
        <v>0</v>
      </c>
      <c r="H109" s="7">
        <f t="shared" si="10"/>
        <v>0</v>
      </c>
      <c r="I109" s="7">
        <f t="shared" si="11"/>
        <v>0</v>
      </c>
      <c r="J109" s="8">
        <v>2411</v>
      </c>
      <c r="K109" s="9"/>
      <c r="L109" s="8">
        <f t="shared" si="12"/>
        <v>28932</v>
      </c>
      <c r="M109" s="7">
        <f t="shared" si="13"/>
        <v>0</v>
      </c>
      <c r="N109" s="10">
        <f t="shared" si="14"/>
        <v>1</v>
      </c>
      <c r="O109" s="11">
        <f t="shared" si="15"/>
        <v>0.218270427208629</v>
      </c>
      <c r="P109" s="11"/>
      <c r="Q109" s="8">
        <f t="shared" si="16"/>
        <v>12630.0000000001</v>
      </c>
      <c r="R109" s="12">
        <f t="shared" si="17"/>
        <v>0</v>
      </c>
    </row>
    <row r="110" ht="14.25" spans="1:18">
      <c r="A110" s="15">
        <v>45944</v>
      </c>
      <c r="B110" s="3">
        <f>Data_Entry!P199</f>
        <v>12629.9999999998</v>
      </c>
      <c r="C110" s="3">
        <v>0</v>
      </c>
      <c r="D110" s="4">
        <f>Data_Entry!V199</f>
        <v>3.44</v>
      </c>
      <c r="E110" s="5">
        <f t="shared" si="9"/>
        <v>0.218270427208623</v>
      </c>
      <c r="F110" s="6">
        <v>0</v>
      </c>
      <c r="G110" s="6">
        <v>0</v>
      </c>
      <c r="H110" s="7">
        <f t="shared" si="10"/>
        <v>0</v>
      </c>
      <c r="I110" s="7">
        <f t="shared" si="11"/>
        <v>0</v>
      </c>
      <c r="J110" s="8">
        <v>2411</v>
      </c>
      <c r="K110" s="9"/>
      <c r="L110" s="8">
        <f t="shared" si="12"/>
        <v>28932</v>
      </c>
      <c r="M110" s="7">
        <f t="shared" si="13"/>
        <v>0</v>
      </c>
      <c r="N110" s="10">
        <f t="shared" si="14"/>
        <v>1</v>
      </c>
      <c r="O110" s="11">
        <f t="shared" si="15"/>
        <v>0.218270427208623</v>
      </c>
      <c r="P110" s="11"/>
      <c r="Q110" s="8">
        <f t="shared" si="16"/>
        <v>12629.9999999998</v>
      </c>
      <c r="R110" s="12">
        <f t="shared" si="17"/>
        <v>0</v>
      </c>
    </row>
    <row r="111" ht="14.25" spans="1:18">
      <c r="A111" s="15">
        <v>45945</v>
      </c>
      <c r="B111" s="3">
        <f>Data_Entry!P200</f>
        <v>12990.0000000001</v>
      </c>
      <c r="C111" s="3">
        <v>0</v>
      </c>
      <c r="D111" s="4">
        <f>Data_Entry!V200</f>
        <v>3.55</v>
      </c>
      <c r="E111" s="5">
        <f t="shared" si="9"/>
        <v>0.224491912069683</v>
      </c>
      <c r="F111" s="6">
        <v>0</v>
      </c>
      <c r="G111" s="6">
        <v>0</v>
      </c>
      <c r="H111" s="7">
        <f t="shared" si="10"/>
        <v>0</v>
      </c>
      <c r="I111" s="7">
        <f t="shared" si="11"/>
        <v>0</v>
      </c>
      <c r="J111" s="8">
        <v>2411</v>
      </c>
      <c r="K111" s="9"/>
      <c r="L111" s="8">
        <f t="shared" si="12"/>
        <v>28932</v>
      </c>
      <c r="M111" s="7">
        <f t="shared" si="13"/>
        <v>0</v>
      </c>
      <c r="N111" s="10">
        <f t="shared" si="14"/>
        <v>1</v>
      </c>
      <c r="O111" s="11">
        <f t="shared" si="15"/>
        <v>0.224491912069683</v>
      </c>
      <c r="P111" s="11"/>
      <c r="Q111" s="8">
        <f t="shared" si="16"/>
        <v>12990.0000000001</v>
      </c>
      <c r="R111" s="12">
        <f t="shared" si="17"/>
        <v>0</v>
      </c>
    </row>
    <row r="112" ht="14.25" spans="1:18">
      <c r="A112" s="15">
        <v>45946</v>
      </c>
      <c r="B112" s="3">
        <f>Data_Entry!P201</f>
        <v>10800.0000000001</v>
      </c>
      <c r="C112" s="3">
        <v>0</v>
      </c>
      <c r="D112" s="4">
        <f>Data_Entry!V201</f>
        <v>3.36</v>
      </c>
      <c r="E112" s="5">
        <f t="shared" si="9"/>
        <v>0.186644545831606</v>
      </c>
      <c r="F112" s="6">
        <v>0</v>
      </c>
      <c r="G112" s="6">
        <v>0</v>
      </c>
      <c r="H112" s="7">
        <f t="shared" si="10"/>
        <v>0</v>
      </c>
      <c r="I112" s="7">
        <f t="shared" si="11"/>
        <v>0</v>
      </c>
      <c r="J112" s="8">
        <v>2411</v>
      </c>
      <c r="K112" s="9"/>
      <c r="L112" s="8">
        <f t="shared" si="12"/>
        <v>28932</v>
      </c>
      <c r="M112" s="7">
        <f t="shared" si="13"/>
        <v>0</v>
      </c>
      <c r="N112" s="10">
        <f t="shared" si="14"/>
        <v>1</v>
      </c>
      <c r="O112" s="11">
        <f t="shared" si="15"/>
        <v>0.186644545831606</v>
      </c>
      <c r="P112" s="11"/>
      <c r="Q112" s="8">
        <f t="shared" si="16"/>
        <v>10800.0000000001</v>
      </c>
      <c r="R112" s="12">
        <f t="shared" si="17"/>
        <v>0</v>
      </c>
    </row>
    <row r="113" ht="14.25" spans="1:18">
      <c r="A113" s="15">
        <v>45947</v>
      </c>
      <c r="B113" s="3">
        <f>Data_Entry!P202</f>
        <v>11039.9999999999</v>
      </c>
      <c r="C113" s="3">
        <v>0</v>
      </c>
      <c r="D113" s="4">
        <f>Data_Entry!V202</f>
        <v>3.23</v>
      </c>
      <c r="E113" s="5">
        <f t="shared" si="9"/>
        <v>0.190792202405638</v>
      </c>
      <c r="F113" s="6">
        <v>0</v>
      </c>
      <c r="G113" s="6">
        <v>0</v>
      </c>
      <c r="H113" s="7">
        <f t="shared" si="10"/>
        <v>0</v>
      </c>
      <c r="I113" s="7">
        <f t="shared" si="11"/>
        <v>0</v>
      </c>
      <c r="J113" s="8">
        <v>2411</v>
      </c>
      <c r="K113" s="9"/>
      <c r="L113" s="8">
        <f t="shared" si="12"/>
        <v>28932</v>
      </c>
      <c r="M113" s="7">
        <f t="shared" si="13"/>
        <v>0</v>
      </c>
      <c r="N113" s="10">
        <f t="shared" si="14"/>
        <v>1</v>
      </c>
      <c r="O113" s="11">
        <f t="shared" si="15"/>
        <v>0.190792202405638</v>
      </c>
      <c r="P113" s="11"/>
      <c r="Q113" s="8">
        <f t="shared" si="16"/>
        <v>11039.9999999999</v>
      </c>
      <c r="R113" s="12">
        <f t="shared" si="17"/>
        <v>0</v>
      </c>
    </row>
    <row r="114" ht="14.25" spans="1:18">
      <c r="A114" s="15">
        <v>45948</v>
      </c>
      <c r="B114" s="3">
        <f>Data_Entry!P203</f>
        <v>12839.9999999999</v>
      </c>
      <c r="C114" s="3">
        <v>0</v>
      </c>
      <c r="D114" s="4">
        <f>Data_Entry!V203</f>
        <v>3.93</v>
      </c>
      <c r="E114" s="5">
        <f t="shared" si="9"/>
        <v>0.221899626710907</v>
      </c>
      <c r="F114" s="6">
        <v>0</v>
      </c>
      <c r="G114" s="6">
        <v>0</v>
      </c>
      <c r="H114" s="7">
        <f t="shared" si="10"/>
        <v>0</v>
      </c>
      <c r="I114" s="7">
        <f t="shared" si="11"/>
        <v>0</v>
      </c>
      <c r="J114" s="8">
        <v>2411</v>
      </c>
      <c r="K114" s="9"/>
      <c r="L114" s="8">
        <f t="shared" si="12"/>
        <v>28932</v>
      </c>
      <c r="M114" s="7">
        <f t="shared" si="13"/>
        <v>0</v>
      </c>
      <c r="N114" s="10">
        <f t="shared" si="14"/>
        <v>1</v>
      </c>
      <c r="O114" s="11">
        <f t="shared" si="15"/>
        <v>0.221899626710907</v>
      </c>
      <c r="P114" s="11"/>
      <c r="Q114" s="8">
        <f t="shared" si="16"/>
        <v>12839.9999999999</v>
      </c>
      <c r="R114" s="12">
        <f t="shared" si="17"/>
        <v>0</v>
      </c>
    </row>
    <row r="115" ht="14.25" spans="1:18">
      <c r="A115" s="15">
        <v>45949</v>
      </c>
      <c r="B115" s="3">
        <f>Data_Entry!P204</f>
        <v>12000</v>
      </c>
      <c r="C115" s="3">
        <v>0</v>
      </c>
      <c r="D115" s="4">
        <f>Data_Entry!V204</f>
        <v>4.46</v>
      </c>
      <c r="E115" s="5">
        <f t="shared" si="9"/>
        <v>0.207382828701783</v>
      </c>
      <c r="F115" s="6">
        <v>0</v>
      </c>
      <c r="G115" s="6">
        <v>0</v>
      </c>
      <c r="H115" s="7">
        <f t="shared" si="10"/>
        <v>0</v>
      </c>
      <c r="I115" s="7">
        <f t="shared" si="11"/>
        <v>0</v>
      </c>
      <c r="J115" s="8">
        <v>2411</v>
      </c>
      <c r="K115" s="9"/>
      <c r="L115" s="8">
        <f t="shared" si="12"/>
        <v>28932</v>
      </c>
      <c r="M115" s="7">
        <f t="shared" si="13"/>
        <v>0</v>
      </c>
      <c r="N115" s="10">
        <f t="shared" si="14"/>
        <v>1</v>
      </c>
      <c r="O115" s="11">
        <f t="shared" si="15"/>
        <v>0.207382828701783</v>
      </c>
      <c r="P115" s="11"/>
      <c r="Q115" s="8">
        <f t="shared" si="16"/>
        <v>12000</v>
      </c>
      <c r="R115" s="12">
        <f t="shared" si="17"/>
        <v>0</v>
      </c>
    </row>
    <row r="116" ht="14.25" spans="1:18">
      <c r="A116" s="15">
        <v>45950</v>
      </c>
      <c r="B116" s="3">
        <f>Data_Entry!P205</f>
        <v>11760.0000000002</v>
      </c>
      <c r="C116" s="3">
        <v>0</v>
      </c>
      <c r="D116" s="4">
        <f>Data_Entry!V205</f>
        <v>3.96</v>
      </c>
      <c r="E116" s="5">
        <f t="shared" si="9"/>
        <v>0.203235172127752</v>
      </c>
      <c r="F116" s="6">
        <v>0</v>
      </c>
      <c r="G116" s="6">
        <v>0</v>
      </c>
      <c r="H116" s="7">
        <f t="shared" si="10"/>
        <v>0</v>
      </c>
      <c r="I116" s="7">
        <f t="shared" si="11"/>
        <v>0</v>
      </c>
      <c r="J116" s="8">
        <v>2411</v>
      </c>
      <c r="K116" s="9"/>
      <c r="L116" s="8">
        <f t="shared" si="12"/>
        <v>28932</v>
      </c>
      <c r="M116" s="7">
        <f t="shared" si="13"/>
        <v>0</v>
      </c>
      <c r="N116" s="10">
        <f t="shared" si="14"/>
        <v>1</v>
      </c>
      <c r="O116" s="11">
        <f t="shared" si="15"/>
        <v>0.203235172127752</v>
      </c>
      <c r="P116" s="11"/>
      <c r="Q116" s="8">
        <f t="shared" si="16"/>
        <v>11760.0000000002</v>
      </c>
      <c r="R116" s="12">
        <f t="shared" si="17"/>
        <v>0</v>
      </c>
    </row>
    <row r="117" ht="14.25" spans="1:18">
      <c r="A117" s="15">
        <v>45951</v>
      </c>
      <c r="B117" s="3">
        <f>Data_Entry!P206</f>
        <v>10050.0000000001</v>
      </c>
      <c r="C117" s="3">
        <v>0</v>
      </c>
      <c r="D117" s="4">
        <f>Data_Entry!V206</f>
        <v>3.86</v>
      </c>
      <c r="E117" s="5">
        <f t="shared" si="9"/>
        <v>0.173683119037745</v>
      </c>
      <c r="F117" s="6">
        <v>0</v>
      </c>
      <c r="G117" s="6">
        <v>0</v>
      </c>
      <c r="H117" s="7">
        <f t="shared" si="10"/>
        <v>0</v>
      </c>
      <c r="I117" s="7">
        <f t="shared" si="11"/>
        <v>0</v>
      </c>
      <c r="J117" s="8">
        <v>2411</v>
      </c>
      <c r="K117" s="9"/>
      <c r="L117" s="8">
        <f t="shared" si="12"/>
        <v>28932</v>
      </c>
      <c r="M117" s="7">
        <f t="shared" si="13"/>
        <v>0</v>
      </c>
      <c r="N117" s="10">
        <f t="shared" si="14"/>
        <v>1</v>
      </c>
      <c r="O117" s="11">
        <f t="shared" si="15"/>
        <v>0.173683119037745</v>
      </c>
      <c r="P117" s="11"/>
      <c r="Q117" s="8">
        <f t="shared" si="16"/>
        <v>10050.0000000001</v>
      </c>
      <c r="R117" s="12">
        <f t="shared" si="17"/>
        <v>0</v>
      </c>
    </row>
    <row r="118" ht="14.25" spans="1:18">
      <c r="A118" s="15">
        <v>45952</v>
      </c>
      <c r="B118" s="3">
        <f>Data_Entry!P207</f>
        <v>10949.9999999999</v>
      </c>
      <c r="C118" s="3">
        <v>0</v>
      </c>
      <c r="D118" s="4">
        <f>Data_Entry!V207</f>
        <v>4.26</v>
      </c>
      <c r="E118" s="5">
        <f t="shared" si="9"/>
        <v>0.189236831190376</v>
      </c>
      <c r="F118" s="6">
        <v>0</v>
      </c>
      <c r="G118" s="6">
        <v>0</v>
      </c>
      <c r="H118" s="7">
        <f t="shared" si="10"/>
        <v>0</v>
      </c>
      <c r="I118" s="7">
        <f t="shared" si="11"/>
        <v>0</v>
      </c>
      <c r="J118" s="8">
        <v>2411</v>
      </c>
      <c r="K118" s="9"/>
      <c r="L118" s="8">
        <f t="shared" si="12"/>
        <v>28932</v>
      </c>
      <c r="M118" s="7">
        <f t="shared" si="13"/>
        <v>0</v>
      </c>
      <c r="N118" s="10">
        <f t="shared" si="14"/>
        <v>1</v>
      </c>
      <c r="O118" s="11">
        <f t="shared" si="15"/>
        <v>0.189236831190376</v>
      </c>
      <c r="P118" s="11"/>
      <c r="Q118" s="8">
        <f t="shared" si="16"/>
        <v>10949.9999999999</v>
      </c>
      <c r="R118" s="12">
        <f t="shared" si="17"/>
        <v>0</v>
      </c>
    </row>
    <row r="119" ht="14.25" spans="1:18">
      <c r="A119" s="15">
        <v>45953</v>
      </c>
      <c r="B119" s="3">
        <f>Data_Entry!P208</f>
        <v>10800.0000000001</v>
      </c>
      <c r="C119" s="3">
        <v>0</v>
      </c>
      <c r="D119" s="4">
        <f>Data_Entry!V208</f>
        <v>3.78</v>
      </c>
      <c r="E119" s="5">
        <f t="shared" si="9"/>
        <v>0.186644545831606</v>
      </c>
      <c r="F119" s="6">
        <v>0</v>
      </c>
      <c r="G119" s="6">
        <v>0</v>
      </c>
      <c r="H119" s="7">
        <f t="shared" si="10"/>
        <v>0</v>
      </c>
      <c r="I119" s="7">
        <f t="shared" si="11"/>
        <v>0</v>
      </c>
      <c r="J119" s="8">
        <v>2411</v>
      </c>
      <c r="K119" s="9"/>
      <c r="L119" s="8">
        <f t="shared" si="12"/>
        <v>28932</v>
      </c>
      <c r="M119" s="7">
        <f t="shared" si="13"/>
        <v>0</v>
      </c>
      <c r="N119" s="10">
        <f t="shared" si="14"/>
        <v>1</v>
      </c>
      <c r="O119" s="11">
        <f t="shared" si="15"/>
        <v>0.186644545831606</v>
      </c>
      <c r="P119" s="11"/>
      <c r="Q119" s="8">
        <f t="shared" si="16"/>
        <v>10800.0000000001</v>
      </c>
      <c r="R119" s="12">
        <f t="shared" si="17"/>
        <v>0</v>
      </c>
    </row>
    <row r="120" ht="14.25" spans="1:18">
      <c r="A120" s="15">
        <v>45954</v>
      </c>
      <c r="B120" s="3">
        <f>Data_Entry!P209</f>
        <v>10530</v>
      </c>
      <c r="C120" s="3">
        <v>0</v>
      </c>
      <c r="D120" s="4">
        <f>Data_Entry!V209</f>
        <v>3.95</v>
      </c>
      <c r="E120" s="5">
        <f t="shared" si="9"/>
        <v>0.181978432185815</v>
      </c>
      <c r="F120" s="6">
        <v>0</v>
      </c>
      <c r="G120" s="6">
        <v>0</v>
      </c>
      <c r="H120" s="7">
        <f t="shared" si="10"/>
        <v>0</v>
      </c>
      <c r="I120" s="7">
        <f t="shared" si="11"/>
        <v>0</v>
      </c>
      <c r="J120" s="8">
        <v>2411</v>
      </c>
      <c r="K120" s="9"/>
      <c r="L120" s="8">
        <f t="shared" si="12"/>
        <v>28932</v>
      </c>
      <c r="M120" s="7">
        <f t="shared" si="13"/>
        <v>0</v>
      </c>
      <c r="N120" s="10">
        <f t="shared" si="14"/>
        <v>1</v>
      </c>
      <c r="O120" s="11">
        <f t="shared" si="15"/>
        <v>0.181978432185815</v>
      </c>
      <c r="P120" s="11"/>
      <c r="Q120" s="8">
        <f t="shared" si="16"/>
        <v>10530</v>
      </c>
      <c r="R120" s="12">
        <f t="shared" si="17"/>
        <v>0</v>
      </c>
    </row>
    <row r="121" ht="14.25" spans="1:18">
      <c r="A121" s="15">
        <v>45955</v>
      </c>
      <c r="B121" s="3">
        <f>Data_Entry!P210</f>
        <v>10019.9999999998</v>
      </c>
      <c r="C121" s="3">
        <v>0</v>
      </c>
      <c r="D121" s="4">
        <f>Data_Entry!V210</f>
        <v>3.42</v>
      </c>
      <c r="E121" s="5">
        <f t="shared" si="9"/>
        <v>0.173164661965985</v>
      </c>
      <c r="F121" s="6">
        <v>0</v>
      </c>
      <c r="G121" s="6">
        <v>0</v>
      </c>
      <c r="H121" s="7">
        <f t="shared" si="10"/>
        <v>0</v>
      </c>
      <c r="I121" s="7">
        <f t="shared" si="11"/>
        <v>0</v>
      </c>
      <c r="J121" s="8">
        <v>2411</v>
      </c>
      <c r="K121" s="9"/>
      <c r="L121" s="8">
        <f t="shared" si="12"/>
        <v>28932</v>
      </c>
      <c r="M121" s="7">
        <f t="shared" si="13"/>
        <v>0</v>
      </c>
      <c r="N121" s="10">
        <f t="shared" si="14"/>
        <v>1</v>
      </c>
      <c r="O121" s="11">
        <f t="shared" si="15"/>
        <v>0.173164661965985</v>
      </c>
      <c r="P121" s="11"/>
      <c r="Q121" s="8">
        <f t="shared" si="16"/>
        <v>10019.9999999998</v>
      </c>
      <c r="R121" s="12">
        <f t="shared" si="17"/>
        <v>0</v>
      </c>
    </row>
    <row r="122" ht="14.25" spans="1:18">
      <c r="A122" s="15">
        <v>45956</v>
      </c>
      <c r="B122" s="3">
        <f>Data_Entry!P211</f>
        <v>2430.00000000018</v>
      </c>
      <c r="C122" s="3">
        <v>0</v>
      </c>
      <c r="D122" s="4">
        <f>Data_Entry!V211</f>
        <v>0.69</v>
      </c>
      <c r="E122" s="5">
        <f t="shared" si="9"/>
        <v>0.0419950228121142</v>
      </c>
      <c r="F122" s="6">
        <v>0</v>
      </c>
      <c r="G122" s="6">
        <v>0</v>
      </c>
      <c r="H122" s="7">
        <f t="shared" si="10"/>
        <v>0</v>
      </c>
      <c r="I122" s="7">
        <f t="shared" si="11"/>
        <v>0</v>
      </c>
      <c r="J122" s="8">
        <v>2411</v>
      </c>
      <c r="K122" s="9"/>
      <c r="L122" s="8">
        <f t="shared" si="12"/>
        <v>28932</v>
      </c>
      <c r="M122" s="7">
        <f t="shared" si="13"/>
        <v>0</v>
      </c>
      <c r="N122" s="10">
        <f t="shared" si="14"/>
        <v>1</v>
      </c>
      <c r="O122" s="11">
        <f t="shared" si="15"/>
        <v>0.0419950228121142</v>
      </c>
      <c r="P122" s="11"/>
      <c r="Q122" s="8">
        <f t="shared" si="16"/>
        <v>2430.00000000018</v>
      </c>
      <c r="R122" s="12">
        <f t="shared" si="17"/>
        <v>0</v>
      </c>
    </row>
    <row r="123" ht="14.25" spans="1:18">
      <c r="A123" s="15">
        <v>45957</v>
      </c>
      <c r="B123" s="3">
        <f>Data_Entry!P212</f>
        <v>2729.9999999999</v>
      </c>
      <c r="C123" s="3">
        <v>0</v>
      </c>
      <c r="D123" s="4">
        <f>Data_Entry!V212</f>
        <v>1.38</v>
      </c>
      <c r="E123" s="5">
        <f t="shared" si="9"/>
        <v>0.0471795935296541</v>
      </c>
      <c r="F123" s="6">
        <v>0</v>
      </c>
      <c r="G123" s="6">
        <v>0</v>
      </c>
      <c r="H123" s="7">
        <f t="shared" si="10"/>
        <v>0</v>
      </c>
      <c r="I123" s="7">
        <f t="shared" si="11"/>
        <v>0</v>
      </c>
      <c r="J123" s="8">
        <v>2411</v>
      </c>
      <c r="K123" s="9"/>
      <c r="L123" s="8">
        <f t="shared" si="12"/>
        <v>28932</v>
      </c>
      <c r="M123" s="7">
        <f t="shared" si="13"/>
        <v>0</v>
      </c>
      <c r="N123" s="10">
        <f t="shared" si="14"/>
        <v>1</v>
      </c>
      <c r="O123" s="11">
        <f t="shared" si="15"/>
        <v>0.0471795935296541</v>
      </c>
      <c r="P123" s="11"/>
      <c r="Q123" s="8">
        <f t="shared" si="16"/>
        <v>2729.9999999999</v>
      </c>
      <c r="R123" s="12">
        <f t="shared" si="17"/>
        <v>0</v>
      </c>
    </row>
    <row r="124" ht="14.25" spans="1:18">
      <c r="A124" s="15">
        <v>45958</v>
      </c>
      <c r="B124" s="3">
        <f>Data_Entry!P213</f>
        <v>1410.00000000008</v>
      </c>
      <c r="C124" s="3">
        <v>0</v>
      </c>
      <c r="D124" s="4">
        <f>Data_Entry!V213</f>
        <v>0.56</v>
      </c>
      <c r="E124" s="5">
        <f t="shared" si="9"/>
        <v>0.024367482372461</v>
      </c>
      <c r="F124" s="6">
        <v>0</v>
      </c>
      <c r="G124" s="6">
        <v>0</v>
      </c>
      <c r="H124" s="7">
        <f t="shared" si="10"/>
        <v>0</v>
      </c>
      <c r="I124" s="7">
        <f t="shared" si="11"/>
        <v>0</v>
      </c>
      <c r="J124" s="8">
        <v>2411</v>
      </c>
      <c r="K124" s="9"/>
      <c r="L124" s="8">
        <f t="shared" si="12"/>
        <v>28932</v>
      </c>
      <c r="M124" s="7">
        <f t="shared" si="13"/>
        <v>0</v>
      </c>
      <c r="N124" s="10">
        <f t="shared" si="14"/>
        <v>1</v>
      </c>
      <c r="O124" s="11">
        <f t="shared" si="15"/>
        <v>0.024367482372461</v>
      </c>
      <c r="P124" s="11"/>
      <c r="Q124" s="8">
        <f t="shared" si="16"/>
        <v>1410.00000000008</v>
      </c>
      <c r="R124" s="12">
        <f t="shared" si="17"/>
        <v>0</v>
      </c>
    </row>
    <row r="125" ht="14.25" spans="1:18">
      <c r="A125" s="15">
        <v>45959</v>
      </c>
      <c r="B125" s="3">
        <f>Data_Entry!P214</f>
        <v>2369.99999999989</v>
      </c>
      <c r="C125" s="3">
        <v>0</v>
      </c>
      <c r="D125" s="4">
        <f>Data_Entry!V214</f>
        <v>1.04</v>
      </c>
      <c r="E125" s="5">
        <f t="shared" si="9"/>
        <v>0.0409581086686004</v>
      </c>
      <c r="F125" s="6">
        <v>0</v>
      </c>
      <c r="G125" s="6">
        <v>0</v>
      </c>
      <c r="H125" s="7">
        <f t="shared" si="10"/>
        <v>0</v>
      </c>
      <c r="I125" s="7">
        <f t="shared" si="11"/>
        <v>0</v>
      </c>
      <c r="J125" s="8">
        <v>2411</v>
      </c>
      <c r="K125" s="9"/>
      <c r="L125" s="8">
        <f t="shared" si="12"/>
        <v>28932</v>
      </c>
      <c r="M125" s="7">
        <f t="shared" si="13"/>
        <v>0</v>
      </c>
      <c r="N125" s="10">
        <f t="shared" si="14"/>
        <v>1</v>
      </c>
      <c r="O125" s="11">
        <f t="shared" si="15"/>
        <v>0.0409581086686004</v>
      </c>
      <c r="P125" s="11"/>
      <c r="Q125" s="8">
        <f t="shared" si="16"/>
        <v>2369.99999999989</v>
      </c>
      <c r="R125" s="12">
        <f t="shared" si="17"/>
        <v>0</v>
      </c>
    </row>
    <row r="126" ht="14.25" spans="1:18">
      <c r="A126" s="15">
        <v>45960</v>
      </c>
      <c r="B126" s="3">
        <f>Data_Entry!P215</f>
        <v>2220.00000000003</v>
      </c>
      <c r="C126" s="3">
        <v>0</v>
      </c>
      <c r="D126" s="4">
        <f>Data_Entry!V215</f>
        <v>1.64</v>
      </c>
      <c r="E126" s="5">
        <f t="shared" si="9"/>
        <v>0.0383658233098304</v>
      </c>
      <c r="F126" s="6">
        <v>0</v>
      </c>
      <c r="G126" s="6">
        <v>0</v>
      </c>
      <c r="H126" s="7">
        <f t="shared" si="10"/>
        <v>0</v>
      </c>
      <c r="I126" s="7">
        <f t="shared" si="11"/>
        <v>0</v>
      </c>
      <c r="J126" s="8">
        <v>2411</v>
      </c>
      <c r="K126" s="9"/>
      <c r="L126" s="8">
        <f t="shared" si="12"/>
        <v>28932</v>
      </c>
      <c r="M126" s="7">
        <f t="shared" si="13"/>
        <v>0</v>
      </c>
      <c r="N126" s="10">
        <f t="shared" si="14"/>
        <v>1</v>
      </c>
      <c r="O126" s="11">
        <f t="shared" si="15"/>
        <v>0.0383658233098304</v>
      </c>
      <c r="P126" s="11"/>
      <c r="Q126" s="8">
        <f t="shared" si="16"/>
        <v>2220.00000000003</v>
      </c>
      <c r="R126" s="12">
        <f t="shared" si="17"/>
        <v>0</v>
      </c>
    </row>
    <row r="127" ht="14.25" spans="1:18">
      <c r="A127" s="15">
        <v>45961</v>
      </c>
      <c r="B127" s="3">
        <f>Data_Entry!P216</f>
        <v>2699.99999999993</v>
      </c>
      <c r="C127" s="3">
        <v>0</v>
      </c>
      <c r="D127" s="4">
        <f>Data_Entry!V216</f>
        <v>1.47</v>
      </c>
      <c r="E127" s="5">
        <f t="shared" si="9"/>
        <v>0.0466611364579001</v>
      </c>
      <c r="F127" s="6">
        <v>0</v>
      </c>
      <c r="G127" s="6">
        <v>0</v>
      </c>
      <c r="H127" s="7">
        <f t="shared" si="10"/>
        <v>0</v>
      </c>
      <c r="I127" s="7">
        <f t="shared" si="11"/>
        <v>0</v>
      </c>
      <c r="J127" s="8">
        <v>2411</v>
      </c>
      <c r="K127" s="9"/>
      <c r="L127" s="8">
        <f t="shared" si="12"/>
        <v>28932</v>
      </c>
      <c r="M127" s="7">
        <f t="shared" si="13"/>
        <v>0</v>
      </c>
      <c r="N127" s="10">
        <f t="shared" si="14"/>
        <v>1</v>
      </c>
      <c r="O127" s="11">
        <f t="shared" si="15"/>
        <v>0.0466611364579001</v>
      </c>
      <c r="P127" s="11"/>
      <c r="Q127" s="8">
        <f t="shared" si="16"/>
        <v>2699.99999999993</v>
      </c>
      <c r="R127" s="12">
        <f t="shared" si="17"/>
        <v>0</v>
      </c>
    </row>
    <row r="128" ht="14.25" spans="1:18">
      <c r="A128" s="15">
        <v>45962</v>
      </c>
      <c r="B128" s="3">
        <f>Data_Entry!P217</f>
        <v>5490.00000000012</v>
      </c>
      <c r="C128" s="3">
        <v>0</v>
      </c>
      <c r="D128" s="4">
        <f>Data_Entry!V217</f>
        <v>2.56</v>
      </c>
      <c r="E128" s="5">
        <f t="shared" si="9"/>
        <v>0.0948776441310681</v>
      </c>
      <c r="F128" s="6">
        <v>0</v>
      </c>
      <c r="G128" s="6">
        <v>0</v>
      </c>
      <c r="H128" s="7">
        <f t="shared" si="10"/>
        <v>0</v>
      </c>
      <c r="I128" s="7">
        <f t="shared" si="11"/>
        <v>0</v>
      </c>
      <c r="J128" s="8">
        <v>2411</v>
      </c>
      <c r="K128" s="9"/>
      <c r="L128" s="8">
        <f t="shared" si="12"/>
        <v>28932</v>
      </c>
      <c r="M128" s="7">
        <f t="shared" si="13"/>
        <v>0</v>
      </c>
      <c r="N128" s="10">
        <f t="shared" si="14"/>
        <v>1</v>
      </c>
      <c r="O128" s="11">
        <f t="shared" si="15"/>
        <v>0.0948776441310681</v>
      </c>
      <c r="P128" s="11"/>
      <c r="Q128" s="8">
        <f t="shared" si="16"/>
        <v>5490.00000000012</v>
      </c>
      <c r="R128" s="12">
        <f t="shared" si="17"/>
        <v>0</v>
      </c>
    </row>
    <row r="129" ht="14.25" spans="1:18">
      <c r="A129" s="15">
        <v>45963</v>
      </c>
      <c r="B129" s="3">
        <f>Data_Entry!P218</f>
        <v>10259.9999999999</v>
      </c>
      <c r="C129" s="3">
        <v>0</v>
      </c>
      <c r="D129" s="4">
        <f>Data_Entry!V218</f>
        <v>2.92</v>
      </c>
      <c r="E129" s="5">
        <f t="shared" si="9"/>
        <v>0.177312318540023</v>
      </c>
      <c r="F129" s="6">
        <v>0</v>
      </c>
      <c r="G129" s="6">
        <v>0</v>
      </c>
      <c r="H129" s="7">
        <f t="shared" si="10"/>
        <v>0</v>
      </c>
      <c r="I129" s="7">
        <f t="shared" si="11"/>
        <v>0</v>
      </c>
      <c r="J129" s="8">
        <v>2411</v>
      </c>
      <c r="K129" s="9"/>
      <c r="L129" s="8">
        <f t="shared" si="12"/>
        <v>28932</v>
      </c>
      <c r="M129" s="7">
        <f t="shared" si="13"/>
        <v>0</v>
      </c>
      <c r="N129" s="10">
        <f t="shared" si="14"/>
        <v>1</v>
      </c>
      <c r="O129" s="11">
        <f t="shared" si="15"/>
        <v>0.177312318540023</v>
      </c>
      <c r="P129" s="11"/>
      <c r="Q129" s="8">
        <f t="shared" si="16"/>
        <v>10259.9999999999</v>
      </c>
      <c r="R129" s="12">
        <f t="shared" si="17"/>
        <v>0</v>
      </c>
    </row>
    <row r="130" ht="14.25" spans="1:18">
      <c r="A130" s="15">
        <v>45964</v>
      </c>
      <c r="B130" s="3">
        <f>Data_Entry!P219</f>
        <v>11880.0000000001</v>
      </c>
      <c r="C130" s="3">
        <v>0</v>
      </c>
      <c r="D130" s="4">
        <f>Data_Entry!V219</f>
        <v>4.15</v>
      </c>
      <c r="E130" s="5">
        <f t="shared" si="9"/>
        <v>0.205309000414768</v>
      </c>
      <c r="F130" s="6">
        <v>0</v>
      </c>
      <c r="G130" s="6">
        <v>0</v>
      </c>
      <c r="H130" s="7">
        <f t="shared" si="10"/>
        <v>0</v>
      </c>
      <c r="I130" s="7">
        <f t="shared" si="11"/>
        <v>0</v>
      </c>
      <c r="J130" s="8">
        <v>2411</v>
      </c>
      <c r="K130" s="9"/>
      <c r="L130" s="8">
        <f t="shared" si="12"/>
        <v>28932</v>
      </c>
      <c r="M130" s="7">
        <f t="shared" si="13"/>
        <v>0</v>
      </c>
      <c r="N130" s="10">
        <f t="shared" si="14"/>
        <v>1</v>
      </c>
      <c r="O130" s="11">
        <f t="shared" si="15"/>
        <v>0.205309000414768</v>
      </c>
      <c r="P130" s="11"/>
      <c r="Q130" s="8">
        <f t="shared" si="16"/>
        <v>11880.0000000001</v>
      </c>
      <c r="R130" s="12">
        <f t="shared" si="17"/>
        <v>0</v>
      </c>
    </row>
    <row r="131" ht="14.25" spans="1:18">
      <c r="A131" s="15">
        <v>45965</v>
      </c>
      <c r="B131" s="3">
        <f>Data_Entry!P220</f>
        <v>12869.9999999999</v>
      </c>
      <c r="C131" s="3">
        <v>0</v>
      </c>
      <c r="D131" s="4">
        <f>Data_Entry!V220</f>
        <v>4</v>
      </c>
      <c r="E131" s="5">
        <f t="shared" si="9"/>
        <v>0.222418083782661</v>
      </c>
      <c r="F131" s="6">
        <v>0</v>
      </c>
      <c r="G131" s="6">
        <v>0</v>
      </c>
      <c r="H131" s="7">
        <f t="shared" si="10"/>
        <v>0</v>
      </c>
      <c r="I131" s="7">
        <f t="shared" si="11"/>
        <v>0</v>
      </c>
      <c r="J131" s="8">
        <v>2411</v>
      </c>
      <c r="K131" s="9"/>
      <c r="L131" s="8">
        <f t="shared" si="12"/>
        <v>28932</v>
      </c>
      <c r="M131" s="7">
        <f t="shared" si="13"/>
        <v>0</v>
      </c>
      <c r="N131" s="10">
        <f t="shared" si="14"/>
        <v>1</v>
      </c>
      <c r="O131" s="11">
        <f t="shared" si="15"/>
        <v>0.222418083782661</v>
      </c>
      <c r="P131" s="11"/>
      <c r="Q131" s="8">
        <f t="shared" si="16"/>
        <v>12869.9999999999</v>
      </c>
      <c r="R131" s="12">
        <f t="shared" si="17"/>
        <v>0</v>
      </c>
    </row>
    <row r="132" ht="14.25" spans="1:18">
      <c r="A132" s="15">
        <v>45966</v>
      </c>
      <c r="B132" s="3">
        <f>Data_Entry!P221</f>
        <v>12810.0000000003</v>
      </c>
      <c r="C132" s="3">
        <v>0</v>
      </c>
      <c r="D132" s="4">
        <f>Data_Entry!V221</f>
        <v>4.39</v>
      </c>
      <c r="E132" s="5">
        <f t="shared" si="9"/>
        <v>0.221381169639159</v>
      </c>
      <c r="F132" s="6">
        <v>0</v>
      </c>
      <c r="G132" s="6">
        <v>0</v>
      </c>
      <c r="H132" s="7">
        <f t="shared" si="10"/>
        <v>0</v>
      </c>
      <c r="I132" s="7">
        <f t="shared" si="11"/>
        <v>0</v>
      </c>
      <c r="J132" s="8">
        <v>2411</v>
      </c>
      <c r="K132" s="9"/>
      <c r="L132" s="8">
        <f t="shared" si="12"/>
        <v>28932</v>
      </c>
      <c r="M132" s="7">
        <f t="shared" si="13"/>
        <v>0</v>
      </c>
      <c r="N132" s="10">
        <f t="shared" si="14"/>
        <v>1</v>
      </c>
      <c r="O132" s="11">
        <f t="shared" si="15"/>
        <v>0.221381169639159</v>
      </c>
      <c r="P132" s="11"/>
      <c r="Q132" s="8">
        <f t="shared" si="16"/>
        <v>12810.0000000003</v>
      </c>
      <c r="R132" s="12">
        <f t="shared" si="17"/>
        <v>0</v>
      </c>
    </row>
    <row r="133" ht="14.25" spans="1:18">
      <c r="A133" s="15">
        <v>45967</v>
      </c>
      <c r="B133" s="3">
        <f>Data_Entry!P222</f>
        <v>12689.9999999997</v>
      </c>
      <c r="C133" s="3">
        <v>0</v>
      </c>
      <c r="D133" s="4">
        <f>Data_Entry!V222</f>
        <v>4.39</v>
      </c>
      <c r="E133" s="5">
        <f t="shared" ref="E133:E196" si="18">B133/(24*J133)</f>
        <v>0.219307341352131</v>
      </c>
      <c r="F133" s="6">
        <v>0</v>
      </c>
      <c r="G133" s="6">
        <v>0</v>
      </c>
      <c r="H133" s="7">
        <f t="shared" ref="H133:H196" si="19">(G133-F133)*24*60</f>
        <v>0</v>
      </c>
      <c r="I133" s="7">
        <f t="shared" ref="I133:I196" si="20">H133/60</f>
        <v>0</v>
      </c>
      <c r="J133" s="8">
        <v>2411</v>
      </c>
      <c r="K133" s="9"/>
      <c r="L133" s="8">
        <f t="shared" ref="L133:L196" si="21">J133*12</f>
        <v>28932</v>
      </c>
      <c r="M133" s="7">
        <f t="shared" ref="M133:M196" si="22">K133*I133</f>
        <v>0</v>
      </c>
      <c r="N133" s="10">
        <f t="shared" ref="N133:N196" si="23">(L133-M133)/L133</f>
        <v>1</v>
      </c>
      <c r="O133" s="11">
        <f t="shared" ref="O133:O196" si="24">E133/N133</f>
        <v>0.219307341352131</v>
      </c>
      <c r="P133" s="11"/>
      <c r="Q133" s="8">
        <f t="shared" ref="Q133:Q196" si="25">O133*J133*24</f>
        <v>12689.9999999997</v>
      </c>
      <c r="R133" s="12">
        <f t="shared" ref="R133:R196" si="26">Q133-B133</f>
        <v>0</v>
      </c>
    </row>
    <row r="134" ht="14.25" spans="1:18">
      <c r="A134" s="15">
        <v>45968</v>
      </c>
      <c r="B134" s="3">
        <f>Data_Entry!P223</f>
        <v>12090.0000000003</v>
      </c>
      <c r="C134" s="3">
        <v>0</v>
      </c>
      <c r="D134" s="4">
        <f>Data_Entry!V223</f>
        <v>4.17</v>
      </c>
      <c r="E134" s="5">
        <f t="shared" si="18"/>
        <v>0.208938199917051</v>
      </c>
      <c r="F134" s="6">
        <v>0</v>
      </c>
      <c r="G134" s="6">
        <v>0</v>
      </c>
      <c r="H134" s="7">
        <f t="shared" si="19"/>
        <v>0</v>
      </c>
      <c r="I134" s="7">
        <f t="shared" si="20"/>
        <v>0</v>
      </c>
      <c r="J134" s="8">
        <v>2411</v>
      </c>
      <c r="K134" s="9"/>
      <c r="L134" s="8">
        <f t="shared" si="21"/>
        <v>28932</v>
      </c>
      <c r="M134" s="7">
        <f t="shared" si="22"/>
        <v>0</v>
      </c>
      <c r="N134" s="10">
        <f t="shared" si="23"/>
        <v>1</v>
      </c>
      <c r="O134" s="11">
        <f t="shared" si="24"/>
        <v>0.208938199917051</v>
      </c>
      <c r="P134" s="11"/>
      <c r="Q134" s="8">
        <f t="shared" si="25"/>
        <v>12090.0000000003</v>
      </c>
      <c r="R134" s="12">
        <f t="shared" si="26"/>
        <v>0</v>
      </c>
    </row>
    <row r="135" ht="14.25" spans="1:18">
      <c r="A135" s="15">
        <v>45969</v>
      </c>
      <c r="B135" s="3">
        <f>Data_Entry!P224</f>
        <v>12360</v>
      </c>
      <c r="C135" s="3">
        <v>0</v>
      </c>
      <c r="D135" s="4">
        <f>Data_Entry!V224</f>
        <v>4.47</v>
      </c>
      <c r="E135" s="5">
        <f t="shared" si="18"/>
        <v>0.213604313562837</v>
      </c>
      <c r="F135" s="6">
        <v>0</v>
      </c>
      <c r="G135" s="6">
        <v>0</v>
      </c>
      <c r="H135" s="7">
        <f t="shared" si="19"/>
        <v>0</v>
      </c>
      <c r="I135" s="7">
        <f t="shared" si="20"/>
        <v>0</v>
      </c>
      <c r="J135" s="8">
        <v>2411</v>
      </c>
      <c r="K135" s="9"/>
      <c r="L135" s="8">
        <f t="shared" si="21"/>
        <v>28932</v>
      </c>
      <c r="M135" s="7">
        <f t="shared" si="22"/>
        <v>0</v>
      </c>
      <c r="N135" s="10">
        <f t="shared" si="23"/>
        <v>1</v>
      </c>
      <c r="O135" s="11">
        <f t="shared" si="24"/>
        <v>0.213604313562837</v>
      </c>
      <c r="P135" s="11"/>
      <c r="Q135" s="8">
        <f t="shared" si="25"/>
        <v>12360</v>
      </c>
      <c r="R135" s="12">
        <f t="shared" si="26"/>
        <v>0</v>
      </c>
    </row>
    <row r="136" ht="14.25" spans="1:18">
      <c r="A136" s="15">
        <v>45970</v>
      </c>
      <c r="B136" s="3">
        <f>Data_Entry!P225</f>
        <v>12599.9999999998</v>
      </c>
      <c r="C136" s="3">
        <v>0</v>
      </c>
      <c r="D136" s="4">
        <f>Data_Entry!V225</f>
        <v>4.46</v>
      </c>
      <c r="E136" s="5">
        <f t="shared" si="18"/>
        <v>0.217751970136869</v>
      </c>
      <c r="F136" s="6">
        <v>0</v>
      </c>
      <c r="G136" s="6">
        <v>0</v>
      </c>
      <c r="H136" s="7">
        <f t="shared" si="19"/>
        <v>0</v>
      </c>
      <c r="I136" s="7">
        <f t="shared" si="20"/>
        <v>0</v>
      </c>
      <c r="J136" s="8">
        <v>2411</v>
      </c>
      <c r="K136" s="9"/>
      <c r="L136" s="8">
        <f t="shared" si="21"/>
        <v>28932</v>
      </c>
      <c r="M136" s="7">
        <f t="shared" si="22"/>
        <v>0</v>
      </c>
      <c r="N136" s="10">
        <f t="shared" si="23"/>
        <v>1</v>
      </c>
      <c r="O136" s="11">
        <f t="shared" si="24"/>
        <v>0.217751970136869</v>
      </c>
      <c r="P136" s="11"/>
      <c r="Q136" s="8">
        <f t="shared" si="25"/>
        <v>12599.9999999998</v>
      </c>
      <c r="R136" s="12">
        <f t="shared" si="26"/>
        <v>0</v>
      </c>
    </row>
    <row r="137" ht="14.25" spans="1:18">
      <c r="A137" s="15">
        <v>45971</v>
      </c>
      <c r="B137" s="3">
        <f>Data_Entry!P226</f>
        <v>12180.0000000002</v>
      </c>
      <c r="C137" s="3">
        <v>0</v>
      </c>
      <c r="D137" s="4">
        <f>Data_Entry!V226</f>
        <v>4.42</v>
      </c>
      <c r="E137" s="5">
        <f t="shared" si="18"/>
        <v>0.210493571132313</v>
      </c>
      <c r="F137" s="6">
        <v>0</v>
      </c>
      <c r="G137" s="6">
        <v>0</v>
      </c>
      <c r="H137" s="7">
        <f t="shared" si="19"/>
        <v>0</v>
      </c>
      <c r="I137" s="7">
        <f t="shared" si="20"/>
        <v>0</v>
      </c>
      <c r="J137" s="8">
        <v>2411</v>
      </c>
      <c r="K137" s="9"/>
      <c r="L137" s="8">
        <f t="shared" si="21"/>
        <v>28932</v>
      </c>
      <c r="M137" s="7">
        <f t="shared" si="22"/>
        <v>0</v>
      </c>
      <c r="N137" s="10">
        <f t="shared" si="23"/>
        <v>1</v>
      </c>
      <c r="O137" s="11">
        <f t="shared" si="24"/>
        <v>0.210493571132313</v>
      </c>
      <c r="P137" s="11"/>
      <c r="Q137" s="8">
        <f t="shared" si="25"/>
        <v>12180.0000000002</v>
      </c>
      <c r="R137" s="12">
        <f t="shared" si="26"/>
        <v>0</v>
      </c>
    </row>
    <row r="138" ht="14.25" spans="1:18">
      <c r="A138" s="15">
        <v>45972</v>
      </c>
      <c r="B138" s="3">
        <f>Data_Entry!P227</f>
        <v>12209.9999999998</v>
      </c>
      <c r="C138" s="3">
        <v>0</v>
      </c>
      <c r="D138" s="4">
        <f>Data_Entry!V227</f>
        <v>4.34</v>
      </c>
      <c r="E138" s="5">
        <f t="shared" si="18"/>
        <v>0.211012028204061</v>
      </c>
      <c r="F138" s="6">
        <v>0</v>
      </c>
      <c r="G138" s="6">
        <v>0</v>
      </c>
      <c r="H138" s="7">
        <f t="shared" si="19"/>
        <v>0</v>
      </c>
      <c r="I138" s="7">
        <f t="shared" si="20"/>
        <v>0</v>
      </c>
      <c r="J138" s="8">
        <v>2411</v>
      </c>
      <c r="K138" s="9"/>
      <c r="L138" s="8">
        <f t="shared" si="21"/>
        <v>28932</v>
      </c>
      <c r="M138" s="7">
        <f t="shared" si="22"/>
        <v>0</v>
      </c>
      <c r="N138" s="10">
        <f t="shared" si="23"/>
        <v>1</v>
      </c>
      <c r="O138" s="11">
        <f t="shared" si="24"/>
        <v>0.211012028204061</v>
      </c>
      <c r="P138" s="11"/>
      <c r="Q138" s="8">
        <f t="shared" si="25"/>
        <v>12209.9999999998</v>
      </c>
      <c r="R138" s="12">
        <f t="shared" si="26"/>
        <v>0</v>
      </c>
    </row>
    <row r="139" ht="14.25" spans="1:18">
      <c r="A139" s="15">
        <v>45973</v>
      </c>
      <c r="B139" s="3">
        <f>Data_Entry!P228</f>
        <v>12030</v>
      </c>
      <c r="C139" s="3">
        <v>0</v>
      </c>
      <c r="D139" s="4">
        <f>Data_Entry!V228</f>
        <v>4.29</v>
      </c>
      <c r="E139" s="5">
        <f t="shared" si="18"/>
        <v>0.207901285773537</v>
      </c>
      <c r="F139" s="6">
        <v>0</v>
      </c>
      <c r="G139" s="6">
        <v>0</v>
      </c>
      <c r="H139" s="7">
        <f t="shared" si="19"/>
        <v>0</v>
      </c>
      <c r="I139" s="7">
        <f t="shared" si="20"/>
        <v>0</v>
      </c>
      <c r="J139" s="8">
        <v>2411</v>
      </c>
      <c r="K139" s="9"/>
      <c r="L139" s="8">
        <f t="shared" si="21"/>
        <v>28932</v>
      </c>
      <c r="M139" s="7">
        <f t="shared" si="22"/>
        <v>0</v>
      </c>
      <c r="N139" s="10">
        <f t="shared" si="23"/>
        <v>1</v>
      </c>
      <c r="O139" s="11">
        <f t="shared" si="24"/>
        <v>0.207901285773537</v>
      </c>
      <c r="P139" s="11"/>
      <c r="Q139" s="8">
        <f t="shared" si="25"/>
        <v>12030</v>
      </c>
      <c r="R139" s="12">
        <f t="shared" si="26"/>
        <v>0</v>
      </c>
    </row>
    <row r="140" ht="14.25" spans="1:18">
      <c r="A140" s="15">
        <v>45974</v>
      </c>
      <c r="B140" s="3">
        <f>Data_Entry!P229</f>
        <v>11940.0000000001</v>
      </c>
      <c r="C140" s="3">
        <v>0</v>
      </c>
      <c r="D140" s="4">
        <f>Data_Entry!V229</f>
        <v>4.25</v>
      </c>
      <c r="E140" s="5">
        <f t="shared" si="18"/>
        <v>0.206345914558276</v>
      </c>
      <c r="F140" s="6">
        <v>0</v>
      </c>
      <c r="G140" s="6">
        <v>0</v>
      </c>
      <c r="H140" s="7">
        <f t="shared" si="19"/>
        <v>0</v>
      </c>
      <c r="I140" s="7">
        <f t="shared" si="20"/>
        <v>0</v>
      </c>
      <c r="J140" s="8">
        <v>2411</v>
      </c>
      <c r="K140" s="9"/>
      <c r="L140" s="8">
        <f t="shared" si="21"/>
        <v>28932</v>
      </c>
      <c r="M140" s="7">
        <f t="shared" si="22"/>
        <v>0</v>
      </c>
      <c r="N140" s="10">
        <f t="shared" si="23"/>
        <v>1</v>
      </c>
      <c r="O140" s="11">
        <f t="shared" si="24"/>
        <v>0.206345914558276</v>
      </c>
      <c r="P140" s="11"/>
      <c r="Q140" s="8">
        <f t="shared" si="25"/>
        <v>11940.0000000001</v>
      </c>
      <c r="R140" s="12">
        <f t="shared" si="26"/>
        <v>0</v>
      </c>
    </row>
    <row r="141" ht="14.25" spans="1:18">
      <c r="A141" s="15">
        <v>45975</v>
      </c>
      <c r="B141" s="3">
        <f>Data_Entry!P230</f>
        <v>11729.9999999999</v>
      </c>
      <c r="C141" s="3">
        <v>0</v>
      </c>
      <c r="D141" s="4">
        <f>Data_Entry!V230</f>
        <v>4.27</v>
      </c>
      <c r="E141" s="5">
        <f t="shared" si="18"/>
        <v>0.202716715055992</v>
      </c>
      <c r="F141" s="6">
        <v>0</v>
      </c>
      <c r="G141" s="6">
        <v>0</v>
      </c>
      <c r="H141" s="7">
        <f t="shared" si="19"/>
        <v>0</v>
      </c>
      <c r="I141" s="7">
        <f t="shared" si="20"/>
        <v>0</v>
      </c>
      <c r="J141" s="8">
        <v>2411</v>
      </c>
      <c r="K141" s="9"/>
      <c r="L141" s="8">
        <f t="shared" si="21"/>
        <v>28932</v>
      </c>
      <c r="M141" s="7">
        <f t="shared" si="22"/>
        <v>0</v>
      </c>
      <c r="N141" s="10">
        <f t="shared" si="23"/>
        <v>1</v>
      </c>
      <c r="O141" s="11">
        <f t="shared" si="24"/>
        <v>0.202716715055992</v>
      </c>
      <c r="P141" s="11"/>
      <c r="Q141" s="8">
        <f t="shared" si="25"/>
        <v>11729.9999999999</v>
      </c>
      <c r="R141" s="12">
        <f t="shared" si="26"/>
        <v>0</v>
      </c>
    </row>
    <row r="142" ht="14.25" spans="1:18">
      <c r="A142" s="15">
        <v>45976</v>
      </c>
      <c r="B142" s="3">
        <f>Data_Entry!P231</f>
        <v>11490.0000000001</v>
      </c>
      <c r="C142" s="3">
        <v>0</v>
      </c>
      <c r="D142" s="4">
        <f>Data_Entry!V231</f>
        <v>4.17</v>
      </c>
      <c r="E142" s="5">
        <f t="shared" si="18"/>
        <v>0.19856905848196</v>
      </c>
      <c r="F142" s="6">
        <v>0</v>
      </c>
      <c r="G142" s="6">
        <v>0</v>
      </c>
      <c r="H142" s="7">
        <f t="shared" si="19"/>
        <v>0</v>
      </c>
      <c r="I142" s="7">
        <f t="shared" si="20"/>
        <v>0</v>
      </c>
      <c r="J142" s="8">
        <v>2411</v>
      </c>
      <c r="K142" s="9"/>
      <c r="L142" s="8">
        <f t="shared" si="21"/>
        <v>28932</v>
      </c>
      <c r="M142" s="7">
        <f t="shared" si="22"/>
        <v>0</v>
      </c>
      <c r="N142" s="10">
        <f t="shared" si="23"/>
        <v>1</v>
      </c>
      <c r="O142" s="11">
        <f t="shared" si="24"/>
        <v>0.19856905848196</v>
      </c>
      <c r="P142" s="11"/>
      <c r="Q142" s="8">
        <f t="shared" si="25"/>
        <v>11490.0000000001</v>
      </c>
      <c r="R142" s="12">
        <f t="shared" si="26"/>
        <v>0</v>
      </c>
    </row>
    <row r="143" ht="14.25" spans="1:18">
      <c r="A143" s="15">
        <v>45977</v>
      </c>
      <c r="B143" s="3">
        <f>Data_Entry!P232</f>
        <v>11160.0000000001</v>
      </c>
      <c r="C143" s="3">
        <v>0</v>
      </c>
      <c r="D143" s="4">
        <f>Data_Entry!V232</f>
        <v>4.01</v>
      </c>
      <c r="E143" s="5">
        <f t="shared" si="18"/>
        <v>0.19286603069266</v>
      </c>
      <c r="F143" s="6">
        <v>0</v>
      </c>
      <c r="G143" s="6">
        <v>0</v>
      </c>
      <c r="H143" s="7">
        <f t="shared" si="19"/>
        <v>0</v>
      </c>
      <c r="I143" s="7">
        <f t="shared" si="20"/>
        <v>0</v>
      </c>
      <c r="J143" s="8">
        <v>2411</v>
      </c>
      <c r="K143" s="9"/>
      <c r="L143" s="8">
        <f t="shared" si="21"/>
        <v>28932</v>
      </c>
      <c r="M143" s="7">
        <f t="shared" si="22"/>
        <v>0</v>
      </c>
      <c r="N143" s="10">
        <f t="shared" si="23"/>
        <v>1</v>
      </c>
      <c r="O143" s="11">
        <f t="shared" si="24"/>
        <v>0.19286603069266</v>
      </c>
      <c r="P143" s="11"/>
      <c r="Q143" s="8">
        <f t="shared" si="25"/>
        <v>11160.0000000001</v>
      </c>
      <c r="R143" s="12">
        <f t="shared" si="26"/>
        <v>0</v>
      </c>
    </row>
    <row r="144" ht="14.25" spans="1:18">
      <c r="A144" s="15">
        <v>45978</v>
      </c>
      <c r="B144" s="3">
        <f>Data_Entry!P233</f>
        <v>11880.0000000001</v>
      </c>
      <c r="C144" s="3">
        <v>0</v>
      </c>
      <c r="D144" s="4">
        <f>Data_Entry!V233</f>
        <v>4.21</v>
      </c>
      <c r="E144" s="5">
        <f t="shared" si="18"/>
        <v>0.205309000414768</v>
      </c>
      <c r="F144" s="6">
        <v>0</v>
      </c>
      <c r="G144" s="6">
        <v>0</v>
      </c>
      <c r="H144" s="7">
        <f t="shared" si="19"/>
        <v>0</v>
      </c>
      <c r="I144" s="7">
        <f t="shared" si="20"/>
        <v>0</v>
      </c>
      <c r="J144" s="8">
        <v>2411</v>
      </c>
      <c r="K144" s="9"/>
      <c r="L144" s="8">
        <f t="shared" si="21"/>
        <v>28932</v>
      </c>
      <c r="M144" s="7">
        <f t="shared" si="22"/>
        <v>0</v>
      </c>
      <c r="N144" s="10">
        <f t="shared" si="23"/>
        <v>1</v>
      </c>
      <c r="O144" s="11">
        <f t="shared" si="24"/>
        <v>0.205309000414768</v>
      </c>
      <c r="P144" s="11"/>
      <c r="Q144" s="8">
        <f t="shared" si="25"/>
        <v>11880.0000000001</v>
      </c>
      <c r="R144" s="12">
        <f t="shared" si="26"/>
        <v>0</v>
      </c>
    </row>
    <row r="145" ht="14.25" spans="1:18">
      <c r="A145" s="15">
        <v>45979</v>
      </c>
      <c r="B145" s="3">
        <f>Data_Entry!P234</f>
        <v>11939.9999999997</v>
      </c>
      <c r="C145" s="3">
        <v>0</v>
      </c>
      <c r="D145" s="4">
        <f>Data_Entry!V234</f>
        <v>4.22</v>
      </c>
      <c r="E145" s="5">
        <f t="shared" si="18"/>
        <v>0.20634591455827</v>
      </c>
      <c r="F145" s="6">
        <v>0</v>
      </c>
      <c r="G145" s="6">
        <v>0</v>
      </c>
      <c r="H145" s="7">
        <f t="shared" si="19"/>
        <v>0</v>
      </c>
      <c r="I145" s="7">
        <f t="shared" si="20"/>
        <v>0</v>
      </c>
      <c r="J145" s="8">
        <v>2411</v>
      </c>
      <c r="K145" s="9"/>
      <c r="L145" s="8">
        <f t="shared" si="21"/>
        <v>28932</v>
      </c>
      <c r="M145" s="7">
        <f t="shared" si="22"/>
        <v>0</v>
      </c>
      <c r="N145" s="10">
        <f t="shared" si="23"/>
        <v>1</v>
      </c>
      <c r="O145" s="11">
        <f t="shared" si="24"/>
        <v>0.20634591455827</v>
      </c>
      <c r="P145" s="11"/>
      <c r="Q145" s="8">
        <f t="shared" si="25"/>
        <v>11939.9999999997</v>
      </c>
      <c r="R145" s="12">
        <f t="shared" si="26"/>
        <v>0</v>
      </c>
    </row>
    <row r="146" ht="14.25" spans="1:18">
      <c r="A146" s="15">
        <v>45980</v>
      </c>
      <c r="B146" s="3">
        <f>Data_Entry!P235</f>
        <v>11160.0000000001</v>
      </c>
      <c r="C146" s="3">
        <v>0</v>
      </c>
      <c r="D146" s="4">
        <f>Data_Entry!V235</f>
        <v>3.96</v>
      </c>
      <c r="E146" s="5">
        <f t="shared" si="18"/>
        <v>0.19286603069266</v>
      </c>
      <c r="F146" s="6">
        <v>0</v>
      </c>
      <c r="G146" s="6">
        <v>0</v>
      </c>
      <c r="H146" s="7">
        <f t="shared" si="19"/>
        <v>0</v>
      </c>
      <c r="I146" s="7">
        <f t="shared" si="20"/>
        <v>0</v>
      </c>
      <c r="J146" s="8">
        <v>2411</v>
      </c>
      <c r="K146" s="9"/>
      <c r="L146" s="8">
        <f t="shared" si="21"/>
        <v>28932</v>
      </c>
      <c r="M146" s="7">
        <f t="shared" si="22"/>
        <v>0</v>
      </c>
      <c r="N146" s="10">
        <f t="shared" si="23"/>
        <v>1</v>
      </c>
      <c r="O146" s="11">
        <f t="shared" si="24"/>
        <v>0.19286603069266</v>
      </c>
      <c r="P146" s="11"/>
      <c r="Q146" s="8">
        <f t="shared" si="25"/>
        <v>11160.0000000001</v>
      </c>
      <c r="R146" s="12">
        <f t="shared" si="26"/>
        <v>0</v>
      </c>
    </row>
    <row r="147" ht="14.25" spans="1:18">
      <c r="A147" s="15">
        <v>45981</v>
      </c>
      <c r="B147" s="3">
        <f>Data_Entry!P236</f>
        <v>11160.0000000001</v>
      </c>
      <c r="C147" s="3">
        <v>0</v>
      </c>
      <c r="D147" s="4">
        <f>Data_Entry!V236</f>
        <v>3.97</v>
      </c>
      <c r="E147" s="5">
        <f t="shared" si="18"/>
        <v>0.19286603069266</v>
      </c>
      <c r="F147" s="6">
        <v>0</v>
      </c>
      <c r="G147" s="6">
        <v>0</v>
      </c>
      <c r="H147" s="7">
        <f t="shared" si="19"/>
        <v>0</v>
      </c>
      <c r="I147" s="7">
        <f t="shared" si="20"/>
        <v>0</v>
      </c>
      <c r="J147" s="8">
        <v>2411</v>
      </c>
      <c r="K147" s="9"/>
      <c r="L147" s="8">
        <f t="shared" si="21"/>
        <v>28932</v>
      </c>
      <c r="M147" s="7">
        <f t="shared" si="22"/>
        <v>0</v>
      </c>
      <c r="N147" s="10">
        <f t="shared" si="23"/>
        <v>1</v>
      </c>
      <c r="O147" s="11">
        <f t="shared" si="24"/>
        <v>0.19286603069266</v>
      </c>
      <c r="P147" s="11"/>
      <c r="Q147" s="8">
        <f t="shared" si="25"/>
        <v>11160.0000000001</v>
      </c>
      <c r="R147" s="12">
        <f t="shared" si="26"/>
        <v>0</v>
      </c>
    </row>
    <row r="148" ht="14.25" spans="1:18">
      <c r="A148" s="15">
        <v>45982</v>
      </c>
      <c r="B148" s="3">
        <f>Data_Entry!P237</f>
        <v>10110</v>
      </c>
      <c r="C148" s="3">
        <v>7</v>
      </c>
      <c r="D148" s="4">
        <f>Data_Entry!V237</f>
        <v>3.66</v>
      </c>
      <c r="E148" s="5">
        <f t="shared" si="18"/>
        <v>0.174720033181253</v>
      </c>
      <c r="F148" s="6">
        <v>0.666666666666667</v>
      </c>
      <c r="G148" s="6">
        <v>0.715277777777778</v>
      </c>
      <c r="H148" s="7">
        <f t="shared" si="19"/>
        <v>70.0000000000001</v>
      </c>
      <c r="I148" s="7">
        <f t="shared" si="20"/>
        <v>1.16666666666667</v>
      </c>
      <c r="J148" s="8">
        <v>2411</v>
      </c>
      <c r="K148" s="9">
        <v>2411</v>
      </c>
      <c r="L148" s="8">
        <f t="shared" si="21"/>
        <v>28932</v>
      </c>
      <c r="M148" s="7">
        <f t="shared" si="22"/>
        <v>2812.83333333334</v>
      </c>
      <c r="N148" s="10">
        <f t="shared" si="23"/>
        <v>0.902777777777778</v>
      </c>
      <c r="O148" s="11">
        <f t="shared" si="24"/>
        <v>0.193536036754619</v>
      </c>
      <c r="P148" s="11"/>
      <c r="Q148" s="8">
        <f t="shared" si="25"/>
        <v>11198.7692307692</v>
      </c>
      <c r="R148" s="12">
        <f t="shared" si="26"/>
        <v>1088.76923076923</v>
      </c>
    </row>
    <row r="149" ht="14.25" spans="1:18">
      <c r="A149" s="15">
        <v>45983</v>
      </c>
      <c r="B149" s="3">
        <f>Data_Entry!P238</f>
        <v>11099.9999999998</v>
      </c>
      <c r="C149" s="3">
        <v>0</v>
      </c>
      <c r="D149" s="4">
        <f>Data_Entry!V238</f>
        <v>3.92</v>
      </c>
      <c r="E149" s="5">
        <f t="shared" si="18"/>
        <v>0.191829116549146</v>
      </c>
      <c r="F149" s="6">
        <v>0</v>
      </c>
      <c r="G149" s="6">
        <v>0</v>
      </c>
      <c r="H149" s="7">
        <f t="shared" si="19"/>
        <v>0</v>
      </c>
      <c r="I149" s="7">
        <f t="shared" si="20"/>
        <v>0</v>
      </c>
      <c r="J149" s="8">
        <v>2411</v>
      </c>
      <c r="K149" s="9"/>
      <c r="L149" s="8">
        <f t="shared" si="21"/>
        <v>28932</v>
      </c>
      <c r="M149" s="7">
        <f t="shared" si="22"/>
        <v>0</v>
      </c>
      <c r="N149" s="10">
        <f t="shared" si="23"/>
        <v>1</v>
      </c>
      <c r="O149" s="11">
        <f t="shared" si="24"/>
        <v>0.191829116549146</v>
      </c>
      <c r="P149" s="11"/>
      <c r="Q149" s="8">
        <f t="shared" si="25"/>
        <v>11099.9999999998</v>
      </c>
      <c r="R149" s="12">
        <f t="shared" si="26"/>
        <v>0</v>
      </c>
    </row>
    <row r="150" ht="14.25" spans="1:18">
      <c r="A150" s="15">
        <v>45984</v>
      </c>
      <c r="B150" s="3">
        <f>Data_Entry!P239</f>
        <v>11370.0000000002</v>
      </c>
      <c r="C150" s="3">
        <v>0</v>
      </c>
      <c r="D150" s="4">
        <f>Data_Entry!V239</f>
        <v>4.02</v>
      </c>
      <c r="E150" s="5">
        <f t="shared" si="18"/>
        <v>0.196495230194944</v>
      </c>
      <c r="F150" s="6">
        <v>0</v>
      </c>
      <c r="G150" s="6">
        <v>0</v>
      </c>
      <c r="H150" s="7">
        <f t="shared" si="19"/>
        <v>0</v>
      </c>
      <c r="I150" s="7">
        <f t="shared" si="20"/>
        <v>0</v>
      </c>
      <c r="J150" s="8">
        <v>2411</v>
      </c>
      <c r="K150" s="9"/>
      <c r="L150" s="8">
        <f t="shared" si="21"/>
        <v>28932</v>
      </c>
      <c r="M150" s="7">
        <f t="shared" si="22"/>
        <v>0</v>
      </c>
      <c r="N150" s="10">
        <f t="shared" si="23"/>
        <v>1</v>
      </c>
      <c r="O150" s="11">
        <f t="shared" si="24"/>
        <v>0.196495230194944</v>
      </c>
      <c r="P150" s="11"/>
      <c r="Q150" s="8">
        <f t="shared" si="25"/>
        <v>11370.0000000002</v>
      </c>
      <c r="R150" s="12">
        <f t="shared" si="26"/>
        <v>0</v>
      </c>
    </row>
    <row r="151" ht="14.25" spans="1:18">
      <c r="A151" s="15">
        <v>45985</v>
      </c>
      <c r="B151" s="3">
        <f>Data_Entry!P240</f>
        <v>12000</v>
      </c>
      <c r="C151" s="3">
        <v>0</v>
      </c>
      <c r="D151" s="4">
        <f>Data_Entry!V240</f>
        <v>4.11</v>
      </c>
      <c r="E151" s="5">
        <f t="shared" si="18"/>
        <v>0.207382828701783</v>
      </c>
      <c r="F151" s="6">
        <v>0</v>
      </c>
      <c r="G151" s="6">
        <v>0</v>
      </c>
      <c r="H151" s="7">
        <f t="shared" si="19"/>
        <v>0</v>
      </c>
      <c r="I151" s="7">
        <f t="shared" si="20"/>
        <v>0</v>
      </c>
      <c r="J151" s="8">
        <v>2411</v>
      </c>
      <c r="K151" s="9"/>
      <c r="L151" s="8">
        <f t="shared" si="21"/>
        <v>28932</v>
      </c>
      <c r="M151" s="7">
        <f t="shared" si="22"/>
        <v>0</v>
      </c>
      <c r="N151" s="10">
        <f t="shared" si="23"/>
        <v>1</v>
      </c>
      <c r="O151" s="11">
        <f t="shared" si="24"/>
        <v>0.207382828701783</v>
      </c>
      <c r="P151" s="11"/>
      <c r="Q151" s="8">
        <f t="shared" si="25"/>
        <v>12000</v>
      </c>
      <c r="R151" s="12">
        <f t="shared" si="26"/>
        <v>0</v>
      </c>
    </row>
    <row r="152" ht="14.25" spans="1:18">
      <c r="A152" s="15">
        <v>45986</v>
      </c>
      <c r="B152" s="3">
        <f>Data_Entry!P241</f>
        <v>10739.9999999998</v>
      </c>
      <c r="C152" s="3">
        <v>0</v>
      </c>
      <c r="D152" s="4">
        <f>Data_Entry!V241</f>
        <v>3.9</v>
      </c>
      <c r="E152" s="5">
        <f t="shared" si="18"/>
        <v>0.185607631688092</v>
      </c>
      <c r="F152" s="6">
        <v>0</v>
      </c>
      <c r="G152" s="6">
        <v>0</v>
      </c>
      <c r="H152" s="7">
        <f t="shared" si="19"/>
        <v>0</v>
      </c>
      <c r="I152" s="7">
        <f t="shared" si="20"/>
        <v>0</v>
      </c>
      <c r="J152" s="8">
        <v>2411</v>
      </c>
      <c r="K152" s="9"/>
      <c r="L152" s="8">
        <f t="shared" si="21"/>
        <v>28932</v>
      </c>
      <c r="M152" s="7">
        <f t="shared" si="22"/>
        <v>0</v>
      </c>
      <c r="N152" s="10">
        <f t="shared" si="23"/>
        <v>1</v>
      </c>
      <c r="O152" s="11">
        <f t="shared" si="24"/>
        <v>0.185607631688092</v>
      </c>
      <c r="P152" s="11"/>
      <c r="Q152" s="8">
        <f t="shared" si="25"/>
        <v>10739.9999999998</v>
      </c>
      <c r="R152" s="12">
        <f t="shared" si="26"/>
        <v>0</v>
      </c>
    </row>
    <row r="153" ht="14.25" spans="1:18">
      <c r="A153" s="15">
        <v>45987</v>
      </c>
      <c r="B153" s="3">
        <f>Data_Entry!P242</f>
        <v>10050.0000000001</v>
      </c>
      <c r="C153" s="3">
        <v>0</v>
      </c>
      <c r="D153" s="4">
        <f>Data_Entry!V242</f>
        <v>3.7</v>
      </c>
      <c r="E153" s="5">
        <f t="shared" si="18"/>
        <v>0.173683119037745</v>
      </c>
      <c r="F153" s="6">
        <v>0</v>
      </c>
      <c r="G153" s="6">
        <v>0</v>
      </c>
      <c r="H153" s="7">
        <f t="shared" si="19"/>
        <v>0</v>
      </c>
      <c r="I153" s="7">
        <f t="shared" si="20"/>
        <v>0</v>
      </c>
      <c r="J153" s="8">
        <v>2411</v>
      </c>
      <c r="K153" s="9"/>
      <c r="L153" s="8">
        <f t="shared" si="21"/>
        <v>28932</v>
      </c>
      <c r="M153" s="7">
        <f t="shared" si="22"/>
        <v>0</v>
      </c>
      <c r="N153" s="10">
        <f t="shared" si="23"/>
        <v>1</v>
      </c>
      <c r="O153" s="11">
        <f t="shared" si="24"/>
        <v>0.173683119037745</v>
      </c>
      <c r="P153" s="11"/>
      <c r="Q153" s="8">
        <f t="shared" si="25"/>
        <v>10050.0000000001</v>
      </c>
      <c r="R153" s="12">
        <f t="shared" si="26"/>
        <v>0</v>
      </c>
    </row>
    <row r="154" ht="14.25" spans="1:18">
      <c r="A154" s="15">
        <v>45988</v>
      </c>
      <c r="B154" s="3">
        <f>Data_Entry!P243</f>
        <v>9449.99999999993</v>
      </c>
      <c r="C154" s="3">
        <v>0</v>
      </c>
      <c r="D154" s="4">
        <f>Data_Entry!V243</f>
        <v>3.42</v>
      </c>
      <c r="E154" s="5">
        <f t="shared" si="18"/>
        <v>0.163313977602653</v>
      </c>
      <c r="F154" s="6">
        <v>0</v>
      </c>
      <c r="G154" s="6">
        <v>0</v>
      </c>
      <c r="H154" s="7">
        <f t="shared" si="19"/>
        <v>0</v>
      </c>
      <c r="I154" s="7">
        <f t="shared" si="20"/>
        <v>0</v>
      </c>
      <c r="J154" s="8">
        <v>2411</v>
      </c>
      <c r="K154" s="9"/>
      <c r="L154" s="8">
        <f t="shared" si="21"/>
        <v>28932</v>
      </c>
      <c r="M154" s="7">
        <f t="shared" si="22"/>
        <v>0</v>
      </c>
      <c r="N154" s="10">
        <f t="shared" si="23"/>
        <v>1</v>
      </c>
      <c r="O154" s="11">
        <f t="shared" si="24"/>
        <v>0.163313977602653</v>
      </c>
      <c r="P154" s="11"/>
      <c r="Q154" s="8">
        <f t="shared" si="25"/>
        <v>9449.99999999993</v>
      </c>
      <c r="R154" s="12">
        <f t="shared" si="26"/>
        <v>0</v>
      </c>
    </row>
    <row r="155" ht="14.25" spans="1:18">
      <c r="A155" s="15">
        <v>45989</v>
      </c>
      <c r="B155" s="3">
        <f>Data_Entry!P244</f>
        <v>8460.00000000015</v>
      </c>
      <c r="C155" s="3">
        <v>0</v>
      </c>
      <c r="D155" s="4">
        <f>Data_Entry!V244</f>
        <v>3.13</v>
      </c>
      <c r="E155" s="5">
        <f t="shared" si="18"/>
        <v>0.14620489423476</v>
      </c>
      <c r="F155" s="6">
        <v>0</v>
      </c>
      <c r="G155" s="6">
        <v>0</v>
      </c>
      <c r="H155" s="7">
        <f t="shared" si="19"/>
        <v>0</v>
      </c>
      <c r="I155" s="7">
        <f t="shared" si="20"/>
        <v>0</v>
      </c>
      <c r="J155" s="8">
        <v>2411</v>
      </c>
      <c r="K155" s="9"/>
      <c r="L155" s="8">
        <f t="shared" si="21"/>
        <v>28932</v>
      </c>
      <c r="M155" s="7">
        <f t="shared" si="22"/>
        <v>0</v>
      </c>
      <c r="N155" s="10">
        <f t="shared" si="23"/>
        <v>1</v>
      </c>
      <c r="O155" s="11">
        <f t="shared" si="24"/>
        <v>0.14620489423476</v>
      </c>
      <c r="P155" s="11"/>
      <c r="Q155" s="8">
        <f t="shared" si="25"/>
        <v>8460.00000000015</v>
      </c>
      <c r="R155" s="12">
        <f t="shared" si="26"/>
        <v>0</v>
      </c>
    </row>
    <row r="156" ht="14.25" spans="1:18">
      <c r="A156" s="15">
        <v>45990</v>
      </c>
      <c r="B156" s="3">
        <f>Data_Entry!P245</f>
        <v>9059.99999999995</v>
      </c>
      <c r="C156" s="3">
        <v>0</v>
      </c>
      <c r="D156" s="4">
        <f>Data_Entry!V245</f>
        <v>3.34</v>
      </c>
      <c r="E156" s="5">
        <f t="shared" si="18"/>
        <v>0.156574035669846</v>
      </c>
      <c r="F156" s="6">
        <v>0</v>
      </c>
      <c r="G156" s="6">
        <v>0</v>
      </c>
      <c r="H156" s="7">
        <f t="shared" si="19"/>
        <v>0</v>
      </c>
      <c r="I156" s="7">
        <f t="shared" si="20"/>
        <v>0</v>
      </c>
      <c r="J156" s="8">
        <v>2411</v>
      </c>
      <c r="K156" s="9"/>
      <c r="L156" s="8">
        <f t="shared" si="21"/>
        <v>28932</v>
      </c>
      <c r="M156" s="7">
        <f t="shared" si="22"/>
        <v>0</v>
      </c>
      <c r="N156" s="10">
        <f t="shared" si="23"/>
        <v>1</v>
      </c>
      <c r="O156" s="11">
        <f t="shared" si="24"/>
        <v>0.156574035669846</v>
      </c>
      <c r="P156" s="11"/>
      <c r="Q156" s="8">
        <f t="shared" si="25"/>
        <v>9059.99999999995</v>
      </c>
      <c r="R156" s="12">
        <f t="shared" si="26"/>
        <v>0</v>
      </c>
    </row>
    <row r="157" ht="14.25" spans="1:18">
      <c r="A157" s="15">
        <v>45991</v>
      </c>
      <c r="B157" s="3">
        <f>Data_Entry!P246</f>
        <v>8669.99999999996</v>
      </c>
      <c r="C157" s="3">
        <v>0</v>
      </c>
      <c r="D157" s="4">
        <f>Data_Entry!V246</f>
        <v>3.55</v>
      </c>
      <c r="E157" s="5">
        <f t="shared" si="18"/>
        <v>0.149834093737038</v>
      </c>
      <c r="F157" s="6">
        <v>0</v>
      </c>
      <c r="G157" s="6">
        <v>0</v>
      </c>
      <c r="H157" s="7">
        <f t="shared" si="19"/>
        <v>0</v>
      </c>
      <c r="I157" s="7">
        <f t="shared" si="20"/>
        <v>0</v>
      </c>
      <c r="J157" s="8">
        <v>2411</v>
      </c>
      <c r="K157" s="9"/>
      <c r="L157" s="8">
        <f t="shared" si="21"/>
        <v>28932</v>
      </c>
      <c r="M157" s="7">
        <f t="shared" si="22"/>
        <v>0</v>
      </c>
      <c r="N157" s="10">
        <f t="shared" si="23"/>
        <v>1</v>
      </c>
      <c r="O157" s="11">
        <f t="shared" si="24"/>
        <v>0.149834093737038</v>
      </c>
      <c r="P157" s="11"/>
      <c r="Q157" s="8">
        <f t="shared" si="25"/>
        <v>8669.99999999996</v>
      </c>
      <c r="R157" s="12">
        <f t="shared" si="26"/>
        <v>0</v>
      </c>
    </row>
    <row r="158" ht="14.25" spans="1:18">
      <c r="A158" s="15">
        <v>45992</v>
      </c>
      <c r="B158" s="3">
        <f>Data_Entry!P247</f>
        <v>11940.0000000001</v>
      </c>
      <c r="C158" s="3">
        <v>0</v>
      </c>
      <c r="D158" s="4">
        <f>Data_Entry!V247</f>
        <v>3.81</v>
      </c>
      <c r="E158" s="5">
        <f t="shared" si="18"/>
        <v>0.206345914558276</v>
      </c>
      <c r="F158" s="6">
        <v>0</v>
      </c>
      <c r="G158" s="6">
        <v>0</v>
      </c>
      <c r="H158" s="7">
        <f t="shared" si="19"/>
        <v>0</v>
      </c>
      <c r="I158" s="7">
        <f t="shared" si="20"/>
        <v>0</v>
      </c>
      <c r="J158" s="8">
        <v>2411</v>
      </c>
      <c r="K158" s="9"/>
      <c r="L158" s="8">
        <f t="shared" si="21"/>
        <v>28932</v>
      </c>
      <c r="M158" s="7">
        <f t="shared" si="22"/>
        <v>0</v>
      </c>
      <c r="N158" s="10">
        <f t="shared" si="23"/>
        <v>1</v>
      </c>
      <c r="O158" s="11">
        <f t="shared" si="24"/>
        <v>0.206345914558276</v>
      </c>
      <c r="P158" s="11"/>
      <c r="Q158" s="8">
        <f t="shared" si="25"/>
        <v>11940.0000000001</v>
      </c>
      <c r="R158" s="12">
        <f t="shared" si="26"/>
        <v>0</v>
      </c>
    </row>
    <row r="159" ht="14.25" spans="1:18">
      <c r="A159" s="15">
        <v>45993</v>
      </c>
      <c r="B159" s="3">
        <f>Data_Entry!P248</f>
        <v>9389.99999999999</v>
      </c>
      <c r="C159" s="3">
        <v>0</v>
      </c>
      <c r="D159" s="4">
        <f>Data_Entry!V248</f>
        <v>3.5</v>
      </c>
      <c r="E159" s="5">
        <f t="shared" si="18"/>
        <v>0.162277063459145</v>
      </c>
      <c r="F159" s="6">
        <v>0</v>
      </c>
      <c r="G159" s="6">
        <v>0</v>
      </c>
      <c r="H159" s="7">
        <f t="shared" si="19"/>
        <v>0</v>
      </c>
      <c r="I159" s="7">
        <f t="shared" si="20"/>
        <v>0</v>
      </c>
      <c r="J159" s="8">
        <v>2411</v>
      </c>
      <c r="K159" s="9"/>
      <c r="L159" s="8">
        <f t="shared" si="21"/>
        <v>28932</v>
      </c>
      <c r="M159" s="7">
        <f t="shared" si="22"/>
        <v>0</v>
      </c>
      <c r="N159" s="10">
        <f t="shared" si="23"/>
        <v>1</v>
      </c>
      <c r="O159" s="11">
        <f t="shared" si="24"/>
        <v>0.162277063459145</v>
      </c>
      <c r="P159" s="11"/>
      <c r="Q159" s="8">
        <f t="shared" si="25"/>
        <v>9389.99999999999</v>
      </c>
      <c r="R159" s="12">
        <f t="shared" si="26"/>
        <v>0</v>
      </c>
    </row>
    <row r="160" ht="14.25" spans="1:18">
      <c r="A160" s="15">
        <v>45994</v>
      </c>
      <c r="B160" s="3">
        <f>Data_Entry!P249</f>
        <v>10559.9999999999</v>
      </c>
      <c r="C160" s="3">
        <v>0</v>
      </c>
      <c r="D160" s="4">
        <f>Data_Entry!V249</f>
        <v>3.79</v>
      </c>
      <c r="E160" s="5">
        <f t="shared" si="18"/>
        <v>0.182496889257569</v>
      </c>
      <c r="F160" s="6">
        <v>0</v>
      </c>
      <c r="G160" s="6">
        <v>0</v>
      </c>
      <c r="H160" s="7">
        <f t="shared" si="19"/>
        <v>0</v>
      </c>
      <c r="I160" s="7">
        <f t="shared" si="20"/>
        <v>0</v>
      </c>
      <c r="J160" s="8">
        <v>2411</v>
      </c>
      <c r="K160" s="9"/>
      <c r="L160" s="8">
        <f t="shared" si="21"/>
        <v>28932</v>
      </c>
      <c r="M160" s="7">
        <f t="shared" si="22"/>
        <v>0</v>
      </c>
      <c r="N160" s="10">
        <f t="shared" si="23"/>
        <v>1</v>
      </c>
      <c r="O160" s="11">
        <f t="shared" si="24"/>
        <v>0.182496889257569</v>
      </c>
      <c r="P160" s="11"/>
      <c r="Q160" s="8">
        <f t="shared" si="25"/>
        <v>10559.9999999999</v>
      </c>
      <c r="R160" s="12">
        <f t="shared" si="26"/>
        <v>0</v>
      </c>
    </row>
    <row r="161" ht="14.25" spans="1:18">
      <c r="A161" s="15">
        <v>45995</v>
      </c>
      <c r="B161" s="3">
        <f>Data_Entry!P250</f>
        <v>10140</v>
      </c>
      <c r="C161" s="3">
        <v>0</v>
      </c>
      <c r="D161" s="4">
        <f>Data_Entry!V250</f>
        <v>3.65</v>
      </c>
      <c r="E161" s="5">
        <f t="shared" si="18"/>
        <v>0.175238490253007</v>
      </c>
      <c r="F161" s="6">
        <v>0</v>
      </c>
      <c r="G161" s="6">
        <v>0</v>
      </c>
      <c r="H161" s="7">
        <f t="shared" si="19"/>
        <v>0</v>
      </c>
      <c r="I161" s="7">
        <f t="shared" si="20"/>
        <v>0</v>
      </c>
      <c r="J161" s="8">
        <v>2411</v>
      </c>
      <c r="K161" s="9"/>
      <c r="L161" s="8">
        <f t="shared" si="21"/>
        <v>28932</v>
      </c>
      <c r="M161" s="7">
        <f t="shared" si="22"/>
        <v>0</v>
      </c>
      <c r="N161" s="10">
        <f t="shared" si="23"/>
        <v>1</v>
      </c>
      <c r="O161" s="11">
        <f t="shared" si="24"/>
        <v>0.175238490253007</v>
      </c>
      <c r="P161" s="11"/>
      <c r="Q161" s="8">
        <f t="shared" si="25"/>
        <v>10140</v>
      </c>
      <c r="R161" s="12">
        <f t="shared" si="26"/>
        <v>0</v>
      </c>
    </row>
    <row r="162" ht="14.25" spans="1:18">
      <c r="A162" s="15">
        <v>45996</v>
      </c>
      <c r="B162" s="3">
        <f>Data_Entry!P251</f>
        <v>10320.0000000002</v>
      </c>
      <c r="C162" s="3">
        <v>0</v>
      </c>
      <c r="D162" s="4">
        <f>Data_Entry!V251</f>
        <v>3.71</v>
      </c>
      <c r="E162" s="5">
        <f t="shared" si="18"/>
        <v>0.178349232683537</v>
      </c>
      <c r="F162" s="6">
        <v>0</v>
      </c>
      <c r="G162" s="6">
        <v>0</v>
      </c>
      <c r="H162" s="7">
        <f t="shared" si="19"/>
        <v>0</v>
      </c>
      <c r="I162" s="7">
        <f t="shared" si="20"/>
        <v>0</v>
      </c>
      <c r="J162" s="8">
        <v>2411</v>
      </c>
      <c r="K162" s="9"/>
      <c r="L162" s="8">
        <f t="shared" si="21"/>
        <v>28932</v>
      </c>
      <c r="M162" s="7">
        <f t="shared" si="22"/>
        <v>0</v>
      </c>
      <c r="N162" s="10">
        <f t="shared" si="23"/>
        <v>1</v>
      </c>
      <c r="O162" s="11">
        <f t="shared" si="24"/>
        <v>0.178349232683537</v>
      </c>
      <c r="P162" s="11"/>
      <c r="Q162" s="8">
        <f t="shared" si="25"/>
        <v>10320.0000000002</v>
      </c>
      <c r="R162" s="12">
        <f t="shared" si="26"/>
        <v>0</v>
      </c>
    </row>
    <row r="163" ht="14.25" spans="1:18">
      <c r="A163" s="15">
        <v>45997</v>
      </c>
      <c r="B163" s="3">
        <f>Data_Entry!P252</f>
        <v>10349.9999999998</v>
      </c>
      <c r="C163" s="3">
        <v>0</v>
      </c>
      <c r="D163" s="4">
        <f>Data_Entry!V252</f>
        <v>3.46</v>
      </c>
      <c r="E163" s="5">
        <f t="shared" si="18"/>
        <v>0.178867689755285</v>
      </c>
      <c r="F163" s="6">
        <v>0</v>
      </c>
      <c r="G163" s="6">
        <v>0</v>
      </c>
      <c r="H163" s="7">
        <f t="shared" si="19"/>
        <v>0</v>
      </c>
      <c r="I163" s="7">
        <f t="shared" si="20"/>
        <v>0</v>
      </c>
      <c r="J163" s="8">
        <v>2411</v>
      </c>
      <c r="K163" s="9"/>
      <c r="L163" s="8">
        <f t="shared" si="21"/>
        <v>28932</v>
      </c>
      <c r="M163" s="7">
        <f t="shared" si="22"/>
        <v>0</v>
      </c>
      <c r="N163" s="10">
        <f t="shared" si="23"/>
        <v>1</v>
      </c>
      <c r="O163" s="11">
        <f t="shared" si="24"/>
        <v>0.178867689755285</v>
      </c>
      <c r="P163" s="11"/>
      <c r="Q163" s="8">
        <f t="shared" si="25"/>
        <v>10349.9999999998</v>
      </c>
      <c r="R163" s="12">
        <f t="shared" si="26"/>
        <v>0</v>
      </c>
    </row>
    <row r="164" ht="14.25" spans="1:18">
      <c r="A164" s="15">
        <v>45998</v>
      </c>
      <c r="B164" s="3">
        <f>Data_Entry!P253</f>
        <v>11340.0000000003</v>
      </c>
      <c r="C164" s="3">
        <v>0</v>
      </c>
      <c r="D164" s="4">
        <f>Data_Entry!V253</f>
        <v>3.81</v>
      </c>
      <c r="E164" s="5">
        <f t="shared" si="18"/>
        <v>0.19597677312319</v>
      </c>
      <c r="F164" s="6">
        <v>0</v>
      </c>
      <c r="G164" s="6">
        <v>0</v>
      </c>
      <c r="H164" s="7">
        <f t="shared" si="19"/>
        <v>0</v>
      </c>
      <c r="I164" s="7">
        <f t="shared" si="20"/>
        <v>0</v>
      </c>
      <c r="J164" s="8">
        <v>2411</v>
      </c>
      <c r="K164" s="9"/>
      <c r="L164" s="8">
        <f t="shared" si="21"/>
        <v>28932</v>
      </c>
      <c r="M164" s="7">
        <f t="shared" si="22"/>
        <v>0</v>
      </c>
      <c r="N164" s="10">
        <f t="shared" si="23"/>
        <v>1</v>
      </c>
      <c r="O164" s="11">
        <f t="shared" si="24"/>
        <v>0.19597677312319</v>
      </c>
      <c r="P164" s="11"/>
      <c r="Q164" s="8">
        <f t="shared" si="25"/>
        <v>11340.0000000003</v>
      </c>
      <c r="R164" s="12">
        <f t="shared" si="26"/>
        <v>0</v>
      </c>
    </row>
    <row r="165" ht="14.25" spans="1:18">
      <c r="A165" s="15">
        <v>45999</v>
      </c>
      <c r="B165" s="3">
        <f>Data_Entry!P254</f>
        <v>11250</v>
      </c>
      <c r="C165" s="3">
        <v>0</v>
      </c>
      <c r="D165" s="4">
        <f>Data_Entry!V254</f>
        <v>3.81</v>
      </c>
      <c r="E165" s="5">
        <f t="shared" si="18"/>
        <v>0.194421401907922</v>
      </c>
      <c r="F165" s="6">
        <v>0</v>
      </c>
      <c r="G165" s="6">
        <v>0</v>
      </c>
      <c r="H165" s="7">
        <f t="shared" si="19"/>
        <v>0</v>
      </c>
      <c r="I165" s="7">
        <f t="shared" si="20"/>
        <v>0</v>
      </c>
      <c r="J165" s="8">
        <v>2411</v>
      </c>
      <c r="K165" s="9"/>
      <c r="L165" s="8">
        <f t="shared" si="21"/>
        <v>28932</v>
      </c>
      <c r="M165" s="7">
        <f t="shared" si="22"/>
        <v>0</v>
      </c>
      <c r="N165" s="10">
        <f t="shared" si="23"/>
        <v>1</v>
      </c>
      <c r="O165" s="11">
        <f t="shared" si="24"/>
        <v>0.194421401907922</v>
      </c>
      <c r="P165" s="11"/>
      <c r="Q165" s="8">
        <f t="shared" si="25"/>
        <v>11250</v>
      </c>
      <c r="R165" s="12">
        <f t="shared" si="26"/>
        <v>0</v>
      </c>
    </row>
    <row r="166" ht="14.25" spans="1:18">
      <c r="A166" s="15">
        <v>46000</v>
      </c>
      <c r="B166" s="3">
        <f>Data_Entry!P255</f>
        <v>12269.9999999998</v>
      </c>
      <c r="C166" s="3">
        <v>0</v>
      </c>
      <c r="D166" s="4">
        <f>Data_Entry!V255</f>
        <v>4.15</v>
      </c>
      <c r="E166" s="5">
        <f t="shared" si="18"/>
        <v>0.212048942347569</v>
      </c>
      <c r="F166" s="6">
        <v>0</v>
      </c>
      <c r="G166" s="6">
        <v>0</v>
      </c>
      <c r="H166" s="7">
        <f t="shared" si="19"/>
        <v>0</v>
      </c>
      <c r="I166" s="7">
        <f t="shared" si="20"/>
        <v>0</v>
      </c>
      <c r="J166" s="8">
        <v>2411</v>
      </c>
      <c r="K166" s="9"/>
      <c r="L166" s="8">
        <f t="shared" si="21"/>
        <v>28932</v>
      </c>
      <c r="M166" s="7">
        <f t="shared" si="22"/>
        <v>0</v>
      </c>
      <c r="N166" s="10">
        <f t="shared" si="23"/>
        <v>1</v>
      </c>
      <c r="O166" s="11">
        <f t="shared" si="24"/>
        <v>0.212048942347569</v>
      </c>
      <c r="P166" s="11"/>
      <c r="Q166" s="8">
        <f t="shared" si="25"/>
        <v>12269.9999999998</v>
      </c>
      <c r="R166" s="12">
        <f t="shared" si="26"/>
        <v>0</v>
      </c>
    </row>
    <row r="167" ht="14.25" spans="1:18">
      <c r="A167" s="15">
        <v>46001</v>
      </c>
      <c r="B167" s="3">
        <f>Data_Entry!P256</f>
        <v>12120.0000000002</v>
      </c>
      <c r="C167" s="3">
        <v>0</v>
      </c>
      <c r="D167" s="4">
        <f>Data_Entry!V256</f>
        <v>3.32</v>
      </c>
      <c r="E167" s="5">
        <f t="shared" si="18"/>
        <v>0.209456656988805</v>
      </c>
      <c r="F167" s="6">
        <v>0</v>
      </c>
      <c r="G167" s="6">
        <v>0</v>
      </c>
      <c r="H167" s="7">
        <f t="shared" si="19"/>
        <v>0</v>
      </c>
      <c r="I167" s="7">
        <f t="shared" si="20"/>
        <v>0</v>
      </c>
      <c r="J167" s="8">
        <v>2411</v>
      </c>
      <c r="K167" s="9"/>
      <c r="L167" s="8">
        <f t="shared" si="21"/>
        <v>28932</v>
      </c>
      <c r="M167" s="7">
        <f t="shared" si="22"/>
        <v>0</v>
      </c>
      <c r="N167" s="10">
        <f t="shared" si="23"/>
        <v>1</v>
      </c>
      <c r="O167" s="11">
        <f t="shared" si="24"/>
        <v>0.209456656988805</v>
      </c>
      <c r="P167" s="11"/>
      <c r="Q167" s="8">
        <f t="shared" si="25"/>
        <v>12120.0000000002</v>
      </c>
      <c r="R167" s="12">
        <f t="shared" si="26"/>
        <v>0</v>
      </c>
    </row>
    <row r="168" ht="14.25" spans="1:18">
      <c r="A168" s="15">
        <v>46002</v>
      </c>
      <c r="B168" s="3">
        <f>Data_Entry!P257</f>
        <v>12239.9999999998</v>
      </c>
      <c r="C168" s="3">
        <v>0</v>
      </c>
      <c r="D168" s="4">
        <f>Data_Entry!V257</f>
        <v>4.11</v>
      </c>
      <c r="E168" s="5">
        <f t="shared" si="18"/>
        <v>0.211530485275815</v>
      </c>
      <c r="F168" s="6">
        <v>0</v>
      </c>
      <c r="G168" s="6">
        <v>0</v>
      </c>
      <c r="H168" s="7">
        <f t="shared" si="19"/>
        <v>0</v>
      </c>
      <c r="I168" s="7">
        <f t="shared" si="20"/>
        <v>0</v>
      </c>
      <c r="J168" s="8">
        <v>2411</v>
      </c>
      <c r="K168" s="9"/>
      <c r="L168" s="8">
        <f t="shared" si="21"/>
        <v>28932</v>
      </c>
      <c r="M168" s="7">
        <f t="shared" si="22"/>
        <v>0</v>
      </c>
      <c r="N168" s="10">
        <f t="shared" si="23"/>
        <v>1</v>
      </c>
      <c r="O168" s="11">
        <f t="shared" si="24"/>
        <v>0.211530485275815</v>
      </c>
      <c r="P168" s="11"/>
      <c r="Q168" s="8">
        <f t="shared" si="25"/>
        <v>12239.9999999998</v>
      </c>
      <c r="R168" s="12">
        <f t="shared" si="26"/>
        <v>0</v>
      </c>
    </row>
    <row r="169" ht="14.25" spans="1:18">
      <c r="A169" s="15">
        <v>46003</v>
      </c>
      <c r="B169" s="3">
        <f>Data_Entry!P258</f>
        <v>12090.0000000003</v>
      </c>
      <c r="C169" s="3">
        <v>0</v>
      </c>
      <c r="D169" s="4">
        <f>Data_Entry!V258</f>
        <v>4.14</v>
      </c>
      <c r="E169" s="5">
        <f t="shared" si="18"/>
        <v>0.208938199917051</v>
      </c>
      <c r="F169" s="6">
        <v>0</v>
      </c>
      <c r="G169" s="6">
        <v>0</v>
      </c>
      <c r="H169" s="7">
        <f t="shared" si="19"/>
        <v>0</v>
      </c>
      <c r="I169" s="7">
        <f t="shared" si="20"/>
        <v>0</v>
      </c>
      <c r="J169" s="8">
        <v>2411</v>
      </c>
      <c r="K169" s="9"/>
      <c r="L169" s="8">
        <f t="shared" si="21"/>
        <v>28932</v>
      </c>
      <c r="M169" s="7">
        <f t="shared" si="22"/>
        <v>0</v>
      </c>
      <c r="N169" s="10">
        <f t="shared" si="23"/>
        <v>1</v>
      </c>
      <c r="O169" s="11">
        <f t="shared" si="24"/>
        <v>0.208938199917051</v>
      </c>
      <c r="P169" s="11"/>
      <c r="Q169" s="8">
        <f t="shared" si="25"/>
        <v>12090.0000000003</v>
      </c>
      <c r="R169" s="12">
        <f t="shared" si="26"/>
        <v>0</v>
      </c>
    </row>
    <row r="170" ht="14.25" spans="1:18">
      <c r="A170" s="15">
        <v>46004</v>
      </c>
      <c r="B170" s="3">
        <f>Data_Entry!P259</f>
        <v>11849.9999999998</v>
      </c>
      <c r="C170" s="3">
        <v>0</v>
      </c>
      <c r="D170" s="4">
        <f>Data_Entry!V259</f>
        <v>3.94</v>
      </c>
      <c r="E170" s="5">
        <f t="shared" si="18"/>
        <v>0.204790543343008</v>
      </c>
      <c r="F170" s="6">
        <v>0</v>
      </c>
      <c r="G170" s="6">
        <v>0</v>
      </c>
      <c r="H170" s="7">
        <f t="shared" si="19"/>
        <v>0</v>
      </c>
      <c r="I170" s="7">
        <f t="shared" si="20"/>
        <v>0</v>
      </c>
      <c r="J170" s="8">
        <v>2411</v>
      </c>
      <c r="K170" s="9"/>
      <c r="L170" s="8">
        <f t="shared" si="21"/>
        <v>28932</v>
      </c>
      <c r="M170" s="7">
        <f t="shared" si="22"/>
        <v>0</v>
      </c>
      <c r="N170" s="10">
        <f t="shared" si="23"/>
        <v>1</v>
      </c>
      <c r="O170" s="11">
        <f t="shared" si="24"/>
        <v>0.204790543343008</v>
      </c>
      <c r="P170" s="11"/>
      <c r="Q170" s="8">
        <f t="shared" si="25"/>
        <v>11849.9999999998</v>
      </c>
      <c r="R170" s="12">
        <f t="shared" si="26"/>
        <v>0</v>
      </c>
    </row>
    <row r="171" ht="14.25" spans="1:18">
      <c r="A171" s="15">
        <v>46005</v>
      </c>
      <c r="B171" s="3">
        <f>Data_Entry!P260</f>
        <v>11430.0000000002</v>
      </c>
      <c r="C171" s="3">
        <v>0</v>
      </c>
      <c r="D171" s="4">
        <f>Data_Entry!V260</f>
        <v>0.81</v>
      </c>
      <c r="E171" s="5">
        <f t="shared" si="18"/>
        <v>0.197532144338452</v>
      </c>
      <c r="F171" s="6">
        <v>0</v>
      </c>
      <c r="G171" s="6">
        <v>0</v>
      </c>
      <c r="H171" s="7">
        <f t="shared" si="19"/>
        <v>0</v>
      </c>
      <c r="I171" s="7">
        <f t="shared" si="20"/>
        <v>0</v>
      </c>
      <c r="J171" s="8">
        <v>2411</v>
      </c>
      <c r="K171" s="9"/>
      <c r="L171" s="8">
        <f t="shared" si="21"/>
        <v>28932</v>
      </c>
      <c r="M171" s="7">
        <f t="shared" si="22"/>
        <v>0</v>
      </c>
      <c r="N171" s="10">
        <f t="shared" si="23"/>
        <v>1</v>
      </c>
      <c r="O171" s="11">
        <f t="shared" si="24"/>
        <v>0.197532144338452</v>
      </c>
      <c r="P171" s="11"/>
      <c r="Q171" s="8">
        <f t="shared" si="25"/>
        <v>11430.0000000002</v>
      </c>
      <c r="R171" s="12">
        <f t="shared" si="26"/>
        <v>0</v>
      </c>
    </row>
    <row r="172" ht="14.25" spans="1:18">
      <c r="A172" s="15">
        <v>46006</v>
      </c>
      <c r="B172" s="3">
        <f>Data_Entry!P261</f>
        <v>11610</v>
      </c>
      <c r="C172" s="3">
        <v>0</v>
      </c>
      <c r="D172" s="4">
        <f>Data_Entry!V261</f>
        <v>3.91</v>
      </c>
      <c r="E172" s="5">
        <f t="shared" si="18"/>
        <v>0.200642886768976</v>
      </c>
      <c r="F172" s="6">
        <v>0</v>
      </c>
      <c r="G172" s="6">
        <v>0</v>
      </c>
      <c r="H172" s="7">
        <f t="shared" si="19"/>
        <v>0</v>
      </c>
      <c r="I172" s="7">
        <f t="shared" si="20"/>
        <v>0</v>
      </c>
      <c r="J172" s="8">
        <v>2411</v>
      </c>
      <c r="K172" s="9"/>
      <c r="L172" s="8">
        <f t="shared" si="21"/>
        <v>28932</v>
      </c>
      <c r="M172" s="7">
        <f t="shared" si="22"/>
        <v>0</v>
      </c>
      <c r="N172" s="10">
        <f t="shared" si="23"/>
        <v>1</v>
      </c>
      <c r="O172" s="11">
        <f t="shared" si="24"/>
        <v>0.200642886768976</v>
      </c>
      <c r="P172" s="11"/>
      <c r="Q172" s="8">
        <f t="shared" si="25"/>
        <v>11610</v>
      </c>
      <c r="R172" s="12">
        <f t="shared" si="26"/>
        <v>0</v>
      </c>
    </row>
    <row r="173" ht="14.25" spans="1:18">
      <c r="A173" s="15">
        <v>46007</v>
      </c>
      <c r="B173" s="3">
        <f>Data_Entry!P262</f>
        <v>11250</v>
      </c>
      <c r="C173" s="3">
        <v>0</v>
      </c>
      <c r="D173" s="4">
        <f>Data_Entry!V262</f>
        <v>3.86</v>
      </c>
      <c r="E173" s="5">
        <f t="shared" si="18"/>
        <v>0.194421401907922</v>
      </c>
      <c r="F173" s="6">
        <v>0</v>
      </c>
      <c r="G173" s="6">
        <v>0</v>
      </c>
      <c r="H173" s="7">
        <f t="shared" si="19"/>
        <v>0</v>
      </c>
      <c r="I173" s="7">
        <f t="shared" si="20"/>
        <v>0</v>
      </c>
      <c r="J173" s="8">
        <v>2411</v>
      </c>
      <c r="K173" s="9"/>
      <c r="L173" s="8">
        <f t="shared" si="21"/>
        <v>28932</v>
      </c>
      <c r="M173" s="7">
        <f t="shared" si="22"/>
        <v>0</v>
      </c>
      <c r="N173" s="10">
        <f t="shared" si="23"/>
        <v>1</v>
      </c>
      <c r="O173" s="11">
        <f t="shared" si="24"/>
        <v>0.194421401907922</v>
      </c>
      <c r="P173" s="11"/>
      <c r="Q173" s="8">
        <f t="shared" si="25"/>
        <v>11250</v>
      </c>
      <c r="R173" s="12">
        <f t="shared" si="26"/>
        <v>0</v>
      </c>
    </row>
    <row r="174" ht="14.25" spans="1:18">
      <c r="A174" s="15">
        <v>46008</v>
      </c>
      <c r="B174" s="3">
        <f>Data_Entry!P263</f>
        <v>10559.9999999999</v>
      </c>
      <c r="C174" s="3">
        <v>0</v>
      </c>
      <c r="D174" s="4">
        <f>Data_Entry!V263</f>
        <v>3.62</v>
      </c>
      <c r="E174" s="5">
        <f t="shared" si="18"/>
        <v>0.182496889257569</v>
      </c>
      <c r="F174" s="6">
        <v>0</v>
      </c>
      <c r="G174" s="6">
        <v>0</v>
      </c>
      <c r="H174" s="7">
        <f t="shared" si="19"/>
        <v>0</v>
      </c>
      <c r="I174" s="7">
        <f t="shared" si="20"/>
        <v>0</v>
      </c>
      <c r="J174" s="8">
        <v>2411</v>
      </c>
      <c r="K174" s="9"/>
      <c r="L174" s="8">
        <f t="shared" si="21"/>
        <v>28932</v>
      </c>
      <c r="M174" s="7">
        <f t="shared" si="22"/>
        <v>0</v>
      </c>
      <c r="N174" s="10">
        <f t="shared" si="23"/>
        <v>1</v>
      </c>
      <c r="O174" s="11">
        <f t="shared" si="24"/>
        <v>0.182496889257569</v>
      </c>
      <c r="P174" s="11"/>
      <c r="Q174" s="8">
        <f t="shared" si="25"/>
        <v>10559.9999999999</v>
      </c>
      <c r="R174" s="12">
        <f t="shared" si="26"/>
        <v>0</v>
      </c>
    </row>
    <row r="175" ht="14.25" spans="1:18">
      <c r="A175" s="15">
        <v>46009</v>
      </c>
      <c r="B175" s="3">
        <f>Data_Entry!P264</f>
        <v>10199.9999999999</v>
      </c>
      <c r="C175" s="3">
        <v>0</v>
      </c>
      <c r="D175" s="4">
        <f>Data_Entry!V264</f>
        <v>3.99</v>
      </c>
      <c r="E175" s="5">
        <f t="shared" si="18"/>
        <v>0.176275404396515</v>
      </c>
      <c r="F175" s="6">
        <v>0</v>
      </c>
      <c r="G175" s="6">
        <v>0</v>
      </c>
      <c r="H175" s="7">
        <f t="shared" si="19"/>
        <v>0</v>
      </c>
      <c r="I175" s="7">
        <f t="shared" si="20"/>
        <v>0</v>
      </c>
      <c r="J175" s="8">
        <v>2411</v>
      </c>
      <c r="K175" s="9"/>
      <c r="L175" s="8">
        <f t="shared" si="21"/>
        <v>28932</v>
      </c>
      <c r="M175" s="7">
        <f t="shared" si="22"/>
        <v>0</v>
      </c>
      <c r="N175" s="10">
        <f t="shared" si="23"/>
        <v>1</v>
      </c>
      <c r="O175" s="11">
        <f t="shared" si="24"/>
        <v>0.176275404396515</v>
      </c>
      <c r="P175" s="11"/>
      <c r="Q175" s="8">
        <f t="shared" si="25"/>
        <v>10199.9999999999</v>
      </c>
      <c r="R175" s="12">
        <f t="shared" si="26"/>
        <v>0</v>
      </c>
    </row>
    <row r="176" ht="14.25" spans="1:18">
      <c r="A176" s="15">
        <v>46010</v>
      </c>
      <c r="B176" s="3">
        <f>Data_Entry!P265</f>
        <v>11640</v>
      </c>
      <c r="C176" s="3">
        <v>7</v>
      </c>
      <c r="D176" s="4">
        <f>Data_Entry!V265</f>
        <v>3.65</v>
      </c>
      <c r="E176" s="5">
        <f t="shared" si="18"/>
        <v>0.20116134384073</v>
      </c>
      <c r="F176" s="6">
        <v>0.451388888888889</v>
      </c>
      <c r="G176" s="6">
        <v>0.479166666666667</v>
      </c>
      <c r="H176" s="7">
        <f t="shared" si="19"/>
        <v>40</v>
      </c>
      <c r="I176" s="7">
        <f t="shared" si="20"/>
        <v>0.666666666666667</v>
      </c>
      <c r="J176" s="8">
        <v>2411</v>
      </c>
      <c r="K176" s="9">
        <v>2411</v>
      </c>
      <c r="L176" s="8">
        <f t="shared" si="21"/>
        <v>28932</v>
      </c>
      <c r="M176" s="7">
        <f t="shared" si="22"/>
        <v>1607.33333333333</v>
      </c>
      <c r="N176" s="10">
        <f t="shared" si="23"/>
        <v>0.944444444444445</v>
      </c>
      <c r="O176" s="11">
        <f t="shared" si="24"/>
        <v>0.212994364066655</v>
      </c>
      <c r="P176" s="11"/>
      <c r="Q176" s="8">
        <f t="shared" si="25"/>
        <v>12324.7058823529</v>
      </c>
      <c r="R176" s="12">
        <f t="shared" si="26"/>
        <v>684.705882352933</v>
      </c>
    </row>
    <row r="177" ht="14.25" spans="1:18">
      <c r="A177" s="15">
        <v>46011</v>
      </c>
      <c r="B177" s="3">
        <f>Data_Entry!P266</f>
        <v>11940.0000000001</v>
      </c>
      <c r="C177" s="3">
        <v>0</v>
      </c>
      <c r="D177" s="4">
        <f>Data_Entry!V266</f>
        <v>4.1</v>
      </c>
      <c r="E177" s="5">
        <f t="shared" si="18"/>
        <v>0.206345914558276</v>
      </c>
      <c r="F177" s="6">
        <v>0</v>
      </c>
      <c r="G177" s="6">
        <v>0</v>
      </c>
      <c r="H177" s="7">
        <f t="shared" si="19"/>
        <v>0</v>
      </c>
      <c r="I177" s="7">
        <f t="shared" si="20"/>
        <v>0</v>
      </c>
      <c r="J177" s="8">
        <v>2411</v>
      </c>
      <c r="K177" s="9"/>
      <c r="L177" s="8">
        <f t="shared" si="21"/>
        <v>28932</v>
      </c>
      <c r="M177" s="7">
        <f t="shared" si="22"/>
        <v>0</v>
      </c>
      <c r="N177" s="10">
        <f t="shared" si="23"/>
        <v>1</v>
      </c>
      <c r="O177" s="11">
        <f t="shared" si="24"/>
        <v>0.206345914558276</v>
      </c>
      <c r="P177" s="11"/>
      <c r="Q177" s="8">
        <f t="shared" si="25"/>
        <v>11940.0000000001</v>
      </c>
      <c r="R177" s="12">
        <f t="shared" si="26"/>
        <v>0</v>
      </c>
    </row>
    <row r="178" ht="14.25" spans="1:18">
      <c r="A178" s="15">
        <v>46012</v>
      </c>
      <c r="B178" s="3">
        <f>Data_Entry!P267</f>
        <v>10740.0000000001</v>
      </c>
      <c r="C178" s="3">
        <v>0</v>
      </c>
      <c r="D178" s="4">
        <f>Data_Entry!V267</f>
        <v>3.36</v>
      </c>
      <c r="E178" s="5">
        <f t="shared" si="18"/>
        <v>0.185607631688098</v>
      </c>
      <c r="F178" s="6">
        <v>0</v>
      </c>
      <c r="G178" s="6">
        <v>0</v>
      </c>
      <c r="H178" s="7">
        <f t="shared" si="19"/>
        <v>0</v>
      </c>
      <c r="I178" s="7">
        <f t="shared" si="20"/>
        <v>0</v>
      </c>
      <c r="J178" s="8">
        <v>2411</v>
      </c>
      <c r="K178" s="9"/>
      <c r="L178" s="8">
        <f t="shared" si="21"/>
        <v>28932</v>
      </c>
      <c r="M178" s="7">
        <f t="shared" si="22"/>
        <v>0</v>
      </c>
      <c r="N178" s="10">
        <f t="shared" si="23"/>
        <v>1</v>
      </c>
      <c r="O178" s="11">
        <f t="shared" si="24"/>
        <v>0.185607631688098</v>
      </c>
      <c r="P178" s="11"/>
      <c r="Q178" s="8">
        <f t="shared" si="25"/>
        <v>10740.0000000001</v>
      </c>
      <c r="R178" s="12">
        <f t="shared" si="26"/>
        <v>0</v>
      </c>
    </row>
    <row r="179" ht="14.25" spans="1:18">
      <c r="A179" s="15">
        <v>46013</v>
      </c>
      <c r="B179" s="3">
        <f>Data_Entry!P268</f>
        <v>11549.9999999997</v>
      </c>
      <c r="C179" s="3">
        <v>0</v>
      </c>
      <c r="D179" s="4">
        <f>Data_Entry!V268</f>
        <v>3.89</v>
      </c>
      <c r="E179" s="5">
        <f t="shared" si="18"/>
        <v>0.199605972625462</v>
      </c>
      <c r="F179" s="6">
        <v>0</v>
      </c>
      <c r="G179" s="6">
        <v>0</v>
      </c>
      <c r="H179" s="7">
        <f t="shared" si="19"/>
        <v>0</v>
      </c>
      <c r="I179" s="7">
        <f t="shared" si="20"/>
        <v>0</v>
      </c>
      <c r="J179" s="8">
        <v>2411</v>
      </c>
      <c r="K179" s="9"/>
      <c r="L179" s="8">
        <f t="shared" si="21"/>
        <v>28932</v>
      </c>
      <c r="M179" s="7">
        <f t="shared" si="22"/>
        <v>0</v>
      </c>
      <c r="N179" s="10">
        <f t="shared" si="23"/>
        <v>1</v>
      </c>
      <c r="O179" s="11">
        <f t="shared" si="24"/>
        <v>0.199605972625462</v>
      </c>
      <c r="P179" s="11"/>
      <c r="Q179" s="8">
        <f t="shared" si="25"/>
        <v>11549.9999999997</v>
      </c>
      <c r="R179" s="12">
        <f t="shared" si="26"/>
        <v>0</v>
      </c>
    </row>
    <row r="180" ht="14.25" spans="1:18">
      <c r="A180" s="15">
        <v>46014</v>
      </c>
      <c r="B180" s="3">
        <f>Data_Entry!P269</f>
        <v>11820.0000000002</v>
      </c>
      <c r="C180" s="3">
        <v>0</v>
      </c>
      <c r="D180" s="4">
        <f>Data_Entry!V269</f>
        <v>3.85</v>
      </c>
      <c r="E180" s="5">
        <f t="shared" si="18"/>
        <v>0.20427208627126</v>
      </c>
      <c r="F180" s="6">
        <v>0</v>
      </c>
      <c r="G180" s="6">
        <v>0</v>
      </c>
      <c r="H180" s="7">
        <f t="shared" si="19"/>
        <v>0</v>
      </c>
      <c r="I180" s="7">
        <f t="shared" si="20"/>
        <v>0</v>
      </c>
      <c r="J180" s="8">
        <v>2411</v>
      </c>
      <c r="K180" s="9"/>
      <c r="L180" s="8">
        <f t="shared" si="21"/>
        <v>28932</v>
      </c>
      <c r="M180" s="7">
        <f t="shared" si="22"/>
        <v>0</v>
      </c>
      <c r="N180" s="10">
        <f t="shared" si="23"/>
        <v>1</v>
      </c>
      <c r="O180" s="11">
        <f t="shared" si="24"/>
        <v>0.20427208627126</v>
      </c>
      <c r="P180" s="11"/>
      <c r="Q180" s="8">
        <f t="shared" si="25"/>
        <v>11820.0000000002</v>
      </c>
      <c r="R180" s="12">
        <f t="shared" si="26"/>
        <v>0</v>
      </c>
    </row>
    <row r="181" ht="14.25" spans="1:18">
      <c r="A181" s="15">
        <v>46015</v>
      </c>
      <c r="B181" s="3">
        <f>Data_Entry!P270</f>
        <v>11910.0000000001</v>
      </c>
      <c r="C181" s="3">
        <v>0</v>
      </c>
      <c r="D181" s="4">
        <f>Data_Entry!V270</f>
        <v>3.93</v>
      </c>
      <c r="E181" s="5">
        <f t="shared" si="18"/>
        <v>0.205827457486522</v>
      </c>
      <c r="F181" s="6">
        <v>0</v>
      </c>
      <c r="G181" s="6">
        <v>0</v>
      </c>
      <c r="H181" s="7">
        <f t="shared" si="19"/>
        <v>0</v>
      </c>
      <c r="I181" s="7">
        <f t="shared" si="20"/>
        <v>0</v>
      </c>
      <c r="J181" s="8">
        <v>2411</v>
      </c>
      <c r="K181" s="9"/>
      <c r="L181" s="8">
        <f t="shared" si="21"/>
        <v>28932</v>
      </c>
      <c r="M181" s="7">
        <f t="shared" si="22"/>
        <v>0</v>
      </c>
      <c r="N181" s="10">
        <f t="shared" si="23"/>
        <v>1</v>
      </c>
      <c r="O181" s="11">
        <f t="shared" si="24"/>
        <v>0.205827457486522</v>
      </c>
      <c r="P181" s="11"/>
      <c r="Q181" s="8">
        <f t="shared" si="25"/>
        <v>11910.0000000001</v>
      </c>
      <c r="R181" s="12">
        <f t="shared" si="26"/>
        <v>0</v>
      </c>
    </row>
    <row r="182" ht="14.25" spans="1:18">
      <c r="A182" s="15">
        <v>46016</v>
      </c>
      <c r="B182" s="3">
        <f>Data_Entry!P271</f>
        <v>11670</v>
      </c>
      <c r="C182" s="3">
        <v>0</v>
      </c>
      <c r="D182" s="4">
        <f>Data_Entry!V271</f>
        <v>3.87</v>
      </c>
      <c r="E182" s="5">
        <f t="shared" si="18"/>
        <v>0.201679800912484</v>
      </c>
      <c r="F182" s="6">
        <v>0</v>
      </c>
      <c r="G182" s="6">
        <v>0</v>
      </c>
      <c r="H182" s="7">
        <f t="shared" si="19"/>
        <v>0</v>
      </c>
      <c r="I182" s="7">
        <f t="shared" si="20"/>
        <v>0</v>
      </c>
      <c r="J182" s="8">
        <v>2411</v>
      </c>
      <c r="K182" s="9"/>
      <c r="L182" s="8">
        <f t="shared" si="21"/>
        <v>28932</v>
      </c>
      <c r="M182" s="7">
        <f t="shared" si="22"/>
        <v>0</v>
      </c>
      <c r="N182" s="10">
        <f t="shared" si="23"/>
        <v>1</v>
      </c>
      <c r="O182" s="11">
        <f t="shared" si="24"/>
        <v>0.201679800912484</v>
      </c>
      <c r="P182" s="11"/>
      <c r="Q182" s="8">
        <f t="shared" si="25"/>
        <v>11670</v>
      </c>
      <c r="R182" s="12">
        <f t="shared" si="26"/>
        <v>0</v>
      </c>
    </row>
    <row r="183" ht="14.25" spans="1:18">
      <c r="A183" s="15">
        <v>46017</v>
      </c>
      <c r="B183" s="3">
        <f>Data_Entry!P272</f>
        <v>11190.0000000001</v>
      </c>
      <c r="C183" s="3">
        <v>0</v>
      </c>
      <c r="D183" s="4">
        <f>Data_Entry!V272</f>
        <v>3.74</v>
      </c>
      <c r="E183" s="5">
        <f t="shared" si="18"/>
        <v>0.193384487764414</v>
      </c>
      <c r="F183" s="6">
        <v>0</v>
      </c>
      <c r="G183" s="6">
        <v>0</v>
      </c>
      <c r="H183" s="7">
        <f t="shared" si="19"/>
        <v>0</v>
      </c>
      <c r="I183" s="7">
        <f t="shared" si="20"/>
        <v>0</v>
      </c>
      <c r="J183" s="8">
        <v>2411</v>
      </c>
      <c r="K183" s="9"/>
      <c r="L183" s="8">
        <f t="shared" si="21"/>
        <v>28932</v>
      </c>
      <c r="M183" s="7">
        <f t="shared" si="22"/>
        <v>0</v>
      </c>
      <c r="N183" s="10">
        <f t="shared" si="23"/>
        <v>1</v>
      </c>
      <c r="O183" s="11">
        <f t="shared" si="24"/>
        <v>0.193384487764414</v>
      </c>
      <c r="P183" s="11"/>
      <c r="Q183" s="8">
        <f t="shared" si="25"/>
        <v>11190.0000000001</v>
      </c>
      <c r="R183" s="12">
        <f t="shared" si="26"/>
        <v>0</v>
      </c>
    </row>
    <row r="184" ht="14.25" spans="1:18">
      <c r="A184" s="15">
        <v>46018</v>
      </c>
      <c r="B184" s="3">
        <f>Data_Entry!P273</f>
        <v>10619.9999999999</v>
      </c>
      <c r="C184" s="3">
        <v>0</v>
      </c>
      <c r="D184" s="4">
        <f>Data_Entry!V273</f>
        <v>3.62</v>
      </c>
      <c r="E184" s="5">
        <f t="shared" si="18"/>
        <v>0.183533803401077</v>
      </c>
      <c r="F184" s="6">
        <v>0</v>
      </c>
      <c r="G184" s="6">
        <v>0</v>
      </c>
      <c r="H184" s="7">
        <f t="shared" si="19"/>
        <v>0</v>
      </c>
      <c r="I184" s="7">
        <f t="shared" si="20"/>
        <v>0</v>
      </c>
      <c r="J184" s="8">
        <v>2411</v>
      </c>
      <c r="K184" s="9"/>
      <c r="L184" s="8">
        <f t="shared" si="21"/>
        <v>28932</v>
      </c>
      <c r="M184" s="7">
        <f t="shared" si="22"/>
        <v>0</v>
      </c>
      <c r="N184" s="10">
        <f t="shared" si="23"/>
        <v>1</v>
      </c>
      <c r="O184" s="11">
        <f t="shared" si="24"/>
        <v>0.183533803401077</v>
      </c>
      <c r="P184" s="11"/>
      <c r="Q184" s="8">
        <f t="shared" si="25"/>
        <v>10619.9999999999</v>
      </c>
      <c r="R184" s="12">
        <f t="shared" si="26"/>
        <v>0</v>
      </c>
    </row>
    <row r="185" ht="14.25" spans="1:18">
      <c r="A185" s="15">
        <v>46019</v>
      </c>
      <c r="B185" s="3">
        <f>Data_Entry!P274</f>
        <v>10559.9999999999</v>
      </c>
      <c r="C185" s="3">
        <v>0</v>
      </c>
      <c r="D185" s="4">
        <f>Data_Entry!V274</f>
        <v>3.62</v>
      </c>
      <c r="E185" s="5">
        <f t="shared" si="18"/>
        <v>0.182496889257569</v>
      </c>
      <c r="F185" s="6">
        <v>0</v>
      </c>
      <c r="G185" s="6">
        <v>0</v>
      </c>
      <c r="H185" s="7">
        <f t="shared" si="19"/>
        <v>0</v>
      </c>
      <c r="I185" s="7">
        <f t="shared" si="20"/>
        <v>0</v>
      </c>
      <c r="J185" s="8">
        <v>2411</v>
      </c>
      <c r="K185" s="9"/>
      <c r="L185" s="8">
        <f t="shared" si="21"/>
        <v>28932</v>
      </c>
      <c r="M185" s="7">
        <f t="shared" si="22"/>
        <v>0</v>
      </c>
      <c r="N185" s="10">
        <f t="shared" si="23"/>
        <v>1</v>
      </c>
      <c r="O185" s="11">
        <f t="shared" si="24"/>
        <v>0.182496889257569</v>
      </c>
      <c r="P185" s="11"/>
      <c r="Q185" s="8">
        <f t="shared" si="25"/>
        <v>10559.9999999999</v>
      </c>
      <c r="R185" s="12">
        <f t="shared" si="26"/>
        <v>0</v>
      </c>
    </row>
    <row r="186" ht="14.25" spans="1:18">
      <c r="A186" s="15">
        <v>46020</v>
      </c>
      <c r="B186" s="3">
        <f>Data_Entry!P275</f>
        <v>10289.9999999999</v>
      </c>
      <c r="C186" s="3">
        <v>0</v>
      </c>
      <c r="D186" s="4">
        <f>Data_Entry!V275</f>
        <v>3.6</v>
      </c>
      <c r="E186" s="5">
        <f t="shared" si="18"/>
        <v>0.177830775611777</v>
      </c>
      <c r="F186" s="6">
        <v>0</v>
      </c>
      <c r="G186" s="6">
        <v>0</v>
      </c>
      <c r="H186" s="7">
        <f t="shared" si="19"/>
        <v>0</v>
      </c>
      <c r="I186" s="7">
        <f t="shared" si="20"/>
        <v>0</v>
      </c>
      <c r="J186" s="8">
        <v>2411</v>
      </c>
      <c r="K186" s="9"/>
      <c r="L186" s="8">
        <f t="shared" si="21"/>
        <v>28932</v>
      </c>
      <c r="M186" s="7">
        <f t="shared" si="22"/>
        <v>0</v>
      </c>
      <c r="N186" s="10">
        <f t="shared" si="23"/>
        <v>1</v>
      </c>
      <c r="O186" s="11">
        <f t="shared" si="24"/>
        <v>0.177830775611777</v>
      </c>
      <c r="P186" s="11"/>
      <c r="Q186" s="8">
        <f t="shared" si="25"/>
        <v>10289.9999999999</v>
      </c>
      <c r="R186" s="12">
        <f t="shared" si="26"/>
        <v>0</v>
      </c>
    </row>
    <row r="187" ht="14.25" spans="1:18">
      <c r="A187" s="15">
        <v>46021</v>
      </c>
      <c r="B187" s="3">
        <f>Data_Entry!P276</f>
        <v>10440.0000000001</v>
      </c>
      <c r="C187" s="3">
        <v>0</v>
      </c>
      <c r="D187" s="4">
        <f>Data_Entry!V276</f>
        <v>3.5</v>
      </c>
      <c r="E187" s="5">
        <f t="shared" si="18"/>
        <v>0.180423060970553</v>
      </c>
      <c r="F187" s="6">
        <v>0</v>
      </c>
      <c r="G187" s="6">
        <v>0</v>
      </c>
      <c r="H187" s="7">
        <f t="shared" si="19"/>
        <v>0</v>
      </c>
      <c r="I187" s="7">
        <f t="shared" si="20"/>
        <v>0</v>
      </c>
      <c r="J187" s="8">
        <v>2411</v>
      </c>
      <c r="K187" s="9"/>
      <c r="L187" s="8">
        <f t="shared" si="21"/>
        <v>28932</v>
      </c>
      <c r="M187" s="7">
        <f t="shared" si="22"/>
        <v>0</v>
      </c>
      <c r="N187" s="10">
        <f t="shared" si="23"/>
        <v>1</v>
      </c>
      <c r="O187" s="11">
        <f t="shared" si="24"/>
        <v>0.180423060970553</v>
      </c>
      <c r="P187" s="11"/>
      <c r="Q187" s="8">
        <f t="shared" si="25"/>
        <v>10440.0000000001</v>
      </c>
      <c r="R187" s="12">
        <f t="shared" si="26"/>
        <v>0</v>
      </c>
    </row>
    <row r="188" ht="14.25" spans="1:18">
      <c r="A188" s="15">
        <v>46022</v>
      </c>
      <c r="B188" s="3">
        <f>Data_Entry!P277</f>
        <v>7410.00000000008</v>
      </c>
      <c r="C188" s="3">
        <v>0</v>
      </c>
      <c r="D188" s="4">
        <f>Data_Entry!V277</f>
        <v>3.1</v>
      </c>
      <c r="E188" s="5">
        <f t="shared" si="18"/>
        <v>0.128058896723353</v>
      </c>
      <c r="F188" s="6">
        <v>0</v>
      </c>
      <c r="G188" s="6">
        <v>0</v>
      </c>
      <c r="H188" s="7">
        <f t="shared" si="19"/>
        <v>0</v>
      </c>
      <c r="I188" s="7">
        <f t="shared" si="20"/>
        <v>0</v>
      </c>
      <c r="J188" s="8">
        <v>2411</v>
      </c>
      <c r="K188" s="9"/>
      <c r="L188" s="8">
        <f t="shared" si="21"/>
        <v>28932</v>
      </c>
      <c r="M188" s="7">
        <f t="shared" si="22"/>
        <v>0</v>
      </c>
      <c r="N188" s="10">
        <f t="shared" si="23"/>
        <v>1</v>
      </c>
      <c r="O188" s="11">
        <f t="shared" si="24"/>
        <v>0.128058896723353</v>
      </c>
      <c r="P188" s="11"/>
      <c r="Q188" s="8">
        <f t="shared" si="25"/>
        <v>7410.00000000008</v>
      </c>
      <c r="R188" s="12">
        <f t="shared" si="26"/>
        <v>0</v>
      </c>
    </row>
    <row r="189" ht="14.25" spans="1:18">
      <c r="A189" s="15">
        <v>46023</v>
      </c>
      <c r="B189" s="3">
        <f>Data_Entry!P278</f>
        <v>11309.9999999999</v>
      </c>
      <c r="C189" s="3">
        <v>0</v>
      </c>
      <c r="D189" s="4">
        <f>Data_Entry!V278</f>
        <v>3.58</v>
      </c>
      <c r="E189" s="5">
        <f t="shared" si="18"/>
        <v>0.19545831605143</v>
      </c>
      <c r="F189" s="6">
        <v>0</v>
      </c>
      <c r="G189" s="6">
        <v>0</v>
      </c>
      <c r="H189" s="7">
        <f t="shared" si="19"/>
        <v>0</v>
      </c>
      <c r="I189" s="7">
        <f t="shared" si="20"/>
        <v>0</v>
      </c>
      <c r="J189" s="8">
        <v>2411</v>
      </c>
      <c r="K189" s="9"/>
      <c r="L189" s="8">
        <f t="shared" si="21"/>
        <v>28932</v>
      </c>
      <c r="M189" s="7">
        <f t="shared" si="22"/>
        <v>0</v>
      </c>
      <c r="N189" s="10">
        <f t="shared" si="23"/>
        <v>1</v>
      </c>
      <c r="O189" s="11">
        <f t="shared" si="24"/>
        <v>0.19545831605143</v>
      </c>
      <c r="P189" s="11"/>
      <c r="Q189" s="8">
        <f t="shared" si="25"/>
        <v>11309.9999999999</v>
      </c>
      <c r="R189" s="12">
        <f t="shared" si="26"/>
        <v>0</v>
      </c>
    </row>
    <row r="190" ht="14.25" spans="1:18">
      <c r="A190" s="15">
        <v>46024</v>
      </c>
      <c r="B190" s="3">
        <f>Data_Entry!P279</f>
        <v>11730.0000000002</v>
      </c>
      <c r="C190" s="3">
        <v>0</v>
      </c>
      <c r="D190" s="4">
        <f>Data_Entry!V279</f>
        <v>3.9</v>
      </c>
      <c r="E190" s="5">
        <f t="shared" si="18"/>
        <v>0.202716715055998</v>
      </c>
      <c r="F190" s="6">
        <v>0</v>
      </c>
      <c r="G190" s="6">
        <v>0</v>
      </c>
      <c r="H190" s="7">
        <f t="shared" si="19"/>
        <v>0</v>
      </c>
      <c r="I190" s="7">
        <f t="shared" si="20"/>
        <v>0</v>
      </c>
      <c r="J190" s="8">
        <v>2411</v>
      </c>
      <c r="K190" s="9"/>
      <c r="L190" s="8">
        <f t="shared" si="21"/>
        <v>28932</v>
      </c>
      <c r="M190" s="7">
        <f t="shared" si="22"/>
        <v>0</v>
      </c>
      <c r="N190" s="10">
        <f t="shared" si="23"/>
        <v>1</v>
      </c>
      <c r="O190" s="11">
        <f t="shared" si="24"/>
        <v>0.202716715055998</v>
      </c>
      <c r="P190" s="11"/>
      <c r="Q190" s="8">
        <f t="shared" si="25"/>
        <v>11730.0000000002</v>
      </c>
      <c r="R190" s="12">
        <f t="shared" si="26"/>
        <v>0</v>
      </c>
    </row>
    <row r="191" ht="14.25" spans="1:18">
      <c r="A191" s="15">
        <v>46025</v>
      </c>
      <c r="B191" s="3">
        <f>Data_Entry!P280</f>
        <v>7889.99999999999</v>
      </c>
      <c r="C191" s="3">
        <v>0</v>
      </c>
      <c r="D191" s="4">
        <f>Data_Entry!V280</f>
        <v>2.91</v>
      </c>
      <c r="E191" s="5">
        <f t="shared" si="18"/>
        <v>0.136354209871422</v>
      </c>
      <c r="F191" s="6">
        <v>0.46875</v>
      </c>
      <c r="G191" s="6">
        <v>0.569444444444444</v>
      </c>
      <c r="H191" s="7">
        <f t="shared" si="19"/>
        <v>145</v>
      </c>
      <c r="I191" s="7">
        <f t="shared" si="20"/>
        <v>2.41666666666667</v>
      </c>
      <c r="J191" s="8">
        <v>2411</v>
      </c>
      <c r="K191" s="9">
        <v>2411</v>
      </c>
      <c r="L191" s="8">
        <f t="shared" si="21"/>
        <v>28932</v>
      </c>
      <c r="M191" s="7">
        <f t="shared" si="22"/>
        <v>5826.58333333333</v>
      </c>
      <c r="N191" s="10">
        <f t="shared" si="23"/>
        <v>0.798611111111111</v>
      </c>
      <c r="O191" s="11">
        <f t="shared" si="24"/>
        <v>0.170739184534651</v>
      </c>
      <c r="P191" s="11"/>
      <c r="Q191" s="8">
        <f t="shared" si="25"/>
        <v>9879.65217391303</v>
      </c>
      <c r="R191" s="12">
        <f t="shared" si="26"/>
        <v>1989.65217391304</v>
      </c>
    </row>
    <row r="192" ht="14.25" spans="1:18">
      <c r="A192" s="15">
        <v>46026</v>
      </c>
      <c r="B192" s="3">
        <f>Data_Entry!P281</f>
        <v>12569.9999999998</v>
      </c>
      <c r="C192" s="3">
        <v>0</v>
      </c>
      <c r="D192" s="4">
        <f>Data_Entry!V281</f>
        <v>4.15</v>
      </c>
      <c r="E192" s="5">
        <f t="shared" si="18"/>
        <v>0.217233513065115</v>
      </c>
      <c r="F192" s="6">
        <v>0</v>
      </c>
      <c r="G192" s="6">
        <v>0</v>
      </c>
      <c r="H192" s="7">
        <f t="shared" si="19"/>
        <v>0</v>
      </c>
      <c r="I192" s="7">
        <f t="shared" si="20"/>
        <v>0</v>
      </c>
      <c r="J192" s="8">
        <v>2411</v>
      </c>
      <c r="K192" s="9"/>
      <c r="L192" s="8">
        <f t="shared" si="21"/>
        <v>28932</v>
      </c>
      <c r="M192" s="7">
        <f t="shared" si="22"/>
        <v>0</v>
      </c>
      <c r="N192" s="10">
        <f t="shared" si="23"/>
        <v>1</v>
      </c>
      <c r="O192" s="11">
        <f t="shared" si="24"/>
        <v>0.217233513065115</v>
      </c>
      <c r="P192" s="11"/>
      <c r="Q192" s="8">
        <f t="shared" si="25"/>
        <v>12569.9999999998</v>
      </c>
      <c r="R192" s="12">
        <f t="shared" si="26"/>
        <v>0</v>
      </c>
    </row>
    <row r="193" ht="14.25" spans="1:18">
      <c r="A193" s="15">
        <v>46027</v>
      </c>
      <c r="B193" s="3">
        <f>Data_Entry!P282</f>
        <v>12000</v>
      </c>
      <c r="C193" s="3">
        <v>0</v>
      </c>
      <c r="D193" s="4">
        <f>Data_Entry!V282</f>
        <v>4</v>
      </c>
      <c r="E193" s="5">
        <f t="shared" si="18"/>
        <v>0.207382828701783</v>
      </c>
      <c r="F193" s="6">
        <v>0</v>
      </c>
      <c r="G193" s="6">
        <v>0</v>
      </c>
      <c r="H193" s="7">
        <f t="shared" si="19"/>
        <v>0</v>
      </c>
      <c r="I193" s="7">
        <f t="shared" si="20"/>
        <v>0</v>
      </c>
      <c r="J193" s="8">
        <v>2411</v>
      </c>
      <c r="K193" s="9"/>
      <c r="L193" s="8">
        <f t="shared" si="21"/>
        <v>28932</v>
      </c>
      <c r="M193" s="7">
        <f t="shared" si="22"/>
        <v>0</v>
      </c>
      <c r="N193" s="10">
        <f t="shared" si="23"/>
        <v>1</v>
      </c>
      <c r="O193" s="11">
        <f t="shared" si="24"/>
        <v>0.207382828701783</v>
      </c>
      <c r="P193" s="11"/>
      <c r="Q193" s="8">
        <f t="shared" si="25"/>
        <v>12000</v>
      </c>
      <c r="R193" s="12">
        <f t="shared" si="26"/>
        <v>0</v>
      </c>
    </row>
    <row r="194" ht="14.25" spans="1:18">
      <c r="A194" s="15">
        <v>46028</v>
      </c>
      <c r="B194" s="3">
        <f>Data_Entry!P283</f>
        <v>11820.0000000002</v>
      </c>
      <c r="C194" s="3">
        <v>0</v>
      </c>
      <c r="D194" s="4">
        <f>Data_Entry!V283</f>
        <v>4.02</v>
      </c>
      <c r="E194" s="5">
        <f t="shared" si="18"/>
        <v>0.20427208627126</v>
      </c>
      <c r="F194" s="6">
        <v>0</v>
      </c>
      <c r="G194" s="6">
        <v>0</v>
      </c>
      <c r="H194" s="7">
        <f t="shared" si="19"/>
        <v>0</v>
      </c>
      <c r="I194" s="7">
        <f t="shared" si="20"/>
        <v>0</v>
      </c>
      <c r="J194" s="8">
        <v>2411</v>
      </c>
      <c r="K194" s="9"/>
      <c r="L194" s="8">
        <f t="shared" si="21"/>
        <v>28932</v>
      </c>
      <c r="M194" s="7">
        <f t="shared" si="22"/>
        <v>0</v>
      </c>
      <c r="N194" s="10">
        <f t="shared" si="23"/>
        <v>1</v>
      </c>
      <c r="O194" s="11">
        <f t="shared" si="24"/>
        <v>0.20427208627126</v>
      </c>
      <c r="P194" s="11"/>
      <c r="Q194" s="8">
        <f t="shared" si="25"/>
        <v>11820.0000000002</v>
      </c>
      <c r="R194" s="12">
        <f t="shared" si="26"/>
        <v>0</v>
      </c>
    </row>
    <row r="195" ht="14.25" spans="1:18">
      <c r="A195" s="15">
        <v>46029</v>
      </c>
      <c r="B195" s="3">
        <f>Data_Entry!P284</f>
        <v>11729.9999999999</v>
      </c>
      <c r="C195" s="3">
        <v>0</v>
      </c>
      <c r="D195" s="4">
        <f>Data_Entry!V284</f>
        <v>4</v>
      </c>
      <c r="E195" s="5">
        <f t="shared" si="18"/>
        <v>0.202716715055992</v>
      </c>
      <c r="F195" s="6">
        <v>0</v>
      </c>
      <c r="G195" s="6">
        <v>0</v>
      </c>
      <c r="H195" s="7">
        <f t="shared" si="19"/>
        <v>0</v>
      </c>
      <c r="I195" s="7">
        <f t="shared" si="20"/>
        <v>0</v>
      </c>
      <c r="J195" s="8">
        <v>2411</v>
      </c>
      <c r="K195" s="9"/>
      <c r="L195" s="8">
        <f t="shared" si="21"/>
        <v>28932</v>
      </c>
      <c r="M195" s="7">
        <f t="shared" si="22"/>
        <v>0</v>
      </c>
      <c r="N195" s="10">
        <f t="shared" si="23"/>
        <v>1</v>
      </c>
      <c r="O195" s="11">
        <f t="shared" si="24"/>
        <v>0.202716715055992</v>
      </c>
      <c r="P195" s="11"/>
      <c r="Q195" s="8">
        <f t="shared" si="25"/>
        <v>11729.9999999999</v>
      </c>
      <c r="R195" s="12">
        <f t="shared" si="26"/>
        <v>0</v>
      </c>
    </row>
    <row r="196" ht="14.25" spans="1:18">
      <c r="A196" s="15">
        <v>46030</v>
      </c>
      <c r="B196" s="3">
        <f>Data_Entry!P285</f>
        <v>10470</v>
      </c>
      <c r="C196" s="3">
        <v>0</v>
      </c>
      <c r="D196" s="4">
        <f>Data_Entry!V285</f>
        <v>3.77</v>
      </c>
      <c r="E196" s="5">
        <f t="shared" si="18"/>
        <v>0.180941518042307</v>
      </c>
      <c r="F196" s="6">
        <v>0</v>
      </c>
      <c r="G196" s="6">
        <v>0</v>
      </c>
      <c r="H196" s="7">
        <f t="shared" si="19"/>
        <v>0</v>
      </c>
      <c r="I196" s="7">
        <f t="shared" si="20"/>
        <v>0</v>
      </c>
      <c r="J196" s="8">
        <v>2411</v>
      </c>
      <c r="K196" s="9"/>
      <c r="L196" s="8">
        <f t="shared" si="21"/>
        <v>28932</v>
      </c>
      <c r="M196" s="7">
        <f t="shared" si="22"/>
        <v>0</v>
      </c>
      <c r="N196" s="10">
        <f t="shared" si="23"/>
        <v>1</v>
      </c>
      <c r="O196" s="11">
        <f t="shared" si="24"/>
        <v>0.180941518042307</v>
      </c>
      <c r="P196" s="11"/>
      <c r="Q196" s="8">
        <f t="shared" si="25"/>
        <v>10470</v>
      </c>
      <c r="R196" s="12">
        <f t="shared" si="26"/>
        <v>0</v>
      </c>
    </row>
    <row r="197" ht="14.25" spans="1:18">
      <c r="A197" s="15">
        <v>46031</v>
      </c>
      <c r="B197" s="3">
        <f>Data_Entry!P286</f>
        <v>10110</v>
      </c>
      <c r="C197" s="3">
        <v>7</v>
      </c>
      <c r="D197" s="4">
        <f>Data_Entry!V286</f>
        <v>3.81</v>
      </c>
      <c r="E197" s="5">
        <f t="shared" ref="E197:E260" si="27">B197/(24*J197)</f>
        <v>0.174720033181253</v>
      </c>
      <c r="F197" s="6">
        <v>0.348611111111111</v>
      </c>
      <c r="G197" s="6">
        <v>0.427777777777778</v>
      </c>
      <c r="H197" s="7">
        <f t="shared" ref="H197:H260" si="28">(G197-F197)*24*60</f>
        <v>114</v>
      </c>
      <c r="I197" s="7">
        <f t="shared" ref="I197:I260" si="29">H197/60</f>
        <v>1.90000000000001</v>
      </c>
      <c r="J197" s="8">
        <v>2411</v>
      </c>
      <c r="K197" s="9">
        <v>2411</v>
      </c>
      <c r="L197" s="8">
        <f t="shared" ref="L197:L260" si="30">J197*12</f>
        <v>28932</v>
      </c>
      <c r="M197" s="7">
        <f t="shared" ref="M197:M260" si="31">K197*I197</f>
        <v>4580.90000000002</v>
      </c>
      <c r="N197" s="10">
        <f t="shared" ref="N197:N260" si="32">(L197-M197)/L197</f>
        <v>0.841666666666666</v>
      </c>
      <c r="O197" s="11">
        <f t="shared" ref="O197:O260" si="33">E197/N197</f>
        <v>0.207588158235152</v>
      </c>
      <c r="P197" s="11"/>
      <c r="Q197" s="8">
        <f t="shared" ref="Q197:Q260" si="34">O197*J197*24</f>
        <v>12011.8811881188</v>
      </c>
      <c r="R197" s="12">
        <f t="shared" ref="R197:R260" si="35">Q197-B197</f>
        <v>1901.88118811882</v>
      </c>
    </row>
    <row r="198" ht="14.25" spans="1:18">
      <c r="A198" s="15">
        <v>46032</v>
      </c>
      <c r="B198" s="3">
        <f>Data_Entry!P287</f>
        <v>11940.0000000001</v>
      </c>
      <c r="C198" s="3">
        <v>0</v>
      </c>
      <c r="D198" s="4">
        <f>Data_Entry!V287</f>
        <v>4.11</v>
      </c>
      <c r="E198" s="5">
        <f t="shared" si="27"/>
        <v>0.206345914558276</v>
      </c>
      <c r="F198" s="6">
        <v>0</v>
      </c>
      <c r="G198" s="6">
        <v>0</v>
      </c>
      <c r="H198" s="7">
        <f t="shared" si="28"/>
        <v>0</v>
      </c>
      <c r="I198" s="7">
        <f t="shared" si="29"/>
        <v>0</v>
      </c>
      <c r="J198" s="8">
        <v>2411</v>
      </c>
      <c r="K198" s="9"/>
      <c r="L198" s="8">
        <f t="shared" si="30"/>
        <v>28932</v>
      </c>
      <c r="M198" s="7">
        <f t="shared" si="31"/>
        <v>0</v>
      </c>
      <c r="N198" s="10">
        <f t="shared" si="32"/>
        <v>1</v>
      </c>
      <c r="O198" s="11">
        <f t="shared" si="33"/>
        <v>0.206345914558276</v>
      </c>
      <c r="P198" s="11"/>
      <c r="Q198" s="8">
        <f t="shared" si="34"/>
        <v>11940.0000000001</v>
      </c>
      <c r="R198" s="12">
        <f t="shared" si="35"/>
        <v>0</v>
      </c>
    </row>
    <row r="199" ht="14.25" spans="1:18">
      <c r="A199" s="15">
        <v>46033</v>
      </c>
      <c r="B199" s="3">
        <f>Data_Entry!P288</f>
        <v>12089.9999999999</v>
      </c>
      <c r="C199" s="3">
        <v>0</v>
      </c>
      <c r="D199" s="4">
        <f>Data_Entry!V288</f>
        <v>4.08</v>
      </c>
      <c r="E199" s="5">
        <f t="shared" si="27"/>
        <v>0.208938199917045</v>
      </c>
      <c r="F199" s="6">
        <v>0</v>
      </c>
      <c r="G199" s="6">
        <v>0</v>
      </c>
      <c r="H199" s="7">
        <f t="shared" si="28"/>
        <v>0</v>
      </c>
      <c r="I199" s="7">
        <f t="shared" si="29"/>
        <v>0</v>
      </c>
      <c r="J199" s="8">
        <v>2411</v>
      </c>
      <c r="K199" s="9"/>
      <c r="L199" s="8">
        <f t="shared" si="30"/>
        <v>28932</v>
      </c>
      <c r="M199" s="7">
        <f t="shared" si="31"/>
        <v>0</v>
      </c>
      <c r="N199" s="10">
        <f t="shared" si="32"/>
        <v>1</v>
      </c>
      <c r="O199" s="11">
        <f t="shared" si="33"/>
        <v>0.208938199917045</v>
      </c>
      <c r="P199" s="11"/>
      <c r="Q199" s="8">
        <f t="shared" si="34"/>
        <v>12089.9999999999</v>
      </c>
      <c r="R199" s="12">
        <f t="shared" si="35"/>
        <v>0</v>
      </c>
    </row>
    <row r="200" ht="14.25" spans="1:18">
      <c r="A200" s="15">
        <v>46034</v>
      </c>
      <c r="B200" s="3">
        <f>Data_Entry!P289</f>
        <v>11489.9999999998</v>
      </c>
      <c r="C200" s="3">
        <v>0</v>
      </c>
      <c r="D200" s="4">
        <f>Data_Entry!V289</f>
        <v>3.96</v>
      </c>
      <c r="E200" s="5">
        <f t="shared" si="27"/>
        <v>0.198569058481954</v>
      </c>
      <c r="F200" s="6">
        <v>0</v>
      </c>
      <c r="G200" s="6">
        <v>0</v>
      </c>
      <c r="H200" s="7">
        <f t="shared" si="28"/>
        <v>0</v>
      </c>
      <c r="I200" s="7">
        <f t="shared" si="29"/>
        <v>0</v>
      </c>
      <c r="J200" s="8">
        <v>2411</v>
      </c>
      <c r="K200" s="9"/>
      <c r="L200" s="8">
        <f t="shared" si="30"/>
        <v>28932</v>
      </c>
      <c r="M200" s="7">
        <f t="shared" si="31"/>
        <v>0</v>
      </c>
      <c r="N200" s="10">
        <f t="shared" si="32"/>
        <v>1</v>
      </c>
      <c r="O200" s="11">
        <f t="shared" si="33"/>
        <v>0.198569058481954</v>
      </c>
      <c r="P200" s="11"/>
      <c r="Q200" s="8">
        <f t="shared" si="34"/>
        <v>11489.9999999998</v>
      </c>
      <c r="R200" s="12">
        <f t="shared" si="35"/>
        <v>0</v>
      </c>
    </row>
    <row r="201" ht="14.25" spans="1:18">
      <c r="A201" s="15">
        <v>46035</v>
      </c>
      <c r="B201" s="3">
        <f>Data_Entry!P290</f>
        <v>11160.0000000001</v>
      </c>
      <c r="C201" s="3">
        <v>0</v>
      </c>
      <c r="D201" s="4">
        <f>Data_Entry!V290</f>
        <v>3.88</v>
      </c>
      <c r="E201" s="5">
        <f t="shared" si="27"/>
        <v>0.19286603069266</v>
      </c>
      <c r="F201" s="6">
        <v>0</v>
      </c>
      <c r="G201" s="6">
        <v>0</v>
      </c>
      <c r="H201" s="7">
        <f t="shared" si="28"/>
        <v>0</v>
      </c>
      <c r="I201" s="7">
        <f t="shared" si="29"/>
        <v>0</v>
      </c>
      <c r="J201" s="8">
        <v>2411</v>
      </c>
      <c r="K201" s="9"/>
      <c r="L201" s="8">
        <f t="shared" si="30"/>
        <v>28932</v>
      </c>
      <c r="M201" s="7">
        <f t="shared" si="31"/>
        <v>0</v>
      </c>
      <c r="N201" s="10">
        <f t="shared" si="32"/>
        <v>1</v>
      </c>
      <c r="O201" s="11">
        <f t="shared" si="33"/>
        <v>0.19286603069266</v>
      </c>
      <c r="P201" s="11"/>
      <c r="Q201" s="8">
        <f t="shared" si="34"/>
        <v>11160.0000000001</v>
      </c>
      <c r="R201" s="12">
        <f t="shared" si="35"/>
        <v>0</v>
      </c>
    </row>
    <row r="202" ht="14.25" spans="1:18">
      <c r="A202" s="15">
        <v>46036</v>
      </c>
      <c r="B202" s="3">
        <f>Data_Entry!P291</f>
        <v>10920</v>
      </c>
      <c r="C202" s="3">
        <v>0</v>
      </c>
      <c r="D202" s="4">
        <f>Data_Entry!V291</f>
        <v>3.65</v>
      </c>
      <c r="E202" s="5">
        <f t="shared" si="27"/>
        <v>0.188718374118623</v>
      </c>
      <c r="F202" s="6">
        <v>0</v>
      </c>
      <c r="G202" s="6">
        <v>0</v>
      </c>
      <c r="H202" s="7">
        <f t="shared" si="28"/>
        <v>0</v>
      </c>
      <c r="I202" s="7">
        <f t="shared" si="29"/>
        <v>0</v>
      </c>
      <c r="J202" s="8">
        <v>2411</v>
      </c>
      <c r="K202" s="9"/>
      <c r="L202" s="8">
        <f t="shared" si="30"/>
        <v>28932</v>
      </c>
      <c r="M202" s="7">
        <f t="shared" si="31"/>
        <v>0</v>
      </c>
      <c r="N202" s="10">
        <f t="shared" si="32"/>
        <v>1</v>
      </c>
      <c r="O202" s="11">
        <f t="shared" si="33"/>
        <v>0.188718374118623</v>
      </c>
      <c r="P202" s="11"/>
      <c r="Q202" s="8">
        <f t="shared" si="34"/>
        <v>10920</v>
      </c>
      <c r="R202" s="12">
        <f t="shared" si="35"/>
        <v>0</v>
      </c>
    </row>
    <row r="203" ht="14.25" spans="1:18">
      <c r="A203" s="15">
        <v>46037</v>
      </c>
      <c r="B203" s="3">
        <f>Data_Entry!P292</f>
        <v>13080</v>
      </c>
      <c r="C203" s="3">
        <v>0</v>
      </c>
      <c r="D203" s="4">
        <f>Data_Entry!V292</f>
        <v>4.38</v>
      </c>
      <c r="E203" s="5">
        <f t="shared" si="27"/>
        <v>0.226047283284944</v>
      </c>
      <c r="F203" s="6">
        <v>0</v>
      </c>
      <c r="G203" s="6">
        <v>0</v>
      </c>
      <c r="H203" s="7">
        <f t="shared" si="28"/>
        <v>0</v>
      </c>
      <c r="I203" s="7">
        <f t="shared" si="29"/>
        <v>0</v>
      </c>
      <c r="J203" s="8">
        <v>2411</v>
      </c>
      <c r="K203" s="9"/>
      <c r="L203" s="8">
        <f t="shared" si="30"/>
        <v>28932</v>
      </c>
      <c r="M203" s="7">
        <f t="shared" si="31"/>
        <v>0</v>
      </c>
      <c r="N203" s="10">
        <f t="shared" si="32"/>
        <v>1</v>
      </c>
      <c r="O203" s="11">
        <f t="shared" si="33"/>
        <v>0.226047283284944</v>
      </c>
      <c r="P203" s="11"/>
      <c r="Q203" s="8">
        <f t="shared" si="34"/>
        <v>13080</v>
      </c>
      <c r="R203" s="12">
        <f t="shared" si="35"/>
        <v>0</v>
      </c>
    </row>
    <row r="204" ht="14.25" spans="1:18">
      <c r="A204" s="15">
        <v>46038</v>
      </c>
      <c r="B204" s="3">
        <f>Data_Entry!P293</f>
        <v>12270.0000000001</v>
      </c>
      <c r="C204" s="3">
        <v>0</v>
      </c>
      <c r="D204" s="4">
        <f>Data_Entry!V293</f>
        <v>4.28</v>
      </c>
      <c r="E204" s="5">
        <f t="shared" si="27"/>
        <v>0.212048942347575</v>
      </c>
      <c r="F204" s="6">
        <v>0</v>
      </c>
      <c r="G204" s="6">
        <v>0</v>
      </c>
      <c r="H204" s="7">
        <f t="shared" si="28"/>
        <v>0</v>
      </c>
      <c r="I204" s="7">
        <f t="shared" si="29"/>
        <v>0</v>
      </c>
      <c r="J204" s="8">
        <v>2411</v>
      </c>
      <c r="K204" s="9"/>
      <c r="L204" s="8">
        <f t="shared" si="30"/>
        <v>28932</v>
      </c>
      <c r="M204" s="7">
        <f t="shared" si="31"/>
        <v>0</v>
      </c>
      <c r="N204" s="10">
        <f t="shared" si="32"/>
        <v>1</v>
      </c>
      <c r="O204" s="11">
        <f t="shared" si="33"/>
        <v>0.212048942347575</v>
      </c>
      <c r="P204" s="11"/>
      <c r="Q204" s="8">
        <f t="shared" si="34"/>
        <v>12270.0000000001</v>
      </c>
      <c r="R204" s="12">
        <f t="shared" si="35"/>
        <v>0</v>
      </c>
    </row>
    <row r="205" ht="14.25" spans="1:18">
      <c r="A205" s="15">
        <v>46039</v>
      </c>
      <c r="B205" s="3">
        <f>Data_Entry!P294</f>
        <v>12300.0000000001</v>
      </c>
      <c r="C205" s="3">
        <v>0</v>
      </c>
      <c r="D205" s="4">
        <f>Data_Entry!V294</f>
        <v>4.08</v>
      </c>
      <c r="E205" s="5">
        <f t="shared" si="27"/>
        <v>0.21256739941933</v>
      </c>
      <c r="F205" s="6">
        <v>0</v>
      </c>
      <c r="G205" s="6">
        <v>0</v>
      </c>
      <c r="H205" s="7">
        <f t="shared" si="28"/>
        <v>0</v>
      </c>
      <c r="I205" s="7">
        <f t="shared" si="29"/>
        <v>0</v>
      </c>
      <c r="J205" s="8">
        <v>2411</v>
      </c>
      <c r="K205" s="9"/>
      <c r="L205" s="8">
        <f t="shared" si="30"/>
        <v>28932</v>
      </c>
      <c r="M205" s="7">
        <f t="shared" si="31"/>
        <v>0</v>
      </c>
      <c r="N205" s="10">
        <f t="shared" si="32"/>
        <v>1</v>
      </c>
      <c r="O205" s="11">
        <f t="shared" si="33"/>
        <v>0.21256739941933</v>
      </c>
      <c r="P205" s="11"/>
      <c r="Q205" s="8">
        <f t="shared" si="34"/>
        <v>12300.0000000001</v>
      </c>
      <c r="R205" s="12">
        <f t="shared" si="35"/>
        <v>0</v>
      </c>
    </row>
    <row r="206" ht="14.25" spans="1:18">
      <c r="A206" s="15">
        <v>46040</v>
      </c>
      <c r="B206" s="3">
        <f>Data_Entry!P295</f>
        <v>12599.9999999998</v>
      </c>
      <c r="C206" s="3">
        <v>0</v>
      </c>
      <c r="D206" s="4">
        <f>Data_Entry!V295</f>
        <v>3.94</v>
      </c>
      <c r="E206" s="5">
        <f t="shared" si="27"/>
        <v>0.217751970136869</v>
      </c>
      <c r="F206" s="6">
        <v>0</v>
      </c>
      <c r="G206" s="6">
        <v>0</v>
      </c>
      <c r="H206" s="7">
        <f t="shared" si="28"/>
        <v>0</v>
      </c>
      <c r="I206" s="7">
        <f t="shared" si="29"/>
        <v>0</v>
      </c>
      <c r="J206" s="8">
        <v>2411</v>
      </c>
      <c r="K206" s="9"/>
      <c r="L206" s="8">
        <f t="shared" si="30"/>
        <v>28932</v>
      </c>
      <c r="M206" s="7">
        <f t="shared" si="31"/>
        <v>0</v>
      </c>
      <c r="N206" s="10">
        <f t="shared" si="32"/>
        <v>1</v>
      </c>
      <c r="O206" s="11">
        <f t="shared" si="33"/>
        <v>0.217751970136869</v>
      </c>
      <c r="P206" s="11"/>
      <c r="Q206" s="8">
        <f t="shared" si="34"/>
        <v>12599.9999999998</v>
      </c>
      <c r="R206" s="12">
        <f t="shared" si="35"/>
        <v>0</v>
      </c>
    </row>
    <row r="207" ht="14.25" spans="1:18">
      <c r="A207" s="15">
        <v>46041</v>
      </c>
      <c r="B207" s="3">
        <f>Data_Entry!P296</f>
        <v>12810.0000000003</v>
      </c>
      <c r="C207" s="3">
        <v>0</v>
      </c>
      <c r="D207" s="4">
        <f>Data_Entry!V296</f>
        <v>4.16</v>
      </c>
      <c r="E207" s="5">
        <f t="shared" si="27"/>
        <v>0.221381169639159</v>
      </c>
      <c r="F207" s="6">
        <v>0</v>
      </c>
      <c r="G207" s="6">
        <v>0</v>
      </c>
      <c r="H207" s="7">
        <f t="shared" si="28"/>
        <v>0</v>
      </c>
      <c r="I207" s="7">
        <f t="shared" si="29"/>
        <v>0</v>
      </c>
      <c r="J207" s="8">
        <v>2411</v>
      </c>
      <c r="K207" s="9"/>
      <c r="L207" s="8">
        <f t="shared" si="30"/>
        <v>28932</v>
      </c>
      <c r="M207" s="7">
        <f t="shared" si="31"/>
        <v>0</v>
      </c>
      <c r="N207" s="10">
        <f t="shared" si="32"/>
        <v>1</v>
      </c>
      <c r="O207" s="11">
        <f t="shared" si="33"/>
        <v>0.221381169639159</v>
      </c>
      <c r="P207" s="11"/>
      <c r="Q207" s="8">
        <f t="shared" si="34"/>
        <v>12810.0000000003</v>
      </c>
      <c r="R207" s="12">
        <f t="shared" si="35"/>
        <v>0</v>
      </c>
    </row>
    <row r="208" ht="14.25" spans="1:18">
      <c r="A208" s="15">
        <v>46042</v>
      </c>
      <c r="B208" s="3">
        <f>Data_Entry!P297</f>
        <v>10409.9999999997</v>
      </c>
      <c r="C208" s="3">
        <v>0</v>
      </c>
      <c r="D208" s="4">
        <f>Data_Entry!V297</f>
        <v>3.75</v>
      </c>
      <c r="E208" s="5">
        <f t="shared" si="27"/>
        <v>0.179904603898792</v>
      </c>
      <c r="F208" s="6">
        <v>0</v>
      </c>
      <c r="G208" s="6">
        <v>0</v>
      </c>
      <c r="H208" s="7">
        <f t="shared" si="28"/>
        <v>0</v>
      </c>
      <c r="I208" s="7">
        <f t="shared" si="29"/>
        <v>0</v>
      </c>
      <c r="J208" s="8">
        <v>2411</v>
      </c>
      <c r="K208" s="9"/>
      <c r="L208" s="8">
        <f t="shared" si="30"/>
        <v>28932</v>
      </c>
      <c r="M208" s="7">
        <f t="shared" si="31"/>
        <v>0</v>
      </c>
      <c r="N208" s="10">
        <f t="shared" si="32"/>
        <v>1</v>
      </c>
      <c r="O208" s="11">
        <f t="shared" si="33"/>
        <v>0.179904603898792</v>
      </c>
      <c r="P208" s="11"/>
      <c r="Q208" s="8">
        <f t="shared" si="34"/>
        <v>10409.9999999997</v>
      </c>
      <c r="R208" s="12">
        <f t="shared" si="35"/>
        <v>0</v>
      </c>
    </row>
    <row r="209" ht="14.25" spans="1:18">
      <c r="A209" s="15">
        <v>46043</v>
      </c>
      <c r="B209" s="3">
        <f>Data_Entry!P298</f>
        <v>11370.0000000002</v>
      </c>
      <c r="C209" s="3">
        <v>0</v>
      </c>
      <c r="D209" s="4">
        <f>Data_Entry!V298</f>
        <v>3.85</v>
      </c>
      <c r="E209" s="5">
        <f t="shared" si="27"/>
        <v>0.196495230194943</v>
      </c>
      <c r="F209" s="6">
        <v>0</v>
      </c>
      <c r="G209" s="6">
        <v>0</v>
      </c>
      <c r="H209" s="7">
        <f t="shared" si="28"/>
        <v>0</v>
      </c>
      <c r="I209" s="7">
        <f t="shared" si="29"/>
        <v>0</v>
      </c>
      <c r="J209" s="8">
        <v>2411</v>
      </c>
      <c r="K209" s="9"/>
      <c r="L209" s="8">
        <f t="shared" si="30"/>
        <v>28932</v>
      </c>
      <c r="M209" s="7">
        <f t="shared" si="31"/>
        <v>0</v>
      </c>
      <c r="N209" s="10">
        <f t="shared" si="32"/>
        <v>1</v>
      </c>
      <c r="O209" s="11">
        <f t="shared" si="33"/>
        <v>0.196495230194943</v>
      </c>
      <c r="P209" s="11"/>
      <c r="Q209" s="8">
        <f t="shared" si="34"/>
        <v>11370.0000000002</v>
      </c>
      <c r="R209" s="12">
        <f t="shared" si="35"/>
        <v>0</v>
      </c>
    </row>
    <row r="210" ht="14.25" spans="1:18">
      <c r="A210" s="15">
        <v>46044</v>
      </c>
      <c r="B210" s="3">
        <f>Data_Entry!P299</f>
        <v>10319.9999999998</v>
      </c>
      <c r="C210" s="3">
        <v>0</v>
      </c>
      <c r="D210" s="4">
        <f>Data_Entry!V299</f>
        <v>3.81</v>
      </c>
      <c r="E210" s="5">
        <f t="shared" si="27"/>
        <v>0.17834923268353</v>
      </c>
      <c r="F210" s="6">
        <v>0</v>
      </c>
      <c r="G210" s="6">
        <v>0</v>
      </c>
      <c r="H210" s="7">
        <f t="shared" si="28"/>
        <v>0</v>
      </c>
      <c r="I210" s="7">
        <f t="shared" si="29"/>
        <v>0</v>
      </c>
      <c r="J210" s="8">
        <v>2411</v>
      </c>
      <c r="K210" s="9"/>
      <c r="L210" s="8">
        <f t="shared" si="30"/>
        <v>28932</v>
      </c>
      <c r="M210" s="7">
        <f t="shared" si="31"/>
        <v>0</v>
      </c>
      <c r="N210" s="10">
        <f t="shared" si="32"/>
        <v>1</v>
      </c>
      <c r="O210" s="11">
        <f t="shared" si="33"/>
        <v>0.17834923268353</v>
      </c>
      <c r="P210" s="11"/>
      <c r="Q210" s="8">
        <f t="shared" si="34"/>
        <v>10319.9999999998</v>
      </c>
      <c r="R210" s="12">
        <f t="shared" si="35"/>
        <v>0</v>
      </c>
    </row>
    <row r="211" ht="14.25" spans="1:18">
      <c r="A211" s="15">
        <v>46045</v>
      </c>
      <c r="B211" s="3">
        <f>Data_Entry!P300</f>
        <v>9960.00000000015</v>
      </c>
      <c r="C211" s="3">
        <v>0</v>
      </c>
      <c r="D211" s="4">
        <f>Data_Entry!V300</f>
        <v>3.62</v>
      </c>
      <c r="E211" s="5">
        <f t="shared" si="27"/>
        <v>0.172127747822483</v>
      </c>
      <c r="F211" s="6">
        <v>0</v>
      </c>
      <c r="G211" s="6">
        <v>0</v>
      </c>
      <c r="H211" s="7">
        <f t="shared" si="28"/>
        <v>0</v>
      </c>
      <c r="I211" s="7">
        <f t="shared" si="29"/>
        <v>0</v>
      </c>
      <c r="J211" s="8">
        <v>2411</v>
      </c>
      <c r="K211" s="9"/>
      <c r="L211" s="8">
        <f t="shared" si="30"/>
        <v>28932</v>
      </c>
      <c r="M211" s="7">
        <f t="shared" si="31"/>
        <v>0</v>
      </c>
      <c r="N211" s="10">
        <f t="shared" si="32"/>
        <v>1</v>
      </c>
      <c r="O211" s="11">
        <f t="shared" si="33"/>
        <v>0.172127747822483</v>
      </c>
      <c r="P211" s="11"/>
      <c r="Q211" s="8">
        <f t="shared" si="34"/>
        <v>9960.00000000015</v>
      </c>
      <c r="R211" s="12">
        <f t="shared" si="35"/>
        <v>0</v>
      </c>
    </row>
    <row r="212" ht="14.25" spans="1:18">
      <c r="A212" s="15">
        <v>46046</v>
      </c>
      <c r="B212" s="3">
        <f>Data_Entry!P301</f>
        <v>12209.9999999998</v>
      </c>
      <c r="C212" s="3">
        <v>0</v>
      </c>
      <c r="D212" s="4">
        <f>Data_Entry!V301</f>
        <v>4.03</v>
      </c>
      <c r="E212" s="5">
        <f t="shared" si="27"/>
        <v>0.211012028204061</v>
      </c>
      <c r="F212" s="6">
        <v>0</v>
      </c>
      <c r="G212" s="6">
        <v>0</v>
      </c>
      <c r="H212" s="7">
        <f t="shared" si="28"/>
        <v>0</v>
      </c>
      <c r="I212" s="7">
        <f t="shared" si="29"/>
        <v>0</v>
      </c>
      <c r="J212" s="8">
        <v>2411</v>
      </c>
      <c r="K212" s="9"/>
      <c r="L212" s="8">
        <f t="shared" si="30"/>
        <v>28932</v>
      </c>
      <c r="M212" s="7">
        <f t="shared" si="31"/>
        <v>0</v>
      </c>
      <c r="N212" s="10">
        <f t="shared" si="32"/>
        <v>1</v>
      </c>
      <c r="O212" s="11">
        <f t="shared" si="33"/>
        <v>0.211012028204061</v>
      </c>
      <c r="P212" s="11"/>
      <c r="Q212" s="8">
        <f t="shared" si="34"/>
        <v>12209.9999999998</v>
      </c>
      <c r="R212" s="12">
        <f t="shared" si="35"/>
        <v>0</v>
      </c>
    </row>
    <row r="213" ht="14.25" spans="1:18">
      <c r="A213" s="15">
        <v>46047</v>
      </c>
      <c r="B213" s="3">
        <f>Data_Entry!P302</f>
        <v>11790.0000000002</v>
      </c>
      <c r="C213" s="3">
        <v>0</v>
      </c>
      <c r="D213" s="4">
        <f>Data_Entry!V302</f>
        <v>3.63</v>
      </c>
      <c r="E213" s="5">
        <f t="shared" si="27"/>
        <v>0.203753629199506</v>
      </c>
      <c r="F213" s="6">
        <v>0</v>
      </c>
      <c r="G213" s="6">
        <v>0</v>
      </c>
      <c r="H213" s="7">
        <f t="shared" si="28"/>
        <v>0</v>
      </c>
      <c r="I213" s="7">
        <f t="shared" si="29"/>
        <v>0</v>
      </c>
      <c r="J213" s="8">
        <v>2411</v>
      </c>
      <c r="K213" s="9"/>
      <c r="L213" s="8">
        <f t="shared" si="30"/>
        <v>28932</v>
      </c>
      <c r="M213" s="7">
        <f t="shared" si="31"/>
        <v>0</v>
      </c>
      <c r="N213" s="10">
        <f t="shared" si="32"/>
        <v>1</v>
      </c>
      <c r="O213" s="11">
        <f t="shared" si="33"/>
        <v>0.203753629199506</v>
      </c>
      <c r="P213" s="11"/>
      <c r="Q213" s="8">
        <f t="shared" si="34"/>
        <v>11790.0000000002</v>
      </c>
      <c r="R213" s="12">
        <f t="shared" si="35"/>
        <v>0</v>
      </c>
    </row>
    <row r="214" ht="14.25" spans="1:18">
      <c r="A214" s="15">
        <v>46048</v>
      </c>
      <c r="B214" s="3">
        <f>Data_Entry!P303</f>
        <v>11640</v>
      </c>
      <c r="C214" s="3">
        <v>0</v>
      </c>
      <c r="D214" s="4">
        <f>Data_Entry!V303</f>
        <v>3.89</v>
      </c>
      <c r="E214" s="5">
        <f t="shared" si="27"/>
        <v>0.20116134384073</v>
      </c>
      <c r="F214" s="6">
        <v>0</v>
      </c>
      <c r="G214" s="6">
        <v>0</v>
      </c>
      <c r="H214" s="7">
        <f t="shared" si="28"/>
        <v>0</v>
      </c>
      <c r="I214" s="7">
        <f t="shared" si="29"/>
        <v>0</v>
      </c>
      <c r="J214" s="8">
        <v>2411</v>
      </c>
      <c r="K214" s="9"/>
      <c r="L214" s="8">
        <f t="shared" si="30"/>
        <v>28932</v>
      </c>
      <c r="M214" s="7">
        <f t="shared" si="31"/>
        <v>0</v>
      </c>
      <c r="N214" s="10">
        <f t="shared" si="32"/>
        <v>1</v>
      </c>
      <c r="O214" s="11">
        <f t="shared" si="33"/>
        <v>0.20116134384073</v>
      </c>
      <c r="P214" s="11"/>
      <c r="Q214" s="8">
        <f t="shared" si="34"/>
        <v>11640</v>
      </c>
      <c r="R214" s="12">
        <f t="shared" si="35"/>
        <v>0</v>
      </c>
    </row>
    <row r="215" ht="14.25" spans="1:18">
      <c r="A215" s="15">
        <v>46049</v>
      </c>
      <c r="B215" s="3">
        <f>Data_Entry!P304</f>
        <v>12659.9999999997</v>
      </c>
      <c r="C215" s="3">
        <v>0</v>
      </c>
      <c r="D215" s="4">
        <f>Data_Entry!V304</f>
        <v>5.95</v>
      </c>
      <c r="E215" s="5">
        <f t="shared" si="27"/>
        <v>0.218788884280376</v>
      </c>
      <c r="F215" s="6">
        <v>0</v>
      </c>
      <c r="G215" s="6">
        <v>0</v>
      </c>
      <c r="H215" s="7">
        <f t="shared" si="28"/>
        <v>0</v>
      </c>
      <c r="I215" s="7">
        <f t="shared" si="29"/>
        <v>0</v>
      </c>
      <c r="J215" s="8">
        <v>2411</v>
      </c>
      <c r="K215" s="9"/>
      <c r="L215" s="8">
        <f t="shared" si="30"/>
        <v>28932</v>
      </c>
      <c r="M215" s="7">
        <f t="shared" si="31"/>
        <v>0</v>
      </c>
      <c r="N215" s="10">
        <f t="shared" si="32"/>
        <v>1</v>
      </c>
      <c r="O215" s="11">
        <f t="shared" si="33"/>
        <v>0.218788884280376</v>
      </c>
      <c r="P215" s="11"/>
      <c r="Q215" s="8">
        <f t="shared" si="34"/>
        <v>12659.9999999997</v>
      </c>
      <c r="R215" s="12">
        <f t="shared" si="35"/>
        <v>0</v>
      </c>
    </row>
    <row r="216" ht="14.25" spans="1:18">
      <c r="A216" s="15">
        <v>46050</v>
      </c>
      <c r="B216" s="3">
        <f>Data_Entry!P305</f>
        <v>13559.9999999999</v>
      </c>
      <c r="C216" s="3">
        <v>0</v>
      </c>
      <c r="D216" s="4">
        <f>Data_Entry!V305</f>
        <v>4.46</v>
      </c>
      <c r="E216" s="5">
        <f t="shared" si="27"/>
        <v>0.234342596433014</v>
      </c>
      <c r="F216" s="6">
        <v>0.549305555555556</v>
      </c>
      <c r="G216" s="6">
        <v>0.597916666666667</v>
      </c>
      <c r="H216" s="7">
        <f t="shared" si="28"/>
        <v>69.9999999999997</v>
      </c>
      <c r="I216" s="7">
        <f t="shared" si="29"/>
        <v>1.16666666666666</v>
      </c>
      <c r="J216" s="8">
        <v>2411</v>
      </c>
      <c r="K216" s="9">
        <v>152.3</v>
      </c>
      <c r="L216" s="8">
        <f t="shared" si="30"/>
        <v>28932</v>
      </c>
      <c r="M216" s="7">
        <f t="shared" si="31"/>
        <v>177.683333333333</v>
      </c>
      <c r="N216" s="10">
        <f t="shared" si="32"/>
        <v>0.993858587953362</v>
      </c>
      <c r="O216" s="11">
        <f t="shared" si="33"/>
        <v>0.23579068418133</v>
      </c>
      <c r="P216" s="11" t="s">
        <v>262</v>
      </c>
      <c r="Q216" s="8">
        <f t="shared" si="34"/>
        <v>13643.7921494685</v>
      </c>
      <c r="R216" s="12">
        <f t="shared" si="35"/>
        <v>83.7921494685725</v>
      </c>
    </row>
    <row r="217" ht="14.25" spans="1:18">
      <c r="A217" s="15">
        <v>46051</v>
      </c>
      <c r="B217" s="3">
        <f>Data_Entry!P306</f>
        <v>12450.0000000003</v>
      </c>
      <c r="C217" s="3">
        <v>0</v>
      </c>
      <c r="D217" s="4">
        <f>Data_Entry!V306</f>
        <v>4.28</v>
      </c>
      <c r="E217" s="5">
        <f t="shared" si="27"/>
        <v>0.215159684778106</v>
      </c>
      <c r="F217" s="6">
        <v>0</v>
      </c>
      <c r="G217" s="6">
        <v>0</v>
      </c>
      <c r="H217" s="7">
        <f t="shared" si="28"/>
        <v>0</v>
      </c>
      <c r="I217" s="7">
        <f t="shared" si="29"/>
        <v>0</v>
      </c>
      <c r="J217" s="8">
        <v>2411</v>
      </c>
      <c r="K217" s="9"/>
      <c r="L217" s="8">
        <f t="shared" si="30"/>
        <v>28932</v>
      </c>
      <c r="M217" s="7">
        <f t="shared" si="31"/>
        <v>0</v>
      </c>
      <c r="N217" s="10">
        <f t="shared" si="32"/>
        <v>1</v>
      </c>
      <c r="O217" s="11">
        <f t="shared" si="33"/>
        <v>0.215159684778106</v>
      </c>
      <c r="P217" s="11"/>
      <c r="Q217" s="8">
        <f t="shared" si="34"/>
        <v>12450.0000000003</v>
      </c>
      <c r="R217" s="12">
        <f t="shared" si="35"/>
        <v>0</v>
      </c>
    </row>
    <row r="218" ht="14.25" spans="1:18">
      <c r="A218" s="15">
        <v>46052</v>
      </c>
      <c r="B218" s="3">
        <f>Data_Entry!P307</f>
        <v>10350.0000000001</v>
      </c>
      <c r="C218" s="3">
        <v>0</v>
      </c>
      <c r="D218" s="4">
        <f>Data_Entry!V307</f>
        <v>3.58</v>
      </c>
      <c r="E218" s="5">
        <f t="shared" si="27"/>
        <v>0.17886768975529</v>
      </c>
      <c r="F218" s="6">
        <v>0</v>
      </c>
      <c r="G218" s="6">
        <v>0</v>
      </c>
      <c r="H218" s="7">
        <f t="shared" si="28"/>
        <v>0</v>
      </c>
      <c r="I218" s="7">
        <f t="shared" si="29"/>
        <v>0</v>
      </c>
      <c r="J218" s="8">
        <v>2411</v>
      </c>
      <c r="K218" s="9"/>
      <c r="L218" s="8">
        <f t="shared" si="30"/>
        <v>28932</v>
      </c>
      <c r="M218" s="7">
        <f t="shared" si="31"/>
        <v>0</v>
      </c>
      <c r="N218" s="10">
        <f t="shared" si="32"/>
        <v>1</v>
      </c>
      <c r="O218" s="11">
        <f t="shared" si="33"/>
        <v>0.17886768975529</v>
      </c>
      <c r="P218" s="11"/>
      <c r="Q218" s="8">
        <f t="shared" si="34"/>
        <v>10350.0000000001</v>
      </c>
      <c r="R218" s="12">
        <f t="shared" si="35"/>
        <v>0</v>
      </c>
    </row>
    <row r="219" ht="14.25" spans="1:18">
      <c r="A219" s="15">
        <v>46053</v>
      </c>
      <c r="B219" s="3">
        <f>Data_Entry!P308</f>
        <v>8100.00000000014</v>
      </c>
      <c r="C219" s="3">
        <v>0</v>
      </c>
      <c r="D219" s="4">
        <f>Data_Entry!V308</f>
        <v>2.95</v>
      </c>
      <c r="E219" s="5">
        <f t="shared" si="27"/>
        <v>0.139983409373706</v>
      </c>
      <c r="F219" s="6">
        <v>0</v>
      </c>
      <c r="G219" s="6">
        <v>0</v>
      </c>
      <c r="H219" s="7">
        <f t="shared" si="28"/>
        <v>0</v>
      </c>
      <c r="I219" s="7">
        <f t="shared" si="29"/>
        <v>0</v>
      </c>
      <c r="J219" s="8">
        <v>2411</v>
      </c>
      <c r="K219" s="9"/>
      <c r="L219" s="8">
        <f t="shared" si="30"/>
        <v>28932</v>
      </c>
      <c r="M219" s="7">
        <f t="shared" si="31"/>
        <v>0</v>
      </c>
      <c r="N219" s="10">
        <f t="shared" si="32"/>
        <v>1</v>
      </c>
      <c r="O219" s="11">
        <f t="shared" si="33"/>
        <v>0.139983409373706</v>
      </c>
      <c r="P219" s="11"/>
      <c r="Q219" s="8">
        <f t="shared" si="34"/>
        <v>8100.00000000014</v>
      </c>
      <c r="R219" s="12">
        <f t="shared" si="35"/>
        <v>0</v>
      </c>
    </row>
    <row r="220" ht="14.25" spans="1:18">
      <c r="A220" s="15">
        <v>46054</v>
      </c>
      <c r="B220" s="3">
        <f>Data_Entry!P309</f>
        <v>9719.99999999935</v>
      </c>
      <c r="C220" s="3">
        <v>0</v>
      </c>
      <c r="D220" s="4">
        <f>Data_Entry!V309</f>
        <v>3.54</v>
      </c>
      <c r="E220" s="5">
        <f t="shared" si="27"/>
        <v>0.167980091248433</v>
      </c>
      <c r="F220" s="6">
        <v>0</v>
      </c>
      <c r="G220" s="6">
        <v>0</v>
      </c>
      <c r="H220" s="7">
        <f t="shared" si="28"/>
        <v>0</v>
      </c>
      <c r="I220" s="7">
        <f t="shared" si="29"/>
        <v>0</v>
      </c>
      <c r="J220" s="8">
        <v>2411</v>
      </c>
      <c r="K220" s="9"/>
      <c r="L220" s="8">
        <f t="shared" si="30"/>
        <v>28932</v>
      </c>
      <c r="M220" s="7">
        <f t="shared" si="31"/>
        <v>0</v>
      </c>
      <c r="N220" s="10">
        <f t="shared" si="32"/>
        <v>1</v>
      </c>
      <c r="O220" s="11">
        <f t="shared" si="33"/>
        <v>0.167980091248433</v>
      </c>
      <c r="P220" s="11"/>
      <c r="Q220" s="8">
        <f t="shared" si="34"/>
        <v>9719.99999999935</v>
      </c>
      <c r="R220" s="12">
        <f t="shared" si="35"/>
        <v>0</v>
      </c>
    </row>
    <row r="221" ht="14.25" spans="1:18">
      <c r="A221" s="15">
        <v>46055</v>
      </c>
      <c r="B221" s="3">
        <f>Data_Entry!P310</f>
        <v>9720.00000000003</v>
      </c>
      <c r="C221" s="3">
        <v>0</v>
      </c>
      <c r="D221" s="4">
        <f>Data_Entry!V310</f>
        <v>3.51</v>
      </c>
      <c r="E221" s="5">
        <f t="shared" si="27"/>
        <v>0.167980091248445</v>
      </c>
      <c r="F221" s="6">
        <v>0</v>
      </c>
      <c r="G221" s="6">
        <v>0</v>
      </c>
      <c r="H221" s="7">
        <f t="shared" si="28"/>
        <v>0</v>
      </c>
      <c r="I221" s="7">
        <f t="shared" si="29"/>
        <v>0</v>
      </c>
      <c r="J221" s="8">
        <v>2411</v>
      </c>
      <c r="K221" s="9"/>
      <c r="L221" s="8">
        <f t="shared" si="30"/>
        <v>28932</v>
      </c>
      <c r="M221" s="7">
        <f t="shared" si="31"/>
        <v>0</v>
      </c>
      <c r="N221" s="10">
        <f t="shared" si="32"/>
        <v>1</v>
      </c>
      <c r="O221" s="11">
        <f t="shared" si="33"/>
        <v>0.167980091248445</v>
      </c>
      <c r="P221" s="11"/>
      <c r="Q221" s="8">
        <f t="shared" si="34"/>
        <v>9720.00000000003</v>
      </c>
      <c r="R221" s="12">
        <f t="shared" si="35"/>
        <v>0</v>
      </c>
    </row>
    <row r="222" ht="14.25" spans="1:18">
      <c r="A222" s="15">
        <v>46056</v>
      </c>
      <c r="B222" s="3">
        <f>Data_Entry!P311</f>
        <v>10590.0000000006</v>
      </c>
      <c r="C222" s="3">
        <v>0</v>
      </c>
      <c r="D222" s="4">
        <f>Data_Entry!V311</f>
        <v>3.67</v>
      </c>
      <c r="E222" s="5">
        <f t="shared" si="27"/>
        <v>0.183015346329334</v>
      </c>
      <c r="F222" s="6">
        <v>0</v>
      </c>
      <c r="G222" s="6">
        <v>0</v>
      </c>
      <c r="H222" s="7">
        <f t="shared" si="28"/>
        <v>0</v>
      </c>
      <c r="I222" s="7">
        <f t="shared" si="29"/>
        <v>0</v>
      </c>
      <c r="J222" s="8">
        <v>2411</v>
      </c>
      <c r="K222" s="9"/>
      <c r="L222" s="8">
        <f t="shared" si="30"/>
        <v>28932</v>
      </c>
      <c r="M222" s="7">
        <f t="shared" si="31"/>
        <v>0</v>
      </c>
      <c r="N222" s="10">
        <f t="shared" si="32"/>
        <v>1</v>
      </c>
      <c r="O222" s="11">
        <f t="shared" si="33"/>
        <v>0.183015346329334</v>
      </c>
      <c r="P222" s="11"/>
      <c r="Q222" s="8">
        <f t="shared" si="34"/>
        <v>10590.0000000006</v>
      </c>
      <c r="R222" s="12">
        <f t="shared" si="35"/>
        <v>0</v>
      </c>
    </row>
    <row r="223" ht="14.25" spans="1:18">
      <c r="A223" s="15">
        <v>46057</v>
      </c>
      <c r="B223" s="3">
        <f>Data_Entry!P312</f>
        <v>10679.9999999998</v>
      </c>
      <c r="C223" s="3">
        <v>0</v>
      </c>
      <c r="D223" s="4">
        <f>Data_Entry!V312</f>
        <v>3.73</v>
      </c>
      <c r="E223" s="5">
        <f t="shared" si="27"/>
        <v>0.184570717544584</v>
      </c>
      <c r="F223" s="6">
        <v>0</v>
      </c>
      <c r="G223" s="6">
        <v>0</v>
      </c>
      <c r="H223" s="7">
        <f t="shared" si="28"/>
        <v>0</v>
      </c>
      <c r="I223" s="7">
        <f t="shared" si="29"/>
        <v>0</v>
      </c>
      <c r="J223" s="8">
        <v>2411</v>
      </c>
      <c r="K223" s="9"/>
      <c r="L223" s="8">
        <f t="shared" si="30"/>
        <v>28932</v>
      </c>
      <c r="M223" s="7">
        <f t="shared" si="31"/>
        <v>0</v>
      </c>
      <c r="N223" s="10">
        <f t="shared" si="32"/>
        <v>1</v>
      </c>
      <c r="O223" s="11">
        <f t="shared" si="33"/>
        <v>0.184570717544584</v>
      </c>
      <c r="P223" s="11"/>
      <c r="Q223" s="8">
        <f t="shared" si="34"/>
        <v>10679.9999999998</v>
      </c>
      <c r="R223" s="12">
        <f t="shared" si="35"/>
        <v>0</v>
      </c>
    </row>
    <row r="224" ht="14.25" spans="1:18">
      <c r="A224" s="15">
        <v>46058</v>
      </c>
      <c r="B224" s="3">
        <f>Data_Entry!P313</f>
        <v>10769.9999999998</v>
      </c>
      <c r="C224" s="3">
        <v>0</v>
      </c>
      <c r="D224" s="4">
        <f>Data_Entry!V313</f>
        <v>4.02</v>
      </c>
      <c r="E224" s="5">
        <f t="shared" si="27"/>
        <v>0.186126088759847</v>
      </c>
      <c r="F224" s="6">
        <v>0</v>
      </c>
      <c r="G224" s="6">
        <v>0</v>
      </c>
      <c r="H224" s="7">
        <f t="shared" si="28"/>
        <v>0</v>
      </c>
      <c r="I224" s="7">
        <f t="shared" si="29"/>
        <v>0</v>
      </c>
      <c r="J224" s="8">
        <v>2411</v>
      </c>
      <c r="K224" s="9"/>
      <c r="L224" s="8">
        <f t="shared" si="30"/>
        <v>28932</v>
      </c>
      <c r="M224" s="7">
        <f t="shared" si="31"/>
        <v>0</v>
      </c>
      <c r="N224" s="10">
        <f t="shared" si="32"/>
        <v>1</v>
      </c>
      <c r="O224" s="11">
        <f t="shared" si="33"/>
        <v>0.186126088759847</v>
      </c>
      <c r="P224" s="11"/>
      <c r="Q224" s="8">
        <f t="shared" si="34"/>
        <v>10769.9999999998</v>
      </c>
      <c r="R224" s="12">
        <f t="shared" si="35"/>
        <v>0</v>
      </c>
    </row>
    <row r="225" ht="14.25" spans="1:18">
      <c r="A225" s="15">
        <v>46059</v>
      </c>
      <c r="B225" s="3">
        <f>Data_Entry!P314</f>
        <v>11730.0000000002</v>
      </c>
      <c r="C225" s="3">
        <v>0</v>
      </c>
      <c r="D225" s="4">
        <f>Data_Entry!V314</f>
        <v>4.2</v>
      </c>
      <c r="E225" s="5">
        <f t="shared" si="27"/>
        <v>0.202716715055997</v>
      </c>
      <c r="F225" s="6">
        <v>0</v>
      </c>
      <c r="G225" s="6">
        <v>0</v>
      </c>
      <c r="H225" s="7">
        <f t="shared" si="28"/>
        <v>0</v>
      </c>
      <c r="I225" s="7">
        <f t="shared" si="29"/>
        <v>0</v>
      </c>
      <c r="J225" s="8">
        <v>2411</v>
      </c>
      <c r="K225" s="9"/>
      <c r="L225" s="8">
        <f t="shared" si="30"/>
        <v>28932</v>
      </c>
      <c r="M225" s="7">
        <f t="shared" si="31"/>
        <v>0</v>
      </c>
      <c r="N225" s="10">
        <f t="shared" si="32"/>
        <v>1</v>
      </c>
      <c r="O225" s="11">
        <f t="shared" si="33"/>
        <v>0.202716715055997</v>
      </c>
      <c r="P225" s="11"/>
      <c r="Q225" s="8">
        <f t="shared" si="34"/>
        <v>11730.0000000002</v>
      </c>
      <c r="R225" s="12">
        <f t="shared" si="35"/>
        <v>0</v>
      </c>
    </row>
    <row r="226" ht="14.25" spans="1:18">
      <c r="A226" s="15">
        <v>46060</v>
      </c>
      <c r="B226" s="3">
        <f>Data_Entry!P315</f>
        <v>11250</v>
      </c>
      <c r="C226" s="3">
        <v>0</v>
      </c>
      <c r="D226" s="4">
        <f>Data_Entry!V315</f>
        <v>4.07</v>
      </c>
      <c r="E226" s="5">
        <f t="shared" si="27"/>
        <v>0.194421401907922</v>
      </c>
      <c r="F226" s="6">
        <v>0</v>
      </c>
      <c r="G226" s="6">
        <v>0</v>
      </c>
      <c r="H226" s="7">
        <f t="shared" si="28"/>
        <v>0</v>
      </c>
      <c r="I226" s="7">
        <f t="shared" si="29"/>
        <v>0</v>
      </c>
      <c r="J226" s="8">
        <v>2411</v>
      </c>
      <c r="K226" s="9"/>
      <c r="L226" s="8">
        <f t="shared" si="30"/>
        <v>28932</v>
      </c>
      <c r="M226" s="7">
        <f t="shared" si="31"/>
        <v>0</v>
      </c>
      <c r="N226" s="10">
        <f t="shared" si="32"/>
        <v>1</v>
      </c>
      <c r="O226" s="11">
        <f t="shared" si="33"/>
        <v>0.194421401907922</v>
      </c>
      <c r="P226" s="11"/>
      <c r="Q226" s="8">
        <f t="shared" si="34"/>
        <v>11250</v>
      </c>
      <c r="R226" s="12">
        <f t="shared" si="35"/>
        <v>0</v>
      </c>
    </row>
    <row r="227" ht="14.25" spans="1:18">
      <c r="A227" s="15">
        <v>46061</v>
      </c>
      <c r="B227" s="3">
        <f>Data_Entry!P316</f>
        <v>11579.9999999997</v>
      </c>
      <c r="C227" s="3">
        <v>0</v>
      </c>
      <c r="D227" s="4">
        <f>Data_Entry!V316</f>
        <v>4.05</v>
      </c>
      <c r="E227" s="5">
        <f t="shared" si="27"/>
        <v>0.200124429697216</v>
      </c>
      <c r="F227" s="6">
        <v>0</v>
      </c>
      <c r="G227" s="6">
        <v>0</v>
      </c>
      <c r="H227" s="7">
        <f t="shared" si="28"/>
        <v>0</v>
      </c>
      <c r="I227" s="7">
        <f t="shared" si="29"/>
        <v>0</v>
      </c>
      <c r="J227" s="8">
        <v>2411</v>
      </c>
      <c r="K227" s="9"/>
      <c r="L227" s="8">
        <f t="shared" si="30"/>
        <v>28932</v>
      </c>
      <c r="M227" s="7">
        <f t="shared" si="31"/>
        <v>0</v>
      </c>
      <c r="N227" s="10">
        <f t="shared" si="32"/>
        <v>1</v>
      </c>
      <c r="O227" s="11">
        <f t="shared" si="33"/>
        <v>0.200124429697216</v>
      </c>
      <c r="P227" s="11"/>
      <c r="Q227" s="8">
        <f t="shared" si="34"/>
        <v>11579.9999999997</v>
      </c>
      <c r="R227" s="12">
        <f t="shared" si="35"/>
        <v>0</v>
      </c>
    </row>
    <row r="228" ht="14.25" spans="1:18">
      <c r="A228" s="15">
        <v>46062</v>
      </c>
      <c r="B228" s="3">
        <f>Data_Entry!P317</f>
        <v>12600.0000000001</v>
      </c>
      <c r="C228" s="3">
        <v>0</v>
      </c>
      <c r="D228" s="4">
        <f>Data_Entry!V317</f>
        <v>4.26</v>
      </c>
      <c r="E228" s="5">
        <f t="shared" si="27"/>
        <v>0.217751970136874</v>
      </c>
      <c r="F228" s="6">
        <v>0</v>
      </c>
      <c r="G228" s="6">
        <v>0</v>
      </c>
      <c r="H228" s="7">
        <f t="shared" si="28"/>
        <v>0</v>
      </c>
      <c r="I228" s="7">
        <f t="shared" si="29"/>
        <v>0</v>
      </c>
      <c r="J228" s="8">
        <v>2411</v>
      </c>
      <c r="K228" s="9"/>
      <c r="L228" s="8">
        <f t="shared" si="30"/>
        <v>28932</v>
      </c>
      <c r="M228" s="7">
        <f t="shared" si="31"/>
        <v>0</v>
      </c>
      <c r="N228" s="10">
        <f t="shared" si="32"/>
        <v>1</v>
      </c>
      <c r="O228" s="11">
        <f t="shared" si="33"/>
        <v>0.217751970136874</v>
      </c>
      <c r="P228" s="11"/>
      <c r="Q228" s="8">
        <f t="shared" si="34"/>
        <v>12600.0000000001</v>
      </c>
      <c r="R228" s="12">
        <f t="shared" si="35"/>
        <v>0</v>
      </c>
    </row>
    <row r="229" ht="14.25" spans="1:18">
      <c r="A229" s="15">
        <v>46063</v>
      </c>
      <c r="B229" s="3">
        <f>Data_Entry!P318</f>
        <v>13440.0000000001</v>
      </c>
      <c r="C229" s="3">
        <v>0</v>
      </c>
      <c r="D229" s="4">
        <f>Data_Entry!V318</f>
        <v>4.43</v>
      </c>
      <c r="E229" s="5">
        <f t="shared" si="27"/>
        <v>0.232268768145999</v>
      </c>
      <c r="F229" s="6">
        <v>0.604166666666667</v>
      </c>
      <c r="G229" s="6">
        <v>0.611805555555556</v>
      </c>
      <c r="H229" s="7">
        <f t="shared" si="28"/>
        <v>11.0000000000001</v>
      </c>
      <c r="I229" s="7">
        <f t="shared" si="29"/>
        <v>0.183333333333335</v>
      </c>
      <c r="J229" s="8">
        <v>2411</v>
      </c>
      <c r="K229" s="9">
        <v>152.6</v>
      </c>
      <c r="L229" s="8">
        <f t="shared" si="30"/>
        <v>28932</v>
      </c>
      <c r="M229" s="7">
        <f t="shared" si="31"/>
        <v>27.976666666667</v>
      </c>
      <c r="N229" s="10">
        <f t="shared" si="32"/>
        <v>0.999033019954837</v>
      </c>
      <c r="O229" s="11">
        <f t="shared" si="33"/>
        <v>0.232493584803132</v>
      </c>
      <c r="P229" s="11" t="s">
        <v>262</v>
      </c>
      <c r="Q229" s="8">
        <f t="shared" si="34"/>
        <v>13453.0087910485</v>
      </c>
      <c r="R229" s="12">
        <f t="shared" si="35"/>
        <v>13.0087910483508</v>
      </c>
    </row>
    <row r="230" ht="14.25" spans="1:18">
      <c r="A230" s="15">
        <v>46064</v>
      </c>
      <c r="B230" s="3">
        <f>Data_Entry!P319</f>
        <v>13440.0000000001</v>
      </c>
      <c r="C230" s="3">
        <v>0</v>
      </c>
      <c r="D230" s="4">
        <f>Data_Entry!V319</f>
        <v>4.39</v>
      </c>
      <c r="E230" s="5">
        <f t="shared" si="27"/>
        <v>0.232268768145999</v>
      </c>
      <c r="F230" s="6">
        <v>0.616666666666667</v>
      </c>
      <c r="G230" s="6">
        <v>0.623611111111111</v>
      </c>
      <c r="H230" s="7">
        <f t="shared" si="28"/>
        <v>9.99999999999996</v>
      </c>
      <c r="I230" s="7">
        <f t="shared" si="29"/>
        <v>0.166666666666666</v>
      </c>
      <c r="J230" s="8">
        <v>2411</v>
      </c>
      <c r="K230" s="9">
        <v>152.6</v>
      </c>
      <c r="L230" s="8">
        <f t="shared" si="30"/>
        <v>28932</v>
      </c>
      <c r="M230" s="7">
        <f t="shared" si="31"/>
        <v>25.4333333333332</v>
      </c>
      <c r="N230" s="10">
        <f t="shared" si="32"/>
        <v>0.99912092723167</v>
      </c>
      <c r="O230" s="11">
        <f t="shared" si="33"/>
        <v>0.232473128943022</v>
      </c>
      <c r="P230" s="11" t="s">
        <v>262</v>
      </c>
      <c r="Q230" s="8">
        <f t="shared" si="34"/>
        <v>13451.825133159</v>
      </c>
      <c r="R230" s="12">
        <f t="shared" si="35"/>
        <v>11.8251331588999</v>
      </c>
    </row>
    <row r="231" ht="14.25" spans="1:18">
      <c r="A231" s="15">
        <v>46065</v>
      </c>
      <c r="B231" s="3">
        <f>Data_Entry!P320</f>
        <v>13350.0000000001</v>
      </c>
      <c r="C231" s="3">
        <v>0</v>
      </c>
      <c r="D231" s="4">
        <f>Data_Entry!V320</f>
        <v>4.45</v>
      </c>
      <c r="E231" s="5">
        <f t="shared" si="27"/>
        <v>0.230713396930736</v>
      </c>
      <c r="F231" s="6">
        <v>0</v>
      </c>
      <c r="G231" s="6">
        <v>0</v>
      </c>
      <c r="H231" s="7">
        <f t="shared" si="28"/>
        <v>0</v>
      </c>
      <c r="I231" s="7">
        <f t="shared" si="29"/>
        <v>0</v>
      </c>
      <c r="J231" s="8">
        <v>2411</v>
      </c>
      <c r="K231" s="9"/>
      <c r="L231" s="8">
        <f t="shared" si="30"/>
        <v>28932</v>
      </c>
      <c r="M231" s="7">
        <f t="shared" si="31"/>
        <v>0</v>
      </c>
      <c r="N231" s="10">
        <f t="shared" si="32"/>
        <v>1</v>
      </c>
      <c r="O231" s="11">
        <f t="shared" si="33"/>
        <v>0.230713396930736</v>
      </c>
      <c r="P231" s="11"/>
      <c r="Q231" s="8">
        <f t="shared" si="34"/>
        <v>13350.0000000001</v>
      </c>
      <c r="R231" s="12">
        <f t="shared" si="35"/>
        <v>0</v>
      </c>
    </row>
    <row r="232" ht="14.25" spans="1:18">
      <c r="A232" s="15">
        <v>46066</v>
      </c>
      <c r="B232" s="3">
        <f>Data_Entry!P321</f>
        <v>11699.9999999996</v>
      </c>
      <c r="C232" s="3">
        <v>0</v>
      </c>
      <c r="D232" s="4">
        <f>Data_Entry!V321</f>
        <v>4.09</v>
      </c>
      <c r="E232" s="5">
        <f t="shared" si="27"/>
        <v>0.202198257984232</v>
      </c>
      <c r="F232" s="6">
        <v>0</v>
      </c>
      <c r="G232" s="6">
        <v>0</v>
      </c>
      <c r="H232" s="7">
        <f t="shared" si="28"/>
        <v>0</v>
      </c>
      <c r="I232" s="7">
        <f t="shared" si="29"/>
        <v>0</v>
      </c>
      <c r="J232" s="8">
        <v>2411</v>
      </c>
      <c r="K232" s="9"/>
      <c r="L232" s="8">
        <f t="shared" si="30"/>
        <v>28932</v>
      </c>
      <c r="M232" s="7">
        <f t="shared" si="31"/>
        <v>0</v>
      </c>
      <c r="N232" s="10">
        <f t="shared" si="32"/>
        <v>1</v>
      </c>
      <c r="O232" s="11">
        <f t="shared" si="33"/>
        <v>0.202198257984232</v>
      </c>
      <c r="P232" s="11"/>
      <c r="Q232" s="8">
        <f t="shared" si="34"/>
        <v>11699.9999999996</v>
      </c>
      <c r="R232" s="12">
        <f t="shared" si="35"/>
        <v>0</v>
      </c>
    </row>
    <row r="233" ht="14.25" spans="1:18">
      <c r="A233" s="15">
        <v>46067</v>
      </c>
      <c r="B233" s="3">
        <f>Data_Entry!P322</f>
        <v>11940.0000000001</v>
      </c>
      <c r="C233" s="3">
        <v>0</v>
      </c>
      <c r="D233" s="4">
        <f>Data_Entry!V322</f>
        <v>4.16</v>
      </c>
      <c r="E233" s="5">
        <f t="shared" si="27"/>
        <v>0.206345914558276</v>
      </c>
      <c r="F233" s="6">
        <v>0</v>
      </c>
      <c r="G233" s="6">
        <v>0</v>
      </c>
      <c r="H233" s="7">
        <f t="shared" si="28"/>
        <v>0</v>
      </c>
      <c r="I233" s="7">
        <f t="shared" si="29"/>
        <v>0</v>
      </c>
      <c r="J233" s="8">
        <v>2411</v>
      </c>
      <c r="K233" s="9"/>
      <c r="L233" s="8">
        <f t="shared" si="30"/>
        <v>28932</v>
      </c>
      <c r="M233" s="7">
        <f t="shared" si="31"/>
        <v>0</v>
      </c>
      <c r="N233" s="10">
        <f t="shared" si="32"/>
        <v>1</v>
      </c>
      <c r="O233" s="11">
        <f t="shared" si="33"/>
        <v>0.206345914558276</v>
      </c>
      <c r="P233" s="11"/>
      <c r="Q233" s="8">
        <f t="shared" si="34"/>
        <v>11940.0000000001</v>
      </c>
      <c r="R233" s="12">
        <f t="shared" si="35"/>
        <v>0</v>
      </c>
    </row>
    <row r="234" ht="14.25" spans="1:18">
      <c r="A234" s="15">
        <v>46068</v>
      </c>
      <c r="B234" s="3">
        <f>Data_Entry!P323</f>
        <v>13320.0000000002</v>
      </c>
      <c r="C234" s="3">
        <v>0</v>
      </c>
      <c r="D234" s="4">
        <f>Data_Entry!V323</f>
        <v>4.36</v>
      </c>
      <c r="E234" s="5">
        <f t="shared" si="27"/>
        <v>0.230194939858983</v>
      </c>
      <c r="F234" s="6">
        <v>0</v>
      </c>
      <c r="G234" s="6">
        <v>0</v>
      </c>
      <c r="H234" s="7">
        <f t="shared" si="28"/>
        <v>0</v>
      </c>
      <c r="I234" s="7">
        <f t="shared" si="29"/>
        <v>0</v>
      </c>
      <c r="J234" s="8">
        <v>2411</v>
      </c>
      <c r="K234" s="9"/>
      <c r="L234" s="8">
        <f t="shared" si="30"/>
        <v>28932</v>
      </c>
      <c r="M234" s="7">
        <f t="shared" si="31"/>
        <v>0</v>
      </c>
      <c r="N234" s="10">
        <f t="shared" si="32"/>
        <v>1</v>
      </c>
      <c r="O234" s="11">
        <f t="shared" si="33"/>
        <v>0.230194939858983</v>
      </c>
      <c r="P234" s="11"/>
      <c r="Q234" s="8">
        <f t="shared" si="34"/>
        <v>13320.0000000002</v>
      </c>
      <c r="R234" s="12">
        <f t="shared" si="35"/>
        <v>0</v>
      </c>
    </row>
    <row r="235" ht="14.25" spans="1:18">
      <c r="A235" s="15">
        <v>46069</v>
      </c>
      <c r="B235" s="3">
        <f>Data_Entry!P324</f>
        <v>13350.0000000001</v>
      </c>
      <c r="C235" s="3">
        <v>0</v>
      </c>
      <c r="D235" s="4">
        <f>Data_Entry!V324</f>
        <v>4.55</v>
      </c>
      <c r="E235" s="5">
        <f t="shared" si="27"/>
        <v>0.230713396930737</v>
      </c>
      <c r="F235" s="6">
        <v>0</v>
      </c>
      <c r="G235" s="6">
        <v>0</v>
      </c>
      <c r="H235" s="7">
        <f t="shared" si="28"/>
        <v>0</v>
      </c>
      <c r="I235" s="7">
        <f t="shared" si="29"/>
        <v>0</v>
      </c>
      <c r="J235" s="8">
        <v>2411</v>
      </c>
      <c r="K235" s="9"/>
      <c r="L235" s="8">
        <f t="shared" si="30"/>
        <v>28932</v>
      </c>
      <c r="M235" s="7">
        <f t="shared" si="31"/>
        <v>0</v>
      </c>
      <c r="N235" s="10">
        <f t="shared" si="32"/>
        <v>1</v>
      </c>
      <c r="O235" s="11">
        <f t="shared" si="33"/>
        <v>0.230713396930737</v>
      </c>
      <c r="P235" s="11"/>
      <c r="Q235" s="8">
        <f t="shared" si="34"/>
        <v>13350.0000000001</v>
      </c>
      <c r="R235" s="12">
        <f t="shared" si="35"/>
        <v>0</v>
      </c>
    </row>
    <row r="236" ht="14.25" spans="1:18">
      <c r="A236" s="15">
        <v>46070</v>
      </c>
      <c r="B236" s="3">
        <f>Data_Entry!P325</f>
        <v>13470</v>
      </c>
      <c r="C236" s="3">
        <v>0</v>
      </c>
      <c r="D236" s="4">
        <f>Data_Entry!V325</f>
        <v>4.73</v>
      </c>
      <c r="E236" s="5">
        <f t="shared" si="27"/>
        <v>0.232787225217752</v>
      </c>
      <c r="F236" s="6">
        <v>0</v>
      </c>
      <c r="G236" s="6">
        <v>0</v>
      </c>
      <c r="H236" s="7">
        <f t="shared" si="28"/>
        <v>0</v>
      </c>
      <c r="I236" s="7">
        <f t="shared" si="29"/>
        <v>0</v>
      </c>
      <c r="J236" s="8">
        <v>2411</v>
      </c>
      <c r="K236" s="9"/>
      <c r="L236" s="8">
        <f t="shared" si="30"/>
        <v>28932</v>
      </c>
      <c r="M236" s="7">
        <f t="shared" si="31"/>
        <v>0</v>
      </c>
      <c r="N236" s="10">
        <f t="shared" si="32"/>
        <v>1</v>
      </c>
      <c r="O236" s="11">
        <f t="shared" si="33"/>
        <v>0.232787225217752</v>
      </c>
      <c r="P236" s="11"/>
      <c r="Q236" s="8">
        <f t="shared" si="34"/>
        <v>13470</v>
      </c>
      <c r="R236" s="12">
        <f t="shared" si="35"/>
        <v>0</v>
      </c>
    </row>
    <row r="237" ht="14.25" spans="1:18">
      <c r="A237" s="15">
        <v>46071</v>
      </c>
      <c r="B237" s="3">
        <f>Data_Entry!P326</f>
        <v>13829.9999999997</v>
      </c>
      <c r="C237" s="3">
        <v>0</v>
      </c>
      <c r="D237" s="4">
        <f>Data_Entry!V326</f>
        <v>4.61</v>
      </c>
      <c r="E237" s="5">
        <f t="shared" si="27"/>
        <v>0.2390087100788</v>
      </c>
      <c r="F237" s="6">
        <v>0.679861111111111</v>
      </c>
      <c r="G237" s="6">
        <v>0.688194444444444</v>
      </c>
      <c r="H237" s="7">
        <f t="shared" si="28"/>
        <v>12</v>
      </c>
      <c r="I237" s="7">
        <f t="shared" si="29"/>
        <v>0.199999999999999</v>
      </c>
      <c r="J237" s="8">
        <v>2411</v>
      </c>
      <c r="K237" s="9">
        <v>152.6</v>
      </c>
      <c r="L237" s="8">
        <f t="shared" si="30"/>
        <v>28932</v>
      </c>
      <c r="M237" s="7">
        <f t="shared" si="31"/>
        <v>30.5199999999999</v>
      </c>
      <c r="N237" s="10">
        <f t="shared" si="32"/>
        <v>0.998945112678004</v>
      </c>
      <c r="O237" s="11">
        <f t="shared" si="33"/>
        <v>0.239261103583617</v>
      </c>
      <c r="P237" s="11" t="s">
        <v>262</v>
      </c>
      <c r="Q237" s="8">
        <f t="shared" si="34"/>
        <v>13844.6044977624</v>
      </c>
      <c r="R237" s="12">
        <f t="shared" si="35"/>
        <v>14.6044977627371</v>
      </c>
    </row>
    <row r="238" ht="14.25" spans="1:18">
      <c r="A238" s="15">
        <v>46072</v>
      </c>
      <c r="B238" s="3">
        <f>Data_Entry!P327</f>
        <v>13080.0000000004</v>
      </c>
      <c r="C238" s="3">
        <v>0</v>
      </c>
      <c r="D238" s="4">
        <f>Data_Entry!V327</f>
        <v>4.4</v>
      </c>
      <c r="E238" s="5">
        <f t="shared" si="27"/>
        <v>0.226047283284951</v>
      </c>
      <c r="F238" s="6">
        <v>0</v>
      </c>
      <c r="G238" s="6">
        <v>0</v>
      </c>
      <c r="H238" s="7">
        <f t="shared" si="28"/>
        <v>0</v>
      </c>
      <c r="I238" s="7">
        <f t="shared" si="29"/>
        <v>0</v>
      </c>
      <c r="J238" s="8">
        <v>2411</v>
      </c>
      <c r="K238" s="9"/>
      <c r="L238" s="8">
        <f t="shared" si="30"/>
        <v>28932</v>
      </c>
      <c r="M238" s="7">
        <f t="shared" si="31"/>
        <v>0</v>
      </c>
      <c r="N238" s="10">
        <f t="shared" si="32"/>
        <v>1</v>
      </c>
      <c r="O238" s="11">
        <f t="shared" si="33"/>
        <v>0.226047283284951</v>
      </c>
      <c r="P238" s="11"/>
      <c r="Q238" s="8">
        <f t="shared" si="34"/>
        <v>13080.0000000004</v>
      </c>
      <c r="R238" s="12">
        <f t="shared" si="35"/>
        <v>0</v>
      </c>
    </row>
    <row r="239" ht="14.25" spans="1:18">
      <c r="A239" s="15">
        <v>46073</v>
      </c>
      <c r="B239" s="3">
        <f>Data_Entry!P328</f>
        <v>12239.9999999998</v>
      </c>
      <c r="C239" s="3">
        <v>0</v>
      </c>
      <c r="D239" s="4">
        <f>Data_Entry!V328</f>
        <v>4.35</v>
      </c>
      <c r="E239" s="5">
        <f t="shared" si="27"/>
        <v>0.211530485275815</v>
      </c>
      <c r="F239" s="6">
        <v>0</v>
      </c>
      <c r="G239" s="6">
        <v>0</v>
      </c>
      <c r="H239" s="7">
        <f t="shared" si="28"/>
        <v>0</v>
      </c>
      <c r="I239" s="7">
        <f t="shared" si="29"/>
        <v>0</v>
      </c>
      <c r="J239" s="8">
        <v>2411</v>
      </c>
      <c r="K239" s="9"/>
      <c r="L239" s="8">
        <f t="shared" si="30"/>
        <v>28932</v>
      </c>
      <c r="M239" s="7">
        <f t="shared" si="31"/>
        <v>0</v>
      </c>
      <c r="N239" s="10">
        <f t="shared" si="32"/>
        <v>1</v>
      </c>
      <c r="O239" s="11">
        <f t="shared" si="33"/>
        <v>0.211530485275815</v>
      </c>
      <c r="P239" s="11"/>
      <c r="Q239" s="8">
        <f t="shared" si="34"/>
        <v>12239.9999999998</v>
      </c>
      <c r="R239" s="12">
        <f t="shared" si="35"/>
        <v>0</v>
      </c>
    </row>
    <row r="240" ht="14.25" spans="1:18">
      <c r="A240" s="15">
        <v>46074</v>
      </c>
      <c r="B240" s="3">
        <f>Data_Entry!P329</f>
        <v>12809.9999999999</v>
      </c>
      <c r="C240" s="3">
        <v>0</v>
      </c>
      <c r="D240" s="4">
        <f>Data_Entry!V329</f>
        <v>4.5</v>
      </c>
      <c r="E240" s="5">
        <f t="shared" si="27"/>
        <v>0.221381169639153</v>
      </c>
      <c r="F240" s="6">
        <v>0</v>
      </c>
      <c r="G240" s="6">
        <v>0</v>
      </c>
      <c r="H240" s="7">
        <f t="shared" si="28"/>
        <v>0</v>
      </c>
      <c r="I240" s="7">
        <f t="shared" si="29"/>
        <v>0</v>
      </c>
      <c r="J240" s="8">
        <v>2411</v>
      </c>
      <c r="K240" s="9"/>
      <c r="L240" s="8">
        <f t="shared" si="30"/>
        <v>28932</v>
      </c>
      <c r="M240" s="7">
        <f t="shared" si="31"/>
        <v>0</v>
      </c>
      <c r="N240" s="10">
        <f t="shared" si="32"/>
        <v>1</v>
      </c>
      <c r="O240" s="11">
        <f t="shared" si="33"/>
        <v>0.221381169639153</v>
      </c>
      <c r="P240" s="11"/>
      <c r="Q240" s="8">
        <f t="shared" si="34"/>
        <v>12809.9999999999</v>
      </c>
      <c r="R240" s="12">
        <f t="shared" si="35"/>
        <v>0</v>
      </c>
    </row>
    <row r="241" ht="14.25" spans="1:18">
      <c r="A241" s="15">
        <v>46075</v>
      </c>
      <c r="B241" s="3">
        <f>Data_Entry!P330</f>
        <v>11280</v>
      </c>
      <c r="C241" s="3">
        <v>0</v>
      </c>
      <c r="D241" s="4">
        <f>Data_Entry!V330</f>
        <v>4.12</v>
      </c>
      <c r="E241" s="5">
        <f t="shared" si="27"/>
        <v>0.194939858979676</v>
      </c>
      <c r="F241" s="6">
        <v>0</v>
      </c>
      <c r="G241" s="6">
        <v>0</v>
      </c>
      <c r="H241" s="7">
        <f t="shared" si="28"/>
        <v>0</v>
      </c>
      <c r="I241" s="7">
        <f t="shared" si="29"/>
        <v>0</v>
      </c>
      <c r="J241" s="8">
        <v>2411</v>
      </c>
      <c r="K241" s="9"/>
      <c r="L241" s="8">
        <f t="shared" si="30"/>
        <v>28932</v>
      </c>
      <c r="M241" s="7">
        <f t="shared" si="31"/>
        <v>0</v>
      </c>
      <c r="N241" s="10">
        <f t="shared" si="32"/>
        <v>1</v>
      </c>
      <c r="O241" s="11">
        <f t="shared" si="33"/>
        <v>0.194939858979676</v>
      </c>
      <c r="P241" s="11"/>
      <c r="Q241" s="8">
        <f t="shared" si="34"/>
        <v>11280</v>
      </c>
      <c r="R241" s="12">
        <f t="shared" si="35"/>
        <v>0</v>
      </c>
    </row>
    <row r="242" ht="14.25" spans="1:18">
      <c r="A242" s="15">
        <v>46076</v>
      </c>
      <c r="B242" s="3">
        <f>Data_Entry!P331</f>
        <v>10500</v>
      </c>
      <c r="C242" s="3">
        <v>0</v>
      </c>
      <c r="D242" s="4">
        <f>Data_Entry!V331</f>
        <v>4.2</v>
      </c>
      <c r="E242" s="5">
        <f t="shared" si="27"/>
        <v>0.181459975114061</v>
      </c>
      <c r="F242" s="6">
        <v>0</v>
      </c>
      <c r="G242" s="6">
        <v>0</v>
      </c>
      <c r="H242" s="7">
        <f t="shared" si="28"/>
        <v>0</v>
      </c>
      <c r="I242" s="7">
        <f t="shared" si="29"/>
        <v>0</v>
      </c>
      <c r="J242" s="8">
        <v>2411</v>
      </c>
      <c r="K242" s="9"/>
      <c r="L242" s="8">
        <f t="shared" si="30"/>
        <v>28932</v>
      </c>
      <c r="M242" s="7">
        <f t="shared" si="31"/>
        <v>0</v>
      </c>
      <c r="N242" s="10">
        <f t="shared" si="32"/>
        <v>1</v>
      </c>
      <c r="O242" s="11">
        <f t="shared" si="33"/>
        <v>0.181459975114061</v>
      </c>
      <c r="P242" s="11"/>
      <c r="Q242" s="8">
        <f t="shared" si="34"/>
        <v>10500</v>
      </c>
      <c r="R242" s="12">
        <f t="shared" si="35"/>
        <v>0</v>
      </c>
    </row>
    <row r="243" ht="14.25" spans="1:18">
      <c r="A243" s="15">
        <v>46077</v>
      </c>
      <c r="B243" s="3">
        <f>Data_Entry!P332</f>
        <v>10860.0000000004</v>
      </c>
      <c r="C243" s="3">
        <v>0</v>
      </c>
      <c r="D243" s="4">
        <f>Data_Entry!V332</f>
        <v>4.6</v>
      </c>
      <c r="E243" s="5">
        <f t="shared" si="27"/>
        <v>0.18768145997512</v>
      </c>
      <c r="F243" s="6">
        <v>0</v>
      </c>
      <c r="G243" s="6">
        <v>0</v>
      </c>
      <c r="H243" s="7">
        <f t="shared" si="28"/>
        <v>0</v>
      </c>
      <c r="I243" s="7">
        <f t="shared" si="29"/>
        <v>0</v>
      </c>
      <c r="J243" s="8">
        <v>2411</v>
      </c>
      <c r="K243" s="9"/>
      <c r="L243" s="8">
        <f t="shared" si="30"/>
        <v>28932</v>
      </c>
      <c r="M243" s="7">
        <f t="shared" si="31"/>
        <v>0</v>
      </c>
      <c r="N243" s="10">
        <f t="shared" si="32"/>
        <v>1</v>
      </c>
      <c r="O243" s="11">
        <f t="shared" si="33"/>
        <v>0.18768145997512</v>
      </c>
      <c r="P243" s="11"/>
      <c r="Q243" s="8">
        <f t="shared" si="34"/>
        <v>10860.0000000004</v>
      </c>
      <c r="R243" s="12">
        <f t="shared" si="35"/>
        <v>0</v>
      </c>
    </row>
    <row r="244" ht="14.25" spans="1:18">
      <c r="A244" s="15">
        <v>46078</v>
      </c>
      <c r="B244" s="3">
        <f>Data_Entry!P333</f>
        <v>13619.9999999999</v>
      </c>
      <c r="C244" s="3">
        <v>0</v>
      </c>
      <c r="D244" s="4">
        <f>Data_Entry!V333</f>
        <v>4.7</v>
      </c>
      <c r="E244" s="5">
        <f t="shared" si="27"/>
        <v>0.235379510576522</v>
      </c>
      <c r="F244" s="6">
        <v>0</v>
      </c>
      <c r="G244" s="6">
        <v>0</v>
      </c>
      <c r="H244" s="7">
        <f t="shared" si="28"/>
        <v>0</v>
      </c>
      <c r="I244" s="7">
        <f t="shared" si="29"/>
        <v>0</v>
      </c>
      <c r="J244" s="8">
        <v>2411</v>
      </c>
      <c r="K244" s="9"/>
      <c r="L244" s="8">
        <f t="shared" si="30"/>
        <v>28932</v>
      </c>
      <c r="M244" s="7">
        <f t="shared" si="31"/>
        <v>0</v>
      </c>
      <c r="N244" s="10">
        <f t="shared" si="32"/>
        <v>1</v>
      </c>
      <c r="O244" s="11">
        <f t="shared" si="33"/>
        <v>0.235379510576522</v>
      </c>
      <c r="P244" s="11"/>
      <c r="Q244" s="8">
        <f t="shared" si="34"/>
        <v>13619.9999999999</v>
      </c>
      <c r="R244" s="12">
        <f t="shared" si="35"/>
        <v>0</v>
      </c>
    </row>
    <row r="245" ht="14.25" spans="1:18">
      <c r="A245" s="15">
        <v>46079</v>
      </c>
      <c r="B245" s="3">
        <f>Data_Entry!P334</f>
        <v>13799.9999999997</v>
      </c>
      <c r="C245" s="3">
        <v>0</v>
      </c>
      <c r="D245" s="4">
        <f>Data_Entry!V334</f>
        <v>4.13</v>
      </c>
      <c r="E245" s="5">
        <f t="shared" si="27"/>
        <v>0.238490253007046</v>
      </c>
      <c r="F245" s="6">
        <v>0</v>
      </c>
      <c r="G245" s="6">
        <v>0</v>
      </c>
      <c r="H245" s="7">
        <f t="shared" si="28"/>
        <v>0</v>
      </c>
      <c r="I245" s="7">
        <f t="shared" si="29"/>
        <v>0</v>
      </c>
      <c r="J245" s="8">
        <v>2411</v>
      </c>
      <c r="K245" s="9"/>
      <c r="L245" s="8">
        <f t="shared" si="30"/>
        <v>28932</v>
      </c>
      <c r="M245" s="7">
        <f t="shared" si="31"/>
        <v>0</v>
      </c>
      <c r="N245" s="10">
        <f t="shared" si="32"/>
        <v>1</v>
      </c>
      <c r="O245" s="11">
        <f t="shared" si="33"/>
        <v>0.238490253007046</v>
      </c>
      <c r="P245" s="11"/>
      <c r="Q245" s="8">
        <f t="shared" si="34"/>
        <v>13799.9999999997</v>
      </c>
      <c r="R245" s="12">
        <f t="shared" si="35"/>
        <v>0</v>
      </c>
    </row>
    <row r="246" ht="14.25" spans="1:18">
      <c r="A246" s="15">
        <v>46080</v>
      </c>
      <c r="B246" s="3">
        <f>Data_Entry!P335</f>
        <v>5700.00000000027</v>
      </c>
      <c r="C246" s="3">
        <v>0</v>
      </c>
      <c r="D246" s="4">
        <f>Data_Entry!V335</f>
        <v>2.44</v>
      </c>
      <c r="E246" s="5">
        <f t="shared" si="27"/>
        <v>0.0985068436333519</v>
      </c>
      <c r="F246" s="6">
        <v>0</v>
      </c>
      <c r="G246" s="6">
        <v>0</v>
      </c>
      <c r="H246" s="7">
        <f t="shared" si="28"/>
        <v>0</v>
      </c>
      <c r="I246" s="7">
        <f t="shared" si="29"/>
        <v>0</v>
      </c>
      <c r="J246" s="8">
        <v>2411</v>
      </c>
      <c r="K246" s="9"/>
      <c r="L246" s="8">
        <f t="shared" si="30"/>
        <v>28932</v>
      </c>
      <c r="M246" s="7">
        <f t="shared" si="31"/>
        <v>0</v>
      </c>
      <c r="N246" s="10">
        <f t="shared" si="32"/>
        <v>1</v>
      </c>
      <c r="O246" s="11">
        <f t="shared" si="33"/>
        <v>0.0985068436333519</v>
      </c>
      <c r="P246" s="11"/>
      <c r="Q246" s="8">
        <f t="shared" si="34"/>
        <v>5700.00000000027</v>
      </c>
      <c r="R246" s="12">
        <f t="shared" si="35"/>
        <v>0</v>
      </c>
    </row>
    <row r="247" ht="14.25" spans="1:18">
      <c r="A247" s="15">
        <v>46081</v>
      </c>
      <c r="B247" s="3">
        <f>Data_Entry!P336</f>
        <v>14220</v>
      </c>
      <c r="C247" s="3">
        <v>0</v>
      </c>
      <c r="D247" s="4">
        <f>Data_Entry!V336</f>
        <v>4.42</v>
      </c>
      <c r="E247" s="5">
        <f t="shared" si="27"/>
        <v>0.245748652011614</v>
      </c>
      <c r="F247" s="6">
        <v>0</v>
      </c>
      <c r="G247" s="6">
        <v>0</v>
      </c>
      <c r="H247" s="7">
        <f t="shared" si="28"/>
        <v>0</v>
      </c>
      <c r="I247" s="7">
        <f t="shared" si="29"/>
        <v>0</v>
      </c>
      <c r="J247" s="8">
        <v>2411</v>
      </c>
      <c r="K247" s="9"/>
      <c r="L247" s="8">
        <f t="shared" si="30"/>
        <v>28932</v>
      </c>
      <c r="M247" s="7">
        <f t="shared" si="31"/>
        <v>0</v>
      </c>
      <c r="N247" s="10">
        <f t="shared" si="32"/>
        <v>1</v>
      </c>
      <c r="O247" s="11">
        <f t="shared" si="33"/>
        <v>0.245748652011614</v>
      </c>
      <c r="P247" s="11"/>
      <c r="Q247" s="8">
        <f t="shared" si="34"/>
        <v>14220</v>
      </c>
      <c r="R247" s="12">
        <f t="shared" si="35"/>
        <v>0</v>
      </c>
    </row>
    <row r="248" ht="14.25" spans="1:18">
      <c r="A248" s="15">
        <v>46082</v>
      </c>
      <c r="B248" s="3">
        <f>Data_Entry!P337</f>
        <v>14190.0000000001</v>
      </c>
      <c r="C248" s="3">
        <v>0</v>
      </c>
      <c r="D248" s="4">
        <f>Data_Entry!V337</f>
        <v>4.86</v>
      </c>
      <c r="E248" s="5">
        <f t="shared" si="27"/>
        <v>0.24523019493986</v>
      </c>
      <c r="F248" s="6">
        <v>0</v>
      </c>
      <c r="G248" s="6">
        <v>0</v>
      </c>
      <c r="H248" s="7">
        <f t="shared" si="28"/>
        <v>0</v>
      </c>
      <c r="I248" s="7">
        <f t="shared" si="29"/>
        <v>0</v>
      </c>
      <c r="J248" s="8">
        <v>2411</v>
      </c>
      <c r="K248" s="9"/>
      <c r="L248" s="8">
        <f t="shared" si="30"/>
        <v>28932</v>
      </c>
      <c r="M248" s="7">
        <f t="shared" si="31"/>
        <v>0</v>
      </c>
      <c r="N248" s="10">
        <f t="shared" si="32"/>
        <v>1</v>
      </c>
      <c r="O248" s="11">
        <f t="shared" si="33"/>
        <v>0.24523019493986</v>
      </c>
      <c r="P248" s="11"/>
      <c r="Q248" s="8">
        <f t="shared" si="34"/>
        <v>14190.0000000001</v>
      </c>
      <c r="R248" s="12">
        <f t="shared" si="35"/>
        <v>0</v>
      </c>
    </row>
    <row r="249" ht="14.25" spans="1:18">
      <c r="A249" s="15">
        <v>46083</v>
      </c>
      <c r="B249" s="3">
        <f>Data_Entry!P338</f>
        <v>13919.9999999996</v>
      </c>
      <c r="C249" s="3">
        <v>0</v>
      </c>
      <c r="D249" s="4">
        <f>Data_Entry!V338</f>
        <v>4.86</v>
      </c>
      <c r="E249" s="5">
        <f t="shared" si="27"/>
        <v>0.240564081294062</v>
      </c>
      <c r="F249" s="6">
        <v>0</v>
      </c>
      <c r="G249" s="6">
        <v>0</v>
      </c>
      <c r="H249" s="7">
        <f t="shared" si="28"/>
        <v>0</v>
      </c>
      <c r="I249" s="7">
        <f t="shared" si="29"/>
        <v>0</v>
      </c>
      <c r="J249" s="8">
        <v>2411</v>
      </c>
      <c r="K249" s="9"/>
      <c r="L249" s="8">
        <f t="shared" si="30"/>
        <v>28932</v>
      </c>
      <c r="M249" s="7">
        <f t="shared" si="31"/>
        <v>0</v>
      </c>
      <c r="N249" s="10">
        <f t="shared" si="32"/>
        <v>1</v>
      </c>
      <c r="O249" s="11">
        <f t="shared" si="33"/>
        <v>0.240564081294062</v>
      </c>
      <c r="P249" s="11"/>
      <c r="Q249" s="8">
        <f t="shared" si="34"/>
        <v>13919.9999999996</v>
      </c>
      <c r="R249" s="12">
        <f t="shared" si="35"/>
        <v>0</v>
      </c>
    </row>
    <row r="250" ht="14.25" spans="1:18">
      <c r="A250" s="15">
        <v>46084</v>
      </c>
      <c r="B250" s="3">
        <f>Data_Entry!P339</f>
        <v>13140.0000000003</v>
      </c>
      <c r="C250" s="3">
        <v>0</v>
      </c>
      <c r="D250" s="4">
        <f>Data_Entry!V339</f>
        <v>4.61</v>
      </c>
      <c r="E250" s="5">
        <f t="shared" si="27"/>
        <v>0.227084197428459</v>
      </c>
      <c r="F250" s="6">
        <v>0</v>
      </c>
      <c r="G250" s="6">
        <v>0</v>
      </c>
      <c r="H250" s="7">
        <f t="shared" si="28"/>
        <v>0</v>
      </c>
      <c r="I250" s="7">
        <f t="shared" si="29"/>
        <v>0</v>
      </c>
      <c r="J250" s="8">
        <v>2411</v>
      </c>
      <c r="K250" s="9"/>
      <c r="L250" s="8">
        <f t="shared" si="30"/>
        <v>28932</v>
      </c>
      <c r="M250" s="7">
        <f t="shared" si="31"/>
        <v>0</v>
      </c>
      <c r="N250" s="10">
        <f t="shared" si="32"/>
        <v>1</v>
      </c>
      <c r="O250" s="11">
        <f t="shared" si="33"/>
        <v>0.227084197428459</v>
      </c>
      <c r="P250" s="11"/>
      <c r="Q250" s="8">
        <f t="shared" si="34"/>
        <v>13140.0000000003</v>
      </c>
      <c r="R250" s="12">
        <f t="shared" si="35"/>
        <v>0</v>
      </c>
    </row>
    <row r="251" ht="14.25" spans="1:18">
      <c r="A251" s="15">
        <v>46085</v>
      </c>
      <c r="B251" s="3">
        <f>Data_Entry!P340</f>
        <v>12750</v>
      </c>
      <c r="C251" s="3">
        <v>0</v>
      </c>
      <c r="D251" s="4">
        <f>Data_Entry!V340</f>
        <v>4.66</v>
      </c>
      <c r="E251" s="5">
        <f t="shared" si="27"/>
        <v>0.220344255495645</v>
      </c>
      <c r="F251" s="6">
        <v>0.458333333333333</v>
      </c>
      <c r="G251" s="6">
        <v>0.725694444444444</v>
      </c>
      <c r="H251" s="7">
        <f t="shared" si="28"/>
        <v>385</v>
      </c>
      <c r="I251" s="7">
        <f t="shared" si="29"/>
        <v>6.41666666666667</v>
      </c>
      <c r="J251" s="8">
        <v>2411</v>
      </c>
      <c r="K251" s="9">
        <v>152.6</v>
      </c>
      <c r="L251" s="8">
        <f t="shared" si="30"/>
        <v>28932</v>
      </c>
      <c r="M251" s="7">
        <f t="shared" si="31"/>
        <v>979.183333333333</v>
      </c>
      <c r="N251" s="10">
        <f t="shared" si="32"/>
        <v>0.966155698419282</v>
      </c>
      <c r="O251" s="11">
        <f t="shared" si="33"/>
        <v>0.228062884539364</v>
      </c>
      <c r="P251" s="11" t="s">
        <v>262</v>
      </c>
      <c r="Q251" s="8">
        <f t="shared" si="34"/>
        <v>13196.6307509857</v>
      </c>
      <c r="R251" s="12">
        <f t="shared" si="35"/>
        <v>446.63075098574</v>
      </c>
    </row>
    <row r="252" ht="14.25" spans="1:18">
      <c r="A252" s="15">
        <v>46085</v>
      </c>
      <c r="B252" s="3">
        <f>Data_Entry!P341</f>
        <v>13410.0000000001</v>
      </c>
      <c r="C252" s="3">
        <v>0</v>
      </c>
      <c r="D252" s="4">
        <f>Data_Entry!V341</f>
        <v>4.84</v>
      </c>
      <c r="E252" s="5">
        <f t="shared" si="27"/>
        <v>0.231750311074244</v>
      </c>
      <c r="F252" s="6">
        <v>0.509722222222222</v>
      </c>
      <c r="G252" s="6">
        <v>0.520833333333333</v>
      </c>
      <c r="H252" s="7">
        <f t="shared" si="28"/>
        <v>16.0000000000001</v>
      </c>
      <c r="I252" s="7">
        <f t="shared" si="29"/>
        <v>0.266666666666668</v>
      </c>
      <c r="J252" s="8">
        <v>2411</v>
      </c>
      <c r="K252" s="9">
        <v>335.72</v>
      </c>
      <c r="L252" s="8">
        <f t="shared" si="30"/>
        <v>28932</v>
      </c>
      <c r="M252" s="7">
        <f t="shared" si="31"/>
        <v>89.5253333333339</v>
      </c>
      <c r="N252" s="10">
        <f t="shared" si="32"/>
        <v>0.996905663855477</v>
      </c>
      <c r="O252" s="11">
        <f t="shared" si="33"/>
        <v>0.232469650315721</v>
      </c>
      <c r="P252" s="11" t="s">
        <v>262</v>
      </c>
      <c r="Q252" s="8">
        <f t="shared" si="34"/>
        <v>13451.6238458689</v>
      </c>
      <c r="R252" s="12">
        <f t="shared" si="35"/>
        <v>41.6238458688003</v>
      </c>
    </row>
    <row r="253" ht="14.25" spans="1:18">
      <c r="A253" s="15">
        <v>46086</v>
      </c>
      <c r="B253" s="3">
        <f>Data_Entry!P341</f>
        <v>13410.0000000001</v>
      </c>
      <c r="C253" s="3">
        <v>0</v>
      </c>
      <c r="D253" s="4">
        <f>Data_Entry!V341</f>
        <v>4.84</v>
      </c>
      <c r="E253" s="5">
        <f t="shared" si="27"/>
        <v>0.231750311074244</v>
      </c>
      <c r="F253" s="6">
        <v>0.428472222222222</v>
      </c>
      <c r="G253" s="6">
        <v>0.445833333333333</v>
      </c>
      <c r="H253" s="7">
        <f t="shared" si="28"/>
        <v>25.0000000000001</v>
      </c>
      <c r="I253" s="7">
        <f t="shared" si="29"/>
        <v>0.416666666666668</v>
      </c>
      <c r="J253" s="8">
        <v>2411</v>
      </c>
      <c r="K253" s="9">
        <v>152.6</v>
      </c>
      <c r="L253" s="8">
        <f t="shared" si="30"/>
        <v>28932</v>
      </c>
      <c r="M253" s="7">
        <f t="shared" si="31"/>
        <v>63.5833333333335</v>
      </c>
      <c r="N253" s="10">
        <f t="shared" si="32"/>
        <v>0.997802318079174</v>
      </c>
      <c r="O253" s="11">
        <f t="shared" si="33"/>
        <v>0.232260746317344</v>
      </c>
      <c r="P253" s="11" t="s">
        <v>262</v>
      </c>
      <c r="Q253" s="8">
        <f t="shared" si="34"/>
        <v>13439.5358249068</v>
      </c>
      <c r="R253" s="12">
        <f t="shared" si="35"/>
        <v>29.5358249066903</v>
      </c>
    </row>
    <row r="254" ht="14.25" spans="1:18">
      <c r="A254" s="15">
        <v>46086</v>
      </c>
      <c r="B254" s="3">
        <f>Data_Entry!P342</f>
        <v>14909.9999999994</v>
      </c>
      <c r="C254" s="3">
        <v>0</v>
      </c>
      <c r="D254" s="4">
        <f>Data_Entry!V342</f>
        <v>4.57</v>
      </c>
      <c r="E254" s="5">
        <f t="shared" si="27"/>
        <v>0.257673164661956</v>
      </c>
      <c r="F254" s="6">
        <v>0.48125</v>
      </c>
      <c r="G254" s="6">
        <v>0.629166666666667</v>
      </c>
      <c r="H254" s="7">
        <f t="shared" si="28"/>
        <v>213</v>
      </c>
      <c r="I254" s="7">
        <f t="shared" si="29"/>
        <v>3.55</v>
      </c>
      <c r="J254" s="8">
        <v>2411</v>
      </c>
      <c r="K254" s="9">
        <v>152.6</v>
      </c>
      <c r="L254" s="8">
        <f t="shared" si="30"/>
        <v>28932</v>
      </c>
      <c r="M254" s="7">
        <f t="shared" si="31"/>
        <v>541.73</v>
      </c>
      <c r="N254" s="10">
        <f t="shared" si="32"/>
        <v>0.981275750034564</v>
      </c>
      <c r="O254" s="11">
        <f t="shared" si="33"/>
        <v>0.26258996480131</v>
      </c>
      <c r="P254" s="11" t="s">
        <v>262</v>
      </c>
      <c r="Q254" s="8">
        <f t="shared" si="34"/>
        <v>15194.505723263</v>
      </c>
      <c r="R254" s="12">
        <f t="shared" si="35"/>
        <v>284.505723263623</v>
      </c>
    </row>
    <row r="255" ht="14.25" spans="1:18">
      <c r="A255" s="15">
        <v>46087</v>
      </c>
      <c r="B255" s="3">
        <f>Data_Entry!P342</f>
        <v>14909.9999999994</v>
      </c>
      <c r="C255" s="3">
        <v>0</v>
      </c>
      <c r="D255" s="4">
        <f>Data_Entry!V342</f>
        <v>4.57</v>
      </c>
      <c r="E255" s="5">
        <f t="shared" si="27"/>
        <v>0.257673164661956</v>
      </c>
      <c r="F255" s="6">
        <v>0</v>
      </c>
      <c r="G255" s="6">
        <v>0</v>
      </c>
      <c r="H255" s="7">
        <f t="shared" si="28"/>
        <v>0</v>
      </c>
      <c r="I255" s="7">
        <f t="shared" si="29"/>
        <v>0</v>
      </c>
      <c r="J255" s="8">
        <v>2411</v>
      </c>
      <c r="K255" s="9"/>
      <c r="L255" s="8">
        <f t="shared" si="30"/>
        <v>28932</v>
      </c>
      <c r="M255" s="7">
        <f t="shared" si="31"/>
        <v>0</v>
      </c>
      <c r="N255" s="10">
        <f t="shared" si="32"/>
        <v>1</v>
      </c>
      <c r="O255" s="11">
        <f t="shared" si="33"/>
        <v>0.257673164661956</v>
      </c>
      <c r="P255" s="11"/>
      <c r="Q255" s="8">
        <f t="shared" si="34"/>
        <v>14909.9999999994</v>
      </c>
      <c r="R255" s="12">
        <f t="shared" si="35"/>
        <v>0</v>
      </c>
    </row>
    <row r="256" ht="14.25" spans="1:18">
      <c r="A256" s="15">
        <v>46088</v>
      </c>
      <c r="B256" s="3">
        <f>Data_Entry!P343</f>
        <v>13290.0000000002</v>
      </c>
      <c r="C256" s="3">
        <v>0</v>
      </c>
      <c r="D256" s="4">
        <f>Data_Entry!V343</f>
        <v>4.98</v>
      </c>
      <c r="E256" s="5">
        <f t="shared" si="27"/>
        <v>0.229676482787229</v>
      </c>
      <c r="F256" s="6">
        <v>0</v>
      </c>
      <c r="G256" s="6">
        <v>0</v>
      </c>
      <c r="H256" s="7">
        <f t="shared" si="28"/>
        <v>0</v>
      </c>
      <c r="I256" s="7">
        <f t="shared" si="29"/>
        <v>0</v>
      </c>
      <c r="J256" s="8">
        <v>2411</v>
      </c>
      <c r="K256" s="9"/>
      <c r="L256" s="8">
        <f t="shared" si="30"/>
        <v>28932</v>
      </c>
      <c r="M256" s="7">
        <f t="shared" si="31"/>
        <v>0</v>
      </c>
      <c r="N256" s="10">
        <f t="shared" si="32"/>
        <v>1</v>
      </c>
      <c r="O256" s="11">
        <f t="shared" si="33"/>
        <v>0.229676482787229</v>
      </c>
      <c r="P256" s="11"/>
      <c r="Q256" s="8">
        <f t="shared" si="34"/>
        <v>13290.0000000002</v>
      </c>
      <c r="R256" s="12">
        <f t="shared" si="35"/>
        <v>0</v>
      </c>
    </row>
    <row r="257" ht="14.25" spans="1:18">
      <c r="A257" s="15">
        <v>46089</v>
      </c>
      <c r="B257" s="3">
        <f>Data_Entry!P344</f>
        <v>13649.9999999999</v>
      </c>
      <c r="C257" s="3">
        <v>0</v>
      </c>
      <c r="D257" s="4">
        <f>Data_Entry!V344</f>
        <v>4.86</v>
      </c>
      <c r="E257" s="5">
        <f t="shared" si="27"/>
        <v>0.235897967648276</v>
      </c>
      <c r="F257" s="6">
        <v>0</v>
      </c>
      <c r="G257" s="6">
        <v>0</v>
      </c>
      <c r="H257" s="7">
        <f t="shared" si="28"/>
        <v>0</v>
      </c>
      <c r="I257" s="7">
        <f t="shared" si="29"/>
        <v>0</v>
      </c>
      <c r="J257" s="8">
        <v>2411</v>
      </c>
      <c r="K257" s="9"/>
      <c r="L257" s="8">
        <f t="shared" si="30"/>
        <v>28932</v>
      </c>
      <c r="M257" s="7">
        <f t="shared" si="31"/>
        <v>0</v>
      </c>
      <c r="N257" s="10">
        <f t="shared" si="32"/>
        <v>1</v>
      </c>
      <c r="O257" s="11">
        <f t="shared" si="33"/>
        <v>0.235897967648276</v>
      </c>
      <c r="P257" s="11"/>
      <c r="Q257" s="8">
        <f t="shared" si="34"/>
        <v>13649.9999999999</v>
      </c>
      <c r="R257" s="12">
        <f t="shared" si="35"/>
        <v>0</v>
      </c>
    </row>
    <row r="258" ht="14.25" spans="1:18">
      <c r="A258" s="15">
        <v>46090</v>
      </c>
      <c r="B258" s="3">
        <f>Data_Entry!P345</f>
        <v>13830.0000000004</v>
      </c>
      <c r="C258" s="3">
        <v>0</v>
      </c>
      <c r="D258" s="4">
        <f>Data_Entry!V345</f>
        <v>4.91</v>
      </c>
      <c r="E258" s="5">
        <f t="shared" si="27"/>
        <v>0.239008710078812</v>
      </c>
      <c r="F258" s="6">
        <v>0</v>
      </c>
      <c r="G258" s="6">
        <v>0</v>
      </c>
      <c r="H258" s="7">
        <f t="shared" si="28"/>
        <v>0</v>
      </c>
      <c r="I258" s="7">
        <f t="shared" si="29"/>
        <v>0</v>
      </c>
      <c r="J258" s="8">
        <v>2411</v>
      </c>
      <c r="K258" s="9"/>
      <c r="L258" s="8">
        <f t="shared" si="30"/>
        <v>28932</v>
      </c>
      <c r="M258" s="7">
        <f t="shared" si="31"/>
        <v>0</v>
      </c>
      <c r="N258" s="10">
        <f t="shared" si="32"/>
        <v>1</v>
      </c>
      <c r="O258" s="11">
        <f t="shared" si="33"/>
        <v>0.239008710078812</v>
      </c>
      <c r="P258" s="11"/>
      <c r="Q258" s="8">
        <f t="shared" si="34"/>
        <v>13830.0000000004</v>
      </c>
      <c r="R258" s="12">
        <f t="shared" si="35"/>
        <v>0</v>
      </c>
    </row>
    <row r="259" ht="14.25" spans="1:18">
      <c r="A259" s="15">
        <v>46091</v>
      </c>
      <c r="B259" s="3">
        <f>Data_Entry!P346</f>
        <v>13589.9999999999</v>
      </c>
      <c r="C259" s="3">
        <v>0</v>
      </c>
      <c r="D259" s="4">
        <f>Data_Entry!V346</f>
        <v>4.91</v>
      </c>
      <c r="E259" s="5">
        <f t="shared" si="27"/>
        <v>0.234861053504768</v>
      </c>
      <c r="F259" s="6">
        <v>0</v>
      </c>
      <c r="G259" s="6">
        <v>0</v>
      </c>
      <c r="H259" s="7">
        <f t="shared" si="28"/>
        <v>0</v>
      </c>
      <c r="I259" s="7">
        <f t="shared" si="29"/>
        <v>0</v>
      </c>
      <c r="J259" s="8">
        <v>2411</v>
      </c>
      <c r="K259" s="9"/>
      <c r="L259" s="8">
        <f t="shared" si="30"/>
        <v>28932</v>
      </c>
      <c r="M259" s="7">
        <f t="shared" si="31"/>
        <v>0</v>
      </c>
      <c r="N259" s="10">
        <f t="shared" si="32"/>
        <v>1</v>
      </c>
      <c r="O259" s="11">
        <f t="shared" si="33"/>
        <v>0.234861053504768</v>
      </c>
      <c r="P259" s="11"/>
      <c r="Q259" s="8">
        <f t="shared" si="34"/>
        <v>13589.9999999999</v>
      </c>
      <c r="R259" s="12">
        <f t="shared" si="35"/>
        <v>0</v>
      </c>
    </row>
    <row r="260" ht="14.25" spans="1:18">
      <c r="A260" s="15">
        <v>46092</v>
      </c>
      <c r="B260" s="3">
        <f>Data_Entry!P347</f>
        <v>13320.0000000002</v>
      </c>
      <c r="C260" s="3">
        <v>0</v>
      </c>
      <c r="D260" s="4">
        <f>Data_Entry!V347</f>
        <v>4.88</v>
      </c>
      <c r="E260" s="5">
        <f t="shared" si="27"/>
        <v>0.230194939858983</v>
      </c>
      <c r="F260" s="6">
        <v>0</v>
      </c>
      <c r="G260" s="6">
        <v>0</v>
      </c>
      <c r="H260" s="7">
        <f t="shared" si="28"/>
        <v>0</v>
      </c>
      <c r="I260" s="7">
        <f t="shared" si="29"/>
        <v>0</v>
      </c>
      <c r="J260" s="8">
        <v>2411</v>
      </c>
      <c r="K260" s="9"/>
      <c r="L260" s="8">
        <f t="shared" si="30"/>
        <v>28932</v>
      </c>
      <c r="M260" s="7">
        <f t="shared" si="31"/>
        <v>0</v>
      </c>
      <c r="N260" s="10">
        <f t="shared" si="32"/>
        <v>1</v>
      </c>
      <c r="O260" s="11">
        <f t="shared" si="33"/>
        <v>0.230194939858983</v>
      </c>
      <c r="P260" s="11"/>
      <c r="Q260" s="8">
        <f t="shared" si="34"/>
        <v>13320.0000000002</v>
      </c>
      <c r="R260" s="12">
        <f t="shared" si="35"/>
        <v>0</v>
      </c>
    </row>
    <row r="261" ht="14.25" spans="1:18">
      <c r="A261" s="15">
        <v>46093</v>
      </c>
      <c r="B261" s="3">
        <f>Data_Entry!P348</f>
        <v>13619.9999999999</v>
      </c>
      <c r="C261" s="3">
        <v>0</v>
      </c>
      <c r="D261" s="4">
        <f>Data_Entry!V348</f>
        <v>4.91</v>
      </c>
      <c r="E261" s="5">
        <f>B261/(24*J261)</f>
        <v>0.235379510576522</v>
      </c>
      <c r="F261" s="6">
        <v>0</v>
      </c>
      <c r="G261" s="6">
        <v>0</v>
      </c>
      <c r="H261" s="7">
        <f>(G261-F261)*24*60</f>
        <v>0</v>
      </c>
      <c r="I261" s="7">
        <f>H261/60</f>
        <v>0</v>
      </c>
      <c r="J261" s="8">
        <v>2411</v>
      </c>
      <c r="K261" s="9"/>
      <c r="L261" s="8">
        <f>J261*12</f>
        <v>28932</v>
      </c>
      <c r="M261" s="7">
        <f>K261*I261</f>
        <v>0</v>
      </c>
      <c r="N261" s="10">
        <f>(L261-M261)/L261</f>
        <v>1</v>
      </c>
      <c r="O261" s="11">
        <f>E261/N261</f>
        <v>0.235379510576522</v>
      </c>
      <c r="P261" s="11"/>
      <c r="Q261" s="8">
        <f>O261*J261*24</f>
        <v>13619.9999999999</v>
      </c>
      <c r="R261" s="12">
        <f>Q261-B261</f>
        <v>0</v>
      </c>
    </row>
    <row r="262" ht="14.25" spans="1:18">
      <c r="A262" s="15">
        <v>46094</v>
      </c>
      <c r="B262" s="3">
        <f>Data_Entry!P349</f>
        <v>13350.0000000001</v>
      </c>
      <c r="C262" s="3">
        <v>0</v>
      </c>
      <c r="D262" s="4">
        <f>Data_Entry!V349</f>
        <v>5.05</v>
      </c>
      <c r="E262" s="5">
        <f>B262/(24*J262)</f>
        <v>0.230713396930737</v>
      </c>
      <c r="F262" s="6">
        <v>0</v>
      </c>
      <c r="G262" s="6">
        <v>0</v>
      </c>
      <c r="H262" s="7">
        <f>(G262-F262)*24*60</f>
        <v>0</v>
      </c>
      <c r="I262" s="7">
        <f>H262/60</f>
        <v>0</v>
      </c>
      <c r="J262" s="8">
        <v>2411</v>
      </c>
      <c r="K262" s="9"/>
      <c r="L262" s="8">
        <f>J262*12</f>
        <v>28932</v>
      </c>
      <c r="M262" s="7">
        <f>K262*I262</f>
        <v>0</v>
      </c>
      <c r="N262" s="10">
        <f>(L262-M262)/L262</f>
        <v>1</v>
      </c>
      <c r="O262" s="11">
        <f>E262/N262</f>
        <v>0.230713396930737</v>
      </c>
      <c r="P262" s="11"/>
      <c r="Q262" s="8">
        <f>O262*J262*24</f>
        <v>13350.0000000001</v>
      </c>
      <c r="R262" s="12">
        <f>Q262-B262</f>
        <v>0</v>
      </c>
    </row>
    <row r="263" ht="14.25" spans="1:18">
      <c r="A263" s="15">
        <v>46095</v>
      </c>
      <c r="B263" s="3">
        <f>Data_Entry!P350</f>
        <v>14250</v>
      </c>
      <c r="C263" s="3">
        <v>0</v>
      </c>
      <c r="D263" s="4">
        <f>Data_Entry!V350</f>
        <v>5.34</v>
      </c>
      <c r="E263" s="5">
        <f>B263/(24*J263)</f>
        <v>0.246267109083368</v>
      </c>
      <c r="F263" s="6">
        <v>0.564583333333333</v>
      </c>
      <c r="G263" s="6">
        <v>0.597222222222222</v>
      </c>
      <c r="H263" s="7">
        <f t="shared" ref="H263:H270" si="36">(G263-F263)*24*60</f>
        <v>47</v>
      </c>
      <c r="I263" s="7">
        <f t="shared" ref="I263:I270" si="37">H263/60</f>
        <v>0.783333333333333</v>
      </c>
      <c r="J263" s="8">
        <v>2411</v>
      </c>
      <c r="K263" s="9">
        <v>152.6</v>
      </c>
      <c r="L263" s="8">
        <f t="shared" ref="L263:L270" si="38">J263*12</f>
        <v>28932</v>
      </c>
      <c r="M263" s="7">
        <f t="shared" ref="M263:M270" si="39">K263*I263</f>
        <v>119.536666666667</v>
      </c>
      <c r="N263" s="10">
        <f t="shared" ref="N263:N270" si="40">(L263-M263)/L263</f>
        <v>0.995868357988847</v>
      </c>
      <c r="O263" s="11">
        <f t="shared" ref="O263:O270" si="41">E263/N263</f>
        <v>0.247288817952509</v>
      </c>
      <c r="P263" s="11" t="s">
        <v>262</v>
      </c>
      <c r="Q263" s="8">
        <f t="shared" ref="Q263:Q270" si="42">O263*J263*24</f>
        <v>14309.120162004</v>
      </c>
      <c r="R263" s="12">
        <f t="shared" ref="R263:R270" si="43">Q263-B263</f>
        <v>59.1201620039737</v>
      </c>
    </row>
    <row r="264" ht="14.25" spans="1:18">
      <c r="A264" s="15">
        <v>46096</v>
      </c>
      <c r="B264" s="3">
        <f>Data_Entry!P351</f>
        <v>13319.9999999995</v>
      </c>
      <c r="C264" s="3">
        <v>0</v>
      </c>
      <c r="D264" s="4">
        <f>Data_Entry!V351</f>
        <v>5.09</v>
      </c>
      <c r="E264" s="5">
        <f>B264/(24*J264)</f>
        <v>0.230194939858971</v>
      </c>
      <c r="F264" s="6">
        <v>0</v>
      </c>
      <c r="G264" s="6">
        <v>0</v>
      </c>
      <c r="H264" s="7">
        <f t="shared" si="36"/>
        <v>0</v>
      </c>
      <c r="I264" s="7">
        <f t="shared" si="37"/>
        <v>0</v>
      </c>
      <c r="J264" s="8">
        <v>2411</v>
      </c>
      <c r="K264" s="9"/>
      <c r="L264" s="8">
        <f t="shared" si="38"/>
        <v>28932</v>
      </c>
      <c r="M264" s="7">
        <f t="shared" si="39"/>
        <v>0</v>
      </c>
      <c r="N264" s="10">
        <f t="shared" si="40"/>
        <v>1</v>
      </c>
      <c r="O264" s="11">
        <f t="shared" si="41"/>
        <v>0.230194939858971</v>
      </c>
      <c r="P264" s="11"/>
      <c r="Q264" s="8">
        <f t="shared" si="42"/>
        <v>13319.9999999995</v>
      </c>
      <c r="R264" s="12">
        <f t="shared" si="43"/>
        <v>0</v>
      </c>
    </row>
    <row r="265" ht="14.25" spans="1:18">
      <c r="A265" s="15">
        <v>46097</v>
      </c>
      <c r="B265" s="3">
        <f>Data_Entry!P352</f>
        <v>14190.0000000001</v>
      </c>
      <c r="C265" s="3">
        <v>0</v>
      </c>
      <c r="D265" s="4">
        <f>Data_Entry!V352</f>
        <v>5.31</v>
      </c>
      <c r="E265" s="5">
        <f t="shared" ref="E265:E270" si="44">B265/(24*J265)</f>
        <v>0.24523019493986</v>
      </c>
      <c r="F265" s="6">
        <v>0.564583333333333</v>
      </c>
      <c r="G265" s="6">
        <v>0.583333333333333</v>
      </c>
      <c r="H265" s="7">
        <f t="shared" si="36"/>
        <v>27.0000000000001</v>
      </c>
      <c r="I265" s="7">
        <f t="shared" si="37"/>
        <v>0.450000000000001</v>
      </c>
      <c r="J265" s="8">
        <v>2411</v>
      </c>
      <c r="K265" s="9">
        <v>152.6</v>
      </c>
      <c r="L265" s="8">
        <f t="shared" si="38"/>
        <v>28932</v>
      </c>
      <c r="M265" s="7">
        <f t="shared" si="39"/>
        <v>68.6700000000002</v>
      </c>
      <c r="N265" s="10">
        <f t="shared" si="40"/>
        <v>0.997626503525508</v>
      </c>
      <c r="O265" s="11">
        <f t="shared" si="41"/>
        <v>0.245813632730528</v>
      </c>
      <c r="P265" s="11" t="s">
        <v>262</v>
      </c>
      <c r="Q265" s="8">
        <f t="shared" si="42"/>
        <v>14223.7600443193</v>
      </c>
      <c r="R265" s="12">
        <f t="shared" si="43"/>
        <v>33.7600443192132</v>
      </c>
    </row>
    <row r="266" ht="14.25" spans="1:18">
      <c r="A266" s="15">
        <v>46098</v>
      </c>
      <c r="B266" s="3">
        <f>Data_Entry!P353</f>
        <v>13710.0000000005</v>
      </c>
      <c r="C266" s="3">
        <v>0</v>
      </c>
      <c r="D266" s="4">
        <f>Data_Entry!V353</f>
        <v>5.28</v>
      </c>
      <c r="E266" s="5">
        <f t="shared" si="44"/>
        <v>0.236934881791796</v>
      </c>
      <c r="F266" s="6">
        <v>0.528472222222222</v>
      </c>
      <c r="G266" s="6">
        <v>0.540277777777778</v>
      </c>
      <c r="H266" s="7">
        <f t="shared" si="36"/>
        <v>16.9999999999999</v>
      </c>
      <c r="I266" s="7">
        <f t="shared" si="37"/>
        <v>0.283333333333332</v>
      </c>
      <c r="J266" s="8">
        <v>2411</v>
      </c>
      <c r="K266" s="9">
        <v>152.6</v>
      </c>
      <c r="L266" s="8">
        <f t="shared" si="38"/>
        <v>28932</v>
      </c>
      <c r="M266" s="7">
        <f t="shared" si="39"/>
        <v>43.2366666666665</v>
      </c>
      <c r="N266" s="10">
        <f t="shared" si="40"/>
        <v>0.998505576293838</v>
      </c>
      <c r="O266" s="11">
        <f t="shared" si="41"/>
        <v>0.237289492835112</v>
      </c>
      <c r="P266" s="11" t="s">
        <v>262</v>
      </c>
      <c r="Q266" s="8">
        <f t="shared" si="42"/>
        <v>13730.5192134109</v>
      </c>
      <c r="R266" s="12">
        <f t="shared" si="43"/>
        <v>20.5192134104327</v>
      </c>
    </row>
    <row r="267" ht="14.25" spans="1:18">
      <c r="A267" s="15">
        <v>46099</v>
      </c>
      <c r="B267" s="3">
        <f>Data_Entry!P354</f>
        <v>13559.9999999999</v>
      </c>
      <c r="C267" s="3">
        <v>0</v>
      </c>
      <c r="D267" s="4">
        <f>Data_Entry!V354</f>
        <v>4.94</v>
      </c>
      <c r="E267" s="5">
        <f t="shared" si="44"/>
        <v>0.234342596433014</v>
      </c>
      <c r="F267" s="6">
        <v>0</v>
      </c>
      <c r="G267" s="6">
        <v>0</v>
      </c>
      <c r="H267" s="7">
        <f t="shared" si="36"/>
        <v>0</v>
      </c>
      <c r="I267" s="7">
        <f t="shared" si="37"/>
        <v>0</v>
      </c>
      <c r="J267" s="8">
        <v>2411</v>
      </c>
      <c r="K267" s="9"/>
      <c r="L267" s="8">
        <f t="shared" si="38"/>
        <v>28932</v>
      </c>
      <c r="M267" s="7">
        <f t="shared" si="39"/>
        <v>0</v>
      </c>
      <c r="N267" s="10">
        <f t="shared" si="40"/>
        <v>1</v>
      </c>
      <c r="O267" s="11">
        <f t="shared" si="41"/>
        <v>0.234342596433014</v>
      </c>
      <c r="P267" s="11"/>
      <c r="Q267" s="8">
        <f t="shared" si="42"/>
        <v>13559.9999999999</v>
      </c>
      <c r="R267" s="12">
        <f t="shared" si="43"/>
        <v>0</v>
      </c>
    </row>
    <row r="268" ht="14.25" spans="1:18">
      <c r="A268" s="15">
        <v>46100</v>
      </c>
      <c r="B268" s="3">
        <f>Data_Entry!P355</f>
        <v>9329.9999999997</v>
      </c>
      <c r="C268" s="3">
        <v>0</v>
      </c>
      <c r="D268" s="4">
        <f>Data_Entry!V355</f>
        <v>3.22</v>
      </c>
      <c r="E268" s="5">
        <f t="shared" si="44"/>
        <v>0.161240149315631</v>
      </c>
      <c r="F268" s="6">
        <v>0</v>
      </c>
      <c r="G268" s="6">
        <v>0</v>
      </c>
      <c r="H268" s="7">
        <f t="shared" si="36"/>
        <v>0</v>
      </c>
      <c r="I268" s="7">
        <f t="shared" si="37"/>
        <v>0</v>
      </c>
      <c r="J268" s="8">
        <v>2411</v>
      </c>
      <c r="K268" s="9"/>
      <c r="L268" s="8">
        <f t="shared" si="38"/>
        <v>28932</v>
      </c>
      <c r="M268" s="7">
        <f t="shared" si="39"/>
        <v>0</v>
      </c>
      <c r="N268" s="10">
        <f t="shared" si="40"/>
        <v>1</v>
      </c>
      <c r="O268" s="11">
        <f t="shared" si="41"/>
        <v>0.161240149315631</v>
      </c>
      <c r="P268" s="11"/>
      <c r="Q268" s="8">
        <f t="shared" si="42"/>
        <v>9329.9999999997</v>
      </c>
      <c r="R268" s="12">
        <f t="shared" si="43"/>
        <v>0</v>
      </c>
    </row>
    <row r="269" ht="14.25" spans="1:18">
      <c r="A269" s="15">
        <v>46101</v>
      </c>
      <c r="B269" s="3">
        <f>Data_Entry!P356</f>
        <v>13739.9999999998</v>
      </c>
      <c r="C269" s="3">
        <v>0</v>
      </c>
      <c r="D269" s="4">
        <f>Data_Entry!V356</f>
        <v>3.77</v>
      </c>
      <c r="E269" s="5">
        <f t="shared" si="44"/>
        <v>0.237453338863538</v>
      </c>
      <c r="F269" s="6">
        <v>0.36875</v>
      </c>
      <c r="G269" s="6">
        <v>0.404166666666667</v>
      </c>
      <c r="H269" s="7">
        <f t="shared" si="36"/>
        <v>51.0000000000005</v>
      </c>
      <c r="I269" s="7">
        <f t="shared" si="37"/>
        <v>0.850000000000008</v>
      </c>
      <c r="J269" s="8">
        <v>2411</v>
      </c>
      <c r="K269" s="9">
        <v>152.6</v>
      </c>
      <c r="L269" s="8">
        <f t="shared" si="38"/>
        <v>28932</v>
      </c>
      <c r="M269" s="7">
        <f t="shared" si="39"/>
        <v>129.710000000001</v>
      </c>
      <c r="N269" s="10">
        <f t="shared" si="40"/>
        <v>0.995516728881515</v>
      </c>
      <c r="O269" s="11">
        <f t="shared" si="41"/>
        <v>0.238522700799134</v>
      </c>
      <c r="P269" s="11" t="s">
        <v>262</v>
      </c>
      <c r="Q269" s="8">
        <f t="shared" si="42"/>
        <v>13801.8775590411</v>
      </c>
      <c r="R269" s="12">
        <f t="shared" si="43"/>
        <v>61.877559041317</v>
      </c>
    </row>
    <row r="270" ht="14.25" spans="1:18">
      <c r="A270" s="15">
        <v>46101</v>
      </c>
      <c r="B270" s="3">
        <v>13740</v>
      </c>
      <c r="C270" s="3">
        <v>1</v>
      </c>
      <c r="D270" s="4">
        <v>3.77</v>
      </c>
      <c r="E270" s="5">
        <v>0.2375</v>
      </c>
      <c r="F270" s="6">
        <v>0.404166666666667</v>
      </c>
      <c r="G270" s="6">
        <v>0.521527777777778</v>
      </c>
      <c r="H270" s="7">
        <f t="shared" si="36"/>
        <v>169</v>
      </c>
      <c r="I270" s="7">
        <f t="shared" si="37"/>
        <v>2.81666666666666</v>
      </c>
      <c r="J270" s="8">
        <v>2411</v>
      </c>
      <c r="K270" s="9">
        <v>335.72</v>
      </c>
      <c r="L270" s="8">
        <f t="shared" si="38"/>
        <v>28932</v>
      </c>
      <c r="M270" s="7">
        <f t="shared" si="39"/>
        <v>945.611333333333</v>
      </c>
      <c r="N270" s="10">
        <f t="shared" si="40"/>
        <v>0.967316074473478</v>
      </c>
      <c r="O270" s="11">
        <f t="shared" si="41"/>
        <v>0.245524711381721</v>
      </c>
      <c r="P270" s="11" t="s">
        <v>262</v>
      </c>
      <c r="Q270" s="8">
        <f t="shared" si="42"/>
        <v>14207.0418993919</v>
      </c>
      <c r="R270" s="12">
        <f t="shared" si="43"/>
        <v>467.041899391903</v>
      </c>
    </row>
    <row r="271" ht="14.25" spans="1:18">
      <c r="A271" s="15">
        <v>46102</v>
      </c>
      <c r="B271" s="3">
        <f>Data_Entry!P357</f>
        <v>13650.0000000005</v>
      </c>
      <c r="C271" s="3">
        <v>0</v>
      </c>
      <c r="D271" s="4">
        <f>Data_Entry!V357</f>
        <v>4.66</v>
      </c>
      <c r="E271" s="5">
        <f t="shared" ref="E271:E290" si="45">B271/(24*J271)</f>
        <v>0.235897967648287</v>
      </c>
      <c r="F271" s="6">
        <v>0.540972222222222</v>
      </c>
      <c r="G271" s="6">
        <v>0.571527777777778</v>
      </c>
      <c r="H271" s="7">
        <f t="shared" ref="H271:H290" si="46">(G271-F271)*24*60</f>
        <v>44.0000000000006</v>
      </c>
      <c r="I271" s="7">
        <f t="shared" ref="I271:I290" si="47">H271/60</f>
        <v>0.733333333333344</v>
      </c>
      <c r="J271" s="8">
        <v>2411</v>
      </c>
      <c r="K271" s="9">
        <v>152.6</v>
      </c>
      <c r="L271" s="8">
        <f t="shared" ref="L271:L290" si="48">J271*12</f>
        <v>28932</v>
      </c>
      <c r="M271" s="7">
        <f t="shared" ref="M271:M290" si="49">K271*I271</f>
        <v>111.906666666668</v>
      </c>
      <c r="N271" s="10">
        <f t="shared" ref="N271:N290" si="50">(L271-M271)/L271</f>
        <v>0.996132079819346</v>
      </c>
      <c r="O271" s="11">
        <f t="shared" ref="O271:O290" si="51">E271/N271</f>
        <v>0.236813945085544</v>
      </c>
      <c r="P271" s="11" t="s">
        <v>262</v>
      </c>
      <c r="Q271" s="8">
        <f t="shared" ref="Q271:Q290" si="52">O271*J271*24</f>
        <v>13703.0021184299</v>
      </c>
      <c r="R271" s="12">
        <f t="shared" ref="R271:R290" si="53">Q271-B271</f>
        <v>53.0021184294146</v>
      </c>
    </row>
    <row r="272" ht="14.25" spans="1:18">
      <c r="A272" s="15">
        <v>46103</v>
      </c>
      <c r="B272" s="3">
        <f>Data_Entry!P358</f>
        <v>13530</v>
      </c>
      <c r="C272" s="3">
        <v>0</v>
      </c>
      <c r="D272" s="4">
        <f>Data_Entry!V358</f>
        <v>4.86</v>
      </c>
      <c r="E272" s="5">
        <f t="shared" si="45"/>
        <v>0.233824139361261</v>
      </c>
      <c r="F272" s="6">
        <v>0.553472222222222</v>
      </c>
      <c r="G272" s="6">
        <v>0.567361111111111</v>
      </c>
      <c r="H272" s="7">
        <f t="shared" si="46"/>
        <v>20.0000000000001</v>
      </c>
      <c r="I272" s="7">
        <f t="shared" si="47"/>
        <v>0.333333333333335</v>
      </c>
      <c r="J272" s="8">
        <v>2411</v>
      </c>
      <c r="K272" s="9">
        <v>152.6</v>
      </c>
      <c r="L272" s="8">
        <f t="shared" si="48"/>
        <v>28932</v>
      </c>
      <c r="M272" s="7">
        <f t="shared" si="49"/>
        <v>50.8666666666669</v>
      </c>
      <c r="N272" s="10">
        <f t="shared" si="50"/>
        <v>0.998241854463339</v>
      </c>
      <c r="O272" s="11">
        <f t="shared" si="51"/>
        <v>0.234235960269334</v>
      </c>
      <c r="P272" s="11" t="s">
        <v>262</v>
      </c>
      <c r="Q272" s="8">
        <f t="shared" si="52"/>
        <v>13553.8296050247</v>
      </c>
      <c r="R272" s="12">
        <f t="shared" si="53"/>
        <v>23.8296050247336</v>
      </c>
    </row>
    <row r="273" ht="14.25" spans="1:18">
      <c r="A273" s="15">
        <v>46104</v>
      </c>
      <c r="B273" s="3">
        <f>Data_Entry!P359</f>
        <v>11789.9999999995</v>
      </c>
      <c r="C273" s="3">
        <v>0</v>
      </c>
      <c r="D273" s="4">
        <f>Data_Entry!V359</f>
        <v>4.53</v>
      </c>
      <c r="E273" s="5">
        <f t="shared" si="45"/>
        <v>0.203753629199494</v>
      </c>
      <c r="F273" s="6">
        <v>0.525</v>
      </c>
      <c r="G273" s="6">
        <v>0.557638888888889</v>
      </c>
      <c r="H273" s="7">
        <f t="shared" si="46"/>
        <v>47.0000000000002</v>
      </c>
      <c r="I273" s="7">
        <f t="shared" si="47"/>
        <v>0.783333333333336</v>
      </c>
      <c r="J273" s="8">
        <v>2411</v>
      </c>
      <c r="K273" s="9">
        <v>152.6</v>
      </c>
      <c r="L273" s="8">
        <f t="shared" si="48"/>
        <v>28932</v>
      </c>
      <c r="M273" s="7">
        <f t="shared" si="49"/>
        <v>119.536666666667</v>
      </c>
      <c r="N273" s="10">
        <f t="shared" si="50"/>
        <v>0.995868357988847</v>
      </c>
      <c r="O273" s="11">
        <f t="shared" si="51"/>
        <v>0.20459895885333</v>
      </c>
      <c r="P273" s="11" t="s">
        <v>262</v>
      </c>
      <c r="Q273" s="8">
        <f t="shared" si="52"/>
        <v>11838.9141550891</v>
      </c>
      <c r="R273" s="12">
        <f t="shared" si="53"/>
        <v>48.9141550895947</v>
      </c>
    </row>
    <row r="274" ht="14.25" spans="1:18">
      <c r="A274" s="15">
        <v>46105</v>
      </c>
      <c r="B274" s="3">
        <f>Data_Entry!P360</f>
        <v>12450.0000000003</v>
      </c>
      <c r="C274" s="3">
        <v>0</v>
      </c>
      <c r="D274" s="4">
        <f>Data_Entry!V360</f>
        <v>4.52</v>
      </c>
      <c r="E274" s="5">
        <f t="shared" si="45"/>
        <v>0.215159684778106</v>
      </c>
      <c r="F274" s="6">
        <v>0</v>
      </c>
      <c r="G274" s="6">
        <v>0</v>
      </c>
      <c r="H274" s="7">
        <f t="shared" si="46"/>
        <v>0</v>
      </c>
      <c r="I274" s="7">
        <f t="shared" si="47"/>
        <v>0</v>
      </c>
      <c r="J274" s="8">
        <v>2411</v>
      </c>
      <c r="K274" s="9"/>
      <c r="L274" s="8">
        <f t="shared" si="48"/>
        <v>28932</v>
      </c>
      <c r="M274" s="7">
        <f t="shared" si="49"/>
        <v>0</v>
      </c>
      <c r="N274" s="10">
        <f t="shared" si="50"/>
        <v>1</v>
      </c>
      <c r="O274" s="11">
        <f t="shared" si="51"/>
        <v>0.215159684778106</v>
      </c>
      <c r="P274" s="11"/>
      <c r="Q274" s="8">
        <f t="shared" si="52"/>
        <v>12450.0000000003</v>
      </c>
      <c r="R274" s="12">
        <f t="shared" si="53"/>
        <v>0</v>
      </c>
    </row>
    <row r="275" ht="14.25" spans="1:18">
      <c r="A275" s="15">
        <v>46106</v>
      </c>
      <c r="B275" s="3">
        <f>Data_Entry!P361</f>
        <v>13139.9999999996</v>
      </c>
      <c r="C275" s="3">
        <v>0</v>
      </c>
      <c r="D275" s="4">
        <f>Data_Entry!V361</f>
        <v>5.24</v>
      </c>
      <c r="E275" s="5">
        <f t="shared" si="45"/>
        <v>0.227084197428446</v>
      </c>
      <c r="F275" s="6">
        <v>0</v>
      </c>
      <c r="G275" s="6">
        <v>0</v>
      </c>
      <c r="H275" s="7">
        <f t="shared" si="46"/>
        <v>0</v>
      </c>
      <c r="I275" s="7">
        <f t="shared" si="47"/>
        <v>0</v>
      </c>
      <c r="J275" s="8">
        <v>2411</v>
      </c>
      <c r="K275" s="9"/>
      <c r="L275" s="8">
        <f t="shared" si="48"/>
        <v>28932</v>
      </c>
      <c r="M275" s="7">
        <f t="shared" si="49"/>
        <v>0</v>
      </c>
      <c r="N275" s="10">
        <f t="shared" si="50"/>
        <v>1</v>
      </c>
      <c r="O275" s="11">
        <f t="shared" si="51"/>
        <v>0.227084197428446</v>
      </c>
      <c r="P275" s="11"/>
      <c r="Q275" s="8">
        <f t="shared" si="52"/>
        <v>13139.9999999996</v>
      </c>
      <c r="R275" s="12">
        <f t="shared" si="53"/>
        <v>0</v>
      </c>
    </row>
    <row r="276" ht="14.25" spans="1:18">
      <c r="A276" s="15">
        <v>46107</v>
      </c>
      <c r="B276" s="3">
        <f>Data_Entry!P362</f>
        <v>13680.0000000005</v>
      </c>
      <c r="C276" s="3">
        <v>0</v>
      </c>
      <c r="D276" s="4">
        <f>Data_Entry!V362</f>
        <v>5.07</v>
      </c>
      <c r="E276" s="5">
        <f t="shared" si="45"/>
        <v>0.236416424720042</v>
      </c>
      <c r="F276" s="6">
        <v>0</v>
      </c>
      <c r="G276" s="6">
        <v>0</v>
      </c>
      <c r="H276" s="7">
        <f t="shared" si="46"/>
        <v>0</v>
      </c>
      <c r="I276" s="7">
        <f t="shared" si="47"/>
        <v>0</v>
      </c>
      <c r="J276" s="8">
        <v>2411</v>
      </c>
      <c r="K276" s="9"/>
      <c r="L276" s="8">
        <f t="shared" si="48"/>
        <v>28932</v>
      </c>
      <c r="M276" s="7">
        <f t="shared" si="49"/>
        <v>0</v>
      </c>
      <c r="N276" s="10">
        <f t="shared" si="50"/>
        <v>1</v>
      </c>
      <c r="O276" s="11">
        <f t="shared" si="51"/>
        <v>0.236416424720042</v>
      </c>
      <c r="P276" s="11"/>
      <c r="Q276" s="8">
        <f t="shared" si="52"/>
        <v>13680.0000000005</v>
      </c>
      <c r="R276" s="12">
        <f t="shared" si="53"/>
        <v>0</v>
      </c>
    </row>
    <row r="277" ht="14.25" spans="1:18">
      <c r="A277" s="15">
        <v>46108</v>
      </c>
      <c r="B277" s="3">
        <f>Data_Entry!P363</f>
        <v>14039.9999999995</v>
      </c>
      <c r="C277" s="3">
        <v>0</v>
      </c>
      <c r="D277" s="4">
        <f>Data_Entry!V363</f>
        <v>5.35</v>
      </c>
      <c r="E277" s="5">
        <f t="shared" si="45"/>
        <v>0.242637909581078</v>
      </c>
      <c r="F277" s="6">
        <v>0.592361111111111</v>
      </c>
      <c r="G277" s="6">
        <v>0.613888888888889</v>
      </c>
      <c r="H277" s="7">
        <f t="shared" si="46"/>
        <v>31</v>
      </c>
      <c r="I277" s="7">
        <f t="shared" si="47"/>
        <v>0.516666666666667</v>
      </c>
      <c r="J277" s="8">
        <v>2411</v>
      </c>
      <c r="K277" s="9">
        <v>152.6</v>
      </c>
      <c r="L277" s="8">
        <f t="shared" si="48"/>
        <v>28932</v>
      </c>
      <c r="M277" s="7">
        <f t="shared" si="49"/>
        <v>78.8433333333335</v>
      </c>
      <c r="N277" s="10">
        <f t="shared" si="50"/>
        <v>0.997274874418176</v>
      </c>
      <c r="O277" s="11">
        <f t="shared" si="51"/>
        <v>0.243300935183629</v>
      </c>
      <c r="P277" s="11" t="s">
        <v>262</v>
      </c>
      <c r="Q277" s="8">
        <f t="shared" si="52"/>
        <v>14078.3653134655</v>
      </c>
      <c r="R277" s="12">
        <f t="shared" si="53"/>
        <v>38.3653134659889</v>
      </c>
    </row>
    <row r="278" ht="14.25" spans="1:18">
      <c r="A278" s="15">
        <v>46109</v>
      </c>
      <c r="B278" s="3">
        <f>Data_Entry!P364</f>
        <v>13230.0000000002</v>
      </c>
      <c r="C278" s="3">
        <v>0</v>
      </c>
      <c r="D278" s="4">
        <f>Data_Entry!V364</f>
        <v>5.29</v>
      </c>
      <c r="E278" s="5">
        <f t="shared" si="45"/>
        <v>0.22863956864372</v>
      </c>
      <c r="F278" s="6">
        <v>0</v>
      </c>
      <c r="G278" s="6">
        <v>0</v>
      </c>
      <c r="H278" s="7">
        <f t="shared" si="46"/>
        <v>0</v>
      </c>
      <c r="I278" s="7">
        <f t="shared" si="47"/>
        <v>0</v>
      </c>
      <c r="J278" s="8">
        <v>2411</v>
      </c>
      <c r="K278" s="9"/>
      <c r="L278" s="8">
        <f t="shared" si="48"/>
        <v>28932</v>
      </c>
      <c r="M278" s="7">
        <f t="shared" si="49"/>
        <v>0</v>
      </c>
      <c r="N278" s="10">
        <f t="shared" si="50"/>
        <v>1</v>
      </c>
      <c r="O278" s="11">
        <f t="shared" si="51"/>
        <v>0.22863956864372</v>
      </c>
      <c r="P278" s="11"/>
      <c r="Q278" s="8">
        <f t="shared" si="52"/>
        <v>13230.0000000002</v>
      </c>
      <c r="R278" s="12">
        <f t="shared" si="53"/>
        <v>0</v>
      </c>
    </row>
    <row r="279" ht="14.25" spans="1:18">
      <c r="A279" s="15">
        <v>46110</v>
      </c>
      <c r="B279" s="3">
        <f>Data_Entry!P365</f>
        <v>12209.9999999998</v>
      </c>
      <c r="C279" s="3">
        <v>0</v>
      </c>
      <c r="D279" s="4">
        <f>Data_Entry!V365</f>
        <v>5.33</v>
      </c>
      <c r="E279" s="5">
        <f t="shared" si="45"/>
        <v>0.211012028204061</v>
      </c>
      <c r="F279" s="6">
        <v>0</v>
      </c>
      <c r="G279" s="6">
        <v>0</v>
      </c>
      <c r="H279" s="7">
        <f t="shared" si="46"/>
        <v>0</v>
      </c>
      <c r="I279" s="7">
        <f t="shared" si="47"/>
        <v>0</v>
      </c>
      <c r="J279" s="8">
        <v>2411</v>
      </c>
      <c r="K279" s="9"/>
      <c r="L279" s="8">
        <f t="shared" si="48"/>
        <v>28932</v>
      </c>
      <c r="M279" s="7">
        <f t="shared" si="49"/>
        <v>0</v>
      </c>
      <c r="N279" s="10">
        <f t="shared" si="50"/>
        <v>1</v>
      </c>
      <c r="O279" s="11">
        <f t="shared" si="51"/>
        <v>0.211012028204061</v>
      </c>
      <c r="P279" s="11"/>
      <c r="Q279" s="8">
        <f t="shared" si="52"/>
        <v>12209.9999999998</v>
      </c>
      <c r="R279" s="12">
        <f t="shared" si="53"/>
        <v>0</v>
      </c>
    </row>
    <row r="280" ht="14.25" spans="1:18">
      <c r="A280" s="15">
        <v>46111</v>
      </c>
      <c r="B280" s="3">
        <f>Data_Entry!P366</f>
        <v>13770.0000000004</v>
      </c>
      <c r="C280" s="3">
        <v>0</v>
      </c>
      <c r="D280" s="4">
        <f>Data_Entry!V366</f>
        <v>4.91</v>
      </c>
      <c r="E280" s="5">
        <f t="shared" si="45"/>
        <v>0.237971795935303</v>
      </c>
      <c r="F280" s="6">
        <v>0</v>
      </c>
      <c r="G280" s="6">
        <v>0</v>
      </c>
      <c r="H280" s="7">
        <f t="shared" si="46"/>
        <v>0</v>
      </c>
      <c r="I280" s="7">
        <f t="shared" si="47"/>
        <v>0</v>
      </c>
      <c r="J280" s="8">
        <v>2411</v>
      </c>
      <c r="K280" s="9"/>
      <c r="L280" s="8">
        <f t="shared" si="48"/>
        <v>28932</v>
      </c>
      <c r="M280" s="7">
        <f t="shared" si="49"/>
        <v>0</v>
      </c>
      <c r="N280" s="10">
        <f t="shared" si="50"/>
        <v>1</v>
      </c>
      <c r="O280" s="11">
        <f t="shared" si="51"/>
        <v>0.237971795935303</v>
      </c>
      <c r="P280" s="11"/>
      <c r="Q280" s="8">
        <f t="shared" si="52"/>
        <v>13770.0000000004</v>
      </c>
      <c r="R280" s="12">
        <f t="shared" si="53"/>
        <v>0</v>
      </c>
    </row>
    <row r="281" ht="14.25" spans="1:18">
      <c r="A281" s="15">
        <v>46112</v>
      </c>
      <c r="B281" s="3">
        <f>Data_Entry!P367</f>
        <v>11699.9999999996</v>
      </c>
      <c r="C281" s="3">
        <v>0</v>
      </c>
      <c r="D281" s="4">
        <f>Data_Entry!V367</f>
        <v>5.23</v>
      </c>
      <c r="E281" s="5">
        <f t="shared" si="45"/>
        <v>0.202198257984232</v>
      </c>
      <c r="F281" s="6">
        <v>0</v>
      </c>
      <c r="G281" s="6">
        <v>0</v>
      </c>
      <c r="H281" s="7">
        <f t="shared" si="46"/>
        <v>0</v>
      </c>
      <c r="I281" s="7">
        <f t="shared" si="47"/>
        <v>0</v>
      </c>
      <c r="J281" s="8">
        <v>2411</v>
      </c>
      <c r="K281" s="9"/>
      <c r="L281" s="8">
        <f t="shared" si="48"/>
        <v>28932</v>
      </c>
      <c r="M281" s="7">
        <f t="shared" si="49"/>
        <v>0</v>
      </c>
      <c r="N281" s="10">
        <f t="shared" si="50"/>
        <v>1</v>
      </c>
      <c r="O281" s="11">
        <f t="shared" si="51"/>
        <v>0.202198257984232</v>
      </c>
      <c r="P281" s="11"/>
      <c r="Q281" s="8">
        <f t="shared" si="52"/>
        <v>11699.9999999996</v>
      </c>
      <c r="R281" s="12">
        <f t="shared" si="53"/>
        <v>0</v>
      </c>
    </row>
    <row r="282" ht="14.25" spans="1:18">
      <c r="A282" s="15">
        <v>46113</v>
      </c>
      <c r="B282" s="3">
        <f>Data_Entry!P368</f>
        <v>13380.0000000001</v>
      </c>
      <c r="C282" s="3">
        <v>0</v>
      </c>
      <c r="D282" s="4">
        <f>Data_Entry!V368</f>
        <v>5.05</v>
      </c>
      <c r="E282" s="5">
        <f t="shared" si="45"/>
        <v>0.23123185400249</v>
      </c>
      <c r="F282" s="6">
        <v>0.494444444444444</v>
      </c>
      <c r="G282" s="6">
        <v>0.540277777777778</v>
      </c>
      <c r="H282" s="7">
        <f t="shared" si="46"/>
        <v>65.9999999999999</v>
      </c>
      <c r="I282" s="7">
        <f t="shared" si="47"/>
        <v>1.1</v>
      </c>
      <c r="J282" s="8">
        <v>2411</v>
      </c>
      <c r="K282" s="9">
        <v>152.6</v>
      </c>
      <c r="L282" s="8">
        <f t="shared" si="48"/>
        <v>28932</v>
      </c>
      <c r="M282" s="7">
        <f t="shared" si="49"/>
        <v>167.86</v>
      </c>
      <c r="N282" s="10">
        <f t="shared" si="50"/>
        <v>0.99419811972902</v>
      </c>
      <c r="O282" s="11">
        <f t="shared" si="51"/>
        <v>0.23258126264161</v>
      </c>
      <c r="P282" s="11" t="s">
        <v>262</v>
      </c>
      <c r="Q282" s="8">
        <f t="shared" si="52"/>
        <v>13458.0821814941</v>
      </c>
      <c r="R282" s="12">
        <f t="shared" si="53"/>
        <v>78.0821814940391</v>
      </c>
    </row>
    <row r="283" ht="14.25" spans="1:18">
      <c r="A283" s="15">
        <v>46114</v>
      </c>
      <c r="B283" s="3">
        <f>Data_Entry!P369</f>
        <v>12869.9999999999</v>
      </c>
      <c r="C283" s="3">
        <v>0</v>
      </c>
      <c r="D283" s="4">
        <f>Data_Entry!V369</f>
        <v>3.98</v>
      </c>
      <c r="E283" s="5">
        <f t="shared" si="45"/>
        <v>0.222418083782661</v>
      </c>
      <c r="F283" s="6">
        <v>0</v>
      </c>
      <c r="G283" s="6">
        <v>0</v>
      </c>
      <c r="H283" s="7">
        <f t="shared" si="46"/>
        <v>0</v>
      </c>
      <c r="I283" s="7">
        <f t="shared" si="47"/>
        <v>0</v>
      </c>
      <c r="J283" s="8">
        <v>2411</v>
      </c>
      <c r="K283" s="9"/>
      <c r="L283" s="8">
        <f t="shared" si="48"/>
        <v>28932</v>
      </c>
      <c r="M283" s="7">
        <f t="shared" si="49"/>
        <v>0</v>
      </c>
      <c r="N283" s="10">
        <f t="shared" si="50"/>
        <v>1</v>
      </c>
      <c r="O283" s="11">
        <f t="shared" si="51"/>
        <v>0.222418083782661</v>
      </c>
      <c r="P283" s="11"/>
      <c r="Q283" s="8">
        <f t="shared" si="52"/>
        <v>12869.9999999999</v>
      </c>
      <c r="R283" s="12">
        <f t="shared" si="53"/>
        <v>0</v>
      </c>
    </row>
    <row r="284" ht="14.25" spans="1:18">
      <c r="A284" s="15">
        <v>46115</v>
      </c>
      <c r="B284" s="3">
        <f>Data_Entry!P370</f>
        <v>9119.99999999989</v>
      </c>
      <c r="C284" s="3">
        <v>0</v>
      </c>
      <c r="D284" s="4">
        <f>Data_Entry!V370</f>
        <v>2.65</v>
      </c>
      <c r="E284" s="5">
        <f t="shared" si="45"/>
        <v>0.157610949813354</v>
      </c>
      <c r="F284" s="6">
        <v>0</v>
      </c>
      <c r="G284" s="6">
        <v>0</v>
      </c>
      <c r="H284" s="7">
        <f t="shared" si="46"/>
        <v>0</v>
      </c>
      <c r="I284" s="7">
        <f t="shared" si="47"/>
        <v>0</v>
      </c>
      <c r="J284" s="8">
        <v>2411</v>
      </c>
      <c r="K284" s="9"/>
      <c r="L284" s="8">
        <f t="shared" si="48"/>
        <v>28932</v>
      </c>
      <c r="M284" s="7">
        <f t="shared" si="49"/>
        <v>0</v>
      </c>
      <c r="N284" s="10">
        <f t="shared" si="50"/>
        <v>1</v>
      </c>
      <c r="O284" s="11">
        <f t="shared" si="51"/>
        <v>0.157610949813354</v>
      </c>
      <c r="P284" s="11"/>
      <c r="Q284" s="8">
        <f t="shared" si="52"/>
        <v>9119.99999999989</v>
      </c>
      <c r="R284" s="12">
        <f t="shared" si="53"/>
        <v>0</v>
      </c>
    </row>
    <row r="285" ht="14.25" spans="1:18">
      <c r="A285" s="15">
        <v>46116</v>
      </c>
      <c r="B285" s="3">
        <f>Data_Entry!P371</f>
        <v>14160.0000000001</v>
      </c>
      <c r="C285" s="3">
        <v>0</v>
      </c>
      <c r="D285" s="4">
        <f>Data_Entry!V371</f>
        <v>5.33</v>
      </c>
      <c r="E285" s="5">
        <f t="shared" si="45"/>
        <v>0.244711737868106</v>
      </c>
      <c r="F285" s="6">
        <v>0</v>
      </c>
      <c r="G285" s="6">
        <v>0</v>
      </c>
      <c r="H285" s="7">
        <f t="shared" si="46"/>
        <v>0</v>
      </c>
      <c r="I285" s="7">
        <f t="shared" si="47"/>
        <v>0</v>
      </c>
      <c r="J285" s="8">
        <v>2411</v>
      </c>
      <c r="K285" s="9"/>
      <c r="L285" s="8">
        <f t="shared" si="48"/>
        <v>28932</v>
      </c>
      <c r="M285" s="7">
        <f t="shared" si="49"/>
        <v>0</v>
      </c>
      <c r="N285" s="10">
        <f t="shared" si="50"/>
        <v>1</v>
      </c>
      <c r="O285" s="11">
        <f t="shared" si="51"/>
        <v>0.244711737868106</v>
      </c>
      <c r="P285" s="11"/>
      <c r="Q285" s="8">
        <f t="shared" si="52"/>
        <v>14160.0000000001</v>
      </c>
      <c r="R285" s="12">
        <f t="shared" si="53"/>
        <v>0</v>
      </c>
    </row>
    <row r="286" ht="14.25" spans="1:18">
      <c r="A286" s="15">
        <v>46117</v>
      </c>
      <c r="B286" s="3">
        <f>Data_Entry!P372</f>
        <v>13620.0000000006</v>
      </c>
      <c r="C286" s="3">
        <v>0</v>
      </c>
      <c r="D286" s="4">
        <f>Data_Entry!V372</f>
        <v>5.33</v>
      </c>
      <c r="E286" s="5">
        <f t="shared" si="45"/>
        <v>0.235379510576534</v>
      </c>
      <c r="F286" s="6">
        <v>0.472916666666667</v>
      </c>
      <c r="G286" s="6">
        <v>0.597916666666667</v>
      </c>
      <c r="H286" s="7">
        <f t="shared" si="46"/>
        <v>180</v>
      </c>
      <c r="I286" s="7">
        <f t="shared" si="47"/>
        <v>3</v>
      </c>
      <c r="J286" s="8">
        <v>2411</v>
      </c>
      <c r="K286" s="9">
        <v>152.6</v>
      </c>
      <c r="L286" s="8">
        <f t="shared" si="48"/>
        <v>28932</v>
      </c>
      <c r="M286" s="7">
        <f t="shared" si="49"/>
        <v>457.8</v>
      </c>
      <c r="N286" s="10">
        <f t="shared" si="50"/>
        <v>0.984176690170054</v>
      </c>
      <c r="O286" s="11">
        <f t="shared" si="51"/>
        <v>0.239163874665497</v>
      </c>
      <c r="P286" s="11" t="s">
        <v>262</v>
      </c>
      <c r="Q286" s="8">
        <f t="shared" si="52"/>
        <v>13838.9784436443</v>
      </c>
      <c r="R286" s="12">
        <f t="shared" si="53"/>
        <v>218.978443643728</v>
      </c>
    </row>
    <row r="287" ht="14.25" spans="1:18">
      <c r="A287" s="15">
        <v>46118</v>
      </c>
      <c r="B287" s="3">
        <f>Data_Entry!P373</f>
        <v>14129.9999999994</v>
      </c>
      <c r="C287" s="3">
        <v>0</v>
      </c>
      <c r="D287" s="4">
        <f>Data_Entry!V373</f>
        <v>5.25</v>
      </c>
      <c r="E287" s="5">
        <f t="shared" si="45"/>
        <v>0.24419328079634</v>
      </c>
      <c r="F287" s="6">
        <v>0.479166666666667</v>
      </c>
      <c r="G287" s="6">
        <v>0.570833333333333</v>
      </c>
      <c r="H287" s="7">
        <f t="shared" si="46"/>
        <v>132</v>
      </c>
      <c r="I287" s="7">
        <f t="shared" si="47"/>
        <v>2.2</v>
      </c>
      <c r="J287" s="8">
        <v>2411</v>
      </c>
      <c r="K287" s="9">
        <v>152.6</v>
      </c>
      <c r="L287" s="8">
        <f t="shared" si="48"/>
        <v>28932</v>
      </c>
      <c r="M287" s="7">
        <f t="shared" si="49"/>
        <v>335.72</v>
      </c>
      <c r="N287" s="10">
        <f t="shared" si="50"/>
        <v>0.988396239458039</v>
      </c>
      <c r="O287" s="11">
        <f t="shared" si="51"/>
        <v>0.247060107118818</v>
      </c>
      <c r="P287" s="11" t="s">
        <v>262</v>
      </c>
      <c r="Q287" s="8">
        <f t="shared" si="52"/>
        <v>14295.8860383233</v>
      </c>
      <c r="R287" s="12">
        <f t="shared" si="53"/>
        <v>165.886038323868</v>
      </c>
    </row>
    <row r="288" ht="14.25" spans="1:18">
      <c r="A288" s="15">
        <v>46119</v>
      </c>
      <c r="B288" s="3">
        <f>Data_Entry!P374</f>
        <v>13440.0000000001</v>
      </c>
      <c r="C288" s="3">
        <v>0</v>
      </c>
      <c r="D288" s="4">
        <f>Data_Entry!V374</f>
        <v>4.82</v>
      </c>
      <c r="E288" s="5">
        <f t="shared" si="45"/>
        <v>0.232268768145998</v>
      </c>
      <c r="F288" s="6">
        <v>0.419444444444444</v>
      </c>
      <c r="G288" s="6">
        <v>0.459027777777778</v>
      </c>
      <c r="H288" s="7">
        <f t="shared" si="46"/>
        <v>57</v>
      </c>
      <c r="I288" s="7">
        <f t="shared" si="47"/>
        <v>0.949999999999999</v>
      </c>
      <c r="J288" s="8">
        <v>2411</v>
      </c>
      <c r="K288" s="9">
        <v>152.6</v>
      </c>
      <c r="L288" s="8">
        <f t="shared" si="48"/>
        <v>28932</v>
      </c>
      <c r="M288" s="7">
        <f t="shared" si="49"/>
        <v>144.97</v>
      </c>
      <c r="N288" s="10">
        <f t="shared" si="50"/>
        <v>0.994989285220517</v>
      </c>
      <c r="O288" s="11">
        <f t="shared" si="51"/>
        <v>0.233438461696119</v>
      </c>
      <c r="P288" s="11" t="s">
        <v>262</v>
      </c>
      <c r="Q288" s="8">
        <f t="shared" si="52"/>
        <v>13507.6831475842</v>
      </c>
      <c r="R288" s="12">
        <f t="shared" si="53"/>
        <v>67.6831475841736</v>
      </c>
    </row>
    <row r="289" ht="14.25" spans="1:18">
      <c r="A289" s="15">
        <v>46119</v>
      </c>
      <c r="B289" s="3">
        <f>Data_Entry!P375</f>
        <v>13830.0000000004</v>
      </c>
      <c r="C289" s="3">
        <v>0</v>
      </c>
      <c r="D289" s="4">
        <f>Data_Entry!V375</f>
        <v>5.28</v>
      </c>
      <c r="E289" s="5">
        <f t="shared" si="45"/>
        <v>0.239008710078812</v>
      </c>
      <c r="F289" s="6">
        <v>0.554861111111111</v>
      </c>
      <c r="G289" s="6">
        <v>0.615277777777778</v>
      </c>
      <c r="H289" s="7">
        <f t="shared" si="46"/>
        <v>87</v>
      </c>
      <c r="I289" s="7">
        <f t="shared" si="47"/>
        <v>1.45</v>
      </c>
      <c r="J289" s="8">
        <v>2411</v>
      </c>
      <c r="K289" s="9">
        <v>152.6</v>
      </c>
      <c r="L289" s="8">
        <f t="shared" si="48"/>
        <v>28932</v>
      </c>
      <c r="M289" s="7">
        <f t="shared" si="49"/>
        <v>221.27</v>
      </c>
      <c r="N289" s="10">
        <f t="shared" si="50"/>
        <v>0.992352066915526</v>
      </c>
      <c r="O289" s="11">
        <f t="shared" si="51"/>
        <v>0.24085072027079</v>
      </c>
      <c r="P289" s="11" t="s">
        <v>262</v>
      </c>
      <c r="Q289" s="8">
        <f t="shared" si="52"/>
        <v>13936.586077749</v>
      </c>
      <c r="R289" s="12">
        <f t="shared" si="53"/>
        <v>106.586077748636</v>
      </c>
    </row>
    <row r="290" ht="14.25" spans="1:18">
      <c r="A290" s="15">
        <v>46120</v>
      </c>
      <c r="B290" s="3">
        <f>Data_Entry!P375</f>
        <v>13830.0000000004</v>
      </c>
      <c r="C290" s="3">
        <v>0</v>
      </c>
      <c r="D290" s="4">
        <f>Data_Entry!V375</f>
        <v>5.28</v>
      </c>
      <c r="E290" s="5">
        <f t="shared" si="45"/>
        <v>0.239008710078812</v>
      </c>
      <c r="F290" s="6">
        <v>0.40625</v>
      </c>
      <c r="G290" s="6">
        <v>0.638888888888889</v>
      </c>
      <c r="H290" s="7">
        <f t="shared" si="46"/>
        <v>335</v>
      </c>
      <c r="I290" s="7">
        <f t="shared" si="47"/>
        <v>5.58333333333333</v>
      </c>
      <c r="J290" s="8">
        <v>2411</v>
      </c>
      <c r="K290" s="9">
        <v>152.6</v>
      </c>
      <c r="L290" s="8">
        <f t="shared" si="48"/>
        <v>28932</v>
      </c>
      <c r="M290" s="7">
        <f t="shared" si="49"/>
        <v>852.016666666666</v>
      </c>
      <c r="N290" s="10">
        <f t="shared" si="50"/>
        <v>0.970551062260934</v>
      </c>
      <c r="O290" s="11">
        <f t="shared" si="51"/>
        <v>0.2462608299269</v>
      </c>
      <c r="P290" s="11" t="s">
        <v>262</v>
      </c>
      <c r="Q290" s="8">
        <f t="shared" si="52"/>
        <v>14249.6366628902</v>
      </c>
      <c r="R290" s="12">
        <f t="shared" si="53"/>
        <v>419.636662889765</v>
      </c>
    </row>
    <row r="291" ht="14.25" spans="1:18">
      <c r="A291" s="15">
        <v>46121</v>
      </c>
      <c r="B291" s="3">
        <f>Data_Entry!P376</f>
        <v>14100.0000000001</v>
      </c>
      <c r="C291" s="3">
        <v>0</v>
      </c>
      <c r="D291" s="4">
        <f>Data_Entry!V376</f>
        <v>4.8</v>
      </c>
      <c r="E291" s="5">
        <f t="shared" ref="E291:E328" si="54">B291/(24*J291)</f>
        <v>0.243674823724597</v>
      </c>
      <c r="F291" s="6">
        <v>0.514583333333333</v>
      </c>
      <c r="G291" s="6">
        <v>0.583333333333333</v>
      </c>
      <c r="H291" s="7">
        <f t="shared" ref="H291:H328" si="55">(G291-F291)*24*60</f>
        <v>99.0000000000001</v>
      </c>
      <c r="I291" s="7">
        <f t="shared" ref="I291:I328" si="56">H291/60</f>
        <v>1.65</v>
      </c>
      <c r="J291" s="8">
        <v>2411</v>
      </c>
      <c r="K291" s="9">
        <v>152.6</v>
      </c>
      <c r="L291" s="8">
        <f t="shared" ref="L291:L328" si="57">J291*12</f>
        <v>28932</v>
      </c>
      <c r="M291" s="7">
        <f t="shared" ref="M291:M328" si="58">K291*I291</f>
        <v>251.79</v>
      </c>
      <c r="N291" s="10">
        <f t="shared" ref="N291:N328" si="59">(L291-M291)/L291</f>
        <v>0.99129717959353</v>
      </c>
      <c r="O291" s="11">
        <f t="shared" ref="O291:O328" si="60">E291/N291</f>
        <v>0.245814099687556</v>
      </c>
      <c r="P291" s="11" t="s">
        <v>262</v>
      </c>
      <c r="Q291" s="8">
        <f t="shared" ref="Q291:Q328" si="61">O291*J291*24</f>
        <v>14223.7870643208</v>
      </c>
      <c r="R291" s="12">
        <f t="shared" ref="R291:R328" si="62">Q291-B291</f>
        <v>123.787064320653</v>
      </c>
    </row>
    <row r="292" ht="14.25" spans="1:18">
      <c r="A292" s="15">
        <v>46122</v>
      </c>
      <c r="B292" s="3">
        <f>Data_Entry!P377</f>
        <v>14009.9999999995</v>
      </c>
      <c r="C292" s="3">
        <v>0</v>
      </c>
      <c r="D292" s="4">
        <f>Data_Entry!V377</f>
        <v>5.15</v>
      </c>
      <c r="E292" s="5">
        <f t="shared" si="54"/>
        <v>0.242119452509324</v>
      </c>
      <c r="F292" s="6">
        <v>0</v>
      </c>
      <c r="G292" s="6">
        <v>0</v>
      </c>
      <c r="H292" s="7">
        <f t="shared" si="55"/>
        <v>0</v>
      </c>
      <c r="I292" s="7">
        <f t="shared" si="56"/>
        <v>0</v>
      </c>
      <c r="J292" s="8">
        <v>2411</v>
      </c>
      <c r="K292" s="9"/>
      <c r="L292" s="8">
        <f t="shared" si="57"/>
        <v>28932</v>
      </c>
      <c r="M292" s="7">
        <f t="shared" si="58"/>
        <v>0</v>
      </c>
      <c r="N292" s="10">
        <f t="shared" si="59"/>
        <v>1</v>
      </c>
      <c r="O292" s="11">
        <f t="shared" si="60"/>
        <v>0.242119452509324</v>
      </c>
      <c r="P292" s="11"/>
      <c r="Q292" s="8">
        <f t="shared" si="61"/>
        <v>14009.9999999995</v>
      </c>
      <c r="R292" s="12">
        <f t="shared" si="62"/>
        <v>0</v>
      </c>
    </row>
    <row r="293" ht="14.25" spans="1:18">
      <c r="A293" s="15">
        <v>46123</v>
      </c>
      <c r="B293" s="3">
        <f>Data_Entry!P378</f>
        <v>13890.0000000003</v>
      </c>
      <c r="C293" s="3">
        <v>0</v>
      </c>
      <c r="D293" s="4">
        <f>Data_Entry!V378</f>
        <v>5.25</v>
      </c>
      <c r="E293" s="5">
        <f t="shared" si="54"/>
        <v>0.24004562422232</v>
      </c>
      <c r="F293" s="6">
        <v>0</v>
      </c>
      <c r="G293" s="6">
        <v>0</v>
      </c>
      <c r="H293" s="7">
        <f t="shared" si="55"/>
        <v>0</v>
      </c>
      <c r="I293" s="7">
        <f t="shared" si="56"/>
        <v>0</v>
      </c>
      <c r="J293" s="8">
        <v>2411</v>
      </c>
      <c r="K293" s="9"/>
      <c r="L293" s="8">
        <f t="shared" si="57"/>
        <v>28932</v>
      </c>
      <c r="M293" s="7">
        <f t="shared" si="58"/>
        <v>0</v>
      </c>
      <c r="N293" s="10">
        <f t="shared" si="59"/>
        <v>1</v>
      </c>
      <c r="O293" s="11">
        <f t="shared" si="60"/>
        <v>0.24004562422232</v>
      </c>
      <c r="P293" s="11"/>
      <c r="Q293" s="8">
        <f t="shared" si="61"/>
        <v>13890.0000000003</v>
      </c>
      <c r="R293" s="12">
        <f t="shared" si="62"/>
        <v>0</v>
      </c>
    </row>
    <row r="294" ht="14.25" spans="1:18">
      <c r="A294" s="15">
        <v>46124</v>
      </c>
      <c r="B294" s="3">
        <f>Data_Entry!P379</f>
        <v>14009.9999999995</v>
      </c>
      <c r="C294" s="3">
        <v>0</v>
      </c>
      <c r="D294" s="4">
        <f>Data_Entry!V379</f>
        <v>5.19</v>
      </c>
      <c r="E294" s="5">
        <f t="shared" si="54"/>
        <v>0.242119452509324</v>
      </c>
      <c r="F294" s="6">
        <v>0</v>
      </c>
      <c r="G294" s="6">
        <v>0</v>
      </c>
      <c r="H294" s="7">
        <f t="shared" si="55"/>
        <v>0</v>
      </c>
      <c r="I294" s="7">
        <f t="shared" si="56"/>
        <v>0</v>
      </c>
      <c r="J294" s="8">
        <v>2411</v>
      </c>
      <c r="K294" s="9"/>
      <c r="L294" s="8">
        <f t="shared" si="57"/>
        <v>28932</v>
      </c>
      <c r="M294" s="7">
        <f t="shared" si="58"/>
        <v>0</v>
      </c>
      <c r="N294" s="10">
        <f t="shared" si="59"/>
        <v>1</v>
      </c>
      <c r="O294" s="11">
        <f t="shared" si="60"/>
        <v>0.242119452509324</v>
      </c>
      <c r="P294" s="11"/>
      <c r="Q294" s="8">
        <f t="shared" si="61"/>
        <v>14009.9999999995</v>
      </c>
      <c r="R294" s="12">
        <f t="shared" si="62"/>
        <v>0</v>
      </c>
    </row>
    <row r="295" ht="14.25" spans="1:18">
      <c r="A295" s="15">
        <v>46125</v>
      </c>
      <c r="B295" s="3">
        <f>Data_Entry!P380</f>
        <v>14010.0000000002</v>
      </c>
      <c r="C295" s="3">
        <v>0</v>
      </c>
      <c r="D295" s="4">
        <f>Data_Entry!V380</f>
        <v>5.38</v>
      </c>
      <c r="E295" s="5">
        <f t="shared" si="54"/>
        <v>0.242119452509336</v>
      </c>
      <c r="F295" s="6">
        <v>0</v>
      </c>
      <c r="G295" s="6">
        <v>0</v>
      </c>
      <c r="H295" s="7">
        <f t="shared" si="55"/>
        <v>0</v>
      </c>
      <c r="I295" s="7">
        <f t="shared" si="56"/>
        <v>0</v>
      </c>
      <c r="J295" s="8">
        <v>2411</v>
      </c>
      <c r="K295" s="9"/>
      <c r="L295" s="8">
        <f t="shared" si="57"/>
        <v>28932</v>
      </c>
      <c r="M295" s="7">
        <f t="shared" si="58"/>
        <v>0</v>
      </c>
      <c r="N295" s="10">
        <f t="shared" si="59"/>
        <v>1</v>
      </c>
      <c r="O295" s="11">
        <f t="shared" si="60"/>
        <v>0.242119452509336</v>
      </c>
      <c r="P295" s="11"/>
      <c r="Q295" s="8">
        <f t="shared" si="61"/>
        <v>14010.0000000002</v>
      </c>
      <c r="R295" s="12">
        <f t="shared" si="62"/>
        <v>0</v>
      </c>
    </row>
    <row r="296" ht="14.25" spans="1:18">
      <c r="A296" s="15">
        <v>46126</v>
      </c>
      <c r="B296" s="3">
        <f>Data_Entry!P381</f>
        <v>14880.0000000001</v>
      </c>
      <c r="C296" s="3">
        <v>0</v>
      </c>
      <c r="D296" s="4">
        <f>Data_Entry!V381</f>
        <v>5.38</v>
      </c>
      <c r="E296" s="5">
        <f t="shared" si="54"/>
        <v>0.257154707590213</v>
      </c>
      <c r="F296" s="6">
        <v>0.522916666666667</v>
      </c>
      <c r="G296" s="6">
        <v>0.542361111111111</v>
      </c>
      <c r="H296" s="7">
        <f t="shared" si="55"/>
        <v>27.9999999999993</v>
      </c>
      <c r="I296" s="7">
        <f t="shared" si="56"/>
        <v>0.466666666666654</v>
      </c>
      <c r="J296" s="8">
        <v>2411</v>
      </c>
      <c r="K296" s="9">
        <v>152.6</v>
      </c>
      <c r="L296" s="8">
        <f t="shared" si="57"/>
        <v>28932</v>
      </c>
      <c r="M296" s="7">
        <f t="shared" si="58"/>
        <v>71.2133333333314</v>
      </c>
      <c r="N296" s="10">
        <f t="shared" si="59"/>
        <v>0.997538596248675</v>
      </c>
      <c r="O296" s="11">
        <f t="shared" si="60"/>
        <v>0.257789230970375</v>
      </c>
      <c r="P296" s="11" t="s">
        <v>262</v>
      </c>
      <c r="Q296" s="8">
        <f t="shared" si="61"/>
        <v>14916.7160608698</v>
      </c>
      <c r="R296" s="12">
        <f t="shared" si="62"/>
        <v>36.716060869674</v>
      </c>
    </row>
    <row r="297" ht="14.25" spans="1:18">
      <c r="A297" s="15">
        <v>46127</v>
      </c>
      <c r="B297" s="3">
        <f>Data_Entry!P382</f>
        <v>15119.9999999999</v>
      </c>
      <c r="C297" s="3">
        <v>0</v>
      </c>
      <c r="D297" s="4">
        <f>Data_Entry!V382</f>
        <v>5.63</v>
      </c>
      <c r="E297" s="5">
        <f t="shared" si="54"/>
        <v>0.261302364164245</v>
      </c>
      <c r="F297" s="6">
        <v>0</v>
      </c>
      <c r="G297" s="6">
        <v>0</v>
      </c>
      <c r="H297" s="7">
        <f t="shared" si="55"/>
        <v>0</v>
      </c>
      <c r="I297" s="7">
        <f t="shared" si="56"/>
        <v>0</v>
      </c>
      <c r="J297" s="8">
        <v>2411</v>
      </c>
      <c r="K297" s="9"/>
      <c r="L297" s="8">
        <f t="shared" si="57"/>
        <v>28932</v>
      </c>
      <c r="M297" s="7">
        <f t="shared" si="58"/>
        <v>0</v>
      </c>
      <c r="N297" s="10">
        <f t="shared" si="59"/>
        <v>1</v>
      </c>
      <c r="O297" s="11">
        <f t="shared" si="60"/>
        <v>0.261302364164245</v>
      </c>
      <c r="P297" s="11"/>
      <c r="Q297" s="8">
        <f t="shared" si="61"/>
        <v>15119.9999999999</v>
      </c>
      <c r="R297" s="12">
        <f t="shared" si="62"/>
        <v>0</v>
      </c>
    </row>
    <row r="298" ht="14.25" spans="1:18">
      <c r="A298" s="15">
        <v>46128</v>
      </c>
      <c r="B298" s="3">
        <f>Data_Entry!P383</f>
        <v>14580.0000000004</v>
      </c>
      <c r="C298" s="3">
        <v>0</v>
      </c>
      <c r="D298" s="4">
        <f>Data_Entry!V383</f>
        <v>5.55</v>
      </c>
      <c r="E298" s="5">
        <f t="shared" si="54"/>
        <v>0.251970136872674</v>
      </c>
      <c r="F298" s="6">
        <v>0</v>
      </c>
      <c r="G298" s="6">
        <v>0</v>
      </c>
      <c r="H298" s="7">
        <f t="shared" si="55"/>
        <v>0</v>
      </c>
      <c r="I298" s="7">
        <f t="shared" si="56"/>
        <v>0</v>
      </c>
      <c r="J298" s="8">
        <v>2411</v>
      </c>
      <c r="K298" s="9"/>
      <c r="L298" s="8">
        <f t="shared" si="57"/>
        <v>28932</v>
      </c>
      <c r="M298" s="7">
        <f t="shared" si="58"/>
        <v>0</v>
      </c>
      <c r="N298" s="10">
        <f t="shared" si="59"/>
        <v>1</v>
      </c>
      <c r="O298" s="11">
        <f t="shared" si="60"/>
        <v>0.251970136872674</v>
      </c>
      <c r="P298" s="11"/>
      <c r="Q298" s="8">
        <f t="shared" si="61"/>
        <v>14580.0000000004</v>
      </c>
      <c r="R298" s="12">
        <f t="shared" si="62"/>
        <v>0</v>
      </c>
    </row>
    <row r="299" ht="14.25" spans="1:18">
      <c r="A299" s="15">
        <v>46129</v>
      </c>
      <c r="B299" s="3">
        <f>Data_Entry!P384</f>
        <v>13709.9999999998</v>
      </c>
      <c r="C299" s="3">
        <v>0</v>
      </c>
      <c r="D299" s="4">
        <f>Data_Entry!V384</f>
        <v>5.63</v>
      </c>
      <c r="E299" s="5">
        <f t="shared" si="54"/>
        <v>0.236934881791784</v>
      </c>
      <c r="F299" s="6">
        <v>0</v>
      </c>
      <c r="G299" s="6">
        <v>0</v>
      </c>
      <c r="H299" s="7">
        <f t="shared" si="55"/>
        <v>0</v>
      </c>
      <c r="I299" s="7">
        <f t="shared" si="56"/>
        <v>0</v>
      </c>
      <c r="J299" s="8">
        <v>2411</v>
      </c>
      <c r="K299" s="9"/>
      <c r="L299" s="8">
        <f t="shared" si="57"/>
        <v>28932</v>
      </c>
      <c r="M299" s="7">
        <f t="shared" si="58"/>
        <v>0</v>
      </c>
      <c r="N299" s="10">
        <f t="shared" si="59"/>
        <v>1</v>
      </c>
      <c r="O299" s="11">
        <f t="shared" si="60"/>
        <v>0.236934881791784</v>
      </c>
      <c r="P299" s="11"/>
      <c r="Q299" s="8">
        <f t="shared" si="61"/>
        <v>13709.9999999998</v>
      </c>
      <c r="R299" s="12">
        <f t="shared" si="62"/>
        <v>0</v>
      </c>
    </row>
    <row r="300" ht="14.25" spans="1:18">
      <c r="A300" s="15">
        <v>46130</v>
      </c>
      <c r="B300" s="3">
        <f>Data_Entry!P385</f>
        <v>14250</v>
      </c>
      <c r="C300" s="3">
        <v>0</v>
      </c>
      <c r="D300" s="4">
        <f>Data_Entry!V385</f>
        <v>5.41</v>
      </c>
      <c r="E300" s="5">
        <f t="shared" si="54"/>
        <v>0.246267109083368</v>
      </c>
      <c r="F300" s="6">
        <v>0</v>
      </c>
      <c r="G300" s="6">
        <v>0</v>
      </c>
      <c r="H300" s="7">
        <f t="shared" si="55"/>
        <v>0</v>
      </c>
      <c r="I300" s="7">
        <f t="shared" si="56"/>
        <v>0</v>
      </c>
      <c r="J300" s="8">
        <v>2411</v>
      </c>
      <c r="K300" s="9"/>
      <c r="L300" s="8">
        <f t="shared" si="57"/>
        <v>28932</v>
      </c>
      <c r="M300" s="7">
        <f t="shared" si="58"/>
        <v>0</v>
      </c>
      <c r="N300" s="10">
        <f t="shared" si="59"/>
        <v>1</v>
      </c>
      <c r="O300" s="11">
        <f t="shared" si="60"/>
        <v>0.246267109083368</v>
      </c>
      <c r="P300" s="11"/>
      <c r="Q300" s="8">
        <f t="shared" si="61"/>
        <v>14250</v>
      </c>
      <c r="R300" s="12">
        <f t="shared" si="62"/>
        <v>0</v>
      </c>
    </row>
    <row r="301" ht="14.25" spans="1:18">
      <c r="A301" s="15">
        <v>46131</v>
      </c>
      <c r="B301" s="3">
        <f>Data_Entry!P386</f>
        <v>14160.0000000001</v>
      </c>
      <c r="C301" s="3">
        <v>0</v>
      </c>
      <c r="D301" s="4">
        <f>Data_Entry!V386</f>
        <v>5.23</v>
      </c>
      <c r="E301" s="5">
        <f t="shared" si="54"/>
        <v>0.244711737868106</v>
      </c>
      <c r="F301" s="6">
        <v>0</v>
      </c>
      <c r="G301" s="6">
        <v>0</v>
      </c>
      <c r="H301" s="7">
        <f t="shared" si="55"/>
        <v>0</v>
      </c>
      <c r="I301" s="7">
        <f t="shared" si="56"/>
        <v>0</v>
      </c>
      <c r="J301" s="8">
        <v>2411</v>
      </c>
      <c r="K301" s="9"/>
      <c r="L301" s="8">
        <f t="shared" si="57"/>
        <v>28932</v>
      </c>
      <c r="M301" s="7">
        <f t="shared" si="58"/>
        <v>0</v>
      </c>
      <c r="N301" s="10">
        <f t="shared" si="59"/>
        <v>1</v>
      </c>
      <c r="O301" s="11">
        <f t="shared" si="60"/>
        <v>0.244711737868106</v>
      </c>
      <c r="P301" s="11"/>
      <c r="Q301" s="8">
        <f t="shared" si="61"/>
        <v>14160.0000000001</v>
      </c>
      <c r="R301" s="12">
        <f t="shared" si="62"/>
        <v>0</v>
      </c>
    </row>
    <row r="302" ht="14.25" spans="1:18">
      <c r="A302" s="15">
        <v>46132</v>
      </c>
      <c r="B302" s="3">
        <f>Data_Entry!P387</f>
        <v>14459.9999999998</v>
      </c>
      <c r="C302" s="3">
        <v>0</v>
      </c>
      <c r="D302" s="4">
        <f>Data_Entry!V387</f>
        <v>5.46</v>
      </c>
      <c r="E302" s="5">
        <f t="shared" si="54"/>
        <v>0.249896308585646</v>
      </c>
      <c r="F302" s="6">
        <v>0</v>
      </c>
      <c r="G302" s="6">
        <v>0</v>
      </c>
      <c r="H302" s="7">
        <f t="shared" si="55"/>
        <v>0</v>
      </c>
      <c r="I302" s="7">
        <f t="shared" si="56"/>
        <v>0</v>
      </c>
      <c r="J302" s="8">
        <v>2411</v>
      </c>
      <c r="K302" s="9"/>
      <c r="L302" s="8">
        <f t="shared" si="57"/>
        <v>28932</v>
      </c>
      <c r="M302" s="7">
        <f t="shared" si="58"/>
        <v>0</v>
      </c>
      <c r="N302" s="10">
        <f t="shared" si="59"/>
        <v>1</v>
      </c>
      <c r="O302" s="11">
        <f t="shared" si="60"/>
        <v>0.249896308585646</v>
      </c>
      <c r="P302" s="11"/>
      <c r="Q302" s="8">
        <f t="shared" si="61"/>
        <v>14459.9999999998</v>
      </c>
      <c r="R302" s="12">
        <f t="shared" si="62"/>
        <v>0</v>
      </c>
    </row>
    <row r="303" ht="14.25" spans="1:18">
      <c r="A303" s="15">
        <v>46133</v>
      </c>
      <c r="B303" s="3">
        <f>Data_Entry!P388</f>
        <v>14579.9999999997</v>
      </c>
      <c r="C303" s="3">
        <v>0</v>
      </c>
      <c r="D303" s="4">
        <f>Data_Entry!V388</f>
        <v>5.47</v>
      </c>
      <c r="E303" s="5">
        <f t="shared" si="54"/>
        <v>0.251970136872662</v>
      </c>
      <c r="F303" s="6">
        <v>0</v>
      </c>
      <c r="G303" s="6">
        <v>0</v>
      </c>
      <c r="H303" s="7">
        <f t="shared" si="55"/>
        <v>0</v>
      </c>
      <c r="I303" s="7">
        <f t="shared" si="56"/>
        <v>0</v>
      </c>
      <c r="J303" s="8">
        <v>2411</v>
      </c>
      <c r="K303" s="9"/>
      <c r="L303" s="8">
        <f t="shared" si="57"/>
        <v>28932</v>
      </c>
      <c r="M303" s="7">
        <f t="shared" si="58"/>
        <v>0</v>
      </c>
      <c r="N303" s="10">
        <f t="shared" si="59"/>
        <v>1</v>
      </c>
      <c r="O303" s="11">
        <f t="shared" si="60"/>
        <v>0.251970136872662</v>
      </c>
      <c r="P303" s="11"/>
      <c r="Q303" s="8">
        <f t="shared" si="61"/>
        <v>14579.9999999997</v>
      </c>
      <c r="R303" s="12">
        <f t="shared" si="62"/>
        <v>0</v>
      </c>
    </row>
    <row r="304" ht="14.25" spans="1:18">
      <c r="A304" s="15">
        <v>46134</v>
      </c>
      <c r="B304" s="3">
        <f>Data_Entry!P389</f>
        <v>14700.0000000003</v>
      </c>
      <c r="C304" s="3">
        <v>0</v>
      </c>
      <c r="D304" s="4">
        <f>Data_Entry!V389</f>
        <v>5.52</v>
      </c>
      <c r="E304" s="5">
        <f t="shared" si="54"/>
        <v>0.25404396515969</v>
      </c>
      <c r="F304" s="6">
        <v>0</v>
      </c>
      <c r="G304" s="6">
        <v>0</v>
      </c>
      <c r="H304" s="7">
        <f t="shared" si="55"/>
        <v>0</v>
      </c>
      <c r="I304" s="7">
        <f t="shared" si="56"/>
        <v>0</v>
      </c>
      <c r="J304" s="8">
        <v>2411</v>
      </c>
      <c r="K304" s="9"/>
      <c r="L304" s="8">
        <f t="shared" si="57"/>
        <v>28932</v>
      </c>
      <c r="M304" s="7">
        <f t="shared" si="58"/>
        <v>0</v>
      </c>
      <c r="N304" s="10">
        <f t="shared" si="59"/>
        <v>1</v>
      </c>
      <c r="O304" s="11">
        <f t="shared" si="60"/>
        <v>0.25404396515969</v>
      </c>
      <c r="P304" s="11"/>
      <c r="Q304" s="8">
        <f t="shared" si="61"/>
        <v>14700.0000000003</v>
      </c>
      <c r="R304" s="12">
        <f t="shared" si="62"/>
        <v>0</v>
      </c>
    </row>
    <row r="305" ht="14.25" spans="1:18">
      <c r="A305" s="15">
        <v>46135</v>
      </c>
      <c r="B305" s="3">
        <f>Data_Entry!P390</f>
        <v>14369.9999999999</v>
      </c>
      <c r="C305" s="3">
        <v>0</v>
      </c>
      <c r="D305" s="4">
        <f>Data_Entry!V390</f>
        <v>5.38</v>
      </c>
      <c r="E305" s="5">
        <f t="shared" si="54"/>
        <v>0.248340937370384</v>
      </c>
      <c r="F305" s="6">
        <v>0</v>
      </c>
      <c r="G305" s="6">
        <v>0</v>
      </c>
      <c r="H305" s="7">
        <f t="shared" si="55"/>
        <v>0</v>
      </c>
      <c r="I305" s="7">
        <f t="shared" si="56"/>
        <v>0</v>
      </c>
      <c r="J305" s="8">
        <v>2411</v>
      </c>
      <c r="K305" s="9"/>
      <c r="L305" s="8">
        <f t="shared" si="57"/>
        <v>28932</v>
      </c>
      <c r="M305" s="7">
        <f t="shared" si="58"/>
        <v>0</v>
      </c>
      <c r="N305" s="10">
        <f t="shared" si="59"/>
        <v>1</v>
      </c>
      <c r="O305" s="11">
        <f t="shared" si="60"/>
        <v>0.248340937370384</v>
      </c>
      <c r="P305" s="11"/>
      <c r="Q305" s="8">
        <f t="shared" si="61"/>
        <v>14369.9999999999</v>
      </c>
      <c r="R305" s="12">
        <f t="shared" si="62"/>
        <v>0</v>
      </c>
    </row>
    <row r="306" ht="14.25" spans="1:18">
      <c r="A306" s="15">
        <v>46136</v>
      </c>
      <c r="B306" s="3">
        <f>Data_Entry!P391</f>
        <v>14730.0000000002</v>
      </c>
      <c r="C306" s="3">
        <v>0</v>
      </c>
      <c r="D306" s="4">
        <f>Data_Entry!V391</f>
        <v>5.51</v>
      </c>
      <c r="E306" s="5">
        <f t="shared" si="54"/>
        <v>0.254562422231443</v>
      </c>
      <c r="F306" s="6">
        <v>0</v>
      </c>
      <c r="G306" s="6">
        <v>0</v>
      </c>
      <c r="H306" s="7">
        <f t="shared" si="55"/>
        <v>0</v>
      </c>
      <c r="I306" s="7">
        <f t="shared" si="56"/>
        <v>0</v>
      </c>
      <c r="J306" s="8">
        <v>2411</v>
      </c>
      <c r="K306" s="9"/>
      <c r="L306" s="8">
        <f t="shared" si="57"/>
        <v>28932</v>
      </c>
      <c r="M306" s="7">
        <f t="shared" si="58"/>
        <v>0</v>
      </c>
      <c r="N306" s="10">
        <f t="shared" si="59"/>
        <v>1</v>
      </c>
      <c r="O306" s="11">
        <f t="shared" si="60"/>
        <v>0.254562422231443</v>
      </c>
      <c r="P306" s="11"/>
      <c r="Q306" s="8">
        <f t="shared" si="61"/>
        <v>14730.0000000002</v>
      </c>
      <c r="R306" s="12">
        <f t="shared" si="62"/>
        <v>0</v>
      </c>
    </row>
    <row r="307" ht="14.25" spans="1:18">
      <c r="A307" s="15">
        <v>46137</v>
      </c>
      <c r="B307" s="3">
        <f>Data_Entry!P392</f>
        <v>14339.9999999999</v>
      </c>
      <c r="C307" s="3">
        <v>0</v>
      </c>
      <c r="D307" s="4">
        <f>Data_Entry!V392</f>
        <v>5.37</v>
      </c>
      <c r="E307" s="5">
        <f t="shared" si="54"/>
        <v>0.24782248029863</v>
      </c>
      <c r="F307" s="6">
        <v>0</v>
      </c>
      <c r="G307" s="6">
        <v>0</v>
      </c>
      <c r="H307" s="7">
        <f t="shared" si="55"/>
        <v>0</v>
      </c>
      <c r="I307" s="7">
        <f t="shared" si="56"/>
        <v>0</v>
      </c>
      <c r="J307" s="8">
        <v>2411</v>
      </c>
      <c r="K307" s="9"/>
      <c r="L307" s="8">
        <f t="shared" si="57"/>
        <v>28932</v>
      </c>
      <c r="M307" s="7">
        <f t="shared" si="58"/>
        <v>0</v>
      </c>
      <c r="N307" s="10">
        <f t="shared" si="59"/>
        <v>1</v>
      </c>
      <c r="O307" s="11">
        <f t="shared" si="60"/>
        <v>0.24782248029863</v>
      </c>
      <c r="P307" s="11"/>
      <c r="Q307" s="8">
        <f t="shared" si="61"/>
        <v>14339.9999999999</v>
      </c>
      <c r="R307" s="12">
        <f t="shared" si="62"/>
        <v>0</v>
      </c>
    </row>
    <row r="308" ht="14.25" spans="1:18">
      <c r="A308" s="15">
        <v>46138</v>
      </c>
      <c r="B308" s="3">
        <f>Data_Entry!P393</f>
        <v>13470</v>
      </c>
      <c r="C308" s="3">
        <v>0</v>
      </c>
      <c r="D308" s="4">
        <f>Data_Entry!V393</f>
        <v>5.27</v>
      </c>
      <c r="E308" s="5">
        <f t="shared" si="54"/>
        <v>0.232787225217752</v>
      </c>
      <c r="F308" s="6">
        <v>0</v>
      </c>
      <c r="G308" s="6">
        <v>0</v>
      </c>
      <c r="H308" s="7">
        <f t="shared" si="55"/>
        <v>0</v>
      </c>
      <c r="I308" s="7">
        <f t="shared" si="56"/>
        <v>0</v>
      </c>
      <c r="J308" s="8">
        <v>2411</v>
      </c>
      <c r="K308" s="9"/>
      <c r="L308" s="8">
        <f t="shared" si="57"/>
        <v>28932</v>
      </c>
      <c r="M308" s="7">
        <f t="shared" si="58"/>
        <v>0</v>
      </c>
      <c r="N308" s="10">
        <f t="shared" si="59"/>
        <v>1</v>
      </c>
      <c r="O308" s="11">
        <f t="shared" si="60"/>
        <v>0.232787225217752</v>
      </c>
      <c r="P308" s="11"/>
      <c r="Q308" s="8">
        <f t="shared" si="61"/>
        <v>13470</v>
      </c>
      <c r="R308" s="12">
        <f t="shared" si="62"/>
        <v>0</v>
      </c>
    </row>
    <row r="309" ht="14.25" spans="1:18">
      <c r="A309" s="15">
        <v>46139</v>
      </c>
      <c r="B309" s="3">
        <f>Data_Entry!P394</f>
        <v>13859.9999999997</v>
      </c>
      <c r="C309" s="3">
        <v>0</v>
      </c>
      <c r="D309" s="4">
        <f>Data_Entry!V394</f>
        <v>5.34</v>
      </c>
      <c r="E309" s="5">
        <f t="shared" si="54"/>
        <v>0.239527167150555</v>
      </c>
      <c r="F309" s="6">
        <v>0</v>
      </c>
      <c r="G309" s="6">
        <v>0</v>
      </c>
      <c r="H309" s="7">
        <f t="shared" si="55"/>
        <v>0</v>
      </c>
      <c r="I309" s="7">
        <f t="shared" si="56"/>
        <v>0</v>
      </c>
      <c r="J309" s="8">
        <v>2411</v>
      </c>
      <c r="K309" s="9"/>
      <c r="L309" s="8">
        <f t="shared" si="57"/>
        <v>28932</v>
      </c>
      <c r="M309" s="7">
        <f t="shared" si="58"/>
        <v>0</v>
      </c>
      <c r="N309" s="10">
        <f t="shared" si="59"/>
        <v>1</v>
      </c>
      <c r="O309" s="11">
        <f t="shared" si="60"/>
        <v>0.239527167150555</v>
      </c>
      <c r="P309" s="11"/>
      <c r="Q309" s="8">
        <f t="shared" si="61"/>
        <v>13859.9999999997</v>
      </c>
      <c r="R309" s="12">
        <f t="shared" si="62"/>
        <v>0</v>
      </c>
    </row>
    <row r="310" ht="14.25" spans="1:18">
      <c r="A310" s="15">
        <v>46140</v>
      </c>
      <c r="B310" s="3">
        <f>Data_Entry!P395</f>
        <v>14730.0000000002</v>
      </c>
      <c r="C310" s="3">
        <v>0</v>
      </c>
      <c r="D310" s="4">
        <f>Data_Entry!V395</f>
        <v>5.63</v>
      </c>
      <c r="E310" s="5">
        <f t="shared" si="54"/>
        <v>0.254562422231443</v>
      </c>
      <c r="F310" s="6">
        <v>0</v>
      </c>
      <c r="G310" s="6">
        <v>0</v>
      </c>
      <c r="H310" s="7">
        <f t="shared" si="55"/>
        <v>0</v>
      </c>
      <c r="I310" s="7">
        <f t="shared" si="56"/>
        <v>0</v>
      </c>
      <c r="J310" s="8">
        <v>2411</v>
      </c>
      <c r="K310" s="9"/>
      <c r="L310" s="8">
        <f t="shared" si="57"/>
        <v>28932</v>
      </c>
      <c r="M310" s="7">
        <f t="shared" si="58"/>
        <v>0</v>
      </c>
      <c r="N310" s="10">
        <f t="shared" si="59"/>
        <v>1</v>
      </c>
      <c r="O310" s="11">
        <f t="shared" si="60"/>
        <v>0.254562422231443</v>
      </c>
      <c r="P310" s="11"/>
      <c r="Q310" s="8">
        <f t="shared" si="61"/>
        <v>14730.0000000002</v>
      </c>
      <c r="R310" s="12">
        <f t="shared" si="62"/>
        <v>0</v>
      </c>
    </row>
    <row r="311" ht="14.25" spans="1:18">
      <c r="A311" s="15">
        <v>46141</v>
      </c>
      <c r="B311" s="3">
        <f>Data_Entry!P396</f>
        <v>14519.9999999998</v>
      </c>
      <c r="C311" s="3">
        <v>0</v>
      </c>
      <c r="D311" s="4">
        <f>Data_Entry!V396</f>
        <v>5.6</v>
      </c>
      <c r="E311" s="5">
        <f t="shared" si="54"/>
        <v>0.250933222729155</v>
      </c>
      <c r="F311" s="6">
        <v>0</v>
      </c>
      <c r="G311" s="6">
        <v>0</v>
      </c>
      <c r="H311" s="7">
        <f t="shared" si="55"/>
        <v>0</v>
      </c>
      <c r="I311" s="7">
        <f t="shared" si="56"/>
        <v>0</v>
      </c>
      <c r="J311" s="8">
        <v>2411</v>
      </c>
      <c r="K311" s="9"/>
      <c r="L311" s="8">
        <f t="shared" si="57"/>
        <v>28932</v>
      </c>
      <c r="M311" s="7">
        <f t="shared" si="58"/>
        <v>0</v>
      </c>
      <c r="N311" s="10">
        <f t="shared" si="59"/>
        <v>1</v>
      </c>
      <c r="O311" s="11">
        <f t="shared" si="60"/>
        <v>0.250933222729155</v>
      </c>
      <c r="P311" s="11"/>
      <c r="Q311" s="8">
        <f t="shared" si="61"/>
        <v>14519.9999999998</v>
      </c>
      <c r="R311" s="12">
        <f t="shared" si="62"/>
        <v>0</v>
      </c>
    </row>
    <row r="312" ht="14.25" spans="1:18">
      <c r="A312" s="15">
        <v>46142</v>
      </c>
      <c r="B312" s="3">
        <f>Data_Entry!P397</f>
        <v>14430</v>
      </c>
      <c r="C312" s="3">
        <v>0</v>
      </c>
      <c r="D312" s="4">
        <f>Data_Entry!V397</f>
        <v>5.55</v>
      </c>
      <c r="E312" s="5">
        <f t="shared" si="54"/>
        <v>0.249377851513895</v>
      </c>
      <c r="F312" s="6">
        <v>0</v>
      </c>
      <c r="G312" s="6">
        <v>0</v>
      </c>
      <c r="H312" s="7">
        <f t="shared" si="55"/>
        <v>0</v>
      </c>
      <c r="I312" s="7">
        <f t="shared" si="56"/>
        <v>0</v>
      </c>
      <c r="J312" s="8">
        <v>2411</v>
      </c>
      <c r="K312" s="9"/>
      <c r="L312" s="8">
        <f t="shared" si="57"/>
        <v>28932</v>
      </c>
      <c r="M312" s="7">
        <f t="shared" si="58"/>
        <v>0</v>
      </c>
      <c r="N312" s="10">
        <f t="shared" si="59"/>
        <v>1</v>
      </c>
      <c r="O312" s="11">
        <f t="shared" si="60"/>
        <v>0.249377851513895</v>
      </c>
      <c r="P312" s="11"/>
      <c r="Q312" s="8">
        <f t="shared" si="61"/>
        <v>14430</v>
      </c>
      <c r="R312" s="12">
        <f t="shared" si="62"/>
        <v>0</v>
      </c>
    </row>
    <row r="313" ht="14.25" spans="1:18">
      <c r="A313" s="15">
        <v>46143</v>
      </c>
      <c r="B313" s="3">
        <f>Data_Entry!P398</f>
        <v>14309.9999999999</v>
      </c>
      <c r="C313" s="3">
        <v>0</v>
      </c>
      <c r="D313" s="4">
        <f>Data_Entry!V398</f>
        <v>5.48</v>
      </c>
      <c r="E313" s="5">
        <f t="shared" si="54"/>
        <v>0.247304023226875</v>
      </c>
      <c r="F313" s="6">
        <v>0</v>
      </c>
      <c r="G313" s="6">
        <v>0</v>
      </c>
      <c r="H313" s="7">
        <f t="shared" si="55"/>
        <v>0</v>
      </c>
      <c r="I313" s="7">
        <f t="shared" si="56"/>
        <v>0</v>
      </c>
      <c r="J313" s="8">
        <v>2411</v>
      </c>
      <c r="K313" s="9"/>
      <c r="L313" s="8">
        <f t="shared" si="57"/>
        <v>28932</v>
      </c>
      <c r="M313" s="7">
        <f t="shared" si="58"/>
        <v>0</v>
      </c>
      <c r="N313" s="10">
        <f t="shared" si="59"/>
        <v>1</v>
      </c>
      <c r="O313" s="11">
        <f t="shared" si="60"/>
        <v>0.247304023226875</v>
      </c>
      <c r="P313" s="11"/>
      <c r="Q313" s="8">
        <f t="shared" si="61"/>
        <v>14309.9999999999</v>
      </c>
      <c r="R313" s="12">
        <f t="shared" si="62"/>
        <v>0</v>
      </c>
    </row>
    <row r="314" ht="14.25" spans="1:18">
      <c r="A314" s="15">
        <v>46144</v>
      </c>
      <c r="B314" s="3">
        <f>Data_Entry!P399</f>
        <v>14579.9999999997</v>
      </c>
      <c r="C314" s="3">
        <v>0</v>
      </c>
      <c r="D314" s="4">
        <f>Data_Entry!V399</f>
        <v>5.54</v>
      </c>
      <c r="E314" s="5">
        <f t="shared" si="54"/>
        <v>0.251970136872662</v>
      </c>
      <c r="F314" s="6">
        <v>0</v>
      </c>
      <c r="G314" s="6">
        <v>0</v>
      </c>
      <c r="H314" s="7">
        <f t="shared" si="55"/>
        <v>0</v>
      </c>
      <c r="I314" s="7">
        <f t="shared" si="56"/>
        <v>0</v>
      </c>
      <c r="J314" s="8">
        <v>2411</v>
      </c>
      <c r="K314" s="9"/>
      <c r="L314" s="8">
        <f t="shared" si="57"/>
        <v>28932</v>
      </c>
      <c r="M314" s="7">
        <f t="shared" si="58"/>
        <v>0</v>
      </c>
      <c r="N314" s="10">
        <f t="shared" si="59"/>
        <v>1</v>
      </c>
      <c r="O314" s="11">
        <f t="shared" si="60"/>
        <v>0.251970136872662</v>
      </c>
      <c r="P314" s="11"/>
      <c r="Q314" s="8">
        <f t="shared" si="61"/>
        <v>14579.9999999997</v>
      </c>
      <c r="R314" s="12">
        <f t="shared" si="62"/>
        <v>0</v>
      </c>
    </row>
    <row r="315" ht="14.25" spans="1:18">
      <c r="A315" s="15">
        <v>46145</v>
      </c>
      <c r="B315" s="3">
        <f>Data_Entry!P400</f>
        <v>14670.0000000003</v>
      </c>
      <c r="C315" s="3">
        <v>0</v>
      </c>
      <c r="D315" s="4">
        <f>Data_Entry!V400</f>
        <v>5.55</v>
      </c>
      <c r="E315" s="5">
        <f t="shared" si="54"/>
        <v>0.253525508087936</v>
      </c>
      <c r="F315" s="6">
        <v>0</v>
      </c>
      <c r="G315" s="6">
        <v>0</v>
      </c>
      <c r="H315" s="7">
        <f t="shared" si="55"/>
        <v>0</v>
      </c>
      <c r="I315" s="7">
        <f t="shared" si="56"/>
        <v>0</v>
      </c>
      <c r="J315" s="8">
        <v>2411</v>
      </c>
      <c r="K315" s="9"/>
      <c r="L315" s="8">
        <f t="shared" si="57"/>
        <v>28932</v>
      </c>
      <c r="M315" s="7">
        <f t="shared" si="58"/>
        <v>0</v>
      </c>
      <c r="N315" s="10">
        <f t="shared" si="59"/>
        <v>1</v>
      </c>
      <c r="O315" s="11">
        <f t="shared" si="60"/>
        <v>0.253525508087936</v>
      </c>
      <c r="P315" s="11"/>
      <c r="Q315" s="8">
        <f t="shared" si="61"/>
        <v>14670.0000000003</v>
      </c>
      <c r="R315" s="12">
        <f t="shared" si="62"/>
        <v>0</v>
      </c>
    </row>
    <row r="316" ht="14.25" spans="1:18">
      <c r="A316" s="15">
        <v>46146</v>
      </c>
      <c r="B316" s="3">
        <f>Data_Entry!P401</f>
        <v>14280</v>
      </c>
      <c r="C316" s="3">
        <v>0</v>
      </c>
      <c r="D316" s="4">
        <f>Data_Entry!V401</f>
        <v>5.53</v>
      </c>
      <c r="E316" s="5">
        <f t="shared" si="54"/>
        <v>0.246785566155122</v>
      </c>
      <c r="F316" s="6">
        <v>0</v>
      </c>
      <c r="G316" s="6">
        <v>0</v>
      </c>
      <c r="H316" s="7">
        <f t="shared" si="55"/>
        <v>0</v>
      </c>
      <c r="I316" s="7">
        <f t="shared" si="56"/>
        <v>0</v>
      </c>
      <c r="J316" s="8">
        <v>2411</v>
      </c>
      <c r="K316" s="9"/>
      <c r="L316" s="8">
        <f t="shared" si="57"/>
        <v>28932</v>
      </c>
      <c r="M316" s="7">
        <f t="shared" si="58"/>
        <v>0</v>
      </c>
      <c r="N316" s="10">
        <f t="shared" si="59"/>
        <v>1</v>
      </c>
      <c r="O316" s="11">
        <f t="shared" si="60"/>
        <v>0.246785566155122</v>
      </c>
      <c r="P316" s="11"/>
      <c r="Q316" s="8">
        <f t="shared" si="61"/>
        <v>14280</v>
      </c>
      <c r="R316" s="12">
        <f t="shared" si="62"/>
        <v>0</v>
      </c>
    </row>
    <row r="317" ht="14.25" spans="1:18">
      <c r="A317" s="15">
        <v>46147</v>
      </c>
      <c r="B317" s="3">
        <f>Data_Entry!P402</f>
        <v>14039.9999999995</v>
      </c>
      <c r="C317" s="3">
        <v>0</v>
      </c>
      <c r="D317" s="4">
        <f>Data_Entry!V402</f>
        <v>5.38</v>
      </c>
      <c r="E317" s="5">
        <f t="shared" si="54"/>
        <v>0.242637909581078</v>
      </c>
      <c r="F317" s="6">
        <v>0</v>
      </c>
      <c r="G317" s="6">
        <v>0</v>
      </c>
      <c r="H317" s="7">
        <f t="shared" si="55"/>
        <v>0</v>
      </c>
      <c r="I317" s="7">
        <f t="shared" si="56"/>
        <v>0</v>
      </c>
      <c r="J317" s="8">
        <v>2411</v>
      </c>
      <c r="K317" s="9"/>
      <c r="L317" s="8">
        <f t="shared" si="57"/>
        <v>28932</v>
      </c>
      <c r="M317" s="7">
        <f t="shared" si="58"/>
        <v>0</v>
      </c>
      <c r="N317" s="10">
        <f t="shared" si="59"/>
        <v>1</v>
      </c>
      <c r="O317" s="11">
        <f t="shared" si="60"/>
        <v>0.242637909581078</v>
      </c>
      <c r="P317" s="11"/>
      <c r="Q317" s="8">
        <f t="shared" si="61"/>
        <v>14039.9999999995</v>
      </c>
      <c r="R317" s="12">
        <f t="shared" si="62"/>
        <v>0</v>
      </c>
    </row>
    <row r="318" ht="14.25" spans="1:18">
      <c r="A318" s="15">
        <v>46148</v>
      </c>
      <c r="B318" s="3">
        <f>Data_Entry!P403</f>
        <v>13860.0000000004</v>
      </c>
      <c r="C318" s="3">
        <v>0</v>
      </c>
      <c r="D318" s="4">
        <f>Data_Entry!V403</f>
        <v>5.66</v>
      </c>
      <c r="E318" s="5">
        <f t="shared" si="54"/>
        <v>0.239527167150567</v>
      </c>
      <c r="F318" s="6">
        <v>0</v>
      </c>
      <c r="G318" s="6">
        <v>0</v>
      </c>
      <c r="H318" s="7">
        <f t="shared" si="55"/>
        <v>0</v>
      </c>
      <c r="I318" s="7">
        <f t="shared" si="56"/>
        <v>0</v>
      </c>
      <c r="J318" s="8">
        <v>2411</v>
      </c>
      <c r="K318" s="9"/>
      <c r="L318" s="8">
        <f t="shared" si="57"/>
        <v>28932</v>
      </c>
      <c r="M318" s="7">
        <f t="shared" si="58"/>
        <v>0</v>
      </c>
      <c r="N318" s="10">
        <f t="shared" si="59"/>
        <v>1</v>
      </c>
      <c r="O318" s="11">
        <f t="shared" si="60"/>
        <v>0.239527167150567</v>
      </c>
      <c r="P318" s="11"/>
      <c r="Q318" s="8">
        <f t="shared" si="61"/>
        <v>13860.0000000004</v>
      </c>
      <c r="R318" s="12">
        <f t="shared" si="62"/>
        <v>0</v>
      </c>
    </row>
    <row r="319" ht="14.25" spans="1:18">
      <c r="A319" s="15">
        <v>46149</v>
      </c>
      <c r="B319" s="3">
        <f>Data_Entry!P404</f>
        <v>13950.0000000003</v>
      </c>
      <c r="C319" s="3">
        <v>0</v>
      </c>
      <c r="D319" s="4">
        <f>Data_Entry!V404</f>
        <v>5.62</v>
      </c>
      <c r="E319" s="5">
        <f t="shared" si="54"/>
        <v>0.241082538365828</v>
      </c>
      <c r="F319" s="6">
        <v>0</v>
      </c>
      <c r="G319" s="6">
        <v>0</v>
      </c>
      <c r="H319" s="7">
        <f t="shared" si="55"/>
        <v>0</v>
      </c>
      <c r="I319" s="7">
        <f t="shared" si="56"/>
        <v>0</v>
      </c>
      <c r="J319" s="8">
        <v>2411</v>
      </c>
      <c r="K319" s="9"/>
      <c r="L319" s="8">
        <f t="shared" si="57"/>
        <v>28932</v>
      </c>
      <c r="M319" s="7">
        <f t="shared" si="58"/>
        <v>0</v>
      </c>
      <c r="N319" s="10">
        <f t="shared" si="59"/>
        <v>1</v>
      </c>
      <c r="O319" s="11">
        <f t="shared" si="60"/>
        <v>0.241082538365828</v>
      </c>
      <c r="P319" s="11"/>
      <c r="Q319" s="8">
        <f t="shared" si="61"/>
        <v>13950.0000000003</v>
      </c>
      <c r="R319" s="12">
        <f t="shared" si="62"/>
        <v>0</v>
      </c>
    </row>
    <row r="320" ht="14.25" spans="1:18">
      <c r="A320" s="15">
        <v>46150</v>
      </c>
      <c r="B320" s="3">
        <f>Data_Entry!P405</f>
        <v>14309.9999999999</v>
      </c>
      <c r="C320" s="3">
        <v>0</v>
      </c>
      <c r="D320" s="4">
        <f>Data_Entry!V405</f>
        <v>5.84</v>
      </c>
      <c r="E320" s="5">
        <f t="shared" si="54"/>
        <v>0.247304023226875</v>
      </c>
      <c r="F320" s="6">
        <v>0</v>
      </c>
      <c r="G320" s="6">
        <v>0</v>
      </c>
      <c r="H320" s="7">
        <f t="shared" si="55"/>
        <v>0</v>
      </c>
      <c r="I320" s="7">
        <f t="shared" si="56"/>
        <v>0</v>
      </c>
      <c r="J320" s="8">
        <v>2411</v>
      </c>
      <c r="K320" s="9"/>
      <c r="L320" s="8">
        <f t="shared" si="57"/>
        <v>28932</v>
      </c>
      <c r="M320" s="7">
        <f t="shared" si="58"/>
        <v>0</v>
      </c>
      <c r="N320" s="10">
        <f t="shared" si="59"/>
        <v>1</v>
      </c>
      <c r="O320" s="11">
        <f t="shared" si="60"/>
        <v>0.247304023226875</v>
      </c>
      <c r="P320" s="11"/>
      <c r="Q320" s="8">
        <f t="shared" si="61"/>
        <v>14309.9999999999</v>
      </c>
      <c r="R320" s="12">
        <f t="shared" si="62"/>
        <v>0</v>
      </c>
    </row>
    <row r="321" ht="14.25" spans="1:18">
      <c r="A321" s="15">
        <v>46151</v>
      </c>
      <c r="B321" s="3">
        <f>Data_Entry!P406</f>
        <v>14099.9999999995</v>
      </c>
      <c r="C321" s="3">
        <v>0</v>
      </c>
      <c r="D321" s="4">
        <f>Data_Entry!V406</f>
        <v>5.61</v>
      </c>
      <c r="E321" s="5">
        <f t="shared" si="54"/>
        <v>0.243674823724587</v>
      </c>
      <c r="F321" s="6">
        <v>0</v>
      </c>
      <c r="G321" s="6">
        <v>0</v>
      </c>
      <c r="H321" s="7">
        <f t="shared" si="55"/>
        <v>0</v>
      </c>
      <c r="I321" s="7">
        <f t="shared" si="56"/>
        <v>0</v>
      </c>
      <c r="J321" s="8">
        <v>2411</v>
      </c>
      <c r="K321" s="9"/>
      <c r="L321" s="8">
        <f t="shared" si="57"/>
        <v>28932</v>
      </c>
      <c r="M321" s="7">
        <f t="shared" si="58"/>
        <v>0</v>
      </c>
      <c r="N321" s="10">
        <f t="shared" si="59"/>
        <v>1</v>
      </c>
      <c r="O321" s="11">
        <f t="shared" si="60"/>
        <v>0.243674823724587</v>
      </c>
      <c r="P321" s="11"/>
      <c r="Q321" s="8">
        <f t="shared" si="61"/>
        <v>14099.9999999995</v>
      </c>
      <c r="R321" s="12">
        <f t="shared" si="62"/>
        <v>0</v>
      </c>
    </row>
    <row r="322" ht="14.25" spans="1:18">
      <c r="A322" s="15">
        <v>46152</v>
      </c>
      <c r="B322" s="3">
        <f>Data_Entry!P407</f>
        <v>14309.9999999999</v>
      </c>
      <c r="C322" s="3">
        <v>0</v>
      </c>
      <c r="D322" s="4">
        <f>Data_Entry!V407</f>
        <v>5.62</v>
      </c>
      <c r="E322" s="5">
        <f t="shared" si="54"/>
        <v>0.247304023226875</v>
      </c>
      <c r="F322" s="6">
        <v>0</v>
      </c>
      <c r="G322" s="6">
        <v>0</v>
      </c>
      <c r="H322" s="7">
        <f t="shared" si="55"/>
        <v>0</v>
      </c>
      <c r="I322" s="7">
        <f t="shared" si="56"/>
        <v>0</v>
      </c>
      <c r="J322" s="8">
        <v>2411</v>
      </c>
      <c r="K322" s="9"/>
      <c r="L322" s="8">
        <f t="shared" si="57"/>
        <v>28932</v>
      </c>
      <c r="M322" s="7">
        <f t="shared" si="58"/>
        <v>0</v>
      </c>
      <c r="N322" s="10">
        <f t="shared" si="59"/>
        <v>1</v>
      </c>
      <c r="O322" s="11">
        <f t="shared" si="60"/>
        <v>0.247304023226875</v>
      </c>
      <c r="P322" s="11"/>
      <c r="Q322" s="8">
        <f t="shared" si="61"/>
        <v>14309.9999999999</v>
      </c>
      <c r="R322" s="12">
        <f t="shared" si="62"/>
        <v>0</v>
      </c>
    </row>
    <row r="323" ht="14.25" spans="1:18">
      <c r="A323" s="15">
        <v>46153</v>
      </c>
      <c r="B323" s="3">
        <f>Data_Entry!P408</f>
        <v>14160.0000000001</v>
      </c>
      <c r="C323" s="3">
        <v>0</v>
      </c>
      <c r="D323" s="4">
        <f>Data_Entry!V408</f>
        <v>5.56</v>
      </c>
      <c r="E323" s="5">
        <f t="shared" si="54"/>
        <v>0.244711737868106</v>
      </c>
      <c r="F323" s="6">
        <v>0</v>
      </c>
      <c r="G323" s="6">
        <v>0</v>
      </c>
      <c r="H323" s="7">
        <f t="shared" si="55"/>
        <v>0</v>
      </c>
      <c r="I323" s="7">
        <f t="shared" si="56"/>
        <v>0</v>
      </c>
      <c r="J323" s="8">
        <v>2411</v>
      </c>
      <c r="K323" s="9"/>
      <c r="L323" s="8">
        <f t="shared" si="57"/>
        <v>28932</v>
      </c>
      <c r="M323" s="7">
        <f t="shared" si="58"/>
        <v>0</v>
      </c>
      <c r="N323" s="10">
        <f t="shared" si="59"/>
        <v>1</v>
      </c>
      <c r="O323" s="11">
        <f t="shared" si="60"/>
        <v>0.244711737868106</v>
      </c>
      <c r="P323" s="11"/>
      <c r="Q323" s="8">
        <f t="shared" si="61"/>
        <v>14160.0000000001</v>
      </c>
      <c r="R323" s="12">
        <f t="shared" si="62"/>
        <v>0</v>
      </c>
    </row>
    <row r="324" ht="14.25" spans="1:18">
      <c r="A324" s="15">
        <v>46154</v>
      </c>
      <c r="B324" s="3">
        <f>Data_Entry!P409</f>
        <v>13890.0000000003</v>
      </c>
      <c r="C324" s="3">
        <v>0</v>
      </c>
      <c r="D324" s="4">
        <f>Data_Entry!V409</f>
        <v>5.56</v>
      </c>
      <c r="E324" s="5">
        <f t="shared" si="54"/>
        <v>0.24004562422232</v>
      </c>
      <c r="F324" s="6">
        <v>0</v>
      </c>
      <c r="G324" s="6">
        <v>0</v>
      </c>
      <c r="H324" s="7">
        <f t="shared" si="55"/>
        <v>0</v>
      </c>
      <c r="I324" s="7">
        <f t="shared" si="56"/>
        <v>0</v>
      </c>
      <c r="J324" s="8">
        <v>2411</v>
      </c>
      <c r="K324" s="9"/>
      <c r="L324" s="8">
        <f t="shared" si="57"/>
        <v>28932</v>
      </c>
      <c r="M324" s="7">
        <f t="shared" si="58"/>
        <v>0</v>
      </c>
      <c r="N324" s="10">
        <f t="shared" si="59"/>
        <v>1</v>
      </c>
      <c r="O324" s="11">
        <f t="shared" si="60"/>
        <v>0.24004562422232</v>
      </c>
      <c r="P324" s="11"/>
      <c r="Q324" s="8">
        <f t="shared" si="61"/>
        <v>13890.0000000003</v>
      </c>
      <c r="R324" s="12">
        <f t="shared" si="62"/>
        <v>0</v>
      </c>
    </row>
    <row r="325" ht="14.25" spans="1:18">
      <c r="A325" s="15">
        <v>46155</v>
      </c>
      <c r="B325" s="3">
        <f>Data_Entry!P410</f>
        <v>13799.9999999997</v>
      </c>
      <c r="C325" s="3">
        <v>0</v>
      </c>
      <c r="D325" s="4">
        <f>Data_Entry!V410</f>
        <v>5.45</v>
      </c>
      <c r="E325" s="5">
        <f t="shared" si="54"/>
        <v>0.238490253007046</v>
      </c>
      <c r="F325" s="6">
        <v>0</v>
      </c>
      <c r="G325" s="6">
        <v>0</v>
      </c>
      <c r="H325" s="7">
        <f t="shared" si="55"/>
        <v>0</v>
      </c>
      <c r="I325" s="7">
        <f t="shared" si="56"/>
        <v>0</v>
      </c>
      <c r="J325" s="8">
        <v>2411</v>
      </c>
      <c r="K325" s="9"/>
      <c r="L325" s="8">
        <f t="shared" si="57"/>
        <v>28932</v>
      </c>
      <c r="M325" s="7">
        <f t="shared" si="58"/>
        <v>0</v>
      </c>
      <c r="N325" s="10">
        <f t="shared" si="59"/>
        <v>1</v>
      </c>
      <c r="O325" s="11">
        <f t="shared" si="60"/>
        <v>0.238490253007046</v>
      </c>
      <c r="P325" s="11"/>
      <c r="Q325" s="8">
        <f t="shared" si="61"/>
        <v>13799.9999999997</v>
      </c>
      <c r="R325" s="12">
        <f t="shared" si="62"/>
        <v>0</v>
      </c>
    </row>
    <row r="326" ht="14.25" spans="1:18">
      <c r="A326" s="15">
        <v>46156</v>
      </c>
      <c r="B326" s="3">
        <f>Data_Entry!P411</f>
        <v>14160.0000000001</v>
      </c>
      <c r="C326" s="3">
        <v>0</v>
      </c>
      <c r="D326" s="4">
        <f>Data_Entry!V411</f>
        <v>5.62</v>
      </c>
      <c r="E326" s="5">
        <f t="shared" si="54"/>
        <v>0.244711737868106</v>
      </c>
      <c r="F326" s="6">
        <v>0</v>
      </c>
      <c r="G326" s="6">
        <v>0</v>
      </c>
      <c r="H326" s="7">
        <f t="shared" si="55"/>
        <v>0</v>
      </c>
      <c r="I326" s="7">
        <f t="shared" si="56"/>
        <v>0</v>
      </c>
      <c r="J326" s="8">
        <v>2411</v>
      </c>
      <c r="K326" s="9"/>
      <c r="L326" s="8">
        <f t="shared" si="57"/>
        <v>28932</v>
      </c>
      <c r="M326" s="7">
        <f t="shared" si="58"/>
        <v>0</v>
      </c>
      <c r="N326" s="10">
        <f t="shared" si="59"/>
        <v>1</v>
      </c>
      <c r="O326" s="11">
        <f t="shared" si="60"/>
        <v>0.244711737868106</v>
      </c>
      <c r="P326" s="11"/>
      <c r="Q326" s="8">
        <f t="shared" si="61"/>
        <v>14160.0000000001</v>
      </c>
      <c r="R326" s="12">
        <f t="shared" si="62"/>
        <v>0</v>
      </c>
    </row>
    <row r="327" ht="14.25" spans="1:18">
      <c r="A327" s="15">
        <v>46157</v>
      </c>
      <c r="B327" s="3">
        <f>Data_Entry!P412</f>
        <v>14100.0000000001</v>
      </c>
      <c r="C327" s="3">
        <v>0</v>
      </c>
      <c r="D327" s="4">
        <f>Data_Entry!V412</f>
        <v>5.79</v>
      </c>
      <c r="E327" s="5">
        <f t="shared" si="54"/>
        <v>0.243674823724597</v>
      </c>
      <c r="F327" s="6">
        <v>0</v>
      </c>
      <c r="G327" s="6">
        <v>0</v>
      </c>
      <c r="H327" s="7">
        <f t="shared" si="55"/>
        <v>0</v>
      </c>
      <c r="I327" s="7">
        <f t="shared" si="56"/>
        <v>0</v>
      </c>
      <c r="J327" s="8">
        <v>2411</v>
      </c>
      <c r="K327" s="9"/>
      <c r="L327" s="8">
        <f t="shared" si="57"/>
        <v>28932</v>
      </c>
      <c r="M327" s="7">
        <f t="shared" si="58"/>
        <v>0</v>
      </c>
      <c r="N327" s="10">
        <f t="shared" si="59"/>
        <v>1</v>
      </c>
      <c r="O327" s="11">
        <f t="shared" si="60"/>
        <v>0.243674823724597</v>
      </c>
      <c r="P327" s="11"/>
      <c r="Q327" s="8">
        <f t="shared" si="61"/>
        <v>14100.0000000001</v>
      </c>
      <c r="R327" s="12">
        <f t="shared" si="62"/>
        <v>0</v>
      </c>
    </row>
    <row r="328" ht="14.25" spans="1:18">
      <c r="A328" s="15">
        <v>46158</v>
      </c>
      <c r="B328" s="3">
        <f>Data_Entry!P413</f>
        <v>14280</v>
      </c>
      <c r="C328" s="3">
        <v>0</v>
      </c>
      <c r="D328" s="4">
        <f>Data_Entry!V413</f>
        <v>5.72</v>
      </c>
      <c r="E328" s="5">
        <f t="shared" si="54"/>
        <v>0.246785566155122</v>
      </c>
      <c r="F328" s="6">
        <v>0</v>
      </c>
      <c r="G328" s="6">
        <v>0</v>
      </c>
      <c r="H328" s="7">
        <f t="shared" si="55"/>
        <v>0</v>
      </c>
      <c r="I328" s="7">
        <f t="shared" si="56"/>
        <v>0</v>
      </c>
      <c r="J328" s="8">
        <v>2411</v>
      </c>
      <c r="K328" s="9"/>
      <c r="L328" s="8">
        <f t="shared" si="57"/>
        <v>28932</v>
      </c>
      <c r="M328" s="7">
        <f t="shared" si="58"/>
        <v>0</v>
      </c>
      <c r="N328" s="10">
        <f t="shared" si="59"/>
        <v>1</v>
      </c>
      <c r="O328" s="11">
        <f t="shared" si="60"/>
        <v>0.246785566155122</v>
      </c>
      <c r="P328" s="11"/>
      <c r="Q328" s="8">
        <f t="shared" si="61"/>
        <v>14280</v>
      </c>
      <c r="R328" s="12">
        <f t="shared" si="62"/>
        <v>0</v>
      </c>
    </row>
    <row r="329" ht="14.25" spans="1:18">
      <c r="A329" s="15">
        <v>46159</v>
      </c>
      <c r="B329" s="3">
        <f>Data_Entry!P414</f>
        <v>12390.0000000003</v>
      </c>
      <c r="C329" s="3">
        <v>0</v>
      </c>
      <c r="D329" s="4">
        <f>Data_Entry!V414</f>
        <v>5.2</v>
      </c>
      <c r="E329" s="5">
        <f t="shared" ref="E329:E343" si="63">B329/(24*J329)</f>
        <v>0.214122770634597</v>
      </c>
      <c r="F329" s="6">
        <v>0</v>
      </c>
      <c r="G329" s="6">
        <v>0</v>
      </c>
      <c r="H329" s="7">
        <f t="shared" ref="H329:H343" si="64">(G329-F329)*24*60</f>
        <v>0</v>
      </c>
      <c r="I329" s="7">
        <f t="shared" ref="I329:I343" si="65">H329/60</f>
        <v>0</v>
      </c>
      <c r="J329" s="8">
        <v>2411</v>
      </c>
      <c r="K329" s="9"/>
      <c r="L329" s="8">
        <f t="shared" ref="L329:L343" si="66">J329*12</f>
        <v>28932</v>
      </c>
      <c r="M329" s="7">
        <f t="shared" ref="M329:M343" si="67">K329*I329</f>
        <v>0</v>
      </c>
      <c r="N329" s="10">
        <f t="shared" ref="N329:N343" si="68">(L329-M329)/L329</f>
        <v>1</v>
      </c>
      <c r="O329" s="11">
        <f t="shared" ref="O329:O343" si="69">E329/N329</f>
        <v>0.214122770634597</v>
      </c>
      <c r="P329" s="11"/>
      <c r="Q329" s="8">
        <f t="shared" ref="Q329:Q343" si="70">O329*J329*24</f>
        <v>12390.0000000003</v>
      </c>
      <c r="R329" s="12">
        <f t="shared" ref="R329:R343" si="71">Q329-B329</f>
        <v>0</v>
      </c>
    </row>
    <row r="330" ht="14.25" spans="1:18">
      <c r="A330" s="15">
        <v>46160</v>
      </c>
      <c r="B330" s="3">
        <f>Data_Entry!P415</f>
        <v>13769.9999999998</v>
      </c>
      <c r="C330" s="3">
        <v>0</v>
      </c>
      <c r="D330" s="4">
        <f>Data_Entry!V415</f>
        <v>5.51</v>
      </c>
      <c r="E330" s="5">
        <f t="shared" si="63"/>
        <v>0.237971795935293</v>
      </c>
      <c r="F330" s="6">
        <v>0</v>
      </c>
      <c r="G330" s="6">
        <v>0</v>
      </c>
      <c r="H330" s="7">
        <f t="shared" si="64"/>
        <v>0</v>
      </c>
      <c r="I330" s="7">
        <f t="shared" si="65"/>
        <v>0</v>
      </c>
      <c r="J330" s="8">
        <v>2411</v>
      </c>
      <c r="K330" s="9"/>
      <c r="L330" s="8">
        <f t="shared" si="66"/>
        <v>28932</v>
      </c>
      <c r="M330" s="7">
        <f t="shared" si="67"/>
        <v>0</v>
      </c>
      <c r="N330" s="10">
        <f t="shared" si="68"/>
        <v>1</v>
      </c>
      <c r="O330" s="11">
        <f t="shared" si="69"/>
        <v>0.237971795935293</v>
      </c>
      <c r="P330" s="11"/>
      <c r="Q330" s="8">
        <f t="shared" si="70"/>
        <v>13769.9999999998</v>
      </c>
      <c r="R330" s="12">
        <f t="shared" si="71"/>
        <v>0</v>
      </c>
    </row>
    <row r="331" ht="14.25" spans="1:18">
      <c r="A331" s="15">
        <v>46161</v>
      </c>
      <c r="B331" s="3">
        <f>Data_Entry!P416</f>
        <v>14220</v>
      </c>
      <c r="C331" s="3">
        <v>0</v>
      </c>
      <c r="D331" s="4">
        <f>Data_Entry!V416</f>
        <v>2.95</v>
      </c>
      <c r="E331" s="5">
        <f t="shared" si="63"/>
        <v>0.245748652011613</v>
      </c>
      <c r="F331" s="6">
        <v>0</v>
      </c>
      <c r="G331" s="6">
        <v>0</v>
      </c>
      <c r="H331" s="7">
        <f t="shared" si="64"/>
        <v>0</v>
      </c>
      <c r="I331" s="7">
        <f t="shared" si="65"/>
        <v>0</v>
      </c>
      <c r="J331" s="8">
        <v>2411</v>
      </c>
      <c r="K331" s="9"/>
      <c r="L331" s="8">
        <f t="shared" si="66"/>
        <v>28932</v>
      </c>
      <c r="M331" s="7">
        <f t="shared" si="67"/>
        <v>0</v>
      </c>
      <c r="N331" s="10">
        <f t="shared" si="68"/>
        <v>1</v>
      </c>
      <c r="O331" s="11">
        <f t="shared" si="69"/>
        <v>0.245748652011613</v>
      </c>
      <c r="P331" s="11"/>
      <c r="Q331" s="8">
        <f t="shared" si="70"/>
        <v>14220</v>
      </c>
      <c r="R331" s="12">
        <f t="shared" si="71"/>
        <v>0</v>
      </c>
    </row>
    <row r="332" ht="14.25" spans="1:18">
      <c r="A332" s="15">
        <v>46162</v>
      </c>
      <c r="B332" s="3">
        <f>Data_Entry!P417</f>
        <v>13799.9999999997</v>
      </c>
      <c r="C332" s="3">
        <v>0</v>
      </c>
      <c r="D332" s="4">
        <f>Data_Entry!V417</f>
        <v>5.83</v>
      </c>
      <c r="E332" s="5">
        <f t="shared" si="63"/>
        <v>0.238490253007046</v>
      </c>
      <c r="F332" s="6">
        <v>0</v>
      </c>
      <c r="G332" s="6">
        <v>0</v>
      </c>
      <c r="H332" s="7">
        <f t="shared" si="64"/>
        <v>0</v>
      </c>
      <c r="I332" s="7">
        <f t="shared" si="65"/>
        <v>0</v>
      </c>
      <c r="J332" s="8">
        <v>2411</v>
      </c>
      <c r="K332" s="9"/>
      <c r="L332" s="8">
        <f t="shared" si="66"/>
        <v>28932</v>
      </c>
      <c r="M332" s="7">
        <f t="shared" si="67"/>
        <v>0</v>
      </c>
      <c r="N332" s="10">
        <f t="shared" si="68"/>
        <v>1</v>
      </c>
      <c r="O332" s="11">
        <f t="shared" si="69"/>
        <v>0.238490253007046</v>
      </c>
      <c r="P332" s="11"/>
      <c r="Q332" s="8">
        <f t="shared" si="70"/>
        <v>13799.9999999997</v>
      </c>
      <c r="R332" s="12">
        <f t="shared" si="71"/>
        <v>0</v>
      </c>
    </row>
    <row r="333" ht="14.25" spans="1:18">
      <c r="A333" s="15">
        <v>46163</v>
      </c>
      <c r="B333" s="3">
        <f>Data_Entry!P418</f>
        <v>13230.0000000002</v>
      </c>
      <c r="C333" s="3">
        <v>0</v>
      </c>
      <c r="D333" s="4">
        <f>Data_Entry!V418</f>
        <v>5.68</v>
      </c>
      <c r="E333" s="5">
        <f t="shared" si="63"/>
        <v>0.22863956864372</v>
      </c>
      <c r="F333" s="6">
        <v>0</v>
      </c>
      <c r="G333" s="6">
        <v>0</v>
      </c>
      <c r="H333" s="7">
        <f t="shared" si="64"/>
        <v>0</v>
      </c>
      <c r="I333" s="7">
        <f t="shared" si="65"/>
        <v>0</v>
      </c>
      <c r="J333" s="8">
        <v>2411</v>
      </c>
      <c r="K333" s="9"/>
      <c r="L333" s="8">
        <f t="shared" si="66"/>
        <v>28932</v>
      </c>
      <c r="M333" s="7">
        <f t="shared" si="67"/>
        <v>0</v>
      </c>
      <c r="N333" s="10">
        <f t="shared" si="68"/>
        <v>1</v>
      </c>
      <c r="O333" s="11">
        <f t="shared" si="69"/>
        <v>0.22863956864372</v>
      </c>
      <c r="P333" s="11"/>
      <c r="Q333" s="8">
        <f t="shared" si="70"/>
        <v>13230.0000000002</v>
      </c>
      <c r="R333" s="12">
        <f t="shared" si="71"/>
        <v>0</v>
      </c>
    </row>
    <row r="334" ht="14.25" spans="1:18">
      <c r="A334" s="15">
        <v>46164</v>
      </c>
      <c r="B334" s="3">
        <f>Data_Entry!P419</f>
        <v>1049.99999999973</v>
      </c>
      <c r="C334" s="3">
        <v>0</v>
      </c>
      <c r="D334" s="4">
        <f>Data_Entry!V419</f>
        <v>0.67</v>
      </c>
      <c r="E334" s="5">
        <f t="shared" si="63"/>
        <v>0.0181459975114013</v>
      </c>
      <c r="F334" s="6">
        <v>0</v>
      </c>
      <c r="G334" s="6">
        <v>0</v>
      </c>
      <c r="H334" s="7">
        <f t="shared" si="64"/>
        <v>0</v>
      </c>
      <c r="I334" s="7">
        <f t="shared" si="65"/>
        <v>0</v>
      </c>
      <c r="J334" s="8">
        <v>2411</v>
      </c>
      <c r="K334" s="9"/>
      <c r="L334" s="8">
        <f t="shared" si="66"/>
        <v>28932</v>
      </c>
      <c r="M334" s="7">
        <f t="shared" si="67"/>
        <v>0</v>
      </c>
      <c r="N334" s="10">
        <f t="shared" si="68"/>
        <v>1</v>
      </c>
      <c r="O334" s="11">
        <f t="shared" si="69"/>
        <v>0.0181459975114013</v>
      </c>
      <c r="P334" s="11"/>
      <c r="Q334" s="8">
        <f t="shared" si="70"/>
        <v>1049.99999999973</v>
      </c>
      <c r="R334" s="12">
        <f t="shared" si="71"/>
        <v>0</v>
      </c>
    </row>
    <row r="335" ht="14.25" spans="1:18">
      <c r="A335" s="15">
        <v>46165</v>
      </c>
      <c r="B335" s="3">
        <f>Data_Entry!P420</f>
        <v>12930.0000000005</v>
      </c>
      <c r="C335" s="3">
        <v>0</v>
      </c>
      <c r="D335" s="4">
        <f>Data_Entry!V420</f>
        <v>5.83</v>
      </c>
      <c r="E335" s="5">
        <f t="shared" si="63"/>
        <v>0.223454997926181</v>
      </c>
      <c r="F335" s="6">
        <v>0</v>
      </c>
      <c r="G335" s="6">
        <v>0</v>
      </c>
      <c r="H335" s="7">
        <f t="shared" si="64"/>
        <v>0</v>
      </c>
      <c r="I335" s="7">
        <f t="shared" si="65"/>
        <v>0</v>
      </c>
      <c r="J335" s="8">
        <v>2411</v>
      </c>
      <c r="K335" s="9"/>
      <c r="L335" s="8">
        <f t="shared" si="66"/>
        <v>28932</v>
      </c>
      <c r="M335" s="7">
        <f t="shared" si="67"/>
        <v>0</v>
      </c>
      <c r="N335" s="10">
        <f t="shared" si="68"/>
        <v>1</v>
      </c>
      <c r="O335" s="11">
        <f t="shared" si="69"/>
        <v>0.223454997926181</v>
      </c>
      <c r="P335" s="11"/>
      <c r="Q335" s="8">
        <f t="shared" si="70"/>
        <v>12930.0000000005</v>
      </c>
      <c r="R335" s="12">
        <f t="shared" si="71"/>
        <v>0</v>
      </c>
    </row>
    <row r="336" ht="14.25" spans="1:18">
      <c r="A336" s="15">
        <v>46166</v>
      </c>
      <c r="B336" s="3">
        <f>Data_Entry!P421</f>
        <v>11489.9999999998</v>
      </c>
      <c r="C336" s="3">
        <v>0</v>
      </c>
      <c r="D336" s="4">
        <f>Data_Entry!V421</f>
        <v>5.1</v>
      </c>
      <c r="E336" s="5">
        <f t="shared" si="63"/>
        <v>0.198569058481954</v>
      </c>
      <c r="F336" s="6">
        <v>0</v>
      </c>
      <c r="G336" s="6">
        <v>0</v>
      </c>
      <c r="H336" s="7">
        <f t="shared" si="64"/>
        <v>0</v>
      </c>
      <c r="I336" s="7">
        <f t="shared" si="65"/>
        <v>0</v>
      </c>
      <c r="J336" s="8">
        <v>2411</v>
      </c>
      <c r="K336" s="9"/>
      <c r="L336" s="8">
        <f t="shared" si="66"/>
        <v>28932</v>
      </c>
      <c r="M336" s="7">
        <f t="shared" si="67"/>
        <v>0</v>
      </c>
      <c r="N336" s="10">
        <f t="shared" si="68"/>
        <v>1</v>
      </c>
      <c r="O336" s="11">
        <f t="shared" si="69"/>
        <v>0.198569058481954</v>
      </c>
      <c r="P336" s="11"/>
      <c r="Q336" s="8">
        <f t="shared" si="70"/>
        <v>11489.9999999998</v>
      </c>
      <c r="R336" s="12">
        <f t="shared" si="71"/>
        <v>0</v>
      </c>
    </row>
    <row r="337" ht="14.25" spans="1:18">
      <c r="A337" s="15">
        <v>46167</v>
      </c>
      <c r="B337" s="3">
        <f>Data_Entry!P422</f>
        <v>13260.0000000002</v>
      </c>
      <c r="C337" s="3">
        <v>0</v>
      </c>
      <c r="D337" s="4">
        <f>Data_Entry!V422</f>
        <v>4.78</v>
      </c>
      <c r="E337" s="5">
        <f t="shared" si="63"/>
        <v>0.229158025715475</v>
      </c>
      <c r="F337" s="6">
        <v>0</v>
      </c>
      <c r="G337" s="6">
        <v>0</v>
      </c>
      <c r="H337" s="7">
        <f t="shared" si="64"/>
        <v>0</v>
      </c>
      <c r="I337" s="7">
        <f t="shared" si="65"/>
        <v>0</v>
      </c>
      <c r="J337" s="8">
        <v>2411</v>
      </c>
      <c r="K337" s="9"/>
      <c r="L337" s="8">
        <f t="shared" si="66"/>
        <v>28932</v>
      </c>
      <c r="M337" s="7">
        <f t="shared" si="67"/>
        <v>0</v>
      </c>
      <c r="N337" s="10">
        <f t="shared" si="68"/>
        <v>1</v>
      </c>
      <c r="O337" s="11">
        <f t="shared" si="69"/>
        <v>0.229158025715475</v>
      </c>
      <c r="P337" s="11"/>
      <c r="Q337" s="8">
        <f t="shared" si="70"/>
        <v>13260.0000000002</v>
      </c>
      <c r="R337" s="12">
        <f t="shared" si="71"/>
        <v>0</v>
      </c>
    </row>
    <row r="338" ht="14.25" spans="1:18">
      <c r="A338" s="15">
        <v>46168</v>
      </c>
      <c r="B338" s="3">
        <f>Data_Entry!P423</f>
        <v>13319.9999999995</v>
      </c>
      <c r="C338" s="3">
        <v>0</v>
      </c>
      <c r="D338" s="4">
        <f>Data_Entry!V423</f>
        <v>5.74</v>
      </c>
      <c r="E338" s="5">
        <f t="shared" si="63"/>
        <v>0.230194939858971</v>
      </c>
      <c r="F338" s="6">
        <v>0</v>
      </c>
      <c r="G338" s="6">
        <v>0</v>
      </c>
      <c r="H338" s="7">
        <f t="shared" si="64"/>
        <v>0</v>
      </c>
      <c r="I338" s="7">
        <f t="shared" si="65"/>
        <v>0</v>
      </c>
      <c r="J338" s="8">
        <v>2411</v>
      </c>
      <c r="K338" s="9"/>
      <c r="L338" s="8">
        <f t="shared" si="66"/>
        <v>28932</v>
      </c>
      <c r="M338" s="7">
        <f t="shared" si="67"/>
        <v>0</v>
      </c>
      <c r="N338" s="10">
        <f t="shared" si="68"/>
        <v>1</v>
      </c>
      <c r="O338" s="11">
        <f t="shared" si="69"/>
        <v>0.230194939858971</v>
      </c>
      <c r="P338" s="11"/>
      <c r="Q338" s="8">
        <f t="shared" si="70"/>
        <v>13319.9999999995</v>
      </c>
      <c r="R338" s="12">
        <f t="shared" si="71"/>
        <v>0</v>
      </c>
    </row>
    <row r="339" ht="14.25" spans="1:18">
      <c r="A339" s="15">
        <v>46169</v>
      </c>
      <c r="B339" s="3">
        <f>Data_Entry!P424</f>
        <v>13200.0000000003</v>
      </c>
      <c r="C339" s="3">
        <v>0</v>
      </c>
      <c r="D339" s="4">
        <f>Data_Entry!V424</f>
        <v>5.74</v>
      </c>
      <c r="E339" s="5">
        <f t="shared" si="63"/>
        <v>0.228121111571967</v>
      </c>
      <c r="F339" s="6">
        <v>0</v>
      </c>
      <c r="G339" s="6">
        <v>0</v>
      </c>
      <c r="H339" s="7">
        <f t="shared" si="64"/>
        <v>0</v>
      </c>
      <c r="I339" s="7">
        <f t="shared" si="65"/>
        <v>0</v>
      </c>
      <c r="J339" s="8">
        <v>2411</v>
      </c>
      <c r="K339" s="9"/>
      <c r="L339" s="8">
        <f t="shared" si="66"/>
        <v>28932</v>
      </c>
      <c r="M339" s="7">
        <f t="shared" si="67"/>
        <v>0</v>
      </c>
      <c r="N339" s="10">
        <f t="shared" si="68"/>
        <v>1</v>
      </c>
      <c r="O339" s="11">
        <f t="shared" si="69"/>
        <v>0.228121111571967</v>
      </c>
      <c r="P339" s="11"/>
      <c r="Q339" s="8">
        <f t="shared" si="70"/>
        <v>13200.0000000003</v>
      </c>
      <c r="R339" s="12">
        <f t="shared" si="71"/>
        <v>0</v>
      </c>
    </row>
    <row r="340" ht="14.25" spans="1:18">
      <c r="A340" s="15">
        <v>46170</v>
      </c>
      <c r="B340" s="3">
        <f>Data_Entry!P425</f>
        <v>13380.0000000001</v>
      </c>
      <c r="C340" s="3">
        <v>0</v>
      </c>
      <c r="D340" s="4">
        <f>Data_Entry!V425</f>
        <v>5.79</v>
      </c>
      <c r="E340" s="5">
        <f t="shared" si="63"/>
        <v>0.23123185400249</v>
      </c>
      <c r="F340" s="6">
        <v>0</v>
      </c>
      <c r="G340" s="6">
        <v>0</v>
      </c>
      <c r="H340" s="7">
        <f t="shared" si="64"/>
        <v>0</v>
      </c>
      <c r="I340" s="7">
        <f t="shared" si="65"/>
        <v>0</v>
      </c>
      <c r="J340" s="8">
        <v>2411</v>
      </c>
      <c r="K340" s="9"/>
      <c r="L340" s="8">
        <f t="shared" si="66"/>
        <v>28932</v>
      </c>
      <c r="M340" s="7">
        <f t="shared" si="67"/>
        <v>0</v>
      </c>
      <c r="N340" s="10">
        <f t="shared" si="68"/>
        <v>1</v>
      </c>
      <c r="O340" s="11">
        <f t="shared" si="69"/>
        <v>0.23123185400249</v>
      </c>
      <c r="P340" s="11"/>
      <c r="Q340" s="8">
        <f t="shared" si="70"/>
        <v>13380.0000000001</v>
      </c>
      <c r="R340" s="12">
        <f t="shared" si="71"/>
        <v>0</v>
      </c>
    </row>
    <row r="341" ht="14.25" spans="1:18">
      <c r="A341" s="15">
        <v>46171</v>
      </c>
      <c r="B341" s="3">
        <f>Data_Entry!P426</f>
        <v>13019.9999999998</v>
      </c>
      <c r="C341" s="3">
        <v>0</v>
      </c>
      <c r="D341" s="4">
        <f>Data_Entry!V426</f>
        <v>5.17</v>
      </c>
      <c r="E341" s="5">
        <f t="shared" si="63"/>
        <v>0.225010369141431</v>
      </c>
      <c r="F341" s="6">
        <v>0</v>
      </c>
      <c r="G341" s="6">
        <v>0</v>
      </c>
      <c r="H341" s="7">
        <f t="shared" si="64"/>
        <v>0</v>
      </c>
      <c r="I341" s="7">
        <f t="shared" si="65"/>
        <v>0</v>
      </c>
      <c r="J341" s="8">
        <v>2411</v>
      </c>
      <c r="K341" s="9"/>
      <c r="L341" s="8">
        <f t="shared" si="66"/>
        <v>28932</v>
      </c>
      <c r="M341" s="7">
        <f t="shared" si="67"/>
        <v>0</v>
      </c>
      <c r="N341" s="10">
        <f t="shared" si="68"/>
        <v>1</v>
      </c>
      <c r="O341" s="11">
        <f t="shared" si="69"/>
        <v>0.225010369141431</v>
      </c>
      <c r="P341" s="11"/>
      <c r="Q341" s="8">
        <f t="shared" si="70"/>
        <v>13019.9999999998</v>
      </c>
      <c r="R341" s="12">
        <f t="shared" si="71"/>
        <v>0</v>
      </c>
    </row>
    <row r="342" ht="14.25" spans="1:18">
      <c r="A342" s="15">
        <v>46172</v>
      </c>
      <c r="B342" s="3">
        <f>Data_Entry!P427</f>
        <v>13110.0000000004</v>
      </c>
      <c r="C342" s="3">
        <v>0</v>
      </c>
      <c r="D342" s="4">
        <f>Data_Entry!V427</f>
        <v>4.81</v>
      </c>
      <c r="E342" s="5">
        <f t="shared" si="63"/>
        <v>0.226565740356705</v>
      </c>
      <c r="F342" s="6">
        <v>0</v>
      </c>
      <c r="G342" s="6">
        <v>0</v>
      </c>
      <c r="H342" s="7">
        <f t="shared" si="64"/>
        <v>0</v>
      </c>
      <c r="I342" s="7">
        <f t="shared" si="65"/>
        <v>0</v>
      </c>
      <c r="J342" s="8">
        <v>2411</v>
      </c>
      <c r="K342" s="9"/>
      <c r="L342" s="8">
        <f t="shared" si="66"/>
        <v>28932</v>
      </c>
      <c r="M342" s="7">
        <f t="shared" si="67"/>
        <v>0</v>
      </c>
      <c r="N342" s="10">
        <f t="shared" si="68"/>
        <v>1</v>
      </c>
      <c r="O342" s="11">
        <f t="shared" si="69"/>
        <v>0.226565740356705</v>
      </c>
      <c r="P342" s="11"/>
      <c r="Q342" s="8">
        <f t="shared" si="70"/>
        <v>13110.0000000004</v>
      </c>
      <c r="R342" s="12">
        <f t="shared" si="71"/>
        <v>0</v>
      </c>
    </row>
    <row r="343" ht="14.25" spans="1:18">
      <c r="A343" s="15">
        <v>46173</v>
      </c>
      <c r="B343" s="3">
        <f>Data_Entry!P428</f>
        <v>11009.9999999995</v>
      </c>
      <c r="C343" s="3">
        <v>0</v>
      </c>
      <c r="D343" s="4">
        <f>Data_Entry!V428</f>
        <v>4.86</v>
      </c>
      <c r="E343" s="5">
        <f t="shared" si="63"/>
        <v>0.190273745333878</v>
      </c>
      <c r="F343" s="6">
        <v>0</v>
      </c>
      <c r="G343" s="6">
        <v>0</v>
      </c>
      <c r="H343" s="7">
        <f t="shared" si="64"/>
        <v>0</v>
      </c>
      <c r="I343" s="7">
        <f t="shared" si="65"/>
        <v>0</v>
      </c>
      <c r="J343" s="8">
        <v>2411</v>
      </c>
      <c r="K343" s="9"/>
      <c r="L343" s="8">
        <f t="shared" si="66"/>
        <v>28932</v>
      </c>
      <c r="M343" s="7">
        <f t="shared" si="67"/>
        <v>0</v>
      </c>
      <c r="N343" s="10">
        <f t="shared" si="68"/>
        <v>1</v>
      </c>
      <c r="O343" s="11">
        <f t="shared" si="69"/>
        <v>0.190273745333878</v>
      </c>
      <c r="P343" s="11"/>
      <c r="Q343" s="8">
        <f t="shared" si="70"/>
        <v>11009.9999999995</v>
      </c>
      <c r="R343" s="12">
        <f t="shared" si="71"/>
        <v>0</v>
      </c>
    </row>
    <row r="344" ht="14.25" spans="1:18">
      <c r="A344" s="15">
        <v>46174</v>
      </c>
      <c r="B344" s="3">
        <f>Data_Entry!P429</f>
        <v>12059.9999999999</v>
      </c>
      <c r="C344" s="3">
        <v>0</v>
      </c>
      <c r="D344" s="4">
        <f>Data_Entry!V429</f>
        <v>4.64</v>
      </c>
      <c r="E344" s="5">
        <f t="shared" ref="E344:E375" si="72">B344/(24*J344)</f>
        <v>0.208419742845291</v>
      </c>
      <c r="F344" s="6">
        <v>0</v>
      </c>
      <c r="G344" s="6">
        <v>0</v>
      </c>
      <c r="H344" s="7">
        <f t="shared" ref="H344:H375" si="73">(G344-F344)*24*60</f>
        <v>0</v>
      </c>
      <c r="I344" s="7">
        <f t="shared" ref="I344:I375" si="74">H344/60</f>
        <v>0</v>
      </c>
      <c r="J344" s="8">
        <v>2411</v>
      </c>
      <c r="K344" s="9"/>
      <c r="L344" s="8">
        <f t="shared" ref="L344:L375" si="75">J344*12</f>
        <v>28932</v>
      </c>
      <c r="M344" s="7">
        <f t="shared" ref="M344:M375" si="76">K344*I344</f>
        <v>0</v>
      </c>
      <c r="N344" s="10">
        <f t="shared" ref="N344:N375" si="77">(L344-M344)/L344</f>
        <v>1</v>
      </c>
      <c r="O344" s="11">
        <f t="shared" ref="O344:O375" si="78">E344/N344</f>
        <v>0.208419742845291</v>
      </c>
      <c r="P344" s="11"/>
      <c r="Q344" s="8">
        <f t="shared" ref="Q344:Q375" si="79">O344*J344*24</f>
        <v>12059.9999999999</v>
      </c>
      <c r="R344" s="12">
        <f t="shared" ref="R344:R375" si="80">Q344-B344</f>
        <v>0</v>
      </c>
    </row>
    <row r="345" ht="14.25" spans="1:18">
      <c r="A345" s="15">
        <v>46175</v>
      </c>
      <c r="B345" s="3">
        <f>Data_Entry!P430</f>
        <v>9390.00000000033</v>
      </c>
      <c r="C345" s="3">
        <v>0</v>
      </c>
      <c r="D345" s="4">
        <f>Data_Entry!V430</f>
        <v>4.42</v>
      </c>
      <c r="E345" s="5">
        <f t="shared" si="72"/>
        <v>0.162277063459151</v>
      </c>
      <c r="F345" s="6">
        <v>0</v>
      </c>
      <c r="G345" s="6">
        <v>0</v>
      </c>
      <c r="H345" s="7">
        <f t="shared" si="73"/>
        <v>0</v>
      </c>
      <c r="I345" s="7">
        <f t="shared" si="74"/>
        <v>0</v>
      </c>
      <c r="J345" s="8">
        <v>2411</v>
      </c>
      <c r="K345" s="9"/>
      <c r="L345" s="8">
        <f t="shared" si="75"/>
        <v>28932</v>
      </c>
      <c r="M345" s="7">
        <f t="shared" si="76"/>
        <v>0</v>
      </c>
      <c r="N345" s="10">
        <f t="shared" si="77"/>
        <v>1</v>
      </c>
      <c r="O345" s="11">
        <f t="shared" si="78"/>
        <v>0.162277063459151</v>
      </c>
      <c r="P345" s="11"/>
      <c r="Q345" s="8">
        <f t="shared" si="79"/>
        <v>9390.00000000033</v>
      </c>
      <c r="R345" s="12">
        <f t="shared" si="80"/>
        <v>0</v>
      </c>
    </row>
    <row r="346" ht="14.25" spans="1:18">
      <c r="A346" s="15">
        <v>46176</v>
      </c>
      <c r="B346" s="3">
        <f>Data_Entry!P431</f>
        <v>12059.9999999999</v>
      </c>
      <c r="C346" s="3">
        <v>0</v>
      </c>
      <c r="D346" s="4">
        <f>Data_Entry!V431</f>
        <v>5.34</v>
      </c>
      <c r="E346" s="5">
        <f t="shared" si="72"/>
        <v>0.208419742845291</v>
      </c>
      <c r="F346" s="6">
        <v>0</v>
      </c>
      <c r="G346" s="6">
        <v>0</v>
      </c>
      <c r="H346" s="7">
        <f t="shared" si="73"/>
        <v>0</v>
      </c>
      <c r="I346" s="7">
        <f t="shared" si="74"/>
        <v>0</v>
      </c>
      <c r="J346" s="8">
        <v>2411</v>
      </c>
      <c r="K346" s="9"/>
      <c r="L346" s="8">
        <f t="shared" si="75"/>
        <v>28932</v>
      </c>
      <c r="M346" s="7">
        <f t="shared" si="76"/>
        <v>0</v>
      </c>
      <c r="N346" s="10">
        <f t="shared" si="77"/>
        <v>1</v>
      </c>
      <c r="O346" s="11">
        <f t="shared" si="78"/>
        <v>0.208419742845291</v>
      </c>
      <c r="P346" s="11"/>
      <c r="Q346" s="8">
        <f t="shared" si="79"/>
        <v>12059.9999999999</v>
      </c>
      <c r="R346" s="12">
        <f t="shared" si="80"/>
        <v>0</v>
      </c>
    </row>
    <row r="347" ht="14.25" spans="1:18">
      <c r="A347" s="15">
        <v>46177</v>
      </c>
      <c r="B347" s="3">
        <f>Data_Entry!P432</f>
        <v>11070.0000000002</v>
      </c>
      <c r="C347" s="3">
        <v>0</v>
      </c>
      <c r="D347" s="4">
        <f>Data_Entry!V432</f>
        <v>4.7</v>
      </c>
      <c r="E347" s="5">
        <f t="shared" si="72"/>
        <v>0.191310659477398</v>
      </c>
      <c r="F347" s="6">
        <v>0</v>
      </c>
      <c r="G347" s="6">
        <v>0</v>
      </c>
      <c r="H347" s="7">
        <f t="shared" si="73"/>
        <v>0</v>
      </c>
      <c r="I347" s="7">
        <f t="shared" si="74"/>
        <v>0</v>
      </c>
      <c r="J347" s="8">
        <v>2411</v>
      </c>
      <c r="K347" s="9"/>
      <c r="L347" s="8">
        <f t="shared" si="75"/>
        <v>28932</v>
      </c>
      <c r="M347" s="7">
        <f t="shared" si="76"/>
        <v>0</v>
      </c>
      <c r="N347" s="10">
        <f t="shared" si="77"/>
        <v>1</v>
      </c>
      <c r="O347" s="11">
        <f t="shared" si="78"/>
        <v>0.191310659477398</v>
      </c>
      <c r="P347" s="11"/>
      <c r="Q347" s="8">
        <f t="shared" si="79"/>
        <v>11070.0000000002</v>
      </c>
      <c r="R347" s="12">
        <f t="shared" si="80"/>
        <v>0</v>
      </c>
    </row>
    <row r="348" ht="14.25" spans="1:18">
      <c r="A348" s="15">
        <v>46178</v>
      </c>
      <c r="B348" s="3">
        <f>Data_Entry!P433</f>
        <v>13289.9999999995</v>
      </c>
      <c r="C348" s="3">
        <v>0</v>
      </c>
      <c r="D348" s="4">
        <f>Data_Entry!V433</f>
        <v>4.64</v>
      </c>
      <c r="E348" s="5">
        <f t="shared" si="72"/>
        <v>0.229676482787217</v>
      </c>
      <c r="F348" s="6">
        <v>0</v>
      </c>
      <c r="G348" s="6">
        <v>0</v>
      </c>
      <c r="H348" s="7">
        <f t="shared" si="73"/>
        <v>0</v>
      </c>
      <c r="I348" s="7">
        <f t="shared" si="74"/>
        <v>0</v>
      </c>
      <c r="J348" s="8">
        <v>2411</v>
      </c>
      <c r="K348" s="9"/>
      <c r="L348" s="8">
        <f t="shared" si="75"/>
        <v>28932</v>
      </c>
      <c r="M348" s="7">
        <f t="shared" si="76"/>
        <v>0</v>
      </c>
      <c r="N348" s="10">
        <f t="shared" si="77"/>
        <v>1</v>
      </c>
      <c r="O348" s="11">
        <f t="shared" si="78"/>
        <v>0.229676482787217</v>
      </c>
      <c r="P348" s="11"/>
      <c r="Q348" s="8">
        <f t="shared" si="79"/>
        <v>13289.9999999995</v>
      </c>
      <c r="R348" s="12">
        <f t="shared" si="80"/>
        <v>0</v>
      </c>
    </row>
    <row r="349" ht="14.25" spans="1:18">
      <c r="A349" s="15">
        <v>46179</v>
      </c>
      <c r="B349" s="3">
        <f>Data_Entry!P434</f>
        <v>11430.0000000005</v>
      </c>
      <c r="C349" s="3">
        <v>0</v>
      </c>
      <c r="D349" s="4">
        <f>Data_Entry!V434</f>
        <v>4.68</v>
      </c>
      <c r="E349" s="5">
        <f t="shared" si="72"/>
        <v>0.197532144338458</v>
      </c>
      <c r="F349" s="6">
        <v>0</v>
      </c>
      <c r="G349" s="6">
        <v>0</v>
      </c>
      <c r="H349" s="7">
        <f t="shared" si="73"/>
        <v>0</v>
      </c>
      <c r="I349" s="7">
        <f t="shared" si="74"/>
        <v>0</v>
      </c>
      <c r="J349" s="8">
        <v>2411</v>
      </c>
      <c r="K349" s="9"/>
      <c r="L349" s="8">
        <f t="shared" si="75"/>
        <v>28932</v>
      </c>
      <c r="M349" s="7">
        <f t="shared" si="76"/>
        <v>0</v>
      </c>
      <c r="N349" s="10">
        <f t="shared" si="77"/>
        <v>1</v>
      </c>
      <c r="O349" s="11">
        <f t="shared" si="78"/>
        <v>0.197532144338458</v>
      </c>
      <c r="P349" s="11"/>
      <c r="Q349" s="8">
        <f t="shared" si="79"/>
        <v>11430.0000000005</v>
      </c>
      <c r="R349" s="12">
        <f t="shared" si="80"/>
        <v>0</v>
      </c>
    </row>
    <row r="350" ht="14.25" spans="1:18">
      <c r="A350" s="15">
        <v>46180</v>
      </c>
      <c r="B350" s="3">
        <f>Data_Entry!P435</f>
        <v>12989.9999999998</v>
      </c>
      <c r="C350" s="3">
        <v>0</v>
      </c>
      <c r="D350" s="4">
        <f>Data_Entry!V435</f>
        <v>5.17</v>
      </c>
      <c r="E350" s="5">
        <f t="shared" si="72"/>
        <v>0.224491912069677</v>
      </c>
      <c r="F350" s="6">
        <v>0</v>
      </c>
      <c r="G350" s="6">
        <v>0</v>
      </c>
      <c r="H350" s="7">
        <f t="shared" si="73"/>
        <v>0</v>
      </c>
      <c r="I350" s="7">
        <f t="shared" si="74"/>
        <v>0</v>
      </c>
      <c r="J350" s="8">
        <v>2411</v>
      </c>
      <c r="K350" s="9"/>
      <c r="L350" s="8">
        <f t="shared" si="75"/>
        <v>28932</v>
      </c>
      <c r="M350" s="7">
        <f t="shared" si="76"/>
        <v>0</v>
      </c>
      <c r="N350" s="10">
        <f t="shared" si="77"/>
        <v>1</v>
      </c>
      <c r="O350" s="11">
        <f t="shared" si="78"/>
        <v>0.224491912069677</v>
      </c>
      <c r="P350" s="11"/>
      <c r="Q350" s="8">
        <f t="shared" si="79"/>
        <v>12989.9999999998</v>
      </c>
      <c r="R350" s="12">
        <f t="shared" si="80"/>
        <v>0</v>
      </c>
    </row>
    <row r="351" ht="14.25" spans="1:18">
      <c r="A351" s="15">
        <v>46181</v>
      </c>
      <c r="B351" s="3">
        <f>Data_Entry!P436</f>
        <v>12989.9999999998</v>
      </c>
      <c r="C351" s="3">
        <v>0</v>
      </c>
      <c r="D351" s="4">
        <f>Data_Entry!V436</f>
        <v>4.36</v>
      </c>
      <c r="E351" s="5">
        <f t="shared" si="72"/>
        <v>0.224491912069677</v>
      </c>
      <c r="F351" s="6">
        <v>0</v>
      </c>
      <c r="G351" s="6">
        <v>0</v>
      </c>
      <c r="H351" s="7">
        <f t="shared" si="73"/>
        <v>0</v>
      </c>
      <c r="I351" s="7">
        <f t="shared" si="74"/>
        <v>0</v>
      </c>
      <c r="J351" s="8">
        <v>2411</v>
      </c>
      <c r="K351" s="9"/>
      <c r="L351" s="8">
        <f t="shared" si="75"/>
        <v>28932</v>
      </c>
      <c r="M351" s="7">
        <f t="shared" si="76"/>
        <v>0</v>
      </c>
      <c r="N351" s="10">
        <f t="shared" si="77"/>
        <v>1</v>
      </c>
      <c r="O351" s="11">
        <f t="shared" si="78"/>
        <v>0.224491912069677</v>
      </c>
      <c r="P351" s="11"/>
      <c r="Q351" s="8">
        <f t="shared" si="79"/>
        <v>12989.9999999998</v>
      </c>
      <c r="R351" s="12">
        <f t="shared" si="80"/>
        <v>0</v>
      </c>
    </row>
    <row r="352" ht="14.25" spans="1:18">
      <c r="A352" s="15">
        <v>46182</v>
      </c>
      <c r="B352" s="3">
        <f>Data_Entry!P437</f>
        <v>0</v>
      </c>
      <c r="C352" s="3">
        <v>0</v>
      </c>
      <c r="D352" s="4">
        <f>Data_Entry!V437</f>
        <v>0</v>
      </c>
      <c r="E352" s="5">
        <f t="shared" si="72"/>
        <v>0</v>
      </c>
      <c r="F352" s="6">
        <v>0</v>
      </c>
      <c r="G352" s="6">
        <v>0</v>
      </c>
      <c r="H352" s="7">
        <f t="shared" si="73"/>
        <v>0</v>
      </c>
      <c r="I352" s="7">
        <f t="shared" si="74"/>
        <v>0</v>
      </c>
      <c r="J352" s="8">
        <v>2411</v>
      </c>
      <c r="K352" s="9"/>
      <c r="L352" s="8">
        <f t="shared" si="75"/>
        <v>28932</v>
      </c>
      <c r="M352" s="7">
        <f t="shared" si="76"/>
        <v>0</v>
      </c>
      <c r="N352" s="10">
        <f t="shared" si="77"/>
        <v>1</v>
      </c>
      <c r="O352" s="11">
        <f t="shared" si="78"/>
        <v>0</v>
      </c>
      <c r="P352" s="11"/>
      <c r="Q352" s="8">
        <f t="shared" si="79"/>
        <v>0</v>
      </c>
      <c r="R352" s="12">
        <f t="shared" si="80"/>
        <v>0</v>
      </c>
    </row>
    <row r="353" ht="14.25" spans="1:18">
      <c r="A353" s="15">
        <v>46183</v>
      </c>
      <c r="B353" s="3">
        <f>Data_Entry!P438</f>
        <v>0</v>
      </c>
      <c r="C353" s="3">
        <v>0</v>
      </c>
      <c r="D353" s="4">
        <f>Data_Entry!V438</f>
        <v>0</v>
      </c>
      <c r="E353" s="5">
        <f t="shared" si="72"/>
        <v>0</v>
      </c>
      <c r="F353" s="6">
        <v>0</v>
      </c>
      <c r="G353" s="6">
        <v>0</v>
      </c>
      <c r="H353" s="7">
        <f t="shared" si="73"/>
        <v>0</v>
      </c>
      <c r="I353" s="7">
        <f t="shared" si="74"/>
        <v>0</v>
      </c>
      <c r="J353" s="8">
        <v>2411</v>
      </c>
      <c r="K353" s="9"/>
      <c r="L353" s="8">
        <f t="shared" si="75"/>
        <v>28932</v>
      </c>
      <c r="M353" s="7">
        <f t="shared" si="76"/>
        <v>0</v>
      </c>
      <c r="N353" s="10">
        <f t="shared" si="77"/>
        <v>1</v>
      </c>
      <c r="O353" s="11">
        <f t="shared" si="78"/>
        <v>0</v>
      </c>
      <c r="P353" s="11"/>
      <c r="Q353" s="8">
        <f t="shared" si="79"/>
        <v>0</v>
      </c>
      <c r="R353" s="12">
        <f t="shared" si="80"/>
        <v>0</v>
      </c>
    </row>
    <row r="354" ht="14.25" spans="1:18">
      <c r="A354" s="15">
        <v>46184</v>
      </c>
      <c r="B354" s="3">
        <f>Data_Entry!P439</f>
        <v>0</v>
      </c>
      <c r="C354" s="3">
        <v>0</v>
      </c>
      <c r="D354" s="4">
        <f>Data_Entry!V439</f>
        <v>0</v>
      </c>
      <c r="E354" s="5">
        <f t="shared" si="72"/>
        <v>0</v>
      </c>
      <c r="F354" s="6">
        <v>0</v>
      </c>
      <c r="G354" s="6">
        <v>0</v>
      </c>
      <c r="H354" s="7">
        <f t="shared" si="73"/>
        <v>0</v>
      </c>
      <c r="I354" s="7">
        <f t="shared" si="74"/>
        <v>0</v>
      </c>
      <c r="J354" s="8">
        <v>2411</v>
      </c>
      <c r="K354" s="9"/>
      <c r="L354" s="8">
        <f t="shared" si="75"/>
        <v>28932</v>
      </c>
      <c r="M354" s="7">
        <f t="shared" si="76"/>
        <v>0</v>
      </c>
      <c r="N354" s="10">
        <f t="shared" si="77"/>
        <v>1</v>
      </c>
      <c r="O354" s="11">
        <f t="shared" si="78"/>
        <v>0</v>
      </c>
      <c r="P354" s="11"/>
      <c r="Q354" s="8">
        <f t="shared" si="79"/>
        <v>0</v>
      </c>
      <c r="R354" s="12">
        <f t="shared" si="80"/>
        <v>0</v>
      </c>
    </row>
    <row r="355" ht="14.25" spans="1:18">
      <c r="A355" s="15">
        <v>46185</v>
      </c>
      <c r="B355" s="3">
        <f>Data_Entry!P440</f>
        <v>0</v>
      </c>
      <c r="C355" s="3">
        <v>0</v>
      </c>
      <c r="D355" s="4">
        <f>Data_Entry!V440</f>
        <v>0</v>
      </c>
      <c r="E355" s="5">
        <f t="shared" si="72"/>
        <v>0</v>
      </c>
      <c r="F355" s="6">
        <v>0</v>
      </c>
      <c r="G355" s="6">
        <v>0</v>
      </c>
      <c r="H355" s="7">
        <f t="shared" si="73"/>
        <v>0</v>
      </c>
      <c r="I355" s="7">
        <f t="shared" si="74"/>
        <v>0</v>
      </c>
      <c r="J355" s="8">
        <v>2411</v>
      </c>
      <c r="K355" s="9"/>
      <c r="L355" s="8">
        <f t="shared" si="75"/>
        <v>28932</v>
      </c>
      <c r="M355" s="7">
        <f t="shared" si="76"/>
        <v>0</v>
      </c>
      <c r="N355" s="10">
        <f t="shared" si="77"/>
        <v>1</v>
      </c>
      <c r="O355" s="11">
        <f t="shared" si="78"/>
        <v>0</v>
      </c>
      <c r="P355" s="11"/>
      <c r="Q355" s="8">
        <f t="shared" si="79"/>
        <v>0</v>
      </c>
      <c r="R355" s="12">
        <f t="shared" si="80"/>
        <v>0</v>
      </c>
    </row>
    <row r="356" ht="14.25" spans="1:18">
      <c r="A356" s="15">
        <v>46186</v>
      </c>
      <c r="B356" s="3">
        <f>Data_Entry!P441</f>
        <v>0</v>
      </c>
      <c r="C356" s="3">
        <v>0</v>
      </c>
      <c r="D356" s="4">
        <f>Data_Entry!V441</f>
        <v>0</v>
      </c>
      <c r="E356" s="5">
        <f t="shared" si="72"/>
        <v>0</v>
      </c>
      <c r="F356" s="6">
        <v>0</v>
      </c>
      <c r="G356" s="6">
        <v>0</v>
      </c>
      <c r="H356" s="7">
        <f t="shared" si="73"/>
        <v>0</v>
      </c>
      <c r="I356" s="7">
        <f t="shared" si="74"/>
        <v>0</v>
      </c>
      <c r="J356" s="8">
        <v>2411</v>
      </c>
      <c r="K356" s="9"/>
      <c r="L356" s="8">
        <f t="shared" si="75"/>
        <v>28932</v>
      </c>
      <c r="M356" s="7">
        <f t="shared" si="76"/>
        <v>0</v>
      </c>
      <c r="N356" s="10">
        <f t="shared" si="77"/>
        <v>1</v>
      </c>
      <c r="O356" s="11">
        <f t="shared" si="78"/>
        <v>0</v>
      </c>
      <c r="P356" s="11"/>
      <c r="Q356" s="8">
        <f t="shared" si="79"/>
        <v>0</v>
      </c>
      <c r="R356" s="12">
        <f t="shared" si="80"/>
        <v>0</v>
      </c>
    </row>
    <row r="357" ht="14.25" spans="1:18">
      <c r="A357" s="15">
        <v>46187</v>
      </c>
      <c r="B357" s="3">
        <f>Data_Entry!P442</f>
        <v>0</v>
      </c>
      <c r="C357" s="3">
        <v>0</v>
      </c>
      <c r="D357" s="4">
        <f>Data_Entry!V442</f>
        <v>0</v>
      </c>
      <c r="E357" s="5">
        <f t="shared" si="72"/>
        <v>0</v>
      </c>
      <c r="F357" s="6">
        <v>0</v>
      </c>
      <c r="G357" s="6">
        <v>0</v>
      </c>
      <c r="H357" s="7">
        <f t="shared" si="73"/>
        <v>0</v>
      </c>
      <c r="I357" s="7">
        <f t="shared" si="74"/>
        <v>0</v>
      </c>
      <c r="J357" s="8">
        <v>2411</v>
      </c>
      <c r="K357" s="9"/>
      <c r="L357" s="8">
        <f t="shared" si="75"/>
        <v>28932</v>
      </c>
      <c r="M357" s="7">
        <f t="shared" si="76"/>
        <v>0</v>
      </c>
      <c r="N357" s="10">
        <f t="shared" si="77"/>
        <v>1</v>
      </c>
      <c r="O357" s="11">
        <f t="shared" si="78"/>
        <v>0</v>
      </c>
      <c r="P357" s="11"/>
      <c r="Q357" s="8">
        <f t="shared" si="79"/>
        <v>0</v>
      </c>
      <c r="R357" s="12">
        <f t="shared" si="80"/>
        <v>0</v>
      </c>
    </row>
    <row r="358" ht="14.25" spans="1:18">
      <c r="A358" s="15">
        <v>46188</v>
      </c>
      <c r="B358" s="3">
        <f>Data_Entry!P443</f>
        <v>0</v>
      </c>
      <c r="C358" s="3">
        <v>0</v>
      </c>
      <c r="D358" s="4">
        <f>Data_Entry!V443</f>
        <v>0</v>
      </c>
      <c r="E358" s="5">
        <f t="shared" si="72"/>
        <v>0</v>
      </c>
      <c r="F358" s="6">
        <v>0</v>
      </c>
      <c r="G358" s="6">
        <v>0</v>
      </c>
      <c r="H358" s="7">
        <f t="shared" si="73"/>
        <v>0</v>
      </c>
      <c r="I358" s="7">
        <f t="shared" si="74"/>
        <v>0</v>
      </c>
      <c r="J358" s="8">
        <v>2411</v>
      </c>
      <c r="K358" s="9"/>
      <c r="L358" s="8">
        <f t="shared" si="75"/>
        <v>28932</v>
      </c>
      <c r="M358" s="7">
        <f t="shared" si="76"/>
        <v>0</v>
      </c>
      <c r="N358" s="10">
        <f t="shared" si="77"/>
        <v>1</v>
      </c>
      <c r="O358" s="11">
        <f t="shared" si="78"/>
        <v>0</v>
      </c>
      <c r="P358" s="11"/>
      <c r="Q358" s="8">
        <f t="shared" si="79"/>
        <v>0</v>
      </c>
      <c r="R358" s="12">
        <f t="shared" si="80"/>
        <v>0</v>
      </c>
    </row>
    <row r="359" ht="14.25" spans="1:18">
      <c r="A359" s="15">
        <v>46189</v>
      </c>
      <c r="B359" s="3">
        <f>Data_Entry!P444</f>
        <v>0</v>
      </c>
      <c r="C359" s="3">
        <v>0</v>
      </c>
      <c r="D359" s="4">
        <f>Data_Entry!V444</f>
        <v>0</v>
      </c>
      <c r="E359" s="5">
        <f t="shared" si="72"/>
        <v>0</v>
      </c>
      <c r="F359" s="6">
        <v>0</v>
      </c>
      <c r="G359" s="6">
        <v>0</v>
      </c>
      <c r="H359" s="7">
        <f t="shared" si="73"/>
        <v>0</v>
      </c>
      <c r="I359" s="7">
        <f t="shared" si="74"/>
        <v>0</v>
      </c>
      <c r="J359" s="8">
        <v>2411</v>
      </c>
      <c r="K359" s="9"/>
      <c r="L359" s="8">
        <f t="shared" si="75"/>
        <v>28932</v>
      </c>
      <c r="M359" s="7">
        <f t="shared" si="76"/>
        <v>0</v>
      </c>
      <c r="N359" s="10">
        <f t="shared" si="77"/>
        <v>1</v>
      </c>
      <c r="O359" s="11">
        <f t="shared" si="78"/>
        <v>0</v>
      </c>
      <c r="P359" s="11"/>
      <c r="Q359" s="8">
        <f t="shared" si="79"/>
        <v>0</v>
      </c>
      <c r="R359" s="12">
        <f t="shared" si="80"/>
        <v>0</v>
      </c>
    </row>
    <row r="360" ht="14.25" spans="1:18">
      <c r="A360" s="15">
        <v>46190</v>
      </c>
      <c r="B360" s="3">
        <f>Data_Entry!P445</f>
        <v>0</v>
      </c>
      <c r="C360" s="3">
        <v>0</v>
      </c>
      <c r="D360" s="4">
        <f>Data_Entry!V445</f>
        <v>0</v>
      </c>
      <c r="E360" s="5">
        <f t="shared" si="72"/>
        <v>0</v>
      </c>
      <c r="F360" s="6">
        <v>0</v>
      </c>
      <c r="G360" s="6">
        <v>0</v>
      </c>
      <c r="H360" s="7">
        <f t="shared" si="73"/>
        <v>0</v>
      </c>
      <c r="I360" s="7">
        <f t="shared" si="74"/>
        <v>0</v>
      </c>
      <c r="J360" s="8">
        <v>2411</v>
      </c>
      <c r="K360" s="9"/>
      <c r="L360" s="8">
        <f t="shared" si="75"/>
        <v>28932</v>
      </c>
      <c r="M360" s="7">
        <f t="shared" si="76"/>
        <v>0</v>
      </c>
      <c r="N360" s="10">
        <f t="shared" si="77"/>
        <v>1</v>
      </c>
      <c r="O360" s="11">
        <f t="shared" si="78"/>
        <v>0</v>
      </c>
      <c r="P360" s="11"/>
      <c r="Q360" s="8">
        <f t="shared" si="79"/>
        <v>0</v>
      </c>
      <c r="R360" s="12">
        <f t="shared" si="80"/>
        <v>0</v>
      </c>
    </row>
    <row r="361" ht="14.25" spans="1:18">
      <c r="A361" s="15">
        <v>46191</v>
      </c>
      <c r="B361" s="3">
        <f>Data_Entry!P446</f>
        <v>0</v>
      </c>
      <c r="C361" s="3">
        <v>0</v>
      </c>
      <c r="D361" s="4">
        <f>Data_Entry!V446</f>
        <v>0</v>
      </c>
      <c r="E361" s="5">
        <f t="shared" si="72"/>
        <v>0</v>
      </c>
      <c r="F361" s="6">
        <v>0</v>
      </c>
      <c r="G361" s="6">
        <v>0</v>
      </c>
      <c r="H361" s="7">
        <f t="shared" si="73"/>
        <v>0</v>
      </c>
      <c r="I361" s="7">
        <f t="shared" si="74"/>
        <v>0</v>
      </c>
      <c r="J361" s="8">
        <v>2411</v>
      </c>
      <c r="K361" s="9"/>
      <c r="L361" s="8">
        <f t="shared" si="75"/>
        <v>28932</v>
      </c>
      <c r="M361" s="7">
        <f t="shared" si="76"/>
        <v>0</v>
      </c>
      <c r="N361" s="10">
        <f t="shared" si="77"/>
        <v>1</v>
      </c>
      <c r="O361" s="11">
        <f t="shared" si="78"/>
        <v>0</v>
      </c>
      <c r="P361" s="11"/>
      <c r="Q361" s="8">
        <f t="shared" si="79"/>
        <v>0</v>
      </c>
      <c r="R361" s="12">
        <f t="shared" si="80"/>
        <v>0</v>
      </c>
    </row>
    <row r="362" ht="14.25" spans="1:18">
      <c r="A362" s="15">
        <v>46192</v>
      </c>
      <c r="B362" s="3">
        <f>Data_Entry!P447</f>
        <v>0</v>
      </c>
      <c r="C362" s="3">
        <v>0</v>
      </c>
      <c r="D362" s="4">
        <f>Data_Entry!V447</f>
        <v>0</v>
      </c>
      <c r="E362" s="5">
        <f t="shared" si="72"/>
        <v>0</v>
      </c>
      <c r="F362" s="6">
        <v>0</v>
      </c>
      <c r="G362" s="6">
        <v>0</v>
      </c>
      <c r="H362" s="7">
        <f t="shared" si="73"/>
        <v>0</v>
      </c>
      <c r="I362" s="7">
        <f t="shared" si="74"/>
        <v>0</v>
      </c>
      <c r="J362" s="8">
        <v>2411</v>
      </c>
      <c r="K362" s="9"/>
      <c r="L362" s="8">
        <f t="shared" si="75"/>
        <v>28932</v>
      </c>
      <c r="M362" s="7">
        <f t="shared" si="76"/>
        <v>0</v>
      </c>
      <c r="N362" s="10">
        <f t="shared" si="77"/>
        <v>1</v>
      </c>
      <c r="O362" s="11">
        <f t="shared" si="78"/>
        <v>0</v>
      </c>
      <c r="P362" s="11"/>
      <c r="Q362" s="8">
        <f t="shared" si="79"/>
        <v>0</v>
      </c>
      <c r="R362" s="12">
        <f t="shared" si="80"/>
        <v>0</v>
      </c>
    </row>
    <row r="363" ht="14.25" spans="1:18">
      <c r="A363" s="15">
        <v>46193</v>
      </c>
      <c r="B363" s="3">
        <f>Data_Entry!P448</f>
        <v>0</v>
      </c>
      <c r="C363" s="3">
        <v>0</v>
      </c>
      <c r="D363" s="4">
        <f>Data_Entry!V448</f>
        <v>0</v>
      </c>
      <c r="E363" s="5">
        <f t="shared" si="72"/>
        <v>0</v>
      </c>
      <c r="F363" s="6">
        <v>0</v>
      </c>
      <c r="G363" s="6">
        <v>0</v>
      </c>
      <c r="H363" s="7">
        <f t="shared" si="73"/>
        <v>0</v>
      </c>
      <c r="I363" s="7">
        <f t="shared" si="74"/>
        <v>0</v>
      </c>
      <c r="J363" s="8">
        <v>2411</v>
      </c>
      <c r="K363" s="9"/>
      <c r="L363" s="8">
        <f t="shared" si="75"/>
        <v>28932</v>
      </c>
      <c r="M363" s="7">
        <f t="shared" si="76"/>
        <v>0</v>
      </c>
      <c r="N363" s="10">
        <f t="shared" si="77"/>
        <v>1</v>
      </c>
      <c r="O363" s="11">
        <f t="shared" si="78"/>
        <v>0</v>
      </c>
      <c r="P363" s="11"/>
      <c r="Q363" s="8">
        <f t="shared" si="79"/>
        <v>0</v>
      </c>
      <c r="R363" s="12">
        <f t="shared" si="80"/>
        <v>0</v>
      </c>
    </row>
    <row r="364" ht="14.25" spans="1:18">
      <c r="A364" s="15">
        <v>46194</v>
      </c>
      <c r="B364" s="3">
        <f>Data_Entry!P449</f>
        <v>0</v>
      </c>
      <c r="C364" s="3">
        <v>0</v>
      </c>
      <c r="D364" s="4">
        <f>Data_Entry!V449</f>
        <v>0</v>
      </c>
      <c r="E364" s="5">
        <f t="shared" si="72"/>
        <v>0</v>
      </c>
      <c r="F364" s="6">
        <v>0</v>
      </c>
      <c r="G364" s="6">
        <v>0</v>
      </c>
      <c r="H364" s="7">
        <f t="shared" si="73"/>
        <v>0</v>
      </c>
      <c r="I364" s="7">
        <f t="shared" si="74"/>
        <v>0</v>
      </c>
      <c r="J364" s="8">
        <v>2411</v>
      </c>
      <c r="K364" s="9"/>
      <c r="L364" s="8">
        <f t="shared" si="75"/>
        <v>28932</v>
      </c>
      <c r="M364" s="7">
        <f t="shared" si="76"/>
        <v>0</v>
      </c>
      <c r="N364" s="10">
        <f t="shared" si="77"/>
        <v>1</v>
      </c>
      <c r="O364" s="11">
        <f t="shared" si="78"/>
        <v>0</v>
      </c>
      <c r="P364" s="11"/>
      <c r="Q364" s="8">
        <f t="shared" si="79"/>
        <v>0</v>
      </c>
      <c r="R364" s="12">
        <f t="shared" si="80"/>
        <v>0</v>
      </c>
    </row>
    <row r="365" ht="14.25" spans="1:18">
      <c r="A365" s="15">
        <v>46195</v>
      </c>
      <c r="B365" s="3">
        <f>Data_Entry!P450</f>
        <v>0</v>
      </c>
      <c r="C365" s="3">
        <v>0</v>
      </c>
      <c r="D365" s="4">
        <f>Data_Entry!V450</f>
        <v>0</v>
      </c>
      <c r="E365" s="5">
        <f t="shared" si="72"/>
        <v>0</v>
      </c>
      <c r="F365" s="6">
        <v>0</v>
      </c>
      <c r="G365" s="6">
        <v>0</v>
      </c>
      <c r="H365" s="7">
        <f t="shared" si="73"/>
        <v>0</v>
      </c>
      <c r="I365" s="7">
        <f t="shared" si="74"/>
        <v>0</v>
      </c>
      <c r="J365" s="8">
        <v>2411</v>
      </c>
      <c r="K365" s="9"/>
      <c r="L365" s="8">
        <f t="shared" si="75"/>
        <v>28932</v>
      </c>
      <c r="M365" s="7">
        <f t="shared" si="76"/>
        <v>0</v>
      </c>
      <c r="N365" s="10">
        <f t="shared" si="77"/>
        <v>1</v>
      </c>
      <c r="O365" s="11">
        <f t="shared" si="78"/>
        <v>0</v>
      </c>
      <c r="P365" s="11"/>
      <c r="Q365" s="8">
        <f t="shared" si="79"/>
        <v>0</v>
      </c>
      <c r="R365" s="12">
        <f t="shared" si="80"/>
        <v>0</v>
      </c>
    </row>
    <row r="366" ht="14.25" spans="1:18">
      <c r="A366" s="15">
        <v>46196</v>
      </c>
      <c r="B366" s="3">
        <f>Data_Entry!P451</f>
        <v>0</v>
      </c>
      <c r="C366" s="3">
        <v>0</v>
      </c>
      <c r="D366" s="4">
        <f>Data_Entry!V451</f>
        <v>0</v>
      </c>
      <c r="E366" s="5">
        <f t="shared" si="72"/>
        <v>0</v>
      </c>
      <c r="F366" s="6">
        <v>0</v>
      </c>
      <c r="G366" s="6">
        <v>0</v>
      </c>
      <c r="H366" s="7">
        <f t="shared" si="73"/>
        <v>0</v>
      </c>
      <c r="I366" s="7">
        <f t="shared" si="74"/>
        <v>0</v>
      </c>
      <c r="J366" s="8">
        <v>2411</v>
      </c>
      <c r="K366" s="9"/>
      <c r="L366" s="8">
        <f t="shared" si="75"/>
        <v>28932</v>
      </c>
      <c r="M366" s="7">
        <f t="shared" si="76"/>
        <v>0</v>
      </c>
      <c r="N366" s="10">
        <f t="shared" si="77"/>
        <v>1</v>
      </c>
      <c r="O366" s="11">
        <f t="shared" si="78"/>
        <v>0</v>
      </c>
      <c r="P366" s="11"/>
      <c r="Q366" s="8">
        <f t="shared" si="79"/>
        <v>0</v>
      </c>
      <c r="R366" s="12">
        <f t="shared" si="80"/>
        <v>0</v>
      </c>
    </row>
    <row r="367" ht="14.25" spans="1:18">
      <c r="A367" s="15">
        <v>46197</v>
      </c>
      <c r="B367" s="3">
        <f>Data_Entry!P452</f>
        <v>0</v>
      </c>
      <c r="C367" s="3">
        <v>0</v>
      </c>
      <c r="D367" s="4">
        <f>Data_Entry!V452</f>
        <v>0</v>
      </c>
      <c r="E367" s="5">
        <f t="shared" si="72"/>
        <v>0</v>
      </c>
      <c r="F367" s="6">
        <v>0</v>
      </c>
      <c r="G367" s="6">
        <v>0</v>
      </c>
      <c r="H367" s="7">
        <f t="shared" si="73"/>
        <v>0</v>
      </c>
      <c r="I367" s="7">
        <f t="shared" si="74"/>
        <v>0</v>
      </c>
      <c r="J367" s="8">
        <v>2411</v>
      </c>
      <c r="K367" s="9"/>
      <c r="L367" s="8">
        <f t="shared" si="75"/>
        <v>28932</v>
      </c>
      <c r="M367" s="7">
        <f t="shared" si="76"/>
        <v>0</v>
      </c>
      <c r="N367" s="10">
        <f t="shared" si="77"/>
        <v>1</v>
      </c>
      <c r="O367" s="11">
        <f t="shared" si="78"/>
        <v>0</v>
      </c>
      <c r="P367" s="11"/>
      <c r="Q367" s="8">
        <f t="shared" si="79"/>
        <v>0</v>
      </c>
      <c r="R367" s="12">
        <f t="shared" si="80"/>
        <v>0</v>
      </c>
    </row>
    <row r="368" ht="14.25" spans="1:18">
      <c r="A368" s="15">
        <v>46198</v>
      </c>
      <c r="B368" s="3">
        <f>Data_Entry!P453</f>
        <v>0</v>
      </c>
      <c r="C368" s="3">
        <v>0</v>
      </c>
      <c r="D368" s="4">
        <f>Data_Entry!V453</f>
        <v>0</v>
      </c>
      <c r="E368" s="5">
        <f t="shared" si="72"/>
        <v>0</v>
      </c>
      <c r="F368" s="6">
        <v>0</v>
      </c>
      <c r="G368" s="6">
        <v>0</v>
      </c>
      <c r="H368" s="7">
        <f t="shared" si="73"/>
        <v>0</v>
      </c>
      <c r="I368" s="7">
        <f t="shared" si="74"/>
        <v>0</v>
      </c>
      <c r="J368" s="8">
        <v>2411</v>
      </c>
      <c r="K368" s="9"/>
      <c r="L368" s="8">
        <f t="shared" si="75"/>
        <v>28932</v>
      </c>
      <c r="M368" s="7">
        <f t="shared" si="76"/>
        <v>0</v>
      </c>
      <c r="N368" s="10">
        <f t="shared" si="77"/>
        <v>1</v>
      </c>
      <c r="O368" s="11">
        <f t="shared" si="78"/>
        <v>0</v>
      </c>
      <c r="P368" s="11"/>
      <c r="Q368" s="8">
        <f t="shared" si="79"/>
        <v>0</v>
      </c>
      <c r="R368" s="12">
        <f t="shared" si="80"/>
        <v>0</v>
      </c>
    </row>
    <row r="369" ht="14.25" spans="1:18">
      <c r="A369" s="15">
        <v>46199</v>
      </c>
      <c r="B369" s="3">
        <f>Data_Entry!P454</f>
        <v>0</v>
      </c>
      <c r="C369" s="3">
        <v>0</v>
      </c>
      <c r="D369" s="4">
        <f>Data_Entry!V454</f>
        <v>0</v>
      </c>
      <c r="E369" s="5">
        <f t="shared" si="72"/>
        <v>0</v>
      </c>
      <c r="F369" s="6">
        <v>0</v>
      </c>
      <c r="G369" s="6">
        <v>0</v>
      </c>
      <c r="H369" s="7">
        <f t="shared" si="73"/>
        <v>0</v>
      </c>
      <c r="I369" s="7">
        <f t="shared" si="74"/>
        <v>0</v>
      </c>
      <c r="J369" s="8">
        <v>2411</v>
      </c>
      <c r="K369" s="9"/>
      <c r="L369" s="8">
        <f t="shared" si="75"/>
        <v>28932</v>
      </c>
      <c r="M369" s="7">
        <f t="shared" si="76"/>
        <v>0</v>
      </c>
      <c r="N369" s="10">
        <f t="shared" si="77"/>
        <v>1</v>
      </c>
      <c r="O369" s="11">
        <f t="shared" si="78"/>
        <v>0</v>
      </c>
      <c r="P369" s="11"/>
      <c r="Q369" s="8">
        <f t="shared" si="79"/>
        <v>0</v>
      </c>
      <c r="R369" s="12">
        <f t="shared" si="80"/>
        <v>0</v>
      </c>
    </row>
    <row r="370" ht="14.25" spans="1:18">
      <c r="A370" s="15">
        <v>46200</v>
      </c>
      <c r="B370" s="3">
        <f>Data_Entry!P455</f>
        <v>0</v>
      </c>
      <c r="C370" s="3">
        <v>0</v>
      </c>
      <c r="D370" s="4">
        <f>Data_Entry!V455</f>
        <v>0</v>
      </c>
      <c r="E370" s="5">
        <f t="shared" si="72"/>
        <v>0</v>
      </c>
      <c r="F370" s="6">
        <v>0</v>
      </c>
      <c r="G370" s="6">
        <v>0</v>
      </c>
      <c r="H370" s="7">
        <f t="shared" si="73"/>
        <v>0</v>
      </c>
      <c r="I370" s="7">
        <f t="shared" si="74"/>
        <v>0</v>
      </c>
      <c r="J370" s="8">
        <v>2411</v>
      </c>
      <c r="K370" s="9"/>
      <c r="L370" s="8">
        <f t="shared" si="75"/>
        <v>28932</v>
      </c>
      <c r="M370" s="7">
        <f t="shared" si="76"/>
        <v>0</v>
      </c>
      <c r="N370" s="10">
        <f t="shared" si="77"/>
        <v>1</v>
      </c>
      <c r="O370" s="11">
        <f t="shared" si="78"/>
        <v>0</v>
      </c>
      <c r="P370" s="11"/>
      <c r="Q370" s="8">
        <f t="shared" si="79"/>
        <v>0</v>
      </c>
      <c r="R370" s="12">
        <f t="shared" si="80"/>
        <v>0</v>
      </c>
    </row>
    <row r="371" ht="14.25" spans="1:18">
      <c r="A371" s="15">
        <v>46201</v>
      </c>
      <c r="B371" s="3">
        <f>Data_Entry!P456</f>
        <v>0</v>
      </c>
      <c r="C371" s="3">
        <v>0</v>
      </c>
      <c r="D371" s="4">
        <f>Data_Entry!V456</f>
        <v>0</v>
      </c>
      <c r="E371" s="5">
        <f t="shared" si="72"/>
        <v>0</v>
      </c>
      <c r="F371" s="6">
        <v>0</v>
      </c>
      <c r="G371" s="6">
        <v>0</v>
      </c>
      <c r="H371" s="7">
        <f t="shared" si="73"/>
        <v>0</v>
      </c>
      <c r="I371" s="7">
        <f t="shared" si="74"/>
        <v>0</v>
      </c>
      <c r="J371" s="8">
        <v>2411</v>
      </c>
      <c r="K371" s="9"/>
      <c r="L371" s="8">
        <f t="shared" si="75"/>
        <v>28932</v>
      </c>
      <c r="M371" s="7">
        <f t="shared" si="76"/>
        <v>0</v>
      </c>
      <c r="N371" s="10">
        <f t="shared" si="77"/>
        <v>1</v>
      </c>
      <c r="O371" s="11">
        <f t="shared" si="78"/>
        <v>0</v>
      </c>
      <c r="P371" s="11"/>
      <c r="Q371" s="8">
        <f t="shared" si="79"/>
        <v>0</v>
      </c>
      <c r="R371" s="12">
        <f t="shared" si="80"/>
        <v>0</v>
      </c>
    </row>
    <row r="372" ht="14.25" spans="1:18">
      <c r="A372" s="15">
        <v>46202</v>
      </c>
      <c r="B372" s="3">
        <f>Data_Entry!P457</f>
        <v>0</v>
      </c>
      <c r="C372" s="3">
        <v>0</v>
      </c>
      <c r="D372" s="4">
        <f>Data_Entry!V457</f>
        <v>0</v>
      </c>
      <c r="E372" s="5">
        <f t="shared" si="72"/>
        <v>0</v>
      </c>
      <c r="F372" s="6">
        <v>0</v>
      </c>
      <c r="G372" s="6">
        <v>0</v>
      </c>
      <c r="H372" s="7">
        <f t="shared" si="73"/>
        <v>0</v>
      </c>
      <c r="I372" s="7">
        <f t="shared" si="74"/>
        <v>0</v>
      </c>
      <c r="J372" s="8">
        <v>2411</v>
      </c>
      <c r="K372" s="9"/>
      <c r="L372" s="8">
        <f t="shared" si="75"/>
        <v>28932</v>
      </c>
      <c r="M372" s="7">
        <f t="shared" si="76"/>
        <v>0</v>
      </c>
      <c r="N372" s="10">
        <f t="shared" si="77"/>
        <v>1</v>
      </c>
      <c r="O372" s="11">
        <f t="shared" si="78"/>
        <v>0</v>
      </c>
      <c r="P372" s="11"/>
      <c r="Q372" s="8">
        <f t="shared" si="79"/>
        <v>0</v>
      </c>
      <c r="R372" s="12">
        <f t="shared" si="80"/>
        <v>0</v>
      </c>
    </row>
    <row r="373" ht="14.25" spans="1:18">
      <c r="A373" s="15">
        <v>46203</v>
      </c>
      <c r="B373" s="3">
        <f>Data_Entry!P458</f>
        <v>0</v>
      </c>
      <c r="C373" s="3">
        <v>0</v>
      </c>
      <c r="D373" s="4">
        <f>Data_Entry!V458</f>
        <v>0</v>
      </c>
      <c r="E373" s="5">
        <f t="shared" si="72"/>
        <v>0</v>
      </c>
      <c r="F373" s="6">
        <v>0</v>
      </c>
      <c r="G373" s="6">
        <v>0</v>
      </c>
      <c r="H373" s="7">
        <f t="shared" si="73"/>
        <v>0</v>
      </c>
      <c r="I373" s="7">
        <f t="shared" si="74"/>
        <v>0</v>
      </c>
      <c r="J373" s="8">
        <v>2411</v>
      </c>
      <c r="K373" s="9"/>
      <c r="L373" s="8">
        <f t="shared" si="75"/>
        <v>28932</v>
      </c>
      <c r="M373" s="7">
        <f t="shared" si="76"/>
        <v>0</v>
      </c>
      <c r="N373" s="10">
        <f t="shared" si="77"/>
        <v>1</v>
      </c>
      <c r="O373" s="11">
        <f t="shared" si="78"/>
        <v>0</v>
      </c>
      <c r="P373" s="11"/>
      <c r="Q373" s="8">
        <f t="shared" si="79"/>
        <v>0</v>
      </c>
      <c r="R373" s="12">
        <f t="shared" si="80"/>
        <v>0</v>
      </c>
    </row>
    <row r="374" ht="14.25" spans="1:18">
      <c r="A374" s="15">
        <v>46204</v>
      </c>
      <c r="B374" s="3">
        <f>Data_Entry!P459</f>
        <v>0</v>
      </c>
      <c r="C374" s="3">
        <v>0</v>
      </c>
      <c r="D374" s="4">
        <f>Data_Entry!V459</f>
        <v>0</v>
      </c>
      <c r="E374" s="5">
        <f t="shared" si="72"/>
        <v>0</v>
      </c>
      <c r="F374" s="6">
        <v>0</v>
      </c>
      <c r="G374" s="6">
        <v>0</v>
      </c>
      <c r="H374" s="7">
        <f t="shared" si="73"/>
        <v>0</v>
      </c>
      <c r="I374" s="7">
        <f t="shared" si="74"/>
        <v>0</v>
      </c>
      <c r="J374" s="8">
        <v>2411</v>
      </c>
      <c r="K374" s="9"/>
      <c r="L374" s="8">
        <f t="shared" si="75"/>
        <v>28932</v>
      </c>
      <c r="M374" s="7">
        <f t="shared" si="76"/>
        <v>0</v>
      </c>
      <c r="N374" s="10">
        <f t="shared" si="77"/>
        <v>1</v>
      </c>
      <c r="O374" s="11">
        <f t="shared" si="78"/>
        <v>0</v>
      </c>
      <c r="P374" s="11"/>
      <c r="Q374" s="8">
        <f t="shared" si="79"/>
        <v>0</v>
      </c>
      <c r="R374" s="12">
        <f t="shared" si="80"/>
        <v>0</v>
      </c>
    </row>
    <row r="375" ht="14.25" spans="1:18">
      <c r="A375" s="15">
        <v>46205</v>
      </c>
      <c r="B375" s="3">
        <f>Data_Entry!P460</f>
        <v>0</v>
      </c>
      <c r="C375" s="3">
        <v>0</v>
      </c>
      <c r="D375" s="4">
        <f>Data_Entry!V460</f>
        <v>0</v>
      </c>
      <c r="E375" s="5">
        <f t="shared" si="72"/>
        <v>0</v>
      </c>
      <c r="F375" s="6">
        <v>0</v>
      </c>
      <c r="G375" s="6">
        <v>0</v>
      </c>
      <c r="H375" s="7">
        <f t="shared" si="73"/>
        <v>0</v>
      </c>
      <c r="I375" s="7">
        <f t="shared" si="74"/>
        <v>0</v>
      </c>
      <c r="J375" s="8">
        <v>2411</v>
      </c>
      <c r="K375" s="9"/>
      <c r="L375" s="8">
        <f t="shared" si="75"/>
        <v>28932</v>
      </c>
      <c r="M375" s="7">
        <f t="shared" si="76"/>
        <v>0</v>
      </c>
      <c r="N375" s="10">
        <f t="shared" si="77"/>
        <v>1</v>
      </c>
      <c r="O375" s="11">
        <f t="shared" si="78"/>
        <v>0</v>
      </c>
      <c r="P375" s="11"/>
      <c r="Q375" s="8">
        <f t="shared" si="79"/>
        <v>0</v>
      </c>
      <c r="R375" s="12">
        <f t="shared" si="80"/>
        <v>0</v>
      </c>
    </row>
    <row r="376" ht="14.25" spans="1:18">
      <c r="A376" s="15">
        <v>46206</v>
      </c>
      <c r="B376" s="3">
        <f>Data_Entry!P461</f>
        <v>0</v>
      </c>
      <c r="C376" s="3">
        <v>0</v>
      </c>
      <c r="D376" s="4">
        <f>Data_Entry!V461</f>
        <v>0</v>
      </c>
      <c r="E376" s="5">
        <f t="shared" ref="E376:E399" si="81">B376/(24*J376)</f>
        <v>0</v>
      </c>
      <c r="F376" s="6">
        <v>0</v>
      </c>
      <c r="G376" s="6">
        <v>0</v>
      </c>
      <c r="H376" s="7">
        <f t="shared" ref="H376:H399" si="82">(G376-F376)*24*60</f>
        <v>0</v>
      </c>
      <c r="I376" s="7">
        <f t="shared" ref="I376:I399" si="83">H376/60</f>
        <v>0</v>
      </c>
      <c r="J376" s="8">
        <v>2411</v>
      </c>
      <c r="K376" s="9"/>
      <c r="L376" s="8">
        <f t="shared" ref="L376:L399" si="84">J376*12</f>
        <v>28932</v>
      </c>
      <c r="M376" s="7">
        <f t="shared" ref="M376:M399" si="85">K376*I376</f>
        <v>0</v>
      </c>
      <c r="N376" s="10">
        <f t="shared" ref="N376:N399" si="86">(L376-M376)/L376</f>
        <v>1</v>
      </c>
      <c r="O376" s="11">
        <f t="shared" ref="O376:O399" si="87">E376/N376</f>
        <v>0</v>
      </c>
      <c r="P376" s="11"/>
      <c r="Q376" s="8">
        <f t="shared" ref="Q376:Q399" si="88">O376*J376*24</f>
        <v>0</v>
      </c>
      <c r="R376" s="12">
        <f t="shared" ref="R376:R399" si="89">Q376-B376</f>
        <v>0</v>
      </c>
    </row>
    <row r="377" ht="14.25" spans="1:18">
      <c r="A377" s="15">
        <v>46207</v>
      </c>
      <c r="B377" s="3">
        <f>Data_Entry!P462</f>
        <v>0</v>
      </c>
      <c r="C377" s="3">
        <v>0</v>
      </c>
      <c r="D377" s="4">
        <f>Data_Entry!V462</f>
        <v>0</v>
      </c>
      <c r="E377" s="5">
        <f t="shared" si="81"/>
        <v>0</v>
      </c>
      <c r="F377" s="6">
        <v>0</v>
      </c>
      <c r="G377" s="6">
        <v>0</v>
      </c>
      <c r="H377" s="7">
        <f t="shared" si="82"/>
        <v>0</v>
      </c>
      <c r="I377" s="7">
        <f t="shared" si="83"/>
        <v>0</v>
      </c>
      <c r="J377" s="8">
        <v>2411</v>
      </c>
      <c r="K377" s="9"/>
      <c r="L377" s="8">
        <f t="shared" si="84"/>
        <v>28932</v>
      </c>
      <c r="M377" s="7">
        <f t="shared" si="85"/>
        <v>0</v>
      </c>
      <c r="N377" s="10">
        <f t="shared" si="86"/>
        <v>1</v>
      </c>
      <c r="O377" s="11">
        <f t="shared" si="87"/>
        <v>0</v>
      </c>
      <c r="P377" s="11"/>
      <c r="Q377" s="8">
        <f t="shared" si="88"/>
        <v>0</v>
      </c>
      <c r="R377" s="12">
        <f t="shared" si="89"/>
        <v>0</v>
      </c>
    </row>
    <row r="378" ht="14.25" spans="1:18">
      <c r="A378" s="15">
        <v>46208</v>
      </c>
      <c r="B378" s="3">
        <f>Data_Entry!P463</f>
        <v>0</v>
      </c>
      <c r="C378" s="3">
        <v>0</v>
      </c>
      <c r="D378" s="4">
        <f>Data_Entry!V463</f>
        <v>0</v>
      </c>
      <c r="E378" s="5">
        <f t="shared" si="81"/>
        <v>0</v>
      </c>
      <c r="F378" s="6">
        <v>0</v>
      </c>
      <c r="G378" s="6">
        <v>0</v>
      </c>
      <c r="H378" s="7">
        <f t="shared" si="82"/>
        <v>0</v>
      </c>
      <c r="I378" s="7">
        <f t="shared" si="83"/>
        <v>0</v>
      </c>
      <c r="J378" s="8">
        <v>2411</v>
      </c>
      <c r="K378" s="9"/>
      <c r="L378" s="8">
        <f t="shared" si="84"/>
        <v>28932</v>
      </c>
      <c r="M378" s="7">
        <f t="shared" si="85"/>
        <v>0</v>
      </c>
      <c r="N378" s="10">
        <f t="shared" si="86"/>
        <v>1</v>
      </c>
      <c r="O378" s="11">
        <f t="shared" si="87"/>
        <v>0</v>
      </c>
      <c r="P378" s="11"/>
      <c r="Q378" s="8">
        <f t="shared" si="88"/>
        <v>0</v>
      </c>
      <c r="R378" s="12">
        <f t="shared" si="89"/>
        <v>0</v>
      </c>
    </row>
    <row r="379" ht="14.25" spans="1:18">
      <c r="A379" s="15">
        <v>46209</v>
      </c>
      <c r="B379" s="3">
        <f>Data_Entry!P464</f>
        <v>0</v>
      </c>
      <c r="C379" s="3">
        <v>0</v>
      </c>
      <c r="D379" s="4">
        <f>Data_Entry!V464</f>
        <v>0</v>
      </c>
      <c r="E379" s="5">
        <f t="shared" si="81"/>
        <v>0</v>
      </c>
      <c r="F379" s="6">
        <v>0</v>
      </c>
      <c r="G379" s="6">
        <v>0</v>
      </c>
      <c r="H379" s="7">
        <f t="shared" si="82"/>
        <v>0</v>
      </c>
      <c r="I379" s="7">
        <f t="shared" si="83"/>
        <v>0</v>
      </c>
      <c r="J379" s="8">
        <v>2411</v>
      </c>
      <c r="K379" s="9"/>
      <c r="L379" s="8">
        <f t="shared" si="84"/>
        <v>28932</v>
      </c>
      <c r="M379" s="7">
        <f t="shared" si="85"/>
        <v>0</v>
      </c>
      <c r="N379" s="10">
        <f t="shared" si="86"/>
        <v>1</v>
      </c>
      <c r="O379" s="11">
        <f t="shared" si="87"/>
        <v>0</v>
      </c>
      <c r="P379" s="11"/>
      <c r="Q379" s="8">
        <f t="shared" si="88"/>
        <v>0</v>
      </c>
      <c r="R379" s="12">
        <f t="shared" si="89"/>
        <v>0</v>
      </c>
    </row>
    <row r="380" ht="14.25" spans="1:18">
      <c r="A380" s="15">
        <v>46210</v>
      </c>
      <c r="B380" s="3">
        <f>Data_Entry!P465</f>
        <v>0</v>
      </c>
      <c r="C380" s="3">
        <v>0</v>
      </c>
      <c r="D380" s="4">
        <f>Data_Entry!V465</f>
        <v>0</v>
      </c>
      <c r="E380" s="5">
        <f t="shared" si="81"/>
        <v>0</v>
      </c>
      <c r="F380" s="6">
        <v>0</v>
      </c>
      <c r="G380" s="6">
        <v>0</v>
      </c>
      <c r="H380" s="7">
        <f t="shared" si="82"/>
        <v>0</v>
      </c>
      <c r="I380" s="7">
        <f t="shared" si="83"/>
        <v>0</v>
      </c>
      <c r="J380" s="8">
        <v>2411</v>
      </c>
      <c r="K380" s="9"/>
      <c r="L380" s="8">
        <f t="shared" si="84"/>
        <v>28932</v>
      </c>
      <c r="M380" s="7">
        <f t="shared" si="85"/>
        <v>0</v>
      </c>
      <c r="N380" s="10">
        <f t="shared" si="86"/>
        <v>1</v>
      </c>
      <c r="O380" s="11">
        <f t="shared" si="87"/>
        <v>0</v>
      </c>
      <c r="P380" s="11"/>
      <c r="Q380" s="8">
        <f t="shared" si="88"/>
        <v>0</v>
      </c>
      <c r="R380" s="12">
        <f t="shared" si="89"/>
        <v>0</v>
      </c>
    </row>
    <row r="381" ht="14.25" spans="1:18">
      <c r="A381" s="15">
        <v>46211</v>
      </c>
      <c r="B381" s="3">
        <f>Data_Entry!P466</f>
        <v>0</v>
      </c>
      <c r="C381" s="3">
        <v>0</v>
      </c>
      <c r="D381" s="4">
        <f>Data_Entry!V466</f>
        <v>0</v>
      </c>
      <c r="E381" s="5">
        <f t="shared" si="81"/>
        <v>0</v>
      </c>
      <c r="F381" s="6">
        <v>0</v>
      </c>
      <c r="G381" s="6">
        <v>0</v>
      </c>
      <c r="H381" s="7">
        <f t="shared" si="82"/>
        <v>0</v>
      </c>
      <c r="I381" s="7">
        <f t="shared" si="83"/>
        <v>0</v>
      </c>
      <c r="J381" s="8">
        <v>2411</v>
      </c>
      <c r="K381" s="9"/>
      <c r="L381" s="8">
        <f t="shared" si="84"/>
        <v>28932</v>
      </c>
      <c r="M381" s="7">
        <f t="shared" si="85"/>
        <v>0</v>
      </c>
      <c r="N381" s="10">
        <f t="shared" si="86"/>
        <v>1</v>
      </c>
      <c r="O381" s="11">
        <f t="shared" si="87"/>
        <v>0</v>
      </c>
      <c r="P381" s="11"/>
      <c r="Q381" s="8">
        <f t="shared" si="88"/>
        <v>0</v>
      </c>
      <c r="R381" s="12">
        <f t="shared" si="89"/>
        <v>0</v>
      </c>
    </row>
    <row r="382" ht="14.25" spans="1:18">
      <c r="A382" s="15">
        <v>46212</v>
      </c>
      <c r="B382" s="3">
        <f>Data_Entry!P467</f>
        <v>0</v>
      </c>
      <c r="C382" s="3">
        <v>0</v>
      </c>
      <c r="D382" s="4">
        <f>Data_Entry!V467</f>
        <v>0</v>
      </c>
      <c r="E382" s="5">
        <f t="shared" si="81"/>
        <v>0</v>
      </c>
      <c r="F382" s="6">
        <v>0</v>
      </c>
      <c r="G382" s="6">
        <v>0</v>
      </c>
      <c r="H382" s="7">
        <f t="shared" si="82"/>
        <v>0</v>
      </c>
      <c r="I382" s="7">
        <f t="shared" si="83"/>
        <v>0</v>
      </c>
      <c r="J382" s="8">
        <v>2411</v>
      </c>
      <c r="K382" s="9"/>
      <c r="L382" s="8">
        <f t="shared" si="84"/>
        <v>28932</v>
      </c>
      <c r="M382" s="7">
        <f t="shared" si="85"/>
        <v>0</v>
      </c>
      <c r="N382" s="10">
        <f t="shared" si="86"/>
        <v>1</v>
      </c>
      <c r="O382" s="11">
        <f t="shared" si="87"/>
        <v>0</v>
      </c>
      <c r="P382" s="11"/>
      <c r="Q382" s="8">
        <f t="shared" si="88"/>
        <v>0</v>
      </c>
      <c r="R382" s="12">
        <f t="shared" si="89"/>
        <v>0</v>
      </c>
    </row>
    <row r="383" ht="14.25" spans="1:18">
      <c r="A383" s="15">
        <v>46213</v>
      </c>
      <c r="B383" s="3">
        <f>Data_Entry!P468</f>
        <v>0</v>
      </c>
      <c r="C383" s="3">
        <v>0</v>
      </c>
      <c r="D383" s="4">
        <f>Data_Entry!V468</f>
        <v>0</v>
      </c>
      <c r="E383" s="5">
        <f t="shared" si="81"/>
        <v>0</v>
      </c>
      <c r="F383" s="6">
        <v>0</v>
      </c>
      <c r="G383" s="6">
        <v>0</v>
      </c>
      <c r="H383" s="7">
        <f t="shared" si="82"/>
        <v>0</v>
      </c>
      <c r="I383" s="7">
        <f t="shared" si="83"/>
        <v>0</v>
      </c>
      <c r="J383" s="8">
        <v>2411</v>
      </c>
      <c r="K383" s="9"/>
      <c r="L383" s="8">
        <f t="shared" si="84"/>
        <v>28932</v>
      </c>
      <c r="M383" s="7">
        <f t="shared" si="85"/>
        <v>0</v>
      </c>
      <c r="N383" s="10">
        <f t="shared" si="86"/>
        <v>1</v>
      </c>
      <c r="O383" s="11">
        <f t="shared" si="87"/>
        <v>0</v>
      </c>
      <c r="P383" s="11"/>
      <c r="Q383" s="8">
        <f t="shared" si="88"/>
        <v>0</v>
      </c>
      <c r="R383" s="12">
        <f t="shared" si="89"/>
        <v>0</v>
      </c>
    </row>
    <row r="384" ht="14.25" spans="1:18">
      <c r="A384" s="15">
        <v>46214</v>
      </c>
      <c r="B384" s="3">
        <f>Data_Entry!P469</f>
        <v>0</v>
      </c>
      <c r="C384" s="3">
        <v>0</v>
      </c>
      <c r="D384" s="4">
        <f>Data_Entry!V469</f>
        <v>0</v>
      </c>
      <c r="E384" s="5">
        <f t="shared" si="81"/>
        <v>0</v>
      </c>
      <c r="F384" s="6">
        <v>0</v>
      </c>
      <c r="G384" s="6">
        <v>0</v>
      </c>
      <c r="H384" s="7">
        <f t="shared" si="82"/>
        <v>0</v>
      </c>
      <c r="I384" s="7">
        <f t="shared" si="83"/>
        <v>0</v>
      </c>
      <c r="J384" s="8">
        <v>2411</v>
      </c>
      <c r="K384" s="9"/>
      <c r="L384" s="8">
        <f t="shared" si="84"/>
        <v>28932</v>
      </c>
      <c r="M384" s="7">
        <f t="shared" si="85"/>
        <v>0</v>
      </c>
      <c r="N384" s="10">
        <f t="shared" si="86"/>
        <v>1</v>
      </c>
      <c r="O384" s="11">
        <f t="shared" si="87"/>
        <v>0</v>
      </c>
      <c r="P384" s="11"/>
      <c r="Q384" s="8">
        <f t="shared" si="88"/>
        <v>0</v>
      </c>
      <c r="R384" s="12">
        <f t="shared" si="89"/>
        <v>0</v>
      </c>
    </row>
    <row r="385" ht="14.25" spans="1:18">
      <c r="A385" s="15">
        <v>46215</v>
      </c>
      <c r="B385" s="3">
        <f>Data_Entry!P470</f>
        <v>0</v>
      </c>
      <c r="C385" s="3">
        <v>0</v>
      </c>
      <c r="D385" s="4">
        <f>Data_Entry!V470</f>
        <v>0</v>
      </c>
      <c r="E385" s="5">
        <f t="shared" si="81"/>
        <v>0</v>
      </c>
      <c r="F385" s="6">
        <v>0</v>
      </c>
      <c r="G385" s="6">
        <v>0</v>
      </c>
      <c r="H385" s="7">
        <f t="shared" si="82"/>
        <v>0</v>
      </c>
      <c r="I385" s="7">
        <f t="shared" si="83"/>
        <v>0</v>
      </c>
      <c r="J385" s="8">
        <v>2411</v>
      </c>
      <c r="K385" s="9"/>
      <c r="L385" s="8">
        <f t="shared" si="84"/>
        <v>28932</v>
      </c>
      <c r="M385" s="7">
        <f t="shared" si="85"/>
        <v>0</v>
      </c>
      <c r="N385" s="10">
        <f t="shared" si="86"/>
        <v>1</v>
      </c>
      <c r="O385" s="11">
        <f t="shared" si="87"/>
        <v>0</v>
      </c>
      <c r="P385" s="11"/>
      <c r="Q385" s="8">
        <f t="shared" si="88"/>
        <v>0</v>
      </c>
      <c r="R385" s="12">
        <f t="shared" si="89"/>
        <v>0</v>
      </c>
    </row>
    <row r="386" ht="14.25" spans="1:18">
      <c r="A386" s="15">
        <v>46216</v>
      </c>
      <c r="B386" s="3">
        <f>Data_Entry!P471</f>
        <v>0</v>
      </c>
      <c r="C386" s="3">
        <v>0</v>
      </c>
      <c r="D386" s="4">
        <f>Data_Entry!V471</f>
        <v>0</v>
      </c>
      <c r="E386" s="5">
        <f t="shared" si="81"/>
        <v>0</v>
      </c>
      <c r="F386" s="6">
        <v>0</v>
      </c>
      <c r="G386" s="6">
        <v>0</v>
      </c>
      <c r="H386" s="7">
        <f t="shared" si="82"/>
        <v>0</v>
      </c>
      <c r="I386" s="7">
        <f t="shared" si="83"/>
        <v>0</v>
      </c>
      <c r="J386" s="8">
        <v>2411</v>
      </c>
      <c r="K386" s="9"/>
      <c r="L386" s="8">
        <f t="shared" si="84"/>
        <v>28932</v>
      </c>
      <c r="M386" s="7">
        <f t="shared" si="85"/>
        <v>0</v>
      </c>
      <c r="N386" s="10">
        <f t="shared" si="86"/>
        <v>1</v>
      </c>
      <c r="O386" s="11">
        <f t="shared" si="87"/>
        <v>0</v>
      </c>
      <c r="P386" s="11"/>
      <c r="Q386" s="8">
        <f t="shared" si="88"/>
        <v>0</v>
      </c>
      <c r="R386" s="12">
        <f t="shared" si="89"/>
        <v>0</v>
      </c>
    </row>
    <row r="387" ht="14.25" spans="1:18">
      <c r="A387" s="15">
        <v>46217</v>
      </c>
      <c r="B387" s="3">
        <f>Data_Entry!P472</f>
        <v>0</v>
      </c>
      <c r="C387" s="3">
        <v>0</v>
      </c>
      <c r="D387" s="4">
        <f>Data_Entry!V472</f>
        <v>0</v>
      </c>
      <c r="E387" s="5">
        <f t="shared" si="81"/>
        <v>0</v>
      </c>
      <c r="F387" s="6">
        <v>0</v>
      </c>
      <c r="G387" s="6">
        <v>0</v>
      </c>
      <c r="H387" s="7">
        <f t="shared" si="82"/>
        <v>0</v>
      </c>
      <c r="I387" s="7">
        <f t="shared" si="83"/>
        <v>0</v>
      </c>
      <c r="J387" s="8">
        <v>2411</v>
      </c>
      <c r="K387" s="9"/>
      <c r="L387" s="8">
        <f t="shared" si="84"/>
        <v>28932</v>
      </c>
      <c r="M387" s="7">
        <f t="shared" si="85"/>
        <v>0</v>
      </c>
      <c r="N387" s="10">
        <f t="shared" si="86"/>
        <v>1</v>
      </c>
      <c r="O387" s="11">
        <f t="shared" si="87"/>
        <v>0</v>
      </c>
      <c r="P387" s="11"/>
      <c r="Q387" s="8">
        <f t="shared" si="88"/>
        <v>0</v>
      </c>
      <c r="R387" s="12">
        <f t="shared" si="89"/>
        <v>0</v>
      </c>
    </row>
    <row r="388" ht="14.25" spans="1:18">
      <c r="A388" s="15">
        <v>46218</v>
      </c>
      <c r="B388" s="3">
        <f>Data_Entry!P473</f>
        <v>0</v>
      </c>
      <c r="C388" s="3">
        <v>0</v>
      </c>
      <c r="D388" s="4">
        <f>Data_Entry!V473</f>
        <v>0</v>
      </c>
      <c r="E388" s="5">
        <f t="shared" si="81"/>
        <v>0</v>
      </c>
      <c r="F388" s="6">
        <v>0</v>
      </c>
      <c r="G388" s="6">
        <v>0</v>
      </c>
      <c r="H388" s="7">
        <f t="shared" si="82"/>
        <v>0</v>
      </c>
      <c r="I388" s="7">
        <f t="shared" si="83"/>
        <v>0</v>
      </c>
      <c r="J388" s="8">
        <v>2411</v>
      </c>
      <c r="K388" s="9"/>
      <c r="L388" s="8">
        <f t="shared" si="84"/>
        <v>28932</v>
      </c>
      <c r="M388" s="7">
        <f t="shared" si="85"/>
        <v>0</v>
      </c>
      <c r="N388" s="10">
        <f t="shared" si="86"/>
        <v>1</v>
      </c>
      <c r="O388" s="11">
        <f t="shared" si="87"/>
        <v>0</v>
      </c>
      <c r="P388" s="11"/>
      <c r="Q388" s="8">
        <f t="shared" si="88"/>
        <v>0</v>
      </c>
      <c r="R388" s="12">
        <f t="shared" si="89"/>
        <v>0</v>
      </c>
    </row>
    <row r="389" ht="14.25" spans="1:18">
      <c r="A389" s="15">
        <v>46219</v>
      </c>
      <c r="B389" s="3">
        <f>Data_Entry!P474</f>
        <v>0</v>
      </c>
      <c r="C389" s="3">
        <v>0</v>
      </c>
      <c r="D389" s="4">
        <f>Data_Entry!V474</f>
        <v>0</v>
      </c>
      <c r="E389" s="5">
        <f t="shared" si="81"/>
        <v>0</v>
      </c>
      <c r="F389" s="6">
        <v>0</v>
      </c>
      <c r="G389" s="6">
        <v>0</v>
      </c>
      <c r="H389" s="7">
        <f t="shared" si="82"/>
        <v>0</v>
      </c>
      <c r="I389" s="7">
        <f t="shared" si="83"/>
        <v>0</v>
      </c>
      <c r="J389" s="8">
        <v>2411</v>
      </c>
      <c r="K389" s="9"/>
      <c r="L389" s="8">
        <f t="shared" si="84"/>
        <v>28932</v>
      </c>
      <c r="M389" s="7">
        <f t="shared" si="85"/>
        <v>0</v>
      </c>
      <c r="N389" s="10">
        <f t="shared" si="86"/>
        <v>1</v>
      </c>
      <c r="O389" s="11">
        <f t="shared" si="87"/>
        <v>0</v>
      </c>
      <c r="P389" s="11"/>
      <c r="Q389" s="8">
        <f t="shared" si="88"/>
        <v>0</v>
      </c>
      <c r="R389" s="12">
        <f t="shared" si="89"/>
        <v>0</v>
      </c>
    </row>
    <row r="390" ht="14.25" spans="1:18">
      <c r="A390" s="15">
        <v>46220</v>
      </c>
      <c r="B390" s="3">
        <f>Data_Entry!P475</f>
        <v>0</v>
      </c>
      <c r="C390" s="3">
        <v>0</v>
      </c>
      <c r="D390" s="4">
        <f>Data_Entry!V475</f>
        <v>0</v>
      </c>
      <c r="E390" s="5">
        <f t="shared" si="81"/>
        <v>0</v>
      </c>
      <c r="F390" s="6">
        <v>0</v>
      </c>
      <c r="G390" s="6">
        <v>0</v>
      </c>
      <c r="H390" s="7">
        <f t="shared" si="82"/>
        <v>0</v>
      </c>
      <c r="I390" s="7">
        <f t="shared" si="83"/>
        <v>0</v>
      </c>
      <c r="J390" s="8">
        <v>2411</v>
      </c>
      <c r="K390" s="9"/>
      <c r="L390" s="8">
        <f t="shared" si="84"/>
        <v>28932</v>
      </c>
      <c r="M390" s="7">
        <f t="shared" si="85"/>
        <v>0</v>
      </c>
      <c r="N390" s="10">
        <f t="shared" si="86"/>
        <v>1</v>
      </c>
      <c r="O390" s="11">
        <f t="shared" si="87"/>
        <v>0</v>
      </c>
      <c r="P390" s="11"/>
      <c r="Q390" s="8">
        <f t="shared" si="88"/>
        <v>0</v>
      </c>
      <c r="R390" s="12">
        <f t="shared" si="89"/>
        <v>0</v>
      </c>
    </row>
    <row r="391" ht="14.25" spans="1:18">
      <c r="A391" s="15">
        <v>46221</v>
      </c>
      <c r="B391" s="3">
        <f>Data_Entry!P476</f>
        <v>0</v>
      </c>
      <c r="C391" s="3">
        <v>0</v>
      </c>
      <c r="D391" s="4">
        <f>Data_Entry!V476</f>
        <v>0</v>
      </c>
      <c r="E391" s="5">
        <f t="shared" si="81"/>
        <v>0</v>
      </c>
      <c r="F391" s="6">
        <v>0</v>
      </c>
      <c r="G391" s="6">
        <v>0</v>
      </c>
      <c r="H391" s="7">
        <f t="shared" si="82"/>
        <v>0</v>
      </c>
      <c r="I391" s="7">
        <f t="shared" si="83"/>
        <v>0</v>
      </c>
      <c r="J391" s="8">
        <v>2411</v>
      </c>
      <c r="K391" s="9"/>
      <c r="L391" s="8">
        <f t="shared" si="84"/>
        <v>28932</v>
      </c>
      <c r="M391" s="7">
        <f t="shared" si="85"/>
        <v>0</v>
      </c>
      <c r="N391" s="10">
        <f t="shared" si="86"/>
        <v>1</v>
      </c>
      <c r="O391" s="11">
        <f t="shared" si="87"/>
        <v>0</v>
      </c>
      <c r="P391" s="11"/>
      <c r="Q391" s="8">
        <f t="shared" si="88"/>
        <v>0</v>
      </c>
      <c r="R391" s="12">
        <f t="shared" si="89"/>
        <v>0</v>
      </c>
    </row>
    <row r="392" ht="14.25" spans="1:18">
      <c r="A392" s="15">
        <v>46222</v>
      </c>
      <c r="B392" s="3">
        <f>Data_Entry!P477</f>
        <v>0</v>
      </c>
      <c r="C392" s="3">
        <v>0</v>
      </c>
      <c r="D392" s="4">
        <f>Data_Entry!V477</f>
        <v>0</v>
      </c>
      <c r="E392" s="5">
        <f t="shared" si="81"/>
        <v>0</v>
      </c>
      <c r="F392" s="6">
        <v>0</v>
      </c>
      <c r="G392" s="6">
        <v>0</v>
      </c>
      <c r="H392" s="7">
        <f t="shared" si="82"/>
        <v>0</v>
      </c>
      <c r="I392" s="7">
        <f t="shared" si="83"/>
        <v>0</v>
      </c>
      <c r="J392" s="8">
        <v>2411</v>
      </c>
      <c r="K392" s="9"/>
      <c r="L392" s="8">
        <f t="shared" si="84"/>
        <v>28932</v>
      </c>
      <c r="M392" s="7">
        <f t="shared" si="85"/>
        <v>0</v>
      </c>
      <c r="N392" s="10">
        <f t="shared" si="86"/>
        <v>1</v>
      </c>
      <c r="O392" s="11">
        <f t="shared" si="87"/>
        <v>0</v>
      </c>
      <c r="P392" s="11"/>
      <c r="Q392" s="8">
        <f t="shared" si="88"/>
        <v>0</v>
      </c>
      <c r="R392" s="12">
        <f t="shared" si="89"/>
        <v>0</v>
      </c>
    </row>
    <row r="393" ht="14.25" spans="1:18">
      <c r="A393" s="15">
        <v>46223</v>
      </c>
      <c r="B393" s="3">
        <f>Data_Entry!P478</f>
        <v>0</v>
      </c>
      <c r="C393" s="3">
        <v>0</v>
      </c>
      <c r="D393" s="4">
        <f>Data_Entry!V478</f>
        <v>0</v>
      </c>
      <c r="E393" s="5">
        <f t="shared" si="81"/>
        <v>0</v>
      </c>
      <c r="F393" s="6">
        <v>0</v>
      </c>
      <c r="G393" s="6">
        <v>0</v>
      </c>
      <c r="H393" s="7">
        <f t="shared" si="82"/>
        <v>0</v>
      </c>
      <c r="I393" s="7">
        <f t="shared" si="83"/>
        <v>0</v>
      </c>
      <c r="J393" s="8">
        <v>2411</v>
      </c>
      <c r="K393" s="9"/>
      <c r="L393" s="8">
        <f t="shared" si="84"/>
        <v>28932</v>
      </c>
      <c r="M393" s="7">
        <f t="shared" si="85"/>
        <v>0</v>
      </c>
      <c r="N393" s="10">
        <f t="shared" si="86"/>
        <v>1</v>
      </c>
      <c r="O393" s="11">
        <f t="shared" si="87"/>
        <v>0</v>
      </c>
      <c r="P393" s="11"/>
      <c r="Q393" s="8">
        <f t="shared" si="88"/>
        <v>0</v>
      </c>
      <c r="R393" s="12">
        <f t="shared" si="89"/>
        <v>0</v>
      </c>
    </row>
    <row r="394" ht="14.25" spans="1:18">
      <c r="A394" s="15">
        <v>46224</v>
      </c>
      <c r="B394" s="3">
        <f>Data_Entry!P479</f>
        <v>0</v>
      </c>
      <c r="C394" s="3">
        <v>0</v>
      </c>
      <c r="D394" s="4">
        <f>Data_Entry!V479</f>
        <v>0</v>
      </c>
      <c r="E394" s="5">
        <f t="shared" si="81"/>
        <v>0</v>
      </c>
      <c r="F394" s="6">
        <v>0</v>
      </c>
      <c r="G394" s="6">
        <v>0</v>
      </c>
      <c r="H394" s="7">
        <f t="shared" si="82"/>
        <v>0</v>
      </c>
      <c r="I394" s="7">
        <f t="shared" si="83"/>
        <v>0</v>
      </c>
      <c r="J394" s="8">
        <v>2411</v>
      </c>
      <c r="K394" s="9"/>
      <c r="L394" s="8">
        <f t="shared" si="84"/>
        <v>28932</v>
      </c>
      <c r="M394" s="7">
        <f t="shared" si="85"/>
        <v>0</v>
      </c>
      <c r="N394" s="10">
        <f t="shared" si="86"/>
        <v>1</v>
      </c>
      <c r="O394" s="11">
        <f t="shared" si="87"/>
        <v>0</v>
      </c>
      <c r="P394" s="11"/>
      <c r="Q394" s="8">
        <f t="shared" si="88"/>
        <v>0</v>
      </c>
      <c r="R394" s="12">
        <f t="shared" si="89"/>
        <v>0</v>
      </c>
    </row>
    <row r="395" ht="14.25" spans="1:18">
      <c r="A395" s="15">
        <v>46225</v>
      </c>
      <c r="B395" s="3">
        <f>Data_Entry!P480</f>
        <v>0</v>
      </c>
      <c r="C395" s="3">
        <v>0</v>
      </c>
      <c r="D395" s="4">
        <f>Data_Entry!V480</f>
        <v>0</v>
      </c>
      <c r="E395" s="5">
        <f t="shared" si="81"/>
        <v>0</v>
      </c>
      <c r="F395" s="6">
        <v>0</v>
      </c>
      <c r="G395" s="6">
        <v>0</v>
      </c>
      <c r="H395" s="7">
        <f t="shared" si="82"/>
        <v>0</v>
      </c>
      <c r="I395" s="7">
        <f t="shared" si="83"/>
        <v>0</v>
      </c>
      <c r="J395" s="8">
        <v>2411</v>
      </c>
      <c r="K395" s="9"/>
      <c r="L395" s="8">
        <f t="shared" si="84"/>
        <v>28932</v>
      </c>
      <c r="M395" s="7">
        <f t="shared" si="85"/>
        <v>0</v>
      </c>
      <c r="N395" s="10">
        <f t="shared" si="86"/>
        <v>1</v>
      </c>
      <c r="O395" s="11">
        <f t="shared" si="87"/>
        <v>0</v>
      </c>
      <c r="P395" s="11"/>
      <c r="Q395" s="8">
        <f t="shared" si="88"/>
        <v>0</v>
      </c>
      <c r="R395" s="12">
        <f t="shared" si="89"/>
        <v>0</v>
      </c>
    </row>
    <row r="396" ht="14.25" spans="1:18">
      <c r="A396" s="15">
        <v>46226</v>
      </c>
      <c r="B396" s="3">
        <f>Data_Entry!P481</f>
        <v>0</v>
      </c>
      <c r="C396" s="3">
        <v>0</v>
      </c>
      <c r="D396" s="4">
        <f>Data_Entry!V481</f>
        <v>0</v>
      </c>
      <c r="E396" s="5">
        <f t="shared" si="81"/>
        <v>0</v>
      </c>
      <c r="F396" s="6">
        <v>0</v>
      </c>
      <c r="G396" s="6">
        <v>0</v>
      </c>
      <c r="H396" s="7">
        <f t="shared" si="82"/>
        <v>0</v>
      </c>
      <c r="I396" s="7">
        <f t="shared" si="83"/>
        <v>0</v>
      </c>
      <c r="J396" s="8">
        <v>2411</v>
      </c>
      <c r="K396" s="9"/>
      <c r="L396" s="8">
        <f t="shared" si="84"/>
        <v>28932</v>
      </c>
      <c r="M396" s="7">
        <f t="shared" si="85"/>
        <v>0</v>
      </c>
      <c r="N396" s="10">
        <f t="shared" si="86"/>
        <v>1</v>
      </c>
      <c r="O396" s="11">
        <f t="shared" si="87"/>
        <v>0</v>
      </c>
      <c r="P396" s="11"/>
      <c r="Q396" s="8">
        <f t="shared" si="88"/>
        <v>0</v>
      </c>
      <c r="R396" s="12">
        <f t="shared" si="89"/>
        <v>0</v>
      </c>
    </row>
    <row r="397" ht="14.25" spans="1:18">
      <c r="A397" s="15">
        <v>46227</v>
      </c>
      <c r="B397" s="3">
        <f>Data_Entry!P482</f>
        <v>0</v>
      </c>
      <c r="C397" s="3">
        <v>0</v>
      </c>
      <c r="D397" s="4">
        <f>Data_Entry!V482</f>
        <v>0</v>
      </c>
      <c r="E397" s="5">
        <f t="shared" si="81"/>
        <v>0</v>
      </c>
      <c r="F397" s="6">
        <v>0</v>
      </c>
      <c r="G397" s="6">
        <v>0</v>
      </c>
      <c r="H397" s="7">
        <f t="shared" si="82"/>
        <v>0</v>
      </c>
      <c r="I397" s="7">
        <f t="shared" si="83"/>
        <v>0</v>
      </c>
      <c r="J397" s="8">
        <v>2411</v>
      </c>
      <c r="K397" s="9"/>
      <c r="L397" s="8">
        <f t="shared" si="84"/>
        <v>28932</v>
      </c>
      <c r="M397" s="7">
        <f t="shared" si="85"/>
        <v>0</v>
      </c>
      <c r="N397" s="10">
        <f t="shared" si="86"/>
        <v>1</v>
      </c>
      <c r="O397" s="11">
        <f t="shared" si="87"/>
        <v>0</v>
      </c>
      <c r="P397" s="11"/>
      <c r="Q397" s="8">
        <f t="shared" si="88"/>
        <v>0</v>
      </c>
      <c r="R397" s="12">
        <f t="shared" si="89"/>
        <v>0</v>
      </c>
    </row>
    <row r="398" ht="14.25" spans="1:18">
      <c r="A398" s="15">
        <v>46228</v>
      </c>
      <c r="B398" s="3">
        <f>Data_Entry!P483</f>
        <v>0</v>
      </c>
      <c r="C398" s="3">
        <v>0</v>
      </c>
      <c r="D398" s="4">
        <f>Data_Entry!V483</f>
        <v>0</v>
      </c>
      <c r="E398" s="5">
        <f t="shared" si="81"/>
        <v>0</v>
      </c>
      <c r="F398" s="6">
        <v>0</v>
      </c>
      <c r="G398" s="6">
        <v>0</v>
      </c>
      <c r="H398" s="7">
        <f t="shared" si="82"/>
        <v>0</v>
      </c>
      <c r="I398" s="7">
        <f t="shared" si="83"/>
        <v>0</v>
      </c>
      <c r="J398" s="8">
        <v>2411</v>
      </c>
      <c r="K398" s="9"/>
      <c r="L398" s="8">
        <f t="shared" si="84"/>
        <v>28932</v>
      </c>
      <c r="M398" s="7">
        <f t="shared" si="85"/>
        <v>0</v>
      </c>
      <c r="N398" s="10">
        <f t="shared" si="86"/>
        <v>1</v>
      </c>
      <c r="O398" s="11">
        <f t="shared" si="87"/>
        <v>0</v>
      </c>
      <c r="P398" s="11"/>
      <c r="Q398" s="8">
        <f t="shared" si="88"/>
        <v>0</v>
      </c>
      <c r="R398" s="12">
        <f t="shared" si="89"/>
        <v>0</v>
      </c>
    </row>
    <row r="399" ht="14.25" spans="1:18">
      <c r="A399" s="15">
        <v>46229</v>
      </c>
      <c r="B399" s="3">
        <f>Data_Entry!P484</f>
        <v>0</v>
      </c>
      <c r="C399" s="3">
        <v>0</v>
      </c>
      <c r="D399" s="4">
        <f>Data_Entry!V484</f>
        <v>0</v>
      </c>
      <c r="E399" s="5">
        <f t="shared" si="81"/>
        <v>0</v>
      </c>
      <c r="F399" s="6">
        <v>0</v>
      </c>
      <c r="G399" s="6">
        <v>0</v>
      </c>
      <c r="H399" s="7">
        <f t="shared" si="82"/>
        <v>0</v>
      </c>
      <c r="I399" s="7">
        <f t="shared" si="83"/>
        <v>0</v>
      </c>
      <c r="J399" s="8">
        <v>2411</v>
      </c>
      <c r="K399" s="9"/>
      <c r="L399" s="8">
        <f t="shared" si="84"/>
        <v>28932</v>
      </c>
      <c r="M399" s="7">
        <f t="shared" si="85"/>
        <v>0</v>
      </c>
      <c r="N399" s="10">
        <f t="shared" si="86"/>
        <v>1</v>
      </c>
      <c r="O399" s="11">
        <f t="shared" si="87"/>
        <v>0</v>
      </c>
      <c r="P399" s="11"/>
      <c r="Q399" s="8">
        <f t="shared" si="88"/>
        <v>0</v>
      </c>
      <c r="R399" s="12">
        <f t="shared" si="89"/>
        <v>0</v>
      </c>
    </row>
    <row r="400" spans="1:18">
      <c r="B400" s="13"/>
      <c r="C400" s="13"/>
      <c r="D400" s="13"/>
    </row>
    <row r="401" spans="2:4">
      <c r="B401" s="13"/>
      <c r="C401" s="13"/>
      <c r="D401" s="13"/>
    </row>
    <row r="402" spans="2:4">
      <c r="B402" s="13"/>
      <c r="C402" s="13"/>
      <c r="D402" s="13"/>
    </row>
    <row r="403" spans="2:4">
      <c r="B403" s="13"/>
      <c r="C403" s="13"/>
      <c r="D403" s="13"/>
    </row>
    <row r="404" spans="2:4">
      <c r="B404" s="13"/>
      <c r="C404" s="13"/>
      <c r="D404" s="13"/>
    </row>
    <row r="405" spans="2:4">
      <c r="B405" s="13"/>
      <c r="C405" s="13"/>
      <c r="D405" s="13"/>
    </row>
    <row r="406" spans="2:4">
      <c r="B406" s="13"/>
      <c r="C406" s="13"/>
      <c r="D406" s="13"/>
    </row>
    <row r="407" spans="2:4">
      <c r="B407" s="13"/>
      <c r="C407" s="13"/>
      <c r="D407" s="13"/>
    </row>
    <row r="408" spans="2:4">
      <c r="B408" s="13"/>
      <c r="C408" s="13"/>
      <c r="D408" s="13"/>
    </row>
    <row r="409" spans="2:4">
      <c r="B409" s="13"/>
      <c r="C409" s="13"/>
      <c r="D409" s="13"/>
    </row>
    <row r="410" spans="2:4">
      <c r="B410" s="13"/>
      <c r="C410" s="13"/>
      <c r="D410" s="13"/>
    </row>
    <row r="411" spans="2:4">
      <c r="B411" s="13"/>
      <c r="C411" s="13"/>
      <c r="D411" s="13"/>
    </row>
    <row r="412" spans="2:4">
      <c r="B412" s="13"/>
      <c r="C412" s="13"/>
      <c r="D412" s="13"/>
    </row>
    <row r="413" spans="2:4">
      <c r="B413" s="13"/>
      <c r="C413" s="13"/>
      <c r="D413" s="13"/>
    </row>
    <row r="414" spans="2:4">
      <c r="B414" s="13"/>
      <c r="C414" s="13"/>
      <c r="D414" s="13"/>
    </row>
    <row r="415" spans="2:4">
      <c r="B415" s="13"/>
      <c r="C415" s="13"/>
      <c r="D415" s="13"/>
    </row>
    <row r="416" spans="2:4">
      <c r="B416" s="13"/>
      <c r="C416" s="13"/>
      <c r="D416" s="13"/>
    </row>
    <row r="417" spans="2:4">
      <c r="B417" s="13"/>
      <c r="C417" s="13"/>
      <c r="D417" s="13"/>
    </row>
    <row r="418" spans="2:4">
      <c r="B418" s="13"/>
      <c r="C418" s="13"/>
      <c r="D418" s="13"/>
    </row>
    <row r="419" spans="2:4">
      <c r="B419" s="13"/>
      <c r="C419" s="13"/>
      <c r="D419" s="13"/>
    </row>
    <row r="420" spans="2:4">
      <c r="B420" s="13"/>
      <c r="C420" s="13"/>
      <c r="D420" s="13"/>
    </row>
    <row r="421" spans="2:4">
      <c r="B421" s="13"/>
      <c r="C421" s="13"/>
      <c r="D421" s="13"/>
    </row>
    <row r="422" spans="2:4">
      <c r="B422" s="13"/>
      <c r="C422" s="13"/>
      <c r="D422" s="13"/>
    </row>
    <row r="423" spans="2:4">
      <c r="B423" s="13"/>
      <c r="C423" s="13"/>
      <c r="D423" s="13"/>
    </row>
    <row r="424" spans="2:4">
      <c r="B424" s="13"/>
      <c r="C424" s="13"/>
      <c r="D424" s="13"/>
    </row>
    <row r="425" spans="2:4">
      <c r="B425" s="13"/>
      <c r="C425" s="13"/>
      <c r="D425" s="13"/>
    </row>
    <row r="426" spans="2:4">
      <c r="B426" s="13"/>
      <c r="C426" s="13"/>
      <c r="D426" s="13"/>
    </row>
    <row r="427" spans="2:4">
      <c r="B427" s="13"/>
      <c r="C427" s="13"/>
      <c r="D427" s="13"/>
    </row>
    <row r="428" spans="2:4">
      <c r="B428" s="13"/>
      <c r="C428" s="13"/>
      <c r="D428" s="13"/>
    </row>
    <row r="429" spans="2:4">
      <c r="B429" s="13"/>
      <c r="C429" s="13"/>
      <c r="D429" s="13"/>
    </row>
    <row r="430" spans="2:4">
      <c r="B430" s="13"/>
      <c r="C430" s="13"/>
      <c r="D430" s="13"/>
    </row>
    <row r="431" spans="2:4">
      <c r="B431" s="13"/>
      <c r="C431" s="13"/>
      <c r="D431" s="13"/>
    </row>
    <row r="432" spans="2:4">
      <c r="B432" s="13"/>
      <c r="C432" s="13"/>
      <c r="D432" s="13"/>
    </row>
    <row r="433" spans="2:4">
      <c r="B433" s="13"/>
      <c r="C433" s="13"/>
      <c r="D433" s="13"/>
    </row>
    <row r="434" spans="2:4">
      <c r="B434" s="13"/>
      <c r="C434" s="13"/>
      <c r="D434" s="13"/>
    </row>
    <row r="435" spans="2:4">
      <c r="B435" s="13"/>
      <c r="C435" s="13"/>
      <c r="D435" s="13"/>
    </row>
    <row r="436" spans="2:4">
      <c r="B436" s="13"/>
      <c r="C436" s="13"/>
      <c r="D436" s="13"/>
    </row>
    <row r="437" spans="2:4">
      <c r="B437" s="13"/>
      <c r="C437" s="13"/>
      <c r="D437" s="13"/>
    </row>
    <row r="438" spans="2:4">
      <c r="B438" s="13"/>
      <c r="C438" s="13"/>
      <c r="D438" s="13"/>
    </row>
    <row r="439" spans="2:4">
      <c r="B439" s="13"/>
      <c r="C439" s="13"/>
      <c r="D439" s="13"/>
    </row>
    <row r="440" spans="2:4">
      <c r="B440" s="13"/>
      <c r="C440" s="13"/>
      <c r="D440" s="13"/>
    </row>
    <row r="441" spans="2:4">
      <c r="B441" s="13"/>
      <c r="C441" s="13"/>
      <c r="D441" s="13"/>
    </row>
    <row r="442" spans="2:4">
      <c r="B442" s="13"/>
      <c r="C442" s="13"/>
      <c r="D442" s="13"/>
    </row>
    <row r="443" spans="2:4">
      <c r="B443" s="13"/>
      <c r="C443" s="13"/>
      <c r="D443" s="13"/>
    </row>
    <row r="444" spans="2:4">
      <c r="B444" s="13"/>
      <c r="C444" s="13"/>
      <c r="D444" s="13"/>
    </row>
    <row r="445" spans="2:4">
      <c r="B445" s="13"/>
      <c r="C445" s="13"/>
      <c r="D445" s="13"/>
    </row>
    <row r="446" spans="2:4">
      <c r="B446" s="13"/>
      <c r="C446" s="13"/>
      <c r="D446" s="13"/>
    </row>
    <row r="447" spans="2:4">
      <c r="B447" s="13"/>
      <c r="C447" s="13"/>
      <c r="D447" s="13"/>
    </row>
    <row r="448" spans="2:4">
      <c r="B448" s="13"/>
      <c r="C448" s="13"/>
      <c r="D448" s="13"/>
    </row>
    <row r="449" spans="2:4">
      <c r="B449" s="13"/>
      <c r="C449" s="13"/>
      <c r="D449" s="13"/>
    </row>
    <row r="450" spans="2:4">
      <c r="B450" s="13"/>
      <c r="C450" s="13"/>
      <c r="D450" s="13"/>
    </row>
    <row r="451" spans="2:4">
      <c r="B451" s="13"/>
      <c r="C451" s="13"/>
      <c r="D451" s="13"/>
    </row>
    <row r="452" spans="2:4">
      <c r="B452" s="13"/>
      <c r="C452" s="13"/>
      <c r="D452" s="13"/>
    </row>
    <row r="453" spans="2:4">
      <c r="B453" s="13"/>
      <c r="C453" s="13"/>
      <c r="D453" s="13"/>
    </row>
    <row r="454" spans="2:4">
      <c r="B454" s="13"/>
      <c r="C454" s="13"/>
      <c r="D454" s="13"/>
    </row>
    <row r="455" spans="2:4">
      <c r="B455" s="13"/>
      <c r="C455" s="13"/>
      <c r="D455" s="13"/>
    </row>
    <row r="456" spans="2:4">
      <c r="B456" s="13"/>
      <c r="C456" s="13"/>
      <c r="D456" s="13"/>
    </row>
    <row r="457" spans="2:4">
      <c r="B457" s="13"/>
      <c r="C457" s="13"/>
      <c r="D457" s="13"/>
    </row>
    <row r="458" spans="2:4">
      <c r="B458" s="13"/>
      <c r="C458" s="13"/>
      <c r="D458" s="13"/>
    </row>
    <row r="459" spans="2:4">
      <c r="B459" s="13"/>
      <c r="C459" s="13"/>
      <c r="D459" s="13"/>
    </row>
    <row r="460" spans="2:4">
      <c r="B460" s="13"/>
      <c r="C460" s="13"/>
      <c r="D460" s="13"/>
    </row>
    <row r="461" spans="2:4">
      <c r="B461" s="13"/>
      <c r="C461" s="13"/>
      <c r="D461" s="13"/>
    </row>
    <row r="462" spans="2:4">
      <c r="B462" s="13"/>
      <c r="C462" s="13"/>
      <c r="D462" s="13"/>
    </row>
    <row r="463" spans="2:4">
      <c r="B463" s="13"/>
      <c r="C463" s="13"/>
      <c r="D463" s="13"/>
    </row>
    <row r="464" spans="2:4">
      <c r="B464" s="13"/>
      <c r="C464" s="13"/>
      <c r="D464" s="13"/>
    </row>
    <row r="465" spans="2:4">
      <c r="B465" s="13"/>
      <c r="C465" s="13"/>
      <c r="D465" s="13"/>
    </row>
    <row r="466" spans="2:4">
      <c r="B466" s="13"/>
      <c r="C466" s="13"/>
      <c r="D466" s="13"/>
    </row>
    <row r="467" spans="2:4">
      <c r="B467" s="13"/>
      <c r="C467" s="13"/>
      <c r="D467" s="13"/>
    </row>
    <row r="468" spans="2:4">
      <c r="B468" s="13"/>
      <c r="C468" s="13"/>
      <c r="D468" s="13"/>
    </row>
    <row r="469" spans="2:4">
      <c r="B469" s="13"/>
      <c r="C469" s="13"/>
      <c r="D469" s="13"/>
    </row>
    <row r="470" spans="2:4">
      <c r="B470" s="13"/>
      <c r="C470" s="13"/>
      <c r="D470" s="13"/>
    </row>
    <row r="471" spans="2:4">
      <c r="B471" s="13"/>
      <c r="C471" s="13"/>
      <c r="D471" s="13"/>
    </row>
    <row r="472" spans="2:4">
      <c r="B472" s="13"/>
      <c r="C472" s="13"/>
      <c r="D472" s="13"/>
    </row>
    <row r="473" spans="2:4">
      <c r="B473" s="13"/>
      <c r="C473" s="13"/>
      <c r="D473" s="13"/>
    </row>
    <row r="474" spans="2:4">
      <c r="B474" s="13"/>
      <c r="C474" s="13"/>
      <c r="D474" s="13"/>
    </row>
    <row r="475" spans="2:4">
      <c r="B475" s="13"/>
      <c r="C475" s="13"/>
      <c r="D475" s="13"/>
    </row>
    <row r="476" spans="2:4">
      <c r="B476" s="13"/>
      <c r="C476" s="13"/>
      <c r="D476" s="13"/>
    </row>
    <row r="477" spans="2:4">
      <c r="B477" s="13"/>
      <c r="C477" s="13"/>
      <c r="D477" s="13"/>
    </row>
    <row r="478" spans="2:4">
      <c r="B478" s="13"/>
      <c r="C478" s="13"/>
      <c r="D478" s="13"/>
    </row>
    <row r="479" spans="2:4">
      <c r="B479" s="13"/>
      <c r="C479" s="13"/>
      <c r="D479" s="13"/>
    </row>
    <row r="480" spans="2:4">
      <c r="B480" s="13"/>
      <c r="C480" s="13"/>
      <c r="D480" s="13"/>
    </row>
    <row r="481" spans="2:4">
      <c r="B481" s="13"/>
      <c r="C481" s="13"/>
      <c r="D481" s="13"/>
    </row>
    <row r="482" spans="2:4">
      <c r="B482" s="13"/>
      <c r="C482" s="13"/>
      <c r="D482" s="13"/>
    </row>
    <row r="483" spans="2:4">
      <c r="B483" s="13"/>
      <c r="C483" s="13"/>
      <c r="D483" s="13"/>
    </row>
    <row r="484" spans="2:4">
      <c r="B484" s="13"/>
      <c r="C484" s="13"/>
      <c r="D484" s="13"/>
    </row>
    <row r="485" spans="2:4">
      <c r="B485" s="13"/>
      <c r="C485" s="13"/>
      <c r="D485" s="13"/>
    </row>
    <row r="486" spans="2:4">
      <c r="B486" s="13"/>
      <c r="C486" s="13"/>
      <c r="D486" s="13"/>
    </row>
    <row r="487" spans="2:4">
      <c r="B487" s="13"/>
      <c r="C487" s="13"/>
      <c r="D487" s="13"/>
    </row>
    <row r="488" spans="2:4">
      <c r="B488" s="13"/>
      <c r="C488" s="13"/>
      <c r="D488" s="13"/>
    </row>
    <row r="489" spans="2:4">
      <c r="B489" s="13"/>
      <c r="C489" s="13"/>
      <c r="D489" s="13"/>
    </row>
    <row r="490" spans="2:4">
      <c r="B490" s="13"/>
      <c r="C490" s="13"/>
      <c r="D490" s="13"/>
    </row>
    <row r="491" spans="2:4">
      <c r="B491" s="13"/>
      <c r="C491" s="13"/>
      <c r="D491" s="13"/>
    </row>
    <row r="492" spans="2:4">
      <c r="B492" s="13"/>
      <c r="C492" s="13"/>
      <c r="D492" s="13"/>
    </row>
    <row r="493" spans="2:4">
      <c r="B493" s="13"/>
      <c r="C493" s="13"/>
      <c r="D493" s="13"/>
    </row>
    <row r="494" spans="2:4">
      <c r="B494" s="13"/>
      <c r="C494" s="13"/>
      <c r="D494" s="13"/>
    </row>
    <row r="495" spans="2:4">
      <c r="B495" s="13"/>
      <c r="C495" s="13"/>
      <c r="D495" s="13"/>
    </row>
    <row r="496" spans="2:4">
      <c r="B496" s="13"/>
      <c r="C496" s="13"/>
      <c r="D496" s="13"/>
    </row>
    <row r="497" spans="2:4">
      <c r="B497" s="13"/>
      <c r="C497" s="13"/>
      <c r="D497" s="13"/>
    </row>
    <row r="498" spans="2:4">
      <c r="B498" s="13"/>
      <c r="C498" s="13"/>
      <c r="D498" s="13"/>
    </row>
    <row r="499" spans="2:4">
      <c r="B499" s="13"/>
      <c r="C499" s="13"/>
      <c r="D499" s="13"/>
    </row>
    <row r="500" spans="2:4">
      <c r="B500" s="13"/>
      <c r="C500" s="13"/>
      <c r="D500" s="13"/>
    </row>
    <row r="501" spans="2:4">
      <c r="B501" s="13"/>
      <c r="C501" s="13"/>
      <c r="D501" s="13"/>
    </row>
    <row r="502" spans="2:4">
      <c r="B502" s="13"/>
      <c r="C502" s="13"/>
      <c r="D502" s="13"/>
    </row>
    <row r="503" spans="2:4">
      <c r="B503" s="13"/>
      <c r="C503" s="13"/>
      <c r="D503" s="13"/>
    </row>
    <row r="504" spans="2:4">
      <c r="B504" s="13"/>
      <c r="C504" s="13"/>
      <c r="D504" s="13"/>
    </row>
    <row r="505" spans="2:4">
      <c r="B505" s="13"/>
      <c r="C505" s="13"/>
      <c r="D505" s="13"/>
    </row>
    <row r="506" spans="2:4">
      <c r="B506" s="13"/>
      <c r="C506" s="13"/>
      <c r="D506" s="13"/>
    </row>
    <row r="507" spans="2:4">
      <c r="B507" s="13"/>
      <c r="C507" s="13"/>
      <c r="D507" s="13"/>
    </row>
    <row r="508" spans="2:4">
      <c r="B508" s="13"/>
      <c r="C508" s="13"/>
      <c r="D508" s="13"/>
    </row>
    <row r="509" spans="2:4">
      <c r="B509" s="13"/>
      <c r="C509" s="13"/>
      <c r="D509" s="13"/>
    </row>
    <row r="510" spans="2:4">
      <c r="B510" s="13"/>
      <c r="C510" s="13"/>
      <c r="D510" s="13"/>
    </row>
    <row r="511" spans="2:4">
      <c r="B511" s="13"/>
      <c r="C511" s="13"/>
      <c r="D511" s="13"/>
    </row>
    <row r="512" spans="2:4">
      <c r="B512" s="13"/>
      <c r="C512" s="13"/>
      <c r="D512" s="13"/>
    </row>
    <row r="513" spans="2:4">
      <c r="B513" s="13"/>
      <c r="C513" s="13"/>
      <c r="D513" s="13"/>
    </row>
    <row r="514" spans="2:4">
      <c r="B514" s="13"/>
      <c r="C514" s="13"/>
      <c r="D514" s="13"/>
    </row>
    <row r="515" spans="2:4">
      <c r="B515" s="13"/>
      <c r="C515" s="13"/>
      <c r="D515" s="13"/>
    </row>
    <row r="516" spans="2:4">
      <c r="B516" s="13"/>
      <c r="C516" s="13"/>
      <c r="D516" s="13"/>
    </row>
    <row r="517" spans="2:4">
      <c r="B517" s="13"/>
      <c r="C517" s="13"/>
      <c r="D517" s="13"/>
    </row>
    <row r="518" spans="2:4">
      <c r="B518" s="13"/>
      <c r="C518" s="13"/>
      <c r="D518" s="13"/>
    </row>
    <row r="519" spans="2:4">
      <c r="B519" s="13"/>
      <c r="C519" s="13"/>
      <c r="D519" s="13"/>
    </row>
    <row r="520" spans="2:4">
      <c r="B520" s="13"/>
      <c r="C520" s="13"/>
      <c r="D520" s="13"/>
    </row>
    <row r="521" spans="2:4">
      <c r="B521" s="13"/>
      <c r="C521" s="13"/>
      <c r="D521" s="13"/>
    </row>
    <row r="522" spans="2:4">
      <c r="B522" s="13"/>
      <c r="C522" s="13"/>
      <c r="D522" s="13"/>
    </row>
    <row r="523" spans="2:4">
      <c r="B523" s="13"/>
      <c r="C523" s="13"/>
      <c r="D523" s="13"/>
    </row>
    <row r="524" spans="2:4">
      <c r="B524" s="13"/>
      <c r="C524" s="13"/>
      <c r="D524" s="13"/>
    </row>
    <row r="525" spans="2:4">
      <c r="B525" s="13"/>
      <c r="C525" s="13"/>
      <c r="D525" s="13"/>
    </row>
    <row r="526" spans="2:4">
      <c r="B526" s="13"/>
      <c r="C526" s="13"/>
      <c r="D526" s="13"/>
    </row>
    <row r="527" spans="2:4">
      <c r="B527" s="13"/>
      <c r="C527" s="13"/>
      <c r="D527" s="13"/>
    </row>
    <row r="528" spans="2:4">
      <c r="B528" s="13"/>
      <c r="C528" s="13"/>
      <c r="D528" s="13"/>
    </row>
    <row r="529" spans="2:4">
      <c r="B529" s="13"/>
      <c r="C529" s="13"/>
      <c r="D529" s="13"/>
    </row>
    <row r="530" spans="2:4">
      <c r="B530" s="13"/>
      <c r="C530" s="13"/>
      <c r="D530" s="13"/>
    </row>
    <row r="531" spans="2:4">
      <c r="B531" s="13"/>
      <c r="C531" s="13"/>
      <c r="D531" s="13"/>
    </row>
    <row r="532" spans="2:4">
      <c r="B532" s="13"/>
      <c r="C532" s="13"/>
      <c r="D532" s="13"/>
    </row>
    <row r="533" spans="2:4">
      <c r="B533" s="13"/>
      <c r="C533" s="13"/>
      <c r="D533" s="13"/>
    </row>
    <row r="534" spans="2:4">
      <c r="B534" s="13"/>
      <c r="C534" s="13"/>
      <c r="D534" s="13"/>
    </row>
    <row r="535" spans="2:4">
      <c r="B535" s="13"/>
      <c r="C535" s="13"/>
      <c r="D535" s="13"/>
    </row>
    <row r="536" spans="2:4">
      <c r="B536" s="13"/>
      <c r="C536" s="13"/>
      <c r="D536" s="13"/>
    </row>
    <row r="537" spans="2:4">
      <c r="B537" s="13"/>
      <c r="C537" s="13"/>
      <c r="D537" s="13"/>
    </row>
    <row r="538" spans="2:4">
      <c r="B538" s="13"/>
      <c r="C538" s="13"/>
      <c r="D538" s="13"/>
    </row>
    <row r="539" spans="2:4">
      <c r="B539" s="13"/>
      <c r="C539" s="13"/>
      <c r="D539" s="13"/>
    </row>
    <row r="540" spans="2:4">
      <c r="B540" s="13"/>
      <c r="C540" s="13"/>
      <c r="D540" s="13"/>
    </row>
    <row r="541" spans="2:4">
      <c r="B541" s="13"/>
      <c r="C541" s="13"/>
      <c r="D541" s="13"/>
    </row>
    <row r="542" spans="2:4">
      <c r="B542" s="13"/>
      <c r="C542" s="13"/>
      <c r="D542" s="13"/>
    </row>
    <row r="543" spans="2:4">
      <c r="B543" s="13"/>
      <c r="C543" s="13"/>
      <c r="D543" s="13"/>
    </row>
    <row r="544" spans="2:4">
      <c r="B544" s="13"/>
      <c r="C544" s="13"/>
      <c r="D544" s="13"/>
    </row>
    <row r="545" spans="2:4">
      <c r="B545" s="13"/>
      <c r="C545" s="13"/>
      <c r="D545" s="13"/>
    </row>
    <row r="546" spans="2:4">
      <c r="B546" s="13"/>
      <c r="C546" s="13"/>
      <c r="D546" s="13"/>
    </row>
    <row r="547" spans="2:4">
      <c r="B547" s="13"/>
      <c r="C547" s="13"/>
      <c r="D547" s="13"/>
    </row>
    <row r="548" spans="2:4">
      <c r="B548" s="13"/>
      <c r="C548" s="13"/>
      <c r="D548" s="13"/>
    </row>
    <row r="549" spans="2:4">
      <c r="B549" s="13"/>
      <c r="C549" s="13"/>
      <c r="D549" s="13"/>
    </row>
    <row r="550" spans="2:4">
      <c r="B550" s="13"/>
      <c r="C550" s="13"/>
      <c r="D550" s="13"/>
    </row>
    <row r="551" spans="2:4">
      <c r="B551" s="13"/>
      <c r="C551" s="13"/>
      <c r="D551" s="13"/>
    </row>
    <row r="552" spans="2:4">
      <c r="B552" s="13"/>
      <c r="C552" s="13"/>
      <c r="D552" s="13"/>
    </row>
    <row r="553" spans="2:4">
      <c r="B553" s="13"/>
      <c r="C553" s="13"/>
      <c r="D553" s="13"/>
    </row>
    <row r="554" spans="2:4">
      <c r="B554" s="13"/>
      <c r="C554" s="13"/>
      <c r="D554" s="13"/>
    </row>
    <row r="555" spans="2:4">
      <c r="B555" s="13"/>
      <c r="C555" s="13"/>
      <c r="D555" s="13"/>
    </row>
    <row r="556" spans="2:4">
      <c r="B556" s="13"/>
      <c r="C556" s="13"/>
      <c r="D556" s="13"/>
    </row>
    <row r="557" spans="2:4">
      <c r="B557" s="13"/>
      <c r="C557" s="13"/>
      <c r="D557" s="13"/>
    </row>
    <row r="558" spans="2:4">
      <c r="B558" s="13"/>
      <c r="C558" s="13"/>
      <c r="D558" s="13"/>
    </row>
    <row r="559" spans="2:4">
      <c r="B559" s="13"/>
      <c r="C559" s="13"/>
      <c r="D559" s="13"/>
    </row>
    <row r="560" spans="2:4">
      <c r="B560" s="13"/>
      <c r="C560" s="13"/>
      <c r="D560" s="13"/>
    </row>
    <row r="561" spans="2:4">
      <c r="B561" s="13"/>
      <c r="C561" s="13"/>
      <c r="D561" s="13"/>
    </row>
    <row r="562" spans="2:4">
      <c r="B562" s="13"/>
      <c r="C562" s="13"/>
      <c r="D562" s="13"/>
    </row>
    <row r="563" spans="2:4">
      <c r="B563" s="13"/>
      <c r="C563" s="13"/>
      <c r="D563" s="13"/>
    </row>
    <row r="564" spans="2:4">
      <c r="B564" s="13"/>
      <c r="C564" s="13"/>
      <c r="D564" s="13"/>
    </row>
    <row r="565" spans="2:4">
      <c r="B565" s="13"/>
      <c r="C565" s="13"/>
      <c r="D565" s="13"/>
    </row>
    <row r="566" spans="2:4">
      <c r="B566" s="13"/>
      <c r="C566" s="13"/>
      <c r="D566" s="13"/>
    </row>
    <row r="567" spans="2:4">
      <c r="B567" s="13"/>
      <c r="C567" s="13"/>
      <c r="D567" s="13"/>
    </row>
    <row r="568" spans="2:4">
      <c r="B568" s="13"/>
      <c r="C568" s="13"/>
      <c r="D568" s="13"/>
    </row>
    <row r="569" spans="2:4">
      <c r="B569" s="13"/>
      <c r="C569" s="13"/>
      <c r="D569" s="13"/>
    </row>
    <row r="570" spans="2:4">
      <c r="B570" s="13"/>
      <c r="C570" s="13"/>
      <c r="D570" s="13"/>
    </row>
    <row r="571" spans="2:4">
      <c r="B571" s="13"/>
      <c r="C571" s="13"/>
      <c r="D571" s="13"/>
    </row>
    <row r="572" spans="2:4">
      <c r="B572" s="13"/>
      <c r="C572" s="13"/>
      <c r="D572" s="13"/>
    </row>
    <row r="573" spans="2:4">
      <c r="B573" s="13"/>
      <c r="C573" s="13"/>
      <c r="D573" s="13"/>
    </row>
    <row r="574" spans="2:4">
      <c r="B574" s="13"/>
      <c r="C574" s="13"/>
      <c r="D574" s="13"/>
    </row>
    <row r="575" spans="2:4">
      <c r="B575" s="13"/>
      <c r="C575" s="13"/>
      <c r="D575" s="13"/>
    </row>
    <row r="576" spans="2:4">
      <c r="B576" s="13"/>
      <c r="C576" s="13"/>
      <c r="D576" s="13"/>
    </row>
    <row r="577" spans="2:4">
      <c r="B577" s="13"/>
      <c r="C577" s="13"/>
      <c r="D577" s="13"/>
    </row>
    <row r="578" spans="2:4">
      <c r="B578" s="13"/>
      <c r="C578" s="13"/>
      <c r="D578" s="13"/>
    </row>
    <row r="579" spans="2:4">
      <c r="B579" s="13"/>
      <c r="C579" s="13"/>
      <c r="D579" s="13"/>
    </row>
    <row r="580" spans="2:4">
      <c r="B580" s="13"/>
      <c r="C580" s="13"/>
      <c r="D580" s="13"/>
    </row>
    <row r="581" spans="2:4">
      <c r="B581" s="13"/>
      <c r="C581" s="13"/>
      <c r="D581" s="13"/>
    </row>
    <row r="582" spans="2:4">
      <c r="B582" s="13"/>
      <c r="C582" s="13"/>
      <c r="D582" s="13"/>
    </row>
    <row r="583" spans="2:4">
      <c r="B583" s="13"/>
      <c r="C583" s="13"/>
      <c r="D583" s="13"/>
    </row>
    <row r="584" spans="2:4">
      <c r="B584" s="13"/>
      <c r="C584" s="13"/>
      <c r="D584" s="13"/>
    </row>
    <row r="585" spans="2:4">
      <c r="B585" s="13"/>
      <c r="C585" s="13"/>
      <c r="D585" s="13"/>
    </row>
    <row r="586" spans="2:4">
      <c r="B586" s="13"/>
      <c r="C586" s="13"/>
      <c r="D586" s="13"/>
    </row>
    <row r="587" spans="2:4">
      <c r="B587" s="13"/>
      <c r="C587" s="13"/>
      <c r="D587" s="13"/>
    </row>
    <row r="588" spans="2:4">
      <c r="B588" s="13"/>
      <c r="C588" s="13"/>
      <c r="D588" s="13"/>
    </row>
    <row r="589" spans="2:4">
      <c r="B589" s="13"/>
      <c r="C589" s="13"/>
      <c r="D589" s="13"/>
    </row>
    <row r="590" spans="2:4">
      <c r="B590" s="13"/>
      <c r="C590" s="13"/>
      <c r="D590" s="13"/>
    </row>
    <row r="591" spans="2:4">
      <c r="B591" s="13"/>
      <c r="C591" s="13"/>
      <c r="D591" s="13"/>
    </row>
    <row r="592" spans="2:4">
      <c r="B592" s="13"/>
      <c r="C592" s="13"/>
      <c r="D592" s="13"/>
    </row>
    <row r="593" spans="2:4">
      <c r="B593" s="13"/>
      <c r="C593" s="13"/>
      <c r="D593" s="13"/>
    </row>
    <row r="594" spans="2:4">
      <c r="B594" s="13"/>
      <c r="C594" s="13"/>
      <c r="D594" s="13"/>
    </row>
    <row r="595" spans="2:4">
      <c r="B595" s="13"/>
      <c r="C595" s="13"/>
      <c r="D595" s="13"/>
    </row>
    <row r="596" spans="2:4">
      <c r="B596" s="13"/>
      <c r="C596" s="13"/>
      <c r="D596" s="13"/>
    </row>
    <row r="597" spans="2:4">
      <c r="B597" s="13"/>
      <c r="C597" s="13"/>
      <c r="D597" s="13"/>
    </row>
    <row r="598" spans="2:4">
      <c r="B598" s="13"/>
      <c r="C598" s="13"/>
      <c r="D598" s="13"/>
    </row>
    <row r="599" spans="2:4">
      <c r="B599" s="13"/>
      <c r="C599" s="13"/>
      <c r="D599" s="13"/>
    </row>
    <row r="600" spans="2:4">
      <c r="B600" s="13"/>
      <c r="C600" s="13"/>
      <c r="D600" s="13"/>
    </row>
    <row r="601" spans="2:4">
      <c r="B601" s="13"/>
      <c r="C601" s="13"/>
      <c r="D601" s="13"/>
    </row>
    <row r="602" spans="2:4">
      <c r="B602" s="13"/>
      <c r="C602" s="13"/>
      <c r="D602" s="13"/>
    </row>
    <row r="603" spans="2:4">
      <c r="B603" s="13"/>
      <c r="C603" s="13"/>
      <c r="D603" s="13"/>
    </row>
    <row r="604" spans="2:4">
      <c r="B604" s="13"/>
      <c r="C604" s="13"/>
      <c r="D604" s="13"/>
    </row>
    <row r="605" spans="2:4">
      <c r="B605" s="13"/>
      <c r="C605" s="13"/>
      <c r="D605" s="13"/>
    </row>
    <row r="606" spans="2:4">
      <c r="B606" s="13"/>
      <c r="C606" s="13"/>
      <c r="D606" s="13"/>
    </row>
    <row r="607" spans="2:4">
      <c r="B607" s="13"/>
      <c r="C607" s="13"/>
      <c r="D607" s="13"/>
    </row>
    <row r="608" spans="2:4">
      <c r="B608" s="13"/>
      <c r="C608" s="13"/>
      <c r="D608" s="13"/>
    </row>
    <row r="609" spans="2:4">
      <c r="B609" s="13"/>
      <c r="C609" s="13"/>
      <c r="D609" s="13"/>
    </row>
    <row r="610" spans="2:4">
      <c r="B610" s="13"/>
      <c r="C610" s="13"/>
      <c r="D610" s="13"/>
    </row>
    <row r="611" spans="2:4">
      <c r="B611" s="13"/>
      <c r="C611" s="13"/>
      <c r="D611" s="13"/>
    </row>
    <row r="612" spans="2:4">
      <c r="B612" s="13"/>
      <c r="C612" s="13"/>
      <c r="D612" s="13"/>
    </row>
    <row r="613" spans="2:4">
      <c r="B613" s="13"/>
      <c r="C613" s="13"/>
      <c r="D613" s="13"/>
    </row>
    <row r="614" spans="2:4">
      <c r="B614" s="13"/>
      <c r="C614" s="13"/>
      <c r="D614" s="13"/>
    </row>
    <row r="615" spans="2:4">
      <c r="B615" s="13"/>
      <c r="C615" s="13"/>
      <c r="D615" s="13"/>
    </row>
    <row r="616" spans="2:4">
      <c r="B616" s="13"/>
      <c r="C616" s="13"/>
      <c r="D616" s="13"/>
    </row>
    <row r="617" spans="2:4">
      <c r="B617" s="13"/>
      <c r="C617" s="13"/>
      <c r="D617" s="13"/>
    </row>
    <row r="618" spans="2:4">
      <c r="B618" s="13"/>
      <c r="C618" s="13"/>
      <c r="D618" s="13"/>
    </row>
    <row r="619" spans="2:4">
      <c r="B619" s="13"/>
      <c r="C619" s="13"/>
      <c r="D619" s="13"/>
    </row>
    <row r="620" spans="2:4">
      <c r="B620" s="13"/>
      <c r="C620" s="13"/>
      <c r="D620" s="13"/>
    </row>
    <row r="621" spans="2:4">
      <c r="B621" s="13"/>
      <c r="C621" s="13"/>
      <c r="D621" s="13"/>
    </row>
    <row r="622" spans="2:4">
      <c r="B622" s="13"/>
      <c r="C622" s="13"/>
      <c r="D622" s="13"/>
    </row>
    <row r="623" spans="2:4">
      <c r="B623" s="13"/>
      <c r="C623" s="13"/>
      <c r="D623" s="13"/>
    </row>
    <row r="624" spans="2:4">
      <c r="B624" s="13"/>
      <c r="C624" s="13"/>
      <c r="D624" s="13"/>
    </row>
    <row r="625" spans="2:4">
      <c r="B625" s="13"/>
      <c r="C625" s="13"/>
      <c r="D625" s="13"/>
    </row>
    <row r="626" spans="2:4">
      <c r="B626" s="13"/>
      <c r="C626" s="13"/>
      <c r="D626" s="13"/>
    </row>
    <row r="627" spans="2:4">
      <c r="B627" s="13"/>
      <c r="C627" s="13"/>
      <c r="D627" s="13"/>
    </row>
    <row r="628" spans="2:4">
      <c r="B628" s="13"/>
      <c r="C628" s="13"/>
      <c r="D628" s="13"/>
    </row>
    <row r="629" spans="2:4">
      <c r="B629" s="13"/>
      <c r="C629" s="13"/>
      <c r="D629" s="13"/>
    </row>
    <row r="630" spans="2:4">
      <c r="B630" s="13"/>
      <c r="C630" s="13"/>
      <c r="D630" s="13"/>
    </row>
    <row r="631" spans="2:4">
      <c r="B631" s="13"/>
      <c r="C631" s="13"/>
      <c r="D631" s="13"/>
    </row>
    <row r="632" spans="2:4">
      <c r="B632" s="13"/>
      <c r="C632" s="13"/>
      <c r="D632" s="13"/>
    </row>
    <row r="633" spans="2:4">
      <c r="B633" s="13"/>
      <c r="C633" s="13"/>
      <c r="D633" s="13"/>
    </row>
    <row r="634" spans="2:4">
      <c r="B634" s="13"/>
      <c r="C634" s="13"/>
      <c r="D634" s="13"/>
    </row>
    <row r="635" spans="2:4">
      <c r="B635" s="13"/>
      <c r="C635" s="13"/>
      <c r="D635" s="13"/>
    </row>
    <row r="636" spans="2:4">
      <c r="B636" s="13"/>
      <c r="C636" s="13"/>
      <c r="D636" s="13"/>
    </row>
    <row r="637" spans="2:4">
      <c r="B637" s="13"/>
      <c r="C637" s="13"/>
      <c r="D637" s="13"/>
    </row>
    <row r="638" spans="2:4">
      <c r="B638" s="13"/>
      <c r="C638" s="13"/>
      <c r="D638" s="13"/>
    </row>
    <row r="639" spans="2:4">
      <c r="B639" s="13"/>
      <c r="C639" s="13"/>
      <c r="D639" s="13"/>
    </row>
    <row r="640" spans="2:4">
      <c r="B640" s="13"/>
      <c r="C640" s="13"/>
      <c r="D640" s="13"/>
    </row>
    <row r="641" spans="2:4">
      <c r="B641" s="13"/>
      <c r="C641" s="13"/>
      <c r="D641" s="13"/>
    </row>
    <row r="642" spans="2:4">
      <c r="B642" s="13"/>
      <c r="C642" s="13"/>
      <c r="D642" s="13"/>
    </row>
    <row r="643" spans="2:4">
      <c r="B643" s="13"/>
      <c r="C643" s="13"/>
      <c r="D643" s="13"/>
    </row>
    <row r="644" spans="2:4">
      <c r="B644" s="13"/>
      <c r="C644" s="13"/>
      <c r="D644" s="13"/>
    </row>
    <row r="645" spans="2:4">
      <c r="B645" s="13"/>
      <c r="C645" s="13"/>
      <c r="D645" s="13"/>
    </row>
    <row r="646" spans="2:4">
      <c r="B646" s="13"/>
      <c r="C646" s="13"/>
      <c r="D646" s="13"/>
    </row>
    <row r="647" spans="2:4">
      <c r="B647" s="13"/>
      <c r="C647" s="13"/>
      <c r="D647" s="13"/>
    </row>
    <row r="648" spans="2:4">
      <c r="B648" s="13"/>
      <c r="C648" s="13"/>
      <c r="D648" s="13"/>
    </row>
    <row r="649" spans="2:4">
      <c r="B649" s="13"/>
      <c r="C649" s="13"/>
      <c r="D649" s="13"/>
    </row>
    <row r="650" spans="2:4">
      <c r="B650" s="13"/>
      <c r="C650" s="13"/>
      <c r="D650" s="13"/>
    </row>
    <row r="651" spans="2:4">
      <c r="B651" s="13"/>
      <c r="C651" s="13"/>
      <c r="D651" s="13"/>
    </row>
    <row r="652" spans="2:4">
      <c r="B652" s="13"/>
      <c r="C652" s="13"/>
      <c r="D652" s="13"/>
    </row>
    <row r="653" spans="2:4">
      <c r="B653" s="13"/>
      <c r="C653" s="13"/>
      <c r="D653" s="13"/>
    </row>
    <row r="654" spans="2:4">
      <c r="B654" s="13"/>
      <c r="C654" s="13"/>
      <c r="D654" s="13"/>
    </row>
    <row r="655" spans="2:4">
      <c r="B655" s="13"/>
      <c r="C655" s="13"/>
      <c r="D655" s="13"/>
    </row>
    <row r="656" spans="2:4">
      <c r="B656" s="13"/>
      <c r="C656" s="13"/>
      <c r="D656" s="13"/>
    </row>
    <row r="657" spans="2:4">
      <c r="B657" s="13"/>
      <c r="C657" s="13"/>
      <c r="D657" s="13"/>
    </row>
    <row r="658" spans="2:4">
      <c r="B658" s="13"/>
      <c r="C658" s="13"/>
      <c r="D658" s="13"/>
    </row>
    <row r="659" spans="2:4">
      <c r="B659" s="13"/>
      <c r="C659" s="13"/>
      <c r="D659" s="13"/>
    </row>
    <row r="660" spans="2:4">
      <c r="B660" s="13"/>
      <c r="C660" s="13"/>
      <c r="D660" s="13"/>
    </row>
    <row r="661" spans="2:4">
      <c r="B661" s="13"/>
      <c r="C661" s="13"/>
      <c r="D661" s="13"/>
    </row>
    <row r="662" spans="2:4">
      <c r="B662" s="13"/>
      <c r="C662" s="13"/>
      <c r="D662" s="13"/>
    </row>
    <row r="663" spans="2:4">
      <c r="B663" s="13"/>
      <c r="C663" s="13"/>
      <c r="D663" s="13"/>
    </row>
    <row r="664" spans="2:4">
      <c r="B664" s="13"/>
      <c r="C664" s="13"/>
      <c r="D664" s="13"/>
    </row>
    <row r="665" spans="2:4">
      <c r="B665" s="13"/>
      <c r="C665" s="13"/>
      <c r="D665" s="13"/>
    </row>
    <row r="666" spans="2:4">
      <c r="B666" s="13"/>
      <c r="C666" s="13"/>
      <c r="D666" s="13"/>
    </row>
    <row r="667" spans="2:4">
      <c r="B667" s="13"/>
      <c r="C667" s="13"/>
      <c r="D667" s="13"/>
    </row>
    <row r="668" spans="2:4">
      <c r="B668" s="13"/>
      <c r="C668" s="13"/>
      <c r="D668" s="13"/>
    </row>
    <row r="669" spans="2:4">
      <c r="B669" s="13"/>
      <c r="C669" s="13"/>
      <c r="D669" s="13"/>
    </row>
    <row r="670" spans="2:4">
      <c r="B670" s="13"/>
      <c r="C670" s="13"/>
      <c r="D670" s="13"/>
    </row>
    <row r="671" spans="2:4">
      <c r="B671" s="13"/>
      <c r="C671" s="13"/>
      <c r="D671" s="13"/>
    </row>
    <row r="672" spans="2:4">
      <c r="B672" s="13"/>
      <c r="C672" s="13"/>
      <c r="D672" s="13"/>
    </row>
    <row r="673" spans="2:4">
      <c r="B673" s="13"/>
      <c r="C673" s="13"/>
      <c r="D673" s="13"/>
    </row>
    <row r="674" spans="2:4">
      <c r="B674" s="13"/>
      <c r="C674" s="13"/>
      <c r="D674" s="13"/>
    </row>
    <row r="675" spans="2:4">
      <c r="B675" s="13"/>
      <c r="C675" s="13"/>
      <c r="D675" s="13"/>
    </row>
    <row r="676" spans="2:4">
      <c r="B676" s="13"/>
      <c r="C676" s="13"/>
      <c r="D676" s="13"/>
    </row>
    <row r="677" spans="2:4">
      <c r="B677" s="13"/>
      <c r="C677" s="13"/>
      <c r="D677" s="13"/>
    </row>
    <row r="678" spans="2:4">
      <c r="B678" s="13"/>
      <c r="C678" s="13"/>
      <c r="D678" s="13"/>
    </row>
    <row r="679" spans="2:4">
      <c r="B679" s="13"/>
      <c r="C679" s="13"/>
      <c r="D679" s="13"/>
    </row>
    <row r="680" spans="2:4">
      <c r="B680" s="13"/>
      <c r="C680" s="13"/>
      <c r="D680" s="13"/>
    </row>
    <row r="681" spans="2:4">
      <c r="B681" s="13"/>
      <c r="C681" s="13"/>
      <c r="D681" s="13"/>
    </row>
    <row r="682" spans="2:4">
      <c r="B682" s="13"/>
      <c r="C682" s="13"/>
      <c r="D682" s="13"/>
    </row>
    <row r="683" spans="2:4">
      <c r="B683" s="13"/>
      <c r="C683" s="13"/>
      <c r="D683" s="13"/>
    </row>
    <row r="684" spans="2:4">
      <c r="B684" s="13"/>
      <c r="C684" s="13"/>
      <c r="D684" s="13"/>
    </row>
    <row r="685" spans="2:4">
      <c r="B685" s="13"/>
      <c r="C685" s="13"/>
      <c r="D685" s="13"/>
    </row>
    <row r="686" spans="2:4">
      <c r="B686" s="13"/>
      <c r="C686" s="13"/>
      <c r="D686" s="13"/>
    </row>
    <row r="687" spans="2:4">
      <c r="B687" s="13"/>
      <c r="C687" s="13"/>
      <c r="D687" s="13"/>
    </row>
    <row r="688" spans="2:4">
      <c r="B688" s="13"/>
      <c r="C688" s="13"/>
      <c r="D688" s="13"/>
    </row>
    <row r="689" spans="2:4">
      <c r="B689" s="13"/>
      <c r="C689" s="13"/>
      <c r="D689" s="13"/>
    </row>
    <row r="690" spans="2:4">
      <c r="B690" s="13"/>
      <c r="C690" s="13"/>
      <c r="D690" s="13"/>
    </row>
    <row r="691" spans="2:4">
      <c r="B691" s="13"/>
      <c r="C691" s="13"/>
      <c r="D691" s="13"/>
    </row>
    <row r="692" spans="2:4">
      <c r="B692" s="13"/>
      <c r="C692" s="13"/>
      <c r="D692" s="13"/>
    </row>
    <row r="693" spans="2:4">
      <c r="B693" s="13"/>
      <c r="C693" s="13"/>
      <c r="D693" s="13"/>
    </row>
    <row r="694" spans="2:4">
      <c r="B694" s="13"/>
      <c r="C694" s="13"/>
      <c r="D694" s="13"/>
    </row>
    <row r="695" spans="2:4">
      <c r="B695" s="13"/>
      <c r="C695" s="13"/>
      <c r="D695" s="13"/>
    </row>
    <row r="696" spans="2:4">
      <c r="B696" s="13"/>
      <c r="C696" s="13"/>
      <c r="D696" s="13"/>
    </row>
    <row r="697" spans="2:4">
      <c r="B697" s="13"/>
      <c r="C697" s="13"/>
      <c r="D697" s="13"/>
    </row>
    <row r="698" spans="2:4">
      <c r="B698" s="13"/>
      <c r="C698" s="13"/>
      <c r="D698" s="13"/>
    </row>
    <row r="699" spans="2:4">
      <c r="B699" s="13"/>
      <c r="C699" s="13"/>
      <c r="D699" s="13"/>
    </row>
    <row r="700" spans="2:4">
      <c r="B700" s="13"/>
      <c r="C700" s="13"/>
      <c r="D700" s="13"/>
    </row>
    <row r="701" spans="2:4">
      <c r="B701" s="13"/>
      <c r="C701" s="13"/>
      <c r="D701" s="13"/>
    </row>
    <row r="702" spans="2:4">
      <c r="B702" s="13"/>
      <c r="C702" s="13"/>
      <c r="D702" s="13"/>
    </row>
    <row r="703" spans="2:4">
      <c r="B703" s="13"/>
      <c r="C703" s="13"/>
      <c r="D703" s="13"/>
    </row>
    <row r="704" spans="2:4">
      <c r="B704" s="13"/>
      <c r="C704" s="13"/>
      <c r="D704" s="13"/>
    </row>
    <row r="705" spans="2:4">
      <c r="B705" s="13"/>
      <c r="C705" s="13"/>
      <c r="D705" s="13"/>
    </row>
    <row r="706" spans="2:4">
      <c r="B706" s="13"/>
      <c r="C706" s="13"/>
      <c r="D706" s="13"/>
    </row>
    <row r="707" spans="2:4">
      <c r="B707" s="13"/>
      <c r="C707" s="13"/>
      <c r="D707" s="13"/>
    </row>
    <row r="708" spans="2:4">
      <c r="B708" s="13"/>
      <c r="C708" s="13"/>
      <c r="D708" s="13"/>
    </row>
    <row r="709" spans="2:4">
      <c r="B709" s="13"/>
      <c r="C709" s="13"/>
      <c r="D709" s="13"/>
    </row>
    <row r="710" spans="2:4">
      <c r="B710" s="13"/>
      <c r="C710" s="13"/>
      <c r="D710" s="13"/>
    </row>
    <row r="711" spans="2:4">
      <c r="B711" s="13"/>
      <c r="C711" s="13"/>
      <c r="D711" s="13"/>
    </row>
    <row r="712" spans="2:4">
      <c r="B712" s="13"/>
      <c r="C712" s="13"/>
      <c r="D712" s="13"/>
    </row>
    <row r="713" spans="2:4">
      <c r="B713" s="13"/>
      <c r="C713" s="13"/>
      <c r="D713" s="13"/>
    </row>
    <row r="714" spans="2:4">
      <c r="B714" s="13"/>
      <c r="C714" s="13"/>
      <c r="D714" s="13"/>
    </row>
    <row r="715" spans="2:4">
      <c r="B715" s="13"/>
      <c r="C715" s="13"/>
      <c r="D715" s="13"/>
    </row>
    <row r="716" spans="2:4">
      <c r="B716" s="13"/>
      <c r="C716" s="13"/>
      <c r="D716" s="13"/>
    </row>
    <row r="717" spans="2:4">
      <c r="B717" s="13"/>
      <c r="C717" s="13"/>
      <c r="D717" s="13"/>
    </row>
    <row r="718" spans="2:4">
      <c r="B718" s="13"/>
      <c r="C718" s="13"/>
      <c r="D718" s="13"/>
    </row>
    <row r="719" spans="2:4">
      <c r="B719" s="13"/>
      <c r="C719" s="13"/>
      <c r="D719" s="13"/>
    </row>
    <row r="720" spans="2:4">
      <c r="B720" s="13"/>
      <c r="C720" s="13"/>
      <c r="D720" s="13"/>
    </row>
    <row r="721" spans="2:4">
      <c r="B721" s="13"/>
      <c r="C721" s="13"/>
      <c r="D721" s="13"/>
    </row>
    <row r="722" spans="2:4">
      <c r="B722" s="13"/>
      <c r="C722" s="13"/>
      <c r="D722" s="13"/>
    </row>
    <row r="723" spans="2:4">
      <c r="B723" s="13"/>
      <c r="C723" s="13"/>
      <c r="D723" s="13"/>
    </row>
    <row r="724" spans="2:4">
      <c r="B724" s="13"/>
      <c r="C724" s="13"/>
      <c r="D724" s="13"/>
    </row>
    <row r="725" spans="2:4">
      <c r="B725" s="13"/>
      <c r="C725" s="13"/>
      <c r="D725" s="13"/>
    </row>
    <row r="726" spans="2:4">
      <c r="B726" s="13"/>
      <c r="C726" s="13"/>
      <c r="D726" s="13"/>
    </row>
    <row r="727" spans="2:4">
      <c r="B727" s="13"/>
      <c r="C727" s="13"/>
      <c r="D727" s="13"/>
    </row>
    <row r="728" spans="2:4">
      <c r="B728" s="13"/>
      <c r="C728" s="13"/>
      <c r="D728" s="13"/>
    </row>
    <row r="729" spans="2:4">
      <c r="B729" s="13"/>
      <c r="C729" s="13"/>
      <c r="D729" s="13"/>
    </row>
    <row r="730" spans="2:4">
      <c r="B730" s="13"/>
      <c r="C730" s="13"/>
      <c r="D730" s="13"/>
    </row>
    <row r="731" spans="2:4">
      <c r="B731" s="13"/>
      <c r="C731" s="13"/>
      <c r="D731" s="13"/>
    </row>
    <row r="732" spans="2:4">
      <c r="B732" s="13"/>
      <c r="C732" s="13"/>
      <c r="D732" s="13"/>
    </row>
    <row r="733" spans="2:4">
      <c r="B733" s="13"/>
      <c r="C733" s="13"/>
      <c r="D733" s="13"/>
    </row>
    <row r="734" spans="2:4">
      <c r="B734" s="13"/>
      <c r="C734" s="13"/>
      <c r="D734" s="13"/>
    </row>
    <row r="735" spans="2:4">
      <c r="B735" s="13"/>
      <c r="C735" s="13"/>
      <c r="D735" s="13"/>
    </row>
    <row r="736" spans="2:4">
      <c r="B736" s="13"/>
      <c r="C736" s="13"/>
      <c r="D736" s="13"/>
    </row>
    <row r="737" spans="2:4">
      <c r="B737" s="13"/>
      <c r="C737" s="13"/>
      <c r="D737" s="13"/>
    </row>
    <row r="738" spans="2:4">
      <c r="B738" s="13"/>
      <c r="C738" s="13"/>
      <c r="D738" s="13"/>
    </row>
    <row r="739" spans="2:4">
      <c r="B739" s="13"/>
      <c r="C739" s="13"/>
      <c r="D739" s="13"/>
    </row>
    <row r="740" spans="2:4">
      <c r="B740" s="13"/>
      <c r="C740" s="13"/>
      <c r="D740" s="13"/>
    </row>
    <row r="741" spans="2:4">
      <c r="B741" s="13"/>
      <c r="C741" s="13"/>
      <c r="D741" s="13"/>
    </row>
    <row r="742" spans="2:4">
      <c r="B742" s="13"/>
      <c r="C742" s="13"/>
      <c r="D742" s="13"/>
    </row>
    <row r="743" spans="2:4">
      <c r="B743" s="13"/>
      <c r="C743" s="13"/>
      <c r="D743" s="13"/>
    </row>
    <row r="744" spans="2:4">
      <c r="B744" s="13"/>
      <c r="C744" s="13"/>
      <c r="D744" s="13"/>
    </row>
    <row r="745" spans="2:4">
      <c r="B745" s="13"/>
      <c r="C745" s="13"/>
      <c r="D745" s="13"/>
    </row>
    <row r="746" spans="2:4">
      <c r="B746" s="13"/>
      <c r="C746" s="13"/>
      <c r="D746" s="13"/>
    </row>
    <row r="747" spans="2:4">
      <c r="B747" s="13"/>
      <c r="C747" s="13"/>
      <c r="D747" s="13"/>
    </row>
    <row r="748" spans="2:4">
      <c r="B748" s="13"/>
      <c r="C748" s="13"/>
      <c r="D748" s="13"/>
    </row>
    <row r="749" spans="2:4">
      <c r="B749" s="13"/>
      <c r="C749" s="13"/>
      <c r="D749" s="13"/>
    </row>
    <row r="750" spans="2:4">
      <c r="B750" s="13"/>
      <c r="C750" s="13"/>
      <c r="D750" s="13"/>
    </row>
    <row r="751" spans="2:4">
      <c r="B751" s="13"/>
      <c r="C751" s="13"/>
      <c r="D751" s="13"/>
    </row>
    <row r="752" spans="2:4">
      <c r="B752" s="13"/>
      <c r="C752" s="13"/>
      <c r="D752" s="13"/>
    </row>
    <row r="753" spans="2:4">
      <c r="B753" s="13"/>
      <c r="C753" s="13"/>
      <c r="D753" s="13"/>
    </row>
    <row r="754" spans="2:4">
      <c r="B754" s="13"/>
      <c r="C754" s="13"/>
      <c r="D754" s="13"/>
    </row>
    <row r="755" spans="2:4">
      <c r="B755" s="13"/>
      <c r="C755" s="13"/>
      <c r="D755" s="13"/>
    </row>
    <row r="756" spans="2:4">
      <c r="B756" s="13"/>
      <c r="C756" s="13"/>
      <c r="D756" s="13"/>
    </row>
    <row r="757" spans="2:4">
      <c r="B757" s="13"/>
      <c r="C757" s="13"/>
      <c r="D757" s="13"/>
    </row>
    <row r="758" spans="2:4">
      <c r="B758" s="13"/>
      <c r="C758" s="13"/>
      <c r="D758" s="13"/>
    </row>
    <row r="759" spans="2:4">
      <c r="B759" s="13"/>
      <c r="C759" s="13"/>
      <c r="D759" s="13"/>
    </row>
    <row r="760" spans="2:4">
      <c r="B760" s="13"/>
      <c r="C760" s="13"/>
      <c r="D760" s="13"/>
    </row>
    <row r="761" spans="2:4">
      <c r="B761" s="13"/>
      <c r="C761" s="13"/>
      <c r="D761" s="13"/>
    </row>
    <row r="762" spans="2:4">
      <c r="B762" s="13"/>
      <c r="C762" s="13"/>
      <c r="D762" s="13"/>
    </row>
    <row r="763" spans="2:4">
      <c r="B763" s="13"/>
      <c r="C763" s="13"/>
      <c r="D763" s="13"/>
    </row>
    <row r="764" spans="2:4">
      <c r="B764" s="13"/>
      <c r="C764" s="13"/>
      <c r="D764" s="13"/>
    </row>
    <row r="765" spans="2:4">
      <c r="B765" s="13"/>
      <c r="C765" s="13"/>
      <c r="D765" s="13"/>
    </row>
    <row r="766" spans="2:4">
      <c r="B766" s="13"/>
      <c r="C766" s="13"/>
      <c r="D766" s="13"/>
    </row>
    <row r="767" spans="2:4">
      <c r="B767" s="13"/>
      <c r="C767" s="13"/>
      <c r="D767" s="13"/>
    </row>
    <row r="768" spans="2:4">
      <c r="B768" s="13"/>
      <c r="C768" s="13"/>
      <c r="D768" s="13"/>
    </row>
    <row r="769" spans="2:4">
      <c r="B769" s="13"/>
      <c r="C769" s="13"/>
      <c r="D769" s="13"/>
    </row>
    <row r="770" spans="2:4">
      <c r="B770" s="13"/>
      <c r="C770" s="13"/>
      <c r="D770" s="13"/>
    </row>
    <row r="771" spans="2:4">
      <c r="B771" s="13"/>
      <c r="C771" s="13"/>
      <c r="D771" s="13"/>
    </row>
    <row r="772" spans="2:4">
      <c r="B772" s="13"/>
      <c r="C772" s="13"/>
      <c r="D772" s="13"/>
    </row>
    <row r="773" spans="2:4">
      <c r="B773" s="13"/>
      <c r="C773" s="13"/>
      <c r="D773" s="13"/>
    </row>
    <row r="774" spans="2:4">
      <c r="B774" s="13"/>
      <c r="C774" s="13"/>
      <c r="D774" s="13"/>
    </row>
    <row r="775" spans="2:4">
      <c r="B775" s="13"/>
      <c r="C775" s="13"/>
      <c r="D775" s="13"/>
    </row>
    <row r="776" spans="2:4">
      <c r="B776" s="13"/>
      <c r="C776" s="13"/>
      <c r="D776" s="13"/>
    </row>
    <row r="777" spans="2:4">
      <c r="B777" s="13"/>
      <c r="C777" s="13"/>
      <c r="D777" s="13"/>
    </row>
    <row r="778" spans="2:4">
      <c r="B778" s="13"/>
      <c r="C778" s="13"/>
      <c r="D778" s="13"/>
    </row>
    <row r="779" spans="2:4">
      <c r="B779" s="13"/>
      <c r="C779" s="13"/>
      <c r="D779" s="13"/>
    </row>
    <row r="780" spans="2:4">
      <c r="B780" s="13"/>
      <c r="C780" s="13"/>
      <c r="D780" s="13"/>
    </row>
    <row r="781" spans="2:4">
      <c r="B781" s="13"/>
      <c r="C781" s="13"/>
      <c r="D781" s="13"/>
    </row>
    <row r="782" spans="2:4">
      <c r="B782" s="13"/>
      <c r="C782" s="13"/>
      <c r="D782" s="13"/>
    </row>
    <row r="783" spans="2:4">
      <c r="B783" s="13"/>
      <c r="C783" s="13"/>
      <c r="D783" s="13"/>
    </row>
    <row r="784" spans="2:4">
      <c r="B784" s="13"/>
      <c r="C784" s="13"/>
      <c r="D784" s="13"/>
    </row>
    <row r="785" spans="2:4">
      <c r="B785" s="13"/>
      <c r="C785" s="13"/>
      <c r="D785" s="13"/>
    </row>
    <row r="786" spans="2:4">
      <c r="B786" s="13"/>
      <c r="C786" s="13"/>
      <c r="D786" s="13"/>
    </row>
    <row r="787" spans="2:4">
      <c r="B787" s="13"/>
      <c r="C787" s="13"/>
      <c r="D787" s="13"/>
    </row>
    <row r="788" spans="2:4">
      <c r="B788" s="13"/>
      <c r="C788" s="13"/>
      <c r="D788" s="13"/>
    </row>
    <row r="789" spans="2:4">
      <c r="B789" s="13"/>
      <c r="C789" s="13"/>
      <c r="D789" s="13"/>
    </row>
    <row r="790" spans="2:4">
      <c r="B790" s="13"/>
      <c r="C790" s="13"/>
      <c r="D790" s="13"/>
    </row>
    <row r="791" spans="2:4">
      <c r="B791" s="13"/>
      <c r="C791" s="13"/>
      <c r="D791" s="13"/>
    </row>
    <row r="792" spans="2:4">
      <c r="B792" s="13"/>
      <c r="C792" s="13"/>
      <c r="D792" s="13"/>
    </row>
    <row r="793" spans="2:4">
      <c r="B793" s="13"/>
      <c r="C793" s="13"/>
      <c r="D793" s="13"/>
    </row>
    <row r="794" spans="2:4">
      <c r="B794" s="13"/>
      <c r="C794" s="13"/>
      <c r="D794" s="13"/>
    </row>
    <row r="795" spans="2:4">
      <c r="B795" s="13"/>
      <c r="C795" s="13"/>
      <c r="D795" s="13"/>
    </row>
    <row r="796" spans="2:4">
      <c r="B796" s="13"/>
      <c r="C796" s="13"/>
      <c r="D796" s="13"/>
    </row>
    <row r="797" spans="2:4">
      <c r="B797" s="13"/>
      <c r="C797" s="13"/>
      <c r="D797" s="13"/>
    </row>
    <row r="798" spans="2:4">
      <c r="B798" s="13"/>
      <c r="C798" s="13"/>
      <c r="D798" s="13"/>
    </row>
    <row r="799" spans="2:4">
      <c r="B799" s="13"/>
      <c r="C799" s="13"/>
      <c r="D799" s="13"/>
    </row>
    <row r="800" spans="2:4">
      <c r="B800" s="13"/>
      <c r="C800" s="13"/>
      <c r="D800" s="13"/>
    </row>
    <row r="801" spans="2:4">
      <c r="B801" s="13"/>
      <c r="C801" s="13"/>
      <c r="D801" s="13"/>
    </row>
    <row r="802" spans="2:4">
      <c r="B802" s="13"/>
      <c r="C802" s="13"/>
      <c r="D802" s="13"/>
    </row>
    <row r="803" spans="2:4">
      <c r="B803" s="13"/>
      <c r="C803" s="13"/>
      <c r="D803" s="13"/>
    </row>
    <row r="804" spans="2:4">
      <c r="B804" s="13"/>
      <c r="C804" s="13"/>
      <c r="D804" s="13"/>
    </row>
    <row r="805" spans="2:4">
      <c r="B805" s="13"/>
      <c r="C805" s="13"/>
      <c r="D805" s="13"/>
    </row>
    <row r="806" spans="2:4">
      <c r="B806" s="13"/>
      <c r="C806" s="13"/>
      <c r="D806" s="13"/>
    </row>
    <row r="807" spans="2:4">
      <c r="B807" s="13"/>
      <c r="C807" s="13"/>
      <c r="D807" s="13"/>
    </row>
    <row r="808" spans="2:4">
      <c r="B808" s="13"/>
      <c r="C808" s="13"/>
      <c r="D808" s="13"/>
    </row>
    <row r="809" spans="2:4">
      <c r="B809" s="13"/>
      <c r="C809" s="13"/>
      <c r="D809" s="13"/>
    </row>
    <row r="810" spans="2:4">
      <c r="B810" s="13"/>
      <c r="C810" s="13"/>
      <c r="D810" s="13"/>
    </row>
    <row r="811" spans="2:4">
      <c r="B811" s="13"/>
      <c r="C811" s="13"/>
      <c r="D811" s="13"/>
    </row>
    <row r="812" spans="2:4">
      <c r="B812" s="13"/>
      <c r="C812" s="13"/>
      <c r="D812" s="13"/>
    </row>
    <row r="813" spans="2:4">
      <c r="B813" s="13"/>
      <c r="C813" s="13"/>
      <c r="D813" s="13"/>
    </row>
    <row r="814" spans="2:4">
      <c r="B814" s="13"/>
      <c r="C814" s="13"/>
      <c r="D814" s="13"/>
    </row>
    <row r="815" spans="2:4">
      <c r="B815" s="13"/>
      <c r="C815" s="13"/>
      <c r="D815" s="13"/>
    </row>
    <row r="816" spans="2:4">
      <c r="B816" s="13"/>
      <c r="C816" s="13"/>
      <c r="D816" s="13"/>
    </row>
    <row r="817" spans="2:4">
      <c r="B817" s="13"/>
      <c r="C817" s="13"/>
      <c r="D817" s="13"/>
    </row>
    <row r="818" spans="2:4">
      <c r="B818" s="13"/>
      <c r="C818" s="13"/>
      <c r="D818" s="13"/>
    </row>
    <row r="819" spans="2:4">
      <c r="B819" s="13"/>
      <c r="C819" s="13"/>
      <c r="D819" s="13"/>
    </row>
    <row r="820" spans="2:4">
      <c r="B820" s="13"/>
      <c r="C820" s="13"/>
      <c r="D820" s="13"/>
    </row>
    <row r="821" spans="2:4">
      <c r="B821" s="13"/>
      <c r="C821" s="13"/>
      <c r="D821" s="13"/>
    </row>
    <row r="822" spans="2:4">
      <c r="B822" s="13"/>
      <c r="C822" s="13"/>
      <c r="D822" s="13"/>
    </row>
    <row r="823" spans="2:4">
      <c r="B823" s="13"/>
      <c r="C823" s="13"/>
      <c r="D823" s="13"/>
    </row>
    <row r="824" spans="2:4">
      <c r="B824" s="13"/>
      <c r="C824" s="13"/>
      <c r="D824" s="13"/>
    </row>
    <row r="825" spans="2:4">
      <c r="B825" s="13"/>
      <c r="C825" s="13"/>
      <c r="D825" s="13"/>
    </row>
    <row r="826" spans="2:4">
      <c r="B826" s="13"/>
      <c r="C826" s="13"/>
      <c r="D826" s="13"/>
    </row>
    <row r="827" spans="2:4">
      <c r="B827" s="13"/>
      <c r="C827" s="13"/>
      <c r="D827" s="13"/>
    </row>
    <row r="828" spans="2:4">
      <c r="B828" s="13"/>
      <c r="C828" s="13"/>
      <c r="D828" s="13"/>
    </row>
    <row r="829" spans="2:4">
      <c r="B829" s="13"/>
      <c r="C829" s="13"/>
      <c r="D829" s="13"/>
    </row>
    <row r="830" spans="2:4">
      <c r="B830" s="13"/>
      <c r="C830" s="13"/>
      <c r="D830" s="13"/>
    </row>
    <row r="831" spans="2:4">
      <c r="B831" s="13"/>
      <c r="C831" s="13"/>
      <c r="D831" s="13"/>
    </row>
    <row r="832" spans="2:4">
      <c r="B832" s="13"/>
      <c r="C832" s="13"/>
      <c r="D832" s="13"/>
    </row>
    <row r="833" spans="2:4">
      <c r="B833" s="13"/>
      <c r="C833" s="13"/>
      <c r="D833" s="13"/>
    </row>
    <row r="834" spans="2:4">
      <c r="B834" s="13"/>
      <c r="C834" s="13"/>
      <c r="D834" s="13"/>
    </row>
    <row r="835" spans="2:4">
      <c r="B835" s="13"/>
      <c r="C835" s="13"/>
      <c r="D835" s="13"/>
    </row>
    <row r="836" spans="2:4">
      <c r="B836" s="13"/>
      <c r="C836" s="13"/>
      <c r="D836" s="13"/>
    </row>
    <row r="837" spans="2:4">
      <c r="B837" s="13"/>
      <c r="C837" s="13"/>
      <c r="D837" s="13"/>
    </row>
    <row r="838" spans="2:4">
      <c r="B838" s="13"/>
      <c r="C838" s="13"/>
      <c r="D838" s="13"/>
    </row>
    <row r="839" spans="2:4">
      <c r="B839" s="13"/>
      <c r="C839" s="13"/>
      <c r="D839" s="13"/>
    </row>
    <row r="840" spans="2:4">
      <c r="B840" s="13"/>
      <c r="C840" s="13"/>
      <c r="D840" s="13"/>
    </row>
    <row r="841" spans="2:4">
      <c r="B841" s="13"/>
      <c r="C841" s="13"/>
      <c r="D841" s="13"/>
    </row>
    <row r="842" spans="2:4">
      <c r="B842" s="13"/>
      <c r="C842" s="13"/>
      <c r="D842" s="13"/>
    </row>
    <row r="843" spans="2:4">
      <c r="B843" s="13"/>
      <c r="C843" s="13"/>
      <c r="D843" s="13"/>
    </row>
    <row r="844" spans="2:4">
      <c r="B844" s="13"/>
      <c r="C844" s="13"/>
      <c r="D844" s="13"/>
    </row>
    <row r="845" spans="2:4">
      <c r="B845" s="13"/>
      <c r="C845" s="13"/>
      <c r="D845" s="13"/>
    </row>
    <row r="846" spans="2:4">
      <c r="B846" s="13"/>
      <c r="C846" s="13"/>
      <c r="D846" s="13"/>
    </row>
    <row r="847" spans="2:4">
      <c r="B847" s="13"/>
      <c r="C847" s="13"/>
      <c r="D847" s="13"/>
    </row>
    <row r="848" spans="2:4">
      <c r="B848" s="13"/>
      <c r="C848" s="13"/>
      <c r="D848" s="13"/>
    </row>
    <row r="849" spans="2:4">
      <c r="B849" s="13"/>
      <c r="C849" s="13"/>
      <c r="D849" s="13"/>
    </row>
    <row r="850" spans="2:4">
      <c r="B850" s="13"/>
      <c r="C850" s="13"/>
      <c r="D850" s="13"/>
    </row>
    <row r="851" spans="2:4">
      <c r="B851" s="13"/>
      <c r="C851" s="13"/>
      <c r="D851" s="13"/>
    </row>
    <row r="852" spans="2:4">
      <c r="B852" s="13"/>
      <c r="C852" s="13"/>
      <c r="D852" s="13"/>
    </row>
    <row r="853" spans="2:4">
      <c r="B853" s="13"/>
      <c r="C853" s="13"/>
      <c r="D853" s="13"/>
    </row>
    <row r="854" spans="2:4">
      <c r="B854" s="13"/>
      <c r="C854" s="13"/>
      <c r="D854" s="13"/>
    </row>
    <row r="855" spans="2:4">
      <c r="B855" s="13"/>
      <c r="C855" s="13"/>
      <c r="D855" s="13"/>
    </row>
    <row r="856" spans="2:4">
      <c r="B856" s="13"/>
      <c r="C856" s="13"/>
      <c r="D856" s="13"/>
    </row>
    <row r="857" spans="2:4">
      <c r="B857" s="13"/>
      <c r="C857" s="13"/>
      <c r="D857" s="13"/>
    </row>
    <row r="858" spans="2:4">
      <c r="B858" s="13"/>
      <c r="C858" s="13"/>
      <c r="D858" s="13"/>
    </row>
    <row r="859" spans="2:4">
      <c r="B859" s="13"/>
      <c r="C859" s="13"/>
      <c r="D859" s="13"/>
    </row>
    <row r="860" spans="2:4">
      <c r="B860" s="13"/>
      <c r="C860" s="13"/>
      <c r="D860" s="13"/>
    </row>
    <row r="861" spans="2:4">
      <c r="B861" s="13"/>
      <c r="C861" s="13"/>
      <c r="D861" s="13"/>
    </row>
    <row r="862" spans="2:4">
      <c r="B862" s="13"/>
      <c r="C862" s="13"/>
      <c r="D862" s="13"/>
    </row>
    <row r="863" spans="2:4">
      <c r="B863" s="13"/>
      <c r="C863" s="13"/>
      <c r="D863" s="13"/>
    </row>
    <row r="864" spans="2:4">
      <c r="B864" s="13"/>
      <c r="C864" s="13"/>
      <c r="D864" s="13"/>
    </row>
    <row r="865" spans="2:4">
      <c r="B865" s="13"/>
      <c r="C865" s="13"/>
      <c r="D865" s="13"/>
    </row>
    <row r="866" spans="2:4">
      <c r="B866" s="13"/>
      <c r="C866" s="13"/>
      <c r="D866" s="13"/>
    </row>
    <row r="867" spans="2:4">
      <c r="B867" s="13"/>
      <c r="C867" s="13"/>
      <c r="D867" s="13"/>
    </row>
    <row r="868" spans="2:4">
      <c r="B868" s="13"/>
      <c r="C868" s="13"/>
      <c r="D868" s="13"/>
    </row>
    <row r="869" spans="2:4">
      <c r="B869" s="13"/>
      <c r="C869" s="13"/>
      <c r="D869" s="13"/>
    </row>
    <row r="870" spans="2:4">
      <c r="B870" s="13"/>
      <c r="C870" s="13"/>
      <c r="D870" s="13"/>
    </row>
    <row r="871" spans="2:4">
      <c r="B871" s="13"/>
      <c r="C871" s="13"/>
      <c r="D871" s="13"/>
    </row>
    <row r="872" spans="2:4">
      <c r="B872" s="13"/>
      <c r="C872" s="13"/>
      <c r="D872" s="13"/>
    </row>
    <row r="873" spans="2:4">
      <c r="B873" s="13"/>
      <c r="C873" s="13"/>
      <c r="D873" s="13"/>
    </row>
    <row r="874" spans="2:4">
      <c r="B874" s="13"/>
      <c r="C874" s="13"/>
      <c r="D874" s="13"/>
    </row>
    <row r="875" spans="2:4">
      <c r="B875" s="13"/>
      <c r="C875" s="13"/>
      <c r="D875" s="13"/>
    </row>
    <row r="876" spans="2:4">
      <c r="B876" s="13"/>
      <c r="C876" s="13"/>
      <c r="D876" s="13"/>
    </row>
    <row r="877" spans="2:4">
      <c r="B877" s="13"/>
      <c r="C877" s="13"/>
      <c r="D877" s="13"/>
    </row>
    <row r="878" spans="2:4">
      <c r="B878" s="13"/>
      <c r="C878" s="13"/>
      <c r="D878" s="13"/>
    </row>
    <row r="879" spans="2:4">
      <c r="B879" s="13"/>
      <c r="C879" s="13"/>
      <c r="D879" s="13"/>
    </row>
    <row r="880" spans="2:4">
      <c r="B880" s="13"/>
      <c r="C880" s="13"/>
      <c r="D880" s="13"/>
    </row>
    <row r="881" spans="2:4">
      <c r="B881" s="13"/>
      <c r="C881" s="13"/>
      <c r="D881" s="13"/>
    </row>
    <row r="882" spans="2:4">
      <c r="B882" s="13"/>
      <c r="C882" s="13"/>
      <c r="D882" s="13"/>
    </row>
    <row r="883" spans="2:4">
      <c r="B883" s="13"/>
      <c r="C883" s="13"/>
      <c r="D883" s="13"/>
    </row>
    <row r="884" spans="2:4">
      <c r="B884" s="13"/>
      <c r="C884" s="13"/>
      <c r="D884" s="13"/>
    </row>
    <row r="885" spans="2:4">
      <c r="B885" s="13"/>
      <c r="C885" s="13"/>
      <c r="D885" s="13"/>
    </row>
    <row r="886" spans="2:4">
      <c r="B886" s="13"/>
      <c r="C886" s="13"/>
      <c r="D886" s="13"/>
    </row>
    <row r="887" spans="2:4">
      <c r="B887" s="13"/>
      <c r="C887" s="13"/>
      <c r="D887" s="13"/>
    </row>
    <row r="888" spans="2:4">
      <c r="B888" s="13"/>
      <c r="C888" s="13"/>
      <c r="D888" s="13"/>
    </row>
    <row r="889" spans="2:4">
      <c r="B889" s="13"/>
      <c r="C889" s="13"/>
      <c r="D889" s="13"/>
    </row>
    <row r="890" spans="2:4">
      <c r="B890" s="13"/>
      <c r="C890" s="13"/>
      <c r="D890" s="13"/>
    </row>
    <row r="891" spans="2:4">
      <c r="B891" s="13"/>
      <c r="C891" s="13"/>
      <c r="D891" s="13"/>
    </row>
    <row r="892" spans="2:4">
      <c r="B892" s="13"/>
      <c r="C892" s="13"/>
      <c r="D892" s="13"/>
    </row>
    <row r="893" spans="2:4">
      <c r="B893" s="13"/>
      <c r="C893" s="13"/>
      <c r="D893" s="13"/>
    </row>
    <row r="894" spans="2:4">
      <c r="B894" s="13"/>
      <c r="C894" s="13"/>
      <c r="D894" s="13"/>
    </row>
    <row r="895" spans="2:4">
      <c r="B895" s="13"/>
      <c r="C895" s="13"/>
      <c r="D895" s="13"/>
    </row>
    <row r="896" spans="2:4">
      <c r="B896" s="13"/>
      <c r="C896" s="13"/>
      <c r="D896" s="13"/>
    </row>
    <row r="897" spans="2:4">
      <c r="B897" s="13"/>
      <c r="C897" s="13"/>
      <c r="D897" s="13"/>
    </row>
    <row r="898" spans="2:4">
      <c r="B898" s="13"/>
      <c r="C898" s="13"/>
      <c r="D898" s="13"/>
    </row>
    <row r="899" spans="2:4">
      <c r="B899" s="13"/>
      <c r="C899" s="13"/>
      <c r="D899" s="13"/>
    </row>
    <row r="900" spans="2:4">
      <c r="B900" s="13"/>
      <c r="C900" s="13"/>
      <c r="D900" s="13"/>
    </row>
    <row r="901" spans="2:4">
      <c r="B901" s="13"/>
      <c r="C901" s="13"/>
      <c r="D901" s="13"/>
    </row>
    <row r="902" spans="2:4">
      <c r="B902" s="13"/>
      <c r="C902" s="13"/>
      <c r="D902" s="13"/>
    </row>
    <row r="903" spans="2:4">
      <c r="B903" s="13"/>
      <c r="C903" s="13"/>
      <c r="D903" s="13"/>
    </row>
    <row r="904" spans="2:4">
      <c r="B904" s="13"/>
      <c r="C904" s="13"/>
      <c r="D904" s="13"/>
    </row>
    <row r="905" spans="2:4">
      <c r="B905" s="13"/>
      <c r="C905" s="13"/>
      <c r="D905" s="13"/>
    </row>
    <row r="906" spans="2:4">
      <c r="B906" s="13"/>
      <c r="C906" s="13"/>
      <c r="D906" s="13"/>
    </row>
    <row r="907" spans="2:4">
      <c r="B907" s="13"/>
      <c r="C907" s="13"/>
      <c r="D907" s="13"/>
    </row>
    <row r="908" spans="2:4">
      <c r="B908" s="13"/>
      <c r="C908" s="13"/>
      <c r="D908" s="13"/>
    </row>
    <row r="909" spans="2:4">
      <c r="B909" s="13"/>
      <c r="C909" s="13"/>
      <c r="D909" s="13"/>
    </row>
    <row r="910" spans="2:4">
      <c r="B910" s="13"/>
      <c r="C910" s="13"/>
      <c r="D910" s="13"/>
    </row>
    <row r="911" spans="2:4">
      <c r="B911" s="13"/>
      <c r="C911" s="13"/>
      <c r="D911" s="13"/>
    </row>
    <row r="912" spans="2:4">
      <c r="B912" s="13"/>
      <c r="C912" s="13"/>
      <c r="D912" s="13"/>
    </row>
    <row r="913" spans="2:4">
      <c r="B913" s="13"/>
      <c r="C913" s="13"/>
      <c r="D913" s="13"/>
    </row>
    <row r="914" spans="2:4">
      <c r="B914" s="13"/>
      <c r="C914" s="13"/>
      <c r="D914" s="13"/>
    </row>
    <row r="915" spans="2:4">
      <c r="B915" s="13"/>
      <c r="C915" s="13"/>
      <c r="D915" s="13"/>
    </row>
    <row r="916" spans="2:4">
      <c r="B916" s="13"/>
      <c r="C916" s="13"/>
      <c r="D916" s="13"/>
    </row>
    <row r="917" spans="2:4">
      <c r="B917" s="13"/>
      <c r="C917" s="13"/>
      <c r="D917" s="13"/>
    </row>
    <row r="918" spans="2:4">
      <c r="B918" s="13"/>
      <c r="C918" s="13"/>
      <c r="D918" s="13"/>
    </row>
    <row r="919" spans="2:4">
      <c r="B919" s="13"/>
      <c r="C919" s="13"/>
      <c r="D919" s="13"/>
    </row>
    <row r="920" spans="2:4">
      <c r="B920" s="13"/>
      <c r="C920" s="13"/>
      <c r="D920" s="13"/>
    </row>
    <row r="921" spans="2:4">
      <c r="B921" s="13"/>
      <c r="C921" s="13"/>
      <c r="D921" s="13"/>
    </row>
    <row r="922" spans="2:4">
      <c r="B922" s="13"/>
      <c r="C922" s="13"/>
      <c r="D922" s="13"/>
    </row>
    <row r="923" spans="2:4">
      <c r="B923" s="13"/>
      <c r="C923" s="13"/>
      <c r="D923" s="13"/>
    </row>
    <row r="924" spans="2:4">
      <c r="B924" s="13"/>
      <c r="C924" s="13"/>
      <c r="D924" s="13"/>
    </row>
    <row r="925" spans="2:4">
      <c r="B925" s="13"/>
      <c r="C925" s="13"/>
      <c r="D925" s="13"/>
    </row>
    <row r="926" spans="2:4">
      <c r="B926" s="13"/>
      <c r="C926" s="13"/>
      <c r="D926" s="13"/>
    </row>
    <row r="927" spans="2:4">
      <c r="B927" s="13"/>
      <c r="C927" s="13"/>
      <c r="D927" s="13"/>
    </row>
    <row r="928" spans="2:4">
      <c r="B928" s="13"/>
      <c r="C928" s="13"/>
      <c r="D928" s="13"/>
    </row>
    <row r="929" spans="2:4">
      <c r="B929" s="13"/>
      <c r="C929" s="13"/>
      <c r="D929" s="13"/>
    </row>
    <row r="930" spans="2:4">
      <c r="B930" s="13"/>
      <c r="C930" s="13"/>
      <c r="D930" s="13"/>
    </row>
    <row r="931" spans="2:4">
      <c r="B931" s="13"/>
      <c r="C931" s="13"/>
      <c r="D931" s="13"/>
    </row>
    <row r="932" spans="2:4">
      <c r="B932" s="13"/>
      <c r="C932" s="13"/>
      <c r="D932" s="13"/>
    </row>
    <row r="933" spans="2:4">
      <c r="B933" s="13"/>
      <c r="C933" s="13"/>
      <c r="D933" s="13"/>
    </row>
    <row r="934" spans="2:4">
      <c r="B934" s="13"/>
      <c r="C934" s="13"/>
      <c r="D934" s="13"/>
    </row>
    <row r="935" spans="2:4">
      <c r="B935" s="13"/>
      <c r="C935" s="13"/>
      <c r="D935" s="13"/>
    </row>
    <row r="936" spans="2:4">
      <c r="B936" s="13"/>
      <c r="C936" s="13"/>
      <c r="D936" s="13"/>
    </row>
    <row r="937" spans="2:4">
      <c r="B937" s="13"/>
      <c r="C937" s="13"/>
      <c r="D937" s="13"/>
    </row>
    <row r="938" spans="2:4">
      <c r="B938" s="13"/>
      <c r="C938" s="13"/>
      <c r="D938" s="13"/>
    </row>
    <row r="939" spans="2:4">
      <c r="B939" s="13"/>
      <c r="C939" s="13"/>
      <c r="D939" s="13"/>
    </row>
    <row r="940" spans="2:4">
      <c r="B940" s="13"/>
      <c r="C940" s="13"/>
      <c r="D940" s="13"/>
    </row>
    <row r="941" spans="2:4">
      <c r="B941" s="13"/>
      <c r="C941" s="13"/>
      <c r="D941" s="13"/>
    </row>
    <row r="942" spans="2:4">
      <c r="B942" s="13"/>
      <c r="C942" s="13"/>
      <c r="D942" s="13"/>
    </row>
    <row r="943" spans="2:4">
      <c r="B943" s="13"/>
      <c r="C943" s="13"/>
      <c r="D943" s="13"/>
    </row>
    <row r="944" spans="2:4">
      <c r="B944" s="13"/>
      <c r="C944" s="13"/>
      <c r="D944" s="13"/>
    </row>
    <row r="945" spans="2:4">
      <c r="B945" s="13"/>
      <c r="C945" s="13"/>
      <c r="D945" s="13"/>
    </row>
    <row r="946" spans="2:4">
      <c r="B946" s="13"/>
      <c r="C946" s="13"/>
      <c r="D946" s="13"/>
    </row>
    <row r="947" spans="2:4">
      <c r="B947" s="13"/>
      <c r="C947" s="13"/>
      <c r="D947" s="13"/>
    </row>
    <row r="948" spans="2:4">
      <c r="B948" s="13"/>
      <c r="C948" s="13"/>
      <c r="D948" s="13"/>
    </row>
    <row r="949" spans="2:4">
      <c r="B949" s="13"/>
      <c r="C949" s="13"/>
      <c r="D949" s="13"/>
    </row>
    <row r="950" spans="2:4">
      <c r="B950" s="13"/>
      <c r="C950" s="13"/>
      <c r="D950" s="13"/>
    </row>
    <row r="951" spans="2:4">
      <c r="B951" s="13"/>
      <c r="C951" s="13"/>
      <c r="D951" s="13"/>
    </row>
    <row r="952" spans="2:4">
      <c r="B952" s="13"/>
      <c r="C952" s="13"/>
      <c r="D952" s="13"/>
    </row>
    <row r="953" spans="2:4">
      <c r="B953" s="13"/>
      <c r="C953" s="13"/>
      <c r="D953" s="13"/>
    </row>
    <row r="954" spans="2:4">
      <c r="B954" s="13"/>
      <c r="C954" s="13"/>
      <c r="D954" s="13"/>
    </row>
    <row r="955" spans="2:4">
      <c r="B955" s="13"/>
      <c r="C955" s="13"/>
      <c r="D955" s="13"/>
    </row>
    <row r="956" spans="2:4">
      <c r="B956" s="13"/>
      <c r="C956" s="13"/>
      <c r="D956" s="13"/>
    </row>
    <row r="957" spans="2:4">
      <c r="B957" s="13"/>
      <c r="C957" s="13"/>
      <c r="D957" s="13"/>
    </row>
    <row r="958" spans="2:4">
      <c r="B958" s="13"/>
      <c r="C958" s="13"/>
      <c r="D958" s="13"/>
    </row>
    <row r="959" spans="2:4">
      <c r="B959" s="13"/>
      <c r="C959" s="13"/>
      <c r="D959" s="13"/>
    </row>
    <row r="960" spans="2:4">
      <c r="B960" s="13"/>
      <c r="C960" s="13"/>
      <c r="D960" s="13"/>
    </row>
    <row r="961" spans="2:4">
      <c r="B961" s="13"/>
      <c r="C961" s="13"/>
      <c r="D961" s="13"/>
    </row>
    <row r="962" spans="2:4">
      <c r="B962" s="13"/>
      <c r="C962" s="13"/>
      <c r="D962" s="13"/>
    </row>
    <row r="963" spans="2:4">
      <c r="B963" s="13"/>
      <c r="C963" s="13"/>
      <c r="D963" s="13"/>
    </row>
    <row r="964" spans="2:4">
      <c r="B964" s="13"/>
      <c r="C964" s="13"/>
      <c r="D964" s="13"/>
    </row>
    <row r="965" spans="2:4">
      <c r="B965" s="13"/>
      <c r="C965" s="13"/>
      <c r="D965" s="13"/>
    </row>
    <row r="966" spans="2:4">
      <c r="B966" s="13"/>
      <c r="C966" s="13"/>
      <c r="D966" s="13"/>
    </row>
    <row r="967" spans="2:4">
      <c r="B967" s="13"/>
      <c r="C967" s="13"/>
      <c r="D967" s="13"/>
    </row>
    <row r="968" spans="2:4">
      <c r="B968" s="13"/>
      <c r="C968" s="13"/>
      <c r="D968" s="13"/>
    </row>
    <row r="969" spans="2:4">
      <c r="B969" s="13"/>
      <c r="C969" s="13"/>
      <c r="D969" s="13"/>
    </row>
    <row r="970" spans="2:4">
      <c r="B970" s="13"/>
      <c r="C970" s="13"/>
      <c r="D970" s="13"/>
    </row>
    <row r="971" spans="2:4">
      <c r="B971" s="13"/>
      <c r="C971" s="13"/>
      <c r="D971" s="13"/>
    </row>
    <row r="972" spans="2:4">
      <c r="B972" s="13"/>
      <c r="C972" s="13"/>
      <c r="D972" s="13"/>
    </row>
    <row r="973" spans="2:4">
      <c r="B973" s="13"/>
      <c r="C973" s="13"/>
      <c r="D973" s="13"/>
    </row>
    <row r="974" spans="2:4">
      <c r="B974" s="13"/>
      <c r="C974" s="13"/>
      <c r="D974" s="13"/>
    </row>
    <row r="975" spans="2:4">
      <c r="B975" s="13"/>
      <c r="C975" s="13"/>
      <c r="D975" s="13"/>
    </row>
    <row r="976" spans="2:4">
      <c r="B976" s="13"/>
      <c r="C976" s="13"/>
      <c r="D976" s="13"/>
    </row>
    <row r="977" spans="2:4">
      <c r="B977" s="13"/>
      <c r="C977" s="13"/>
      <c r="D977" s="13"/>
    </row>
    <row r="978" spans="2:4">
      <c r="B978" s="13"/>
      <c r="C978" s="13"/>
      <c r="D978" s="13"/>
    </row>
    <row r="979" spans="2:4">
      <c r="B979" s="13"/>
      <c r="C979" s="13"/>
      <c r="D979" s="13"/>
    </row>
    <row r="980" spans="2:4">
      <c r="B980" s="13"/>
      <c r="C980" s="13"/>
      <c r="D980" s="13"/>
    </row>
    <row r="981" spans="2:4">
      <c r="B981" s="13"/>
      <c r="C981" s="13"/>
      <c r="D981" s="13"/>
    </row>
    <row r="982" spans="2:4">
      <c r="B982" s="13"/>
      <c r="C982" s="13"/>
      <c r="D982" s="13"/>
    </row>
    <row r="983" spans="2:4">
      <c r="B983" s="13"/>
      <c r="C983" s="13"/>
      <c r="D983" s="13"/>
    </row>
    <row r="984" spans="2:4">
      <c r="B984" s="13"/>
      <c r="C984" s="13"/>
      <c r="D984" s="13"/>
    </row>
    <row r="985" spans="2:4">
      <c r="B985" s="13"/>
      <c r="C985" s="13"/>
      <c r="D985" s="13"/>
    </row>
    <row r="986" spans="2:4">
      <c r="B986" s="13"/>
      <c r="C986" s="13"/>
      <c r="D986" s="13"/>
    </row>
    <row r="987" spans="2:4">
      <c r="B987" s="13"/>
      <c r="C987" s="13"/>
      <c r="D987" s="13"/>
    </row>
    <row r="988" spans="2:4">
      <c r="B988" s="13"/>
      <c r="C988" s="13"/>
      <c r="D988" s="13"/>
    </row>
    <row r="989" spans="2:4">
      <c r="B989" s="13"/>
      <c r="C989" s="13"/>
      <c r="D989" s="13"/>
    </row>
    <row r="990" spans="2:4">
      <c r="B990" s="13"/>
      <c r="C990" s="13"/>
      <c r="D990" s="13"/>
    </row>
    <row r="991" spans="2:4">
      <c r="B991" s="13"/>
      <c r="C991" s="13"/>
      <c r="D991" s="13"/>
    </row>
    <row r="992" spans="2:4">
      <c r="B992" s="13"/>
      <c r="C992" s="13"/>
      <c r="D992" s="13"/>
    </row>
    <row r="993" spans="2:4">
      <c r="B993" s="13"/>
      <c r="C993" s="13"/>
      <c r="D993" s="13"/>
    </row>
    <row r="994" spans="2:4">
      <c r="B994" s="13"/>
      <c r="C994" s="13"/>
      <c r="D994" s="13"/>
    </row>
    <row r="995" spans="2:4">
      <c r="B995" s="13"/>
      <c r="C995" s="13"/>
      <c r="D995" s="13"/>
    </row>
    <row r="996" spans="2:4">
      <c r="B996" s="13"/>
      <c r="C996" s="13"/>
      <c r="D996" s="13"/>
    </row>
    <row r="997" spans="2:4">
      <c r="B997" s="13"/>
      <c r="C997" s="13"/>
      <c r="D997" s="13"/>
    </row>
    <row r="998" spans="2:4">
      <c r="B998" s="13"/>
      <c r="C998" s="13"/>
      <c r="D998" s="13"/>
    </row>
    <row r="999" spans="2:4">
      <c r="B999" s="13"/>
      <c r="C999" s="13"/>
      <c r="D999" s="13"/>
    </row>
    <row r="1000" spans="2:4">
      <c r="B1000" s="13"/>
      <c r="C1000" s="13"/>
      <c r="D1000" s="13"/>
    </row>
    <row r="1001" spans="2:4">
      <c r="B1001" s="13"/>
      <c r="C1001" s="13"/>
      <c r="D1001" s="13"/>
    </row>
    <row r="1002" spans="2:4">
      <c r="B1002" s="13"/>
      <c r="C1002" s="13"/>
      <c r="D1002" s="13"/>
    </row>
    <row r="1003" spans="2:4">
      <c r="B1003" s="13"/>
      <c r="C1003" s="13"/>
      <c r="D1003" s="13"/>
    </row>
    <row r="1004" spans="2:4">
      <c r="B1004" s="13"/>
      <c r="C1004" s="13"/>
      <c r="D1004" s="13"/>
    </row>
    <row r="1005" spans="2:4">
      <c r="B1005" s="13"/>
      <c r="C1005" s="13"/>
      <c r="D1005" s="13"/>
    </row>
    <row r="1006" spans="2:4">
      <c r="B1006" s="13"/>
      <c r="C1006" s="13"/>
      <c r="D1006" s="13"/>
    </row>
    <row r="1007" spans="2:4">
      <c r="B1007" s="13"/>
      <c r="C1007" s="13"/>
      <c r="D1007" s="13"/>
    </row>
    <row r="1008" spans="2:4">
      <c r="B1008" s="13"/>
      <c r="C1008" s="13"/>
      <c r="D1008" s="13"/>
    </row>
    <row r="1009" spans="2:4">
      <c r="B1009" s="13"/>
      <c r="C1009" s="13"/>
      <c r="D1009" s="13"/>
    </row>
    <row r="1010" spans="2:4">
      <c r="B1010" s="13"/>
      <c r="C1010" s="13"/>
      <c r="D1010" s="13"/>
    </row>
    <row r="1011" spans="2:4">
      <c r="B1011" s="13"/>
      <c r="C1011" s="13"/>
      <c r="D1011" s="13"/>
    </row>
    <row r="1012" spans="2:4">
      <c r="B1012" s="13"/>
      <c r="C1012" s="13"/>
      <c r="D1012" s="13"/>
    </row>
    <row r="1013" spans="2:4">
      <c r="B1013" s="13"/>
      <c r="C1013" s="13"/>
      <c r="D1013" s="13"/>
    </row>
    <row r="1014" spans="2:4">
      <c r="B1014" s="13"/>
      <c r="C1014" s="13"/>
      <c r="D1014" s="13"/>
    </row>
    <row r="1015" spans="2:4">
      <c r="B1015" s="13"/>
      <c r="C1015" s="13"/>
      <c r="D1015" s="13"/>
    </row>
    <row r="1016" spans="2:4">
      <c r="B1016" s="13"/>
      <c r="C1016" s="13"/>
      <c r="D1016" s="13"/>
    </row>
    <row r="1017" spans="2:4">
      <c r="B1017" s="13"/>
      <c r="C1017" s="13"/>
      <c r="D1017" s="13"/>
    </row>
    <row r="1018" spans="2:4">
      <c r="B1018" s="13"/>
      <c r="C1018" s="13"/>
      <c r="D1018" s="13"/>
    </row>
    <row r="1019" spans="2:4">
      <c r="B1019" s="13"/>
      <c r="C1019" s="13"/>
      <c r="D1019" s="13"/>
    </row>
    <row r="1020" spans="2:4">
      <c r="B1020" s="13"/>
      <c r="C1020" s="13"/>
      <c r="D1020" s="13"/>
    </row>
    <row r="1021" spans="2:4">
      <c r="B1021" s="13"/>
      <c r="C1021" s="13"/>
      <c r="D1021" s="13"/>
    </row>
    <row r="1022" spans="2:4">
      <c r="B1022" s="13"/>
      <c r="C1022" s="13"/>
      <c r="D1022" s="13"/>
    </row>
    <row r="1023" spans="2:4">
      <c r="B1023" s="13"/>
      <c r="C1023" s="13"/>
      <c r="D1023" s="13"/>
    </row>
    <row r="1024" spans="2:4">
      <c r="B1024" s="13"/>
      <c r="C1024" s="13"/>
      <c r="D1024" s="13"/>
    </row>
    <row r="1025" spans="2:4">
      <c r="B1025" s="13"/>
      <c r="C1025" s="13"/>
      <c r="D1025" s="13"/>
    </row>
    <row r="1026" spans="2:4">
      <c r="B1026" s="13"/>
      <c r="C1026" s="13"/>
      <c r="D1026" s="13"/>
    </row>
    <row r="1027" spans="2:4">
      <c r="B1027" s="13"/>
      <c r="C1027" s="13"/>
      <c r="D1027" s="13"/>
    </row>
    <row r="1028" spans="2:4">
      <c r="B1028" s="13"/>
      <c r="C1028" s="13"/>
      <c r="D1028" s="13"/>
    </row>
    <row r="1029" spans="2:4">
      <c r="B1029" s="13"/>
      <c r="C1029" s="13"/>
      <c r="D1029" s="13"/>
    </row>
    <row r="1030" spans="2:4">
      <c r="B1030" s="13"/>
      <c r="C1030" s="13"/>
      <c r="D1030" s="13"/>
    </row>
    <row r="1031" spans="2:4">
      <c r="B1031" s="13"/>
      <c r="C1031" s="13"/>
      <c r="D1031" s="13"/>
    </row>
    <row r="1032" spans="2:4">
      <c r="B1032" s="13"/>
      <c r="C1032" s="13"/>
      <c r="D1032" s="13"/>
    </row>
    <row r="1033" spans="2:4">
      <c r="B1033" s="13"/>
      <c r="C1033" s="13"/>
      <c r="D1033" s="13"/>
    </row>
    <row r="1034" spans="2:4">
      <c r="B1034" s="13"/>
      <c r="C1034" s="13"/>
      <c r="D1034" s="13"/>
    </row>
    <row r="1035" spans="2:4">
      <c r="B1035" s="13"/>
      <c r="C1035" s="13"/>
      <c r="D1035" s="13"/>
    </row>
    <row r="1036" spans="2:4">
      <c r="B1036" s="13"/>
      <c r="C1036" s="13"/>
      <c r="D1036" s="13"/>
    </row>
    <row r="1037" spans="2:4">
      <c r="B1037" s="13"/>
      <c r="C1037" s="13"/>
      <c r="D1037" s="13"/>
    </row>
    <row r="1038" spans="2:4">
      <c r="B1038" s="13"/>
      <c r="C1038" s="13"/>
      <c r="D1038" s="13"/>
    </row>
    <row r="1039" spans="2:4">
      <c r="B1039" s="13"/>
      <c r="C1039" s="13"/>
      <c r="D1039" s="13"/>
    </row>
    <row r="1040" spans="2:4">
      <c r="B1040" s="13"/>
      <c r="C1040" s="13"/>
      <c r="D1040" s="13"/>
    </row>
    <row r="1041" spans="2:4">
      <c r="B1041" s="13"/>
      <c r="C1041" s="13"/>
      <c r="D1041" s="13"/>
    </row>
    <row r="1042" spans="2:4">
      <c r="B1042" s="13"/>
      <c r="C1042" s="13"/>
      <c r="D1042" s="13"/>
    </row>
    <row r="1043" spans="2:4">
      <c r="B1043" s="13"/>
      <c r="C1043" s="13"/>
      <c r="D1043" s="13"/>
    </row>
    <row r="1044" spans="2:4">
      <c r="B1044" s="13"/>
      <c r="C1044" s="13"/>
      <c r="D1044" s="13"/>
    </row>
    <row r="1045" spans="2:4">
      <c r="B1045" s="13"/>
      <c r="C1045" s="13"/>
      <c r="D1045" s="13"/>
    </row>
    <row r="1046" spans="2:4">
      <c r="B1046" s="13"/>
      <c r="C1046" s="13"/>
      <c r="D1046" s="13"/>
    </row>
    <row r="1047" spans="2:4">
      <c r="B1047" s="13"/>
      <c r="C1047" s="13"/>
      <c r="D1047" s="13"/>
    </row>
    <row r="1048" spans="2:4">
      <c r="B1048" s="13"/>
      <c r="C1048" s="13"/>
      <c r="D1048" s="13"/>
    </row>
    <row r="1049" spans="2:4">
      <c r="B1049" s="13"/>
      <c r="C1049" s="13"/>
      <c r="D1049" s="13"/>
    </row>
    <row r="1050" spans="2:4">
      <c r="B1050" s="13"/>
      <c r="C1050" s="13"/>
      <c r="D1050" s="13"/>
    </row>
    <row r="1051" spans="2:4">
      <c r="B1051" s="13"/>
      <c r="C1051" s="13"/>
      <c r="D1051" s="13"/>
    </row>
    <row r="1052" spans="2:4">
      <c r="B1052" s="13"/>
      <c r="C1052" s="13"/>
      <c r="D1052" s="13"/>
    </row>
    <row r="1053" spans="2:4">
      <c r="B1053" s="13"/>
      <c r="C1053" s="13"/>
      <c r="D1053" s="13"/>
    </row>
    <row r="1054" spans="2:4">
      <c r="B1054" s="13"/>
      <c r="C1054" s="13"/>
      <c r="D1054" s="13"/>
    </row>
    <row r="1055" spans="2:4">
      <c r="B1055" s="13"/>
      <c r="C1055" s="13"/>
      <c r="D1055" s="13"/>
    </row>
    <row r="1056" spans="2:4">
      <c r="B1056" s="13"/>
      <c r="C1056" s="13"/>
      <c r="D1056" s="13"/>
    </row>
    <row r="1057" spans="2:4">
      <c r="B1057" s="13"/>
      <c r="C1057" s="13"/>
      <c r="D1057" s="13"/>
    </row>
    <row r="1058" spans="2:4">
      <c r="B1058" s="13"/>
      <c r="C1058" s="13"/>
      <c r="D1058" s="13"/>
    </row>
    <row r="1059" spans="2:4">
      <c r="B1059" s="13"/>
      <c r="C1059" s="13"/>
      <c r="D1059" s="13"/>
    </row>
    <row r="1060" spans="2:4">
      <c r="B1060" s="13"/>
      <c r="C1060" s="13"/>
      <c r="D1060" s="13"/>
    </row>
    <row r="1061" spans="2:4">
      <c r="B1061" s="13"/>
      <c r="C1061" s="13"/>
      <c r="D1061" s="13"/>
    </row>
    <row r="1062" spans="2:4">
      <c r="B1062" s="13"/>
      <c r="C1062" s="13"/>
      <c r="D1062" s="13"/>
    </row>
    <row r="1063" spans="2:4">
      <c r="B1063" s="13"/>
      <c r="C1063" s="13"/>
      <c r="D1063" s="13"/>
    </row>
    <row r="1064" spans="2:4">
      <c r="B1064" s="13"/>
      <c r="C1064" s="13"/>
      <c r="D1064" s="13"/>
    </row>
    <row r="1065" spans="2:4">
      <c r="B1065" s="13"/>
      <c r="C1065" s="13"/>
      <c r="D1065" s="13"/>
    </row>
    <row r="1066" spans="2:4">
      <c r="B1066" s="13"/>
      <c r="C1066" s="13"/>
      <c r="D1066" s="13"/>
    </row>
    <row r="1067" spans="2:4">
      <c r="B1067" s="13"/>
      <c r="C1067" s="13"/>
      <c r="D1067" s="13"/>
    </row>
    <row r="1068" spans="2:4">
      <c r="B1068" s="13"/>
      <c r="C1068" s="13"/>
      <c r="D1068" s="13"/>
    </row>
    <row r="1069" spans="2:4">
      <c r="B1069" s="13"/>
      <c r="C1069" s="13"/>
      <c r="D1069" s="13"/>
    </row>
    <row r="1070" spans="2:4">
      <c r="B1070" s="13"/>
      <c r="C1070" s="13"/>
      <c r="D1070" s="13"/>
    </row>
    <row r="1071" spans="2:4">
      <c r="B1071" s="13"/>
      <c r="C1071" s="13"/>
      <c r="D1071" s="13"/>
    </row>
    <row r="1072" spans="2:4">
      <c r="B1072" s="13"/>
      <c r="C1072" s="13"/>
      <c r="D1072" s="13"/>
    </row>
    <row r="1073" spans="2:4">
      <c r="B1073" s="13"/>
      <c r="C1073" s="13"/>
      <c r="D1073" s="13"/>
    </row>
    <row r="1074" spans="2:4">
      <c r="B1074" s="13"/>
      <c r="C1074" s="13"/>
      <c r="D1074" s="13"/>
    </row>
    <row r="1075" spans="2:4">
      <c r="B1075" s="13"/>
      <c r="C1075" s="13"/>
      <c r="D1075" s="13"/>
    </row>
    <row r="1076" spans="2:4">
      <c r="B1076" s="13"/>
      <c r="C1076" s="13"/>
      <c r="D1076" s="13"/>
    </row>
    <row r="1077" spans="2:4">
      <c r="B1077" s="13"/>
      <c r="C1077" s="13"/>
      <c r="D1077" s="13"/>
    </row>
    <row r="1078" spans="2:4">
      <c r="B1078" s="13"/>
      <c r="C1078" s="13"/>
      <c r="D1078" s="13"/>
    </row>
    <row r="1079" spans="2:4">
      <c r="B1079" s="13"/>
      <c r="C1079" s="13"/>
      <c r="D1079" s="13"/>
    </row>
    <row r="1080" spans="2:4">
      <c r="B1080" s="13"/>
      <c r="C1080" s="13"/>
      <c r="D1080" s="13"/>
    </row>
    <row r="1081" spans="2:4">
      <c r="B1081" s="13"/>
      <c r="C1081" s="13"/>
      <c r="D1081" s="13"/>
    </row>
    <row r="1082" spans="2:4">
      <c r="B1082" s="13"/>
      <c r="C1082" s="13"/>
      <c r="D1082" s="13"/>
    </row>
    <row r="1083" spans="2:4">
      <c r="B1083" s="13"/>
      <c r="C1083" s="13"/>
      <c r="D1083" s="13"/>
    </row>
    <row r="1084" spans="2:4">
      <c r="B1084" s="13"/>
      <c r="C1084" s="13"/>
      <c r="D1084" s="13"/>
    </row>
    <row r="1085" spans="2:4">
      <c r="B1085" s="13"/>
      <c r="C1085" s="13"/>
      <c r="D1085" s="13"/>
    </row>
    <row r="1086" spans="2:4">
      <c r="B1086" s="13"/>
      <c r="C1086" s="13"/>
      <c r="D1086" s="13"/>
    </row>
    <row r="1087" spans="2:4">
      <c r="B1087" s="13"/>
      <c r="C1087" s="13"/>
      <c r="D1087" s="13"/>
    </row>
    <row r="1088" spans="2:4">
      <c r="B1088" s="13"/>
      <c r="C1088" s="13"/>
      <c r="D1088" s="13"/>
    </row>
    <row r="1089" spans="2:4">
      <c r="B1089" s="13"/>
      <c r="C1089" s="13"/>
      <c r="D1089" s="13"/>
    </row>
    <row r="1090" spans="2:4">
      <c r="B1090" s="13"/>
      <c r="C1090" s="13"/>
      <c r="D1090" s="13"/>
    </row>
    <row r="1091" spans="2:4">
      <c r="B1091" s="13"/>
      <c r="C1091" s="13"/>
      <c r="D1091" s="13"/>
    </row>
    <row r="1092" spans="2:4">
      <c r="B1092" s="13"/>
      <c r="C1092" s="13"/>
      <c r="D1092" s="13"/>
    </row>
    <row r="1093" spans="2:4">
      <c r="B1093" s="13"/>
      <c r="C1093" s="13"/>
      <c r="D1093" s="13"/>
    </row>
    <row r="1094" spans="2:4">
      <c r="B1094" s="13"/>
      <c r="C1094" s="13"/>
      <c r="D1094" s="13"/>
    </row>
    <row r="1095" spans="2:4">
      <c r="B1095" s="13"/>
      <c r="C1095" s="13"/>
      <c r="D1095" s="13"/>
    </row>
    <row r="1096" spans="2:4">
      <c r="B1096" s="13"/>
      <c r="C1096" s="13"/>
      <c r="D1096" s="13"/>
    </row>
    <row r="1097" spans="2:4">
      <c r="B1097" s="13"/>
      <c r="C1097" s="13"/>
      <c r="D1097" s="13"/>
    </row>
    <row r="1098" spans="2:4">
      <c r="B1098" s="13"/>
      <c r="C1098" s="13"/>
      <c r="D1098" s="13"/>
    </row>
    <row r="1099" spans="2:4">
      <c r="B1099" s="13"/>
      <c r="C1099" s="13"/>
      <c r="D1099" s="13"/>
    </row>
    <row r="1100" spans="2:4">
      <c r="B1100" s="13"/>
      <c r="C1100" s="13"/>
      <c r="D1100" s="13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P369"/>
  <sheetViews>
    <sheetView workbookViewId="0">
      <pane ySplit="1" topLeftCell="A342" activePane="bottomLeft" state="frozen"/>
      <selection/>
      <selection pane="bottomLeft" activeCell="C329" sqref="C329"/>
    </sheetView>
  </sheetViews>
  <sheetFormatPr defaultColWidth="9" defaultRowHeight="14.25"/>
  <cols>
    <col min="1" max="1" width="9.5" customWidth="1"/>
    <col min="5" max="6" width="9.375"/>
  </cols>
  <sheetData>
    <row r="1" ht="38.25" spans="1:16">
      <c r="A1" s="1" t="s">
        <v>1</v>
      </c>
      <c r="B1" s="1" t="s">
        <v>245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263</v>
      </c>
      <c r="N1" s="1" t="s">
        <v>264</v>
      </c>
      <c r="O1" s="1" t="s">
        <v>265</v>
      </c>
      <c r="P1" s="1" t="s">
        <v>266</v>
      </c>
    </row>
    <row r="2" spans="1:16">
      <c r="A2" s="2">
        <v>45839</v>
      </c>
      <c r="B2" s="3">
        <f>Data_Entry!P94</f>
        <v>9120.00000000006</v>
      </c>
      <c r="C2" s="4">
        <f>Data_Entry!V94</f>
        <v>4.07</v>
      </c>
      <c r="D2" s="5">
        <f t="shared" ref="D2:D67" si="0">B2/(24*I2)</f>
        <v>0.157610949813357</v>
      </c>
      <c r="E2" s="6">
        <v>0</v>
      </c>
      <c r="F2" s="6">
        <v>0</v>
      </c>
      <c r="G2" s="7">
        <f t="shared" ref="G2:G67" si="1">(F2-E2)*24*60</f>
        <v>0</v>
      </c>
      <c r="H2" s="7">
        <f t="shared" ref="H2:H67" si="2">G2/60</f>
        <v>0</v>
      </c>
      <c r="I2" s="8">
        <v>2411</v>
      </c>
      <c r="J2" s="9"/>
      <c r="K2" s="8">
        <f t="shared" ref="K2:K67" si="3">I2*12</f>
        <v>28932</v>
      </c>
      <c r="L2" s="7">
        <f t="shared" ref="L2:L67" si="4">J2*H2</f>
        <v>0</v>
      </c>
      <c r="M2" s="10">
        <f>(K2-L2)/K2</f>
        <v>1</v>
      </c>
      <c r="N2" s="11">
        <f t="shared" ref="N2:N67" si="5">D2/M2</f>
        <v>0.157610949813357</v>
      </c>
      <c r="O2" s="8">
        <f>N2*I2*24</f>
        <v>9120.00000000006</v>
      </c>
      <c r="P2" s="12">
        <f t="shared" ref="P2:P67" si="6">O2-B2</f>
        <v>0</v>
      </c>
    </row>
    <row r="3" spans="1:16">
      <c r="A3" s="2">
        <v>45840</v>
      </c>
      <c r="B3" s="3">
        <f>Data_Entry!P95</f>
        <v>4619.99999999989</v>
      </c>
      <c r="C3" s="4">
        <f>Data_Entry!V95</f>
        <v>1.77</v>
      </c>
      <c r="D3" s="5">
        <f t="shared" si="0"/>
        <v>0.0798423890501848</v>
      </c>
      <c r="E3" s="6">
        <v>0</v>
      </c>
      <c r="F3" s="6">
        <v>0</v>
      </c>
      <c r="G3" s="7">
        <f t="shared" si="1"/>
        <v>0</v>
      </c>
      <c r="H3" s="7">
        <f t="shared" si="2"/>
        <v>0</v>
      </c>
      <c r="I3" s="8">
        <v>2411</v>
      </c>
      <c r="J3" s="9"/>
      <c r="K3" s="8">
        <f t="shared" si="3"/>
        <v>28932</v>
      </c>
      <c r="L3" s="7">
        <f t="shared" si="4"/>
        <v>0</v>
      </c>
      <c r="M3" s="10">
        <f t="shared" ref="M3:M68" si="7">(K3-L3)/K3</f>
        <v>1</v>
      </c>
      <c r="N3" s="11">
        <f t="shared" si="5"/>
        <v>0.0798423890501848</v>
      </c>
      <c r="O3" s="8">
        <f t="shared" ref="O3:O68" si="8">N3*I3*24</f>
        <v>4619.99999999989</v>
      </c>
      <c r="P3" s="12">
        <f t="shared" si="6"/>
        <v>0</v>
      </c>
    </row>
    <row r="4" spans="1:16">
      <c r="A4" s="2">
        <v>45841</v>
      </c>
      <c r="B4" s="3">
        <f>Data_Entry!P96</f>
        <v>4050.00000000007</v>
      </c>
      <c r="C4" s="4">
        <f>Data_Entry!V96</f>
        <v>1.54</v>
      </c>
      <c r="D4" s="5">
        <f t="shared" si="0"/>
        <v>0.0699917046868531</v>
      </c>
      <c r="E4" s="6">
        <v>0</v>
      </c>
      <c r="F4" s="6">
        <v>0</v>
      </c>
      <c r="G4" s="7">
        <f t="shared" si="1"/>
        <v>0</v>
      </c>
      <c r="H4" s="7">
        <f t="shared" si="2"/>
        <v>0</v>
      </c>
      <c r="I4" s="8">
        <v>2411</v>
      </c>
      <c r="J4" s="9"/>
      <c r="K4" s="8">
        <f t="shared" si="3"/>
        <v>28932</v>
      </c>
      <c r="L4" s="7">
        <f t="shared" si="4"/>
        <v>0</v>
      </c>
      <c r="M4" s="10">
        <f t="shared" si="7"/>
        <v>1</v>
      </c>
      <c r="N4" s="11">
        <f t="shared" si="5"/>
        <v>0.0699917046868531</v>
      </c>
      <c r="O4" s="8">
        <f t="shared" si="8"/>
        <v>4050.00000000007</v>
      </c>
      <c r="P4" s="12">
        <f t="shared" si="6"/>
        <v>0</v>
      </c>
    </row>
    <row r="5" spans="1:16">
      <c r="A5" s="2">
        <v>45842</v>
      </c>
      <c r="B5" s="3">
        <f>Data_Entry!P97</f>
        <v>5580.00000000004</v>
      </c>
      <c r="C5" s="4">
        <f>Data_Entry!V97</f>
        <v>2.25</v>
      </c>
      <c r="D5" s="5">
        <f t="shared" si="0"/>
        <v>0.09643301534633</v>
      </c>
      <c r="E5" s="6">
        <v>0</v>
      </c>
      <c r="F5" s="6">
        <v>0</v>
      </c>
      <c r="G5" s="7">
        <f t="shared" si="1"/>
        <v>0</v>
      </c>
      <c r="H5" s="7">
        <f t="shared" si="2"/>
        <v>0</v>
      </c>
      <c r="I5" s="8">
        <v>2411</v>
      </c>
      <c r="J5" s="9"/>
      <c r="K5" s="8">
        <f t="shared" si="3"/>
        <v>28932</v>
      </c>
      <c r="L5" s="7">
        <f t="shared" si="4"/>
        <v>0</v>
      </c>
      <c r="M5" s="10">
        <f t="shared" si="7"/>
        <v>1</v>
      </c>
      <c r="N5" s="11">
        <f t="shared" si="5"/>
        <v>0.09643301534633</v>
      </c>
      <c r="O5" s="8">
        <f t="shared" si="8"/>
        <v>5580.00000000004</v>
      </c>
      <c r="P5" s="12">
        <f t="shared" si="6"/>
        <v>0</v>
      </c>
    </row>
    <row r="6" spans="1:16">
      <c r="A6" s="2">
        <v>45843</v>
      </c>
      <c r="B6" s="3">
        <f>Data_Entry!P98</f>
        <v>3209.99999999998</v>
      </c>
      <c r="C6" s="4">
        <f>Data_Entry!V98</f>
        <v>1.2</v>
      </c>
      <c r="D6" s="5">
        <f t="shared" si="0"/>
        <v>0.0554749066777267</v>
      </c>
      <c r="E6" s="6">
        <v>0</v>
      </c>
      <c r="F6" s="6">
        <v>0</v>
      </c>
      <c r="G6" s="7">
        <f t="shared" si="1"/>
        <v>0</v>
      </c>
      <c r="H6" s="7">
        <f t="shared" si="2"/>
        <v>0</v>
      </c>
      <c r="I6" s="8">
        <v>2411</v>
      </c>
      <c r="J6" s="9"/>
      <c r="K6" s="8">
        <f t="shared" si="3"/>
        <v>28932</v>
      </c>
      <c r="L6" s="7">
        <f t="shared" si="4"/>
        <v>0</v>
      </c>
      <c r="M6" s="10">
        <f t="shared" si="7"/>
        <v>1</v>
      </c>
      <c r="N6" s="11">
        <f t="shared" si="5"/>
        <v>0.0554749066777267</v>
      </c>
      <c r="O6" s="8">
        <f t="shared" si="8"/>
        <v>3209.99999999998</v>
      </c>
      <c r="P6" s="12">
        <f t="shared" si="6"/>
        <v>0</v>
      </c>
    </row>
    <row r="7" spans="1:16">
      <c r="A7" s="2">
        <v>45844</v>
      </c>
      <c r="B7" s="3">
        <f>Data_Entry!P99</f>
        <v>4979.9999999999</v>
      </c>
      <c r="C7" s="4">
        <f>Data_Entry!V99</f>
        <v>1.93</v>
      </c>
      <c r="D7" s="5">
        <f t="shared" si="0"/>
        <v>0.0860638739112385</v>
      </c>
      <c r="E7" s="6">
        <v>0</v>
      </c>
      <c r="F7" s="6">
        <v>0</v>
      </c>
      <c r="G7" s="7">
        <f t="shared" si="1"/>
        <v>0</v>
      </c>
      <c r="H7" s="7">
        <f t="shared" si="2"/>
        <v>0</v>
      </c>
      <c r="I7" s="8">
        <v>2411</v>
      </c>
      <c r="J7" s="9"/>
      <c r="K7" s="8">
        <f t="shared" si="3"/>
        <v>28932</v>
      </c>
      <c r="L7" s="7">
        <f t="shared" si="4"/>
        <v>0</v>
      </c>
      <c r="M7" s="10">
        <f t="shared" si="7"/>
        <v>1</v>
      </c>
      <c r="N7" s="11">
        <f t="shared" si="5"/>
        <v>0.0860638739112385</v>
      </c>
      <c r="O7" s="8">
        <f t="shared" si="8"/>
        <v>4979.9999999999</v>
      </c>
      <c r="P7" s="12">
        <f t="shared" si="6"/>
        <v>0</v>
      </c>
    </row>
    <row r="8" spans="1:16">
      <c r="A8" s="2">
        <v>45845</v>
      </c>
      <c r="B8" s="3">
        <f>Data_Entry!P100</f>
        <v>3690.00000000005</v>
      </c>
      <c r="C8" s="4">
        <f>Data_Entry!V100</f>
        <v>1.43</v>
      </c>
      <c r="D8" s="5">
        <f t="shared" si="0"/>
        <v>0.0637702198257994</v>
      </c>
      <c r="E8" s="6">
        <v>0</v>
      </c>
      <c r="F8" s="6">
        <v>0</v>
      </c>
      <c r="G8" s="7">
        <f t="shared" si="1"/>
        <v>0</v>
      </c>
      <c r="H8" s="7">
        <f t="shared" si="2"/>
        <v>0</v>
      </c>
      <c r="I8" s="8">
        <v>2411</v>
      </c>
      <c r="J8" s="9"/>
      <c r="K8" s="8">
        <f t="shared" si="3"/>
        <v>28932</v>
      </c>
      <c r="L8" s="7">
        <f t="shared" si="4"/>
        <v>0</v>
      </c>
      <c r="M8" s="10">
        <f t="shared" si="7"/>
        <v>1</v>
      </c>
      <c r="N8" s="11">
        <f t="shared" si="5"/>
        <v>0.0637702198257994</v>
      </c>
      <c r="O8" s="8">
        <f t="shared" si="8"/>
        <v>3690.00000000005</v>
      </c>
      <c r="P8" s="12">
        <f t="shared" si="6"/>
        <v>0</v>
      </c>
    </row>
    <row r="9" spans="1:16">
      <c r="A9" s="2">
        <v>45846</v>
      </c>
      <c r="B9" s="3">
        <f>Data_Entry!P101</f>
        <v>6989.99999999995</v>
      </c>
      <c r="C9" s="4">
        <f>Data_Entry!V101</f>
        <v>2.81</v>
      </c>
      <c r="D9" s="5">
        <f t="shared" si="0"/>
        <v>0.120800497718788</v>
      </c>
      <c r="E9" s="6">
        <v>0</v>
      </c>
      <c r="F9" s="6">
        <v>0</v>
      </c>
      <c r="G9" s="7">
        <f t="shared" si="1"/>
        <v>0</v>
      </c>
      <c r="H9" s="7">
        <f t="shared" si="2"/>
        <v>0</v>
      </c>
      <c r="I9" s="8">
        <v>2411</v>
      </c>
      <c r="J9" s="9"/>
      <c r="K9" s="8">
        <f t="shared" si="3"/>
        <v>28932</v>
      </c>
      <c r="L9" s="7">
        <f t="shared" si="4"/>
        <v>0</v>
      </c>
      <c r="M9" s="10">
        <f t="shared" si="7"/>
        <v>1</v>
      </c>
      <c r="N9" s="11">
        <f t="shared" si="5"/>
        <v>0.120800497718788</v>
      </c>
      <c r="O9" s="8">
        <f t="shared" si="8"/>
        <v>6989.99999999995</v>
      </c>
      <c r="P9" s="12">
        <f t="shared" si="6"/>
        <v>0</v>
      </c>
    </row>
    <row r="10" spans="1:16">
      <c r="A10" s="2">
        <v>45847</v>
      </c>
      <c r="B10" s="3">
        <f>Data_Entry!P102</f>
        <v>11880.0000000001</v>
      </c>
      <c r="C10" s="4">
        <f>Data_Entry!V102</f>
        <v>5.06</v>
      </c>
      <c r="D10" s="5">
        <f t="shared" si="0"/>
        <v>0.205309000414768</v>
      </c>
      <c r="E10" s="6">
        <v>0</v>
      </c>
      <c r="F10" s="6">
        <v>0</v>
      </c>
      <c r="G10" s="7">
        <f t="shared" si="1"/>
        <v>0</v>
      </c>
      <c r="H10" s="7">
        <f t="shared" si="2"/>
        <v>0</v>
      </c>
      <c r="I10" s="8">
        <v>2411</v>
      </c>
      <c r="J10" s="9"/>
      <c r="K10" s="8">
        <f t="shared" si="3"/>
        <v>28932</v>
      </c>
      <c r="L10" s="7">
        <f t="shared" si="4"/>
        <v>0</v>
      </c>
      <c r="M10" s="10">
        <f t="shared" si="7"/>
        <v>1</v>
      </c>
      <c r="N10" s="11">
        <f t="shared" si="5"/>
        <v>0.205309000414768</v>
      </c>
      <c r="O10" s="8">
        <f t="shared" si="8"/>
        <v>11880.0000000001</v>
      </c>
      <c r="P10" s="12">
        <f t="shared" si="6"/>
        <v>0</v>
      </c>
    </row>
    <row r="11" spans="1:16">
      <c r="A11" s="2">
        <v>45848</v>
      </c>
      <c r="B11" s="3">
        <f>Data_Entry!P103</f>
        <v>4949.99999999993</v>
      </c>
      <c r="C11" s="4">
        <f>Data_Entry!V103</f>
        <v>2.01</v>
      </c>
      <c r="D11" s="5">
        <f t="shared" si="0"/>
        <v>0.0855454168394845</v>
      </c>
      <c r="E11" s="6">
        <v>0</v>
      </c>
      <c r="F11" s="6">
        <v>0</v>
      </c>
      <c r="G11" s="7">
        <f t="shared" si="1"/>
        <v>0</v>
      </c>
      <c r="H11" s="7">
        <f t="shared" si="2"/>
        <v>0</v>
      </c>
      <c r="I11" s="8">
        <v>2411</v>
      </c>
      <c r="J11" s="9"/>
      <c r="K11" s="8">
        <f t="shared" si="3"/>
        <v>28932</v>
      </c>
      <c r="L11" s="7">
        <f t="shared" si="4"/>
        <v>0</v>
      </c>
      <c r="M11" s="10">
        <f t="shared" si="7"/>
        <v>1</v>
      </c>
      <c r="N11" s="11">
        <f t="shared" si="5"/>
        <v>0.0855454168394845</v>
      </c>
      <c r="O11" s="8">
        <f t="shared" si="8"/>
        <v>4949.99999999993</v>
      </c>
      <c r="P11" s="12">
        <f t="shared" si="6"/>
        <v>0</v>
      </c>
    </row>
    <row r="12" spans="1:16">
      <c r="A12" s="2">
        <v>45849</v>
      </c>
      <c r="B12" s="3">
        <f>Data_Entry!P104</f>
        <v>3540.00000000002</v>
      </c>
      <c r="C12" s="4">
        <f>Data_Entry!V104</f>
        <v>1.32</v>
      </c>
      <c r="D12" s="5">
        <f t="shared" si="0"/>
        <v>0.0611779344670265</v>
      </c>
      <c r="E12" s="6">
        <v>0</v>
      </c>
      <c r="F12" s="6">
        <v>0</v>
      </c>
      <c r="G12" s="7">
        <f t="shared" si="1"/>
        <v>0</v>
      </c>
      <c r="H12" s="7">
        <f t="shared" si="2"/>
        <v>0</v>
      </c>
      <c r="I12" s="8">
        <v>2411</v>
      </c>
      <c r="J12" s="9"/>
      <c r="K12" s="8">
        <f t="shared" si="3"/>
        <v>28932</v>
      </c>
      <c r="L12" s="7">
        <f t="shared" si="4"/>
        <v>0</v>
      </c>
      <c r="M12" s="10">
        <f t="shared" si="7"/>
        <v>1</v>
      </c>
      <c r="N12" s="11">
        <f t="shared" si="5"/>
        <v>0.0611779344670265</v>
      </c>
      <c r="O12" s="8">
        <f t="shared" si="8"/>
        <v>3540.00000000002</v>
      </c>
      <c r="P12" s="12">
        <f t="shared" si="6"/>
        <v>0</v>
      </c>
    </row>
    <row r="13" spans="1:16">
      <c r="A13" s="2">
        <v>45850</v>
      </c>
      <c r="B13" s="3">
        <f>Data_Entry!P105</f>
        <v>10290</v>
      </c>
      <c r="C13" s="4">
        <f>Data_Entry!V105</f>
        <v>3.95</v>
      </c>
      <c r="D13" s="5">
        <f t="shared" si="0"/>
        <v>0.17783077561178</v>
      </c>
      <c r="E13" s="6">
        <v>0</v>
      </c>
      <c r="F13" s="6">
        <v>0</v>
      </c>
      <c r="G13" s="7">
        <f t="shared" si="1"/>
        <v>0</v>
      </c>
      <c r="H13" s="7">
        <f t="shared" si="2"/>
        <v>0</v>
      </c>
      <c r="I13" s="8">
        <v>2411</v>
      </c>
      <c r="J13" s="9"/>
      <c r="K13" s="8">
        <f t="shared" si="3"/>
        <v>28932</v>
      </c>
      <c r="L13" s="7">
        <f t="shared" si="4"/>
        <v>0</v>
      </c>
      <c r="M13" s="10">
        <f t="shared" si="7"/>
        <v>1</v>
      </c>
      <c r="N13" s="11">
        <f t="shared" si="5"/>
        <v>0.17783077561178</v>
      </c>
      <c r="O13" s="8">
        <f t="shared" si="8"/>
        <v>10290</v>
      </c>
      <c r="P13" s="12">
        <f t="shared" si="6"/>
        <v>0</v>
      </c>
    </row>
    <row r="14" spans="1:16">
      <c r="A14" s="2">
        <v>45851</v>
      </c>
      <c r="B14" s="3">
        <f>Data_Entry!P106</f>
        <v>13350</v>
      </c>
      <c r="C14" s="4">
        <f>Data_Entry!V106</f>
        <v>6.02</v>
      </c>
      <c r="D14" s="5">
        <f t="shared" si="0"/>
        <v>0.230713396930734</v>
      </c>
      <c r="E14" s="6">
        <v>0</v>
      </c>
      <c r="F14" s="6">
        <v>0</v>
      </c>
      <c r="G14" s="7">
        <f t="shared" si="1"/>
        <v>0</v>
      </c>
      <c r="H14" s="7">
        <f t="shared" si="2"/>
        <v>0</v>
      </c>
      <c r="I14" s="8">
        <v>2411</v>
      </c>
      <c r="J14" s="9"/>
      <c r="K14" s="8">
        <f t="shared" si="3"/>
        <v>28932</v>
      </c>
      <c r="L14" s="7">
        <f t="shared" si="4"/>
        <v>0</v>
      </c>
      <c r="M14" s="10">
        <f t="shared" si="7"/>
        <v>1</v>
      </c>
      <c r="N14" s="11">
        <f t="shared" si="5"/>
        <v>0.230713396930734</v>
      </c>
      <c r="O14" s="8">
        <f t="shared" si="8"/>
        <v>13350</v>
      </c>
      <c r="P14" s="12">
        <f t="shared" si="6"/>
        <v>0</v>
      </c>
    </row>
    <row r="15" spans="1:16">
      <c r="A15" s="2">
        <v>45852</v>
      </c>
      <c r="B15" s="3">
        <f>Data_Entry!P107</f>
        <v>10559.9999999999</v>
      </c>
      <c r="C15" s="4">
        <f>Data_Entry!V107</f>
        <v>4.11</v>
      </c>
      <c r="D15" s="5">
        <f t="shared" si="0"/>
        <v>0.182496889257569</v>
      </c>
      <c r="E15" s="6">
        <v>0</v>
      </c>
      <c r="F15" s="6">
        <v>0</v>
      </c>
      <c r="G15" s="7">
        <f t="shared" si="1"/>
        <v>0</v>
      </c>
      <c r="H15" s="7">
        <f t="shared" si="2"/>
        <v>0</v>
      </c>
      <c r="I15" s="8">
        <v>2411</v>
      </c>
      <c r="J15" s="9"/>
      <c r="K15" s="8">
        <f t="shared" si="3"/>
        <v>28932</v>
      </c>
      <c r="L15" s="7">
        <f t="shared" si="4"/>
        <v>0</v>
      </c>
      <c r="M15" s="10">
        <f t="shared" si="7"/>
        <v>1</v>
      </c>
      <c r="N15" s="11">
        <f t="shared" si="5"/>
        <v>0.182496889257569</v>
      </c>
      <c r="O15" s="8">
        <f t="shared" si="8"/>
        <v>10559.9999999999</v>
      </c>
      <c r="P15" s="12">
        <f t="shared" si="6"/>
        <v>0</v>
      </c>
    </row>
    <row r="16" spans="1:16">
      <c r="A16" s="2">
        <v>45853</v>
      </c>
      <c r="B16" s="3">
        <f>Data_Entry!P108</f>
        <v>11040</v>
      </c>
      <c r="C16" s="4">
        <f>Data_Entry!V108</f>
        <v>4.66</v>
      </c>
      <c r="D16" s="5">
        <f t="shared" si="0"/>
        <v>0.190792202405641</v>
      </c>
      <c r="E16" s="6">
        <v>0</v>
      </c>
      <c r="F16" s="6">
        <v>0</v>
      </c>
      <c r="G16" s="7">
        <f t="shared" si="1"/>
        <v>0</v>
      </c>
      <c r="H16" s="7">
        <f t="shared" si="2"/>
        <v>0</v>
      </c>
      <c r="I16" s="8">
        <v>2411</v>
      </c>
      <c r="J16" s="9"/>
      <c r="K16" s="8">
        <f t="shared" si="3"/>
        <v>28932</v>
      </c>
      <c r="L16" s="7">
        <f t="shared" si="4"/>
        <v>0</v>
      </c>
      <c r="M16" s="10">
        <f t="shared" si="7"/>
        <v>1</v>
      </c>
      <c r="N16" s="11">
        <f t="shared" si="5"/>
        <v>0.190792202405641</v>
      </c>
      <c r="O16" s="8">
        <f t="shared" si="8"/>
        <v>11040</v>
      </c>
      <c r="P16" s="12">
        <f t="shared" si="6"/>
        <v>0</v>
      </c>
    </row>
    <row r="17" spans="1:16">
      <c r="A17" s="2">
        <v>45854</v>
      </c>
      <c r="B17" s="3">
        <f>Data_Entry!P109</f>
        <v>12720</v>
      </c>
      <c r="C17" s="4">
        <f>Data_Entry!V109</f>
        <v>5.64</v>
      </c>
      <c r="D17" s="5">
        <f t="shared" si="0"/>
        <v>0.219825798423891</v>
      </c>
      <c r="E17" s="6">
        <v>0</v>
      </c>
      <c r="F17" s="6">
        <v>0</v>
      </c>
      <c r="G17" s="7">
        <f t="shared" si="1"/>
        <v>0</v>
      </c>
      <c r="H17" s="7">
        <f t="shared" si="2"/>
        <v>0</v>
      </c>
      <c r="I17" s="8">
        <v>2411</v>
      </c>
      <c r="J17" s="9"/>
      <c r="K17" s="8">
        <f t="shared" si="3"/>
        <v>28932</v>
      </c>
      <c r="L17" s="7">
        <f t="shared" si="4"/>
        <v>0</v>
      </c>
      <c r="M17" s="10">
        <f t="shared" si="7"/>
        <v>1</v>
      </c>
      <c r="N17" s="11">
        <f t="shared" si="5"/>
        <v>0.219825798423891</v>
      </c>
      <c r="O17" s="8">
        <f t="shared" si="8"/>
        <v>12720</v>
      </c>
      <c r="P17" s="12">
        <f t="shared" si="6"/>
        <v>0</v>
      </c>
    </row>
    <row r="18" spans="1:16">
      <c r="A18" s="2">
        <v>45855</v>
      </c>
      <c r="B18" s="3">
        <f>Data_Entry!P110</f>
        <v>11400</v>
      </c>
      <c r="C18" s="4">
        <f>Data_Entry!V110</f>
        <v>4.43</v>
      </c>
      <c r="D18" s="5">
        <f t="shared" si="0"/>
        <v>0.197013687266695</v>
      </c>
      <c r="E18" s="6">
        <v>0</v>
      </c>
      <c r="F18" s="6">
        <v>0</v>
      </c>
      <c r="G18" s="7">
        <f t="shared" si="1"/>
        <v>0</v>
      </c>
      <c r="H18" s="7">
        <f t="shared" si="2"/>
        <v>0</v>
      </c>
      <c r="I18" s="8">
        <v>2411</v>
      </c>
      <c r="J18" s="9"/>
      <c r="K18" s="8">
        <f t="shared" si="3"/>
        <v>28932</v>
      </c>
      <c r="L18" s="7">
        <f t="shared" si="4"/>
        <v>0</v>
      </c>
      <c r="M18" s="10">
        <f t="shared" si="7"/>
        <v>1</v>
      </c>
      <c r="N18" s="11">
        <f t="shared" si="5"/>
        <v>0.197013687266695</v>
      </c>
      <c r="O18" s="8">
        <f t="shared" si="8"/>
        <v>11400</v>
      </c>
      <c r="P18" s="12">
        <f t="shared" si="6"/>
        <v>0</v>
      </c>
    </row>
    <row r="19" spans="1:16">
      <c r="A19" s="2">
        <v>45856</v>
      </c>
      <c r="B19" s="3">
        <f>Data_Entry!P111</f>
        <v>12449.9999999999</v>
      </c>
      <c r="C19" s="4">
        <f>Data_Entry!V111</f>
        <v>5.55</v>
      </c>
      <c r="D19" s="5">
        <f t="shared" si="0"/>
        <v>0.215159684778099</v>
      </c>
      <c r="E19" s="6">
        <v>0</v>
      </c>
      <c r="F19" s="6">
        <v>0</v>
      </c>
      <c r="G19" s="7">
        <f t="shared" si="1"/>
        <v>0</v>
      </c>
      <c r="H19" s="7">
        <f t="shared" si="2"/>
        <v>0</v>
      </c>
      <c r="I19" s="8">
        <v>2411</v>
      </c>
      <c r="J19" s="9"/>
      <c r="K19" s="8">
        <f t="shared" si="3"/>
        <v>28932</v>
      </c>
      <c r="L19" s="7">
        <f t="shared" si="4"/>
        <v>0</v>
      </c>
      <c r="M19" s="10">
        <f t="shared" si="7"/>
        <v>1</v>
      </c>
      <c r="N19" s="11">
        <f t="shared" si="5"/>
        <v>0.215159684778099</v>
      </c>
      <c r="O19" s="8">
        <f t="shared" si="8"/>
        <v>12449.9999999999</v>
      </c>
      <c r="P19" s="12">
        <f t="shared" si="6"/>
        <v>0</v>
      </c>
    </row>
    <row r="20" spans="1:16">
      <c r="A20" s="2">
        <v>45857</v>
      </c>
      <c r="B20" s="3">
        <f>Data_Entry!P112</f>
        <v>6630.00000000011</v>
      </c>
      <c r="C20" s="4">
        <f>Data_Entry!V112</f>
        <v>2.7</v>
      </c>
      <c r="D20" s="5">
        <f t="shared" si="0"/>
        <v>0.114579012857737</v>
      </c>
      <c r="E20" s="6">
        <v>0</v>
      </c>
      <c r="F20" s="6">
        <v>0</v>
      </c>
      <c r="G20" s="7">
        <f t="shared" si="1"/>
        <v>0</v>
      </c>
      <c r="H20" s="7">
        <f t="shared" si="2"/>
        <v>0</v>
      </c>
      <c r="I20" s="8">
        <v>2411</v>
      </c>
      <c r="J20" s="9"/>
      <c r="K20" s="8">
        <f t="shared" si="3"/>
        <v>28932</v>
      </c>
      <c r="L20" s="7">
        <f t="shared" si="4"/>
        <v>0</v>
      </c>
      <c r="M20" s="10">
        <f t="shared" si="7"/>
        <v>1</v>
      </c>
      <c r="N20" s="11">
        <f t="shared" si="5"/>
        <v>0.114579012857737</v>
      </c>
      <c r="O20" s="8">
        <f t="shared" si="8"/>
        <v>6630.00000000011</v>
      </c>
      <c r="P20" s="12">
        <f t="shared" si="6"/>
        <v>0</v>
      </c>
    </row>
    <row r="21" spans="1:16">
      <c r="A21" s="2">
        <v>45858</v>
      </c>
      <c r="B21" s="3">
        <f>Data_Entry!P113</f>
        <v>7769.99999999993</v>
      </c>
      <c r="C21" s="4">
        <f>Data_Entry!V113</f>
        <v>3.16</v>
      </c>
      <c r="D21" s="5">
        <f t="shared" si="0"/>
        <v>0.134280381584404</v>
      </c>
      <c r="E21" s="6">
        <v>0</v>
      </c>
      <c r="F21" s="6">
        <v>0</v>
      </c>
      <c r="G21" s="7">
        <f t="shared" si="1"/>
        <v>0</v>
      </c>
      <c r="H21" s="7">
        <f t="shared" si="2"/>
        <v>0</v>
      </c>
      <c r="I21" s="8">
        <v>2411</v>
      </c>
      <c r="J21" s="9"/>
      <c r="K21" s="8">
        <f t="shared" si="3"/>
        <v>28932</v>
      </c>
      <c r="L21" s="7">
        <f t="shared" si="4"/>
        <v>0</v>
      </c>
      <c r="M21" s="10">
        <f t="shared" si="7"/>
        <v>1</v>
      </c>
      <c r="N21" s="11">
        <f t="shared" si="5"/>
        <v>0.134280381584404</v>
      </c>
      <c r="O21" s="8">
        <f t="shared" si="8"/>
        <v>7769.99999999993</v>
      </c>
      <c r="P21" s="12">
        <f t="shared" si="6"/>
        <v>0</v>
      </c>
    </row>
    <row r="22" spans="1:16">
      <c r="A22" s="2">
        <v>45859</v>
      </c>
      <c r="B22" s="3">
        <f>Data_Entry!P114</f>
        <v>9180.00000000001</v>
      </c>
      <c r="C22" s="4">
        <f>Data_Entry!V114</f>
        <v>3.92</v>
      </c>
      <c r="D22" s="5">
        <f t="shared" si="0"/>
        <v>0.158647863956865</v>
      </c>
      <c r="E22" s="6">
        <v>0</v>
      </c>
      <c r="F22" s="6">
        <v>0</v>
      </c>
      <c r="G22" s="7">
        <f t="shared" si="1"/>
        <v>0</v>
      </c>
      <c r="H22" s="7">
        <f t="shared" si="2"/>
        <v>0</v>
      </c>
      <c r="I22" s="8">
        <v>2411</v>
      </c>
      <c r="J22" s="9"/>
      <c r="K22" s="8">
        <f t="shared" si="3"/>
        <v>28932</v>
      </c>
      <c r="L22" s="7">
        <f t="shared" si="4"/>
        <v>0</v>
      </c>
      <c r="M22" s="10">
        <f t="shared" si="7"/>
        <v>1</v>
      </c>
      <c r="N22" s="11">
        <f t="shared" si="5"/>
        <v>0.158647863956865</v>
      </c>
      <c r="O22" s="8">
        <f t="shared" si="8"/>
        <v>9180.00000000001</v>
      </c>
      <c r="P22" s="12">
        <f t="shared" si="6"/>
        <v>0</v>
      </c>
    </row>
    <row r="23" spans="1:16">
      <c r="A23" s="2">
        <v>45860</v>
      </c>
      <c r="B23" s="3">
        <f>Data_Entry!P115</f>
        <v>9239.99999999995</v>
      </c>
      <c r="C23" s="4">
        <f>Data_Entry!V115</f>
        <v>4.14</v>
      </c>
      <c r="D23" s="5">
        <f t="shared" si="0"/>
        <v>0.159684778100372</v>
      </c>
      <c r="E23" s="6">
        <v>0</v>
      </c>
      <c r="F23" s="6">
        <v>0</v>
      </c>
      <c r="G23" s="7">
        <f t="shared" si="1"/>
        <v>0</v>
      </c>
      <c r="H23" s="7">
        <f t="shared" si="2"/>
        <v>0</v>
      </c>
      <c r="I23" s="8">
        <v>2411</v>
      </c>
      <c r="J23" s="9"/>
      <c r="K23" s="8">
        <f t="shared" si="3"/>
        <v>28932</v>
      </c>
      <c r="L23" s="7">
        <f t="shared" si="4"/>
        <v>0</v>
      </c>
      <c r="M23" s="10">
        <f t="shared" si="7"/>
        <v>1</v>
      </c>
      <c r="N23" s="11">
        <f t="shared" si="5"/>
        <v>0.159684778100372</v>
      </c>
      <c r="O23" s="8">
        <f t="shared" si="8"/>
        <v>9239.99999999995</v>
      </c>
      <c r="P23" s="12">
        <f t="shared" si="6"/>
        <v>0</v>
      </c>
    </row>
    <row r="24" spans="1:16">
      <c r="A24" s="2">
        <v>45861</v>
      </c>
      <c r="B24" s="3">
        <f>Data_Entry!P116</f>
        <v>6090.00000000009</v>
      </c>
      <c r="C24" s="4">
        <f>Data_Entry!V116</f>
        <v>2.6</v>
      </c>
      <c r="D24" s="5">
        <f t="shared" si="0"/>
        <v>0.105246785566157</v>
      </c>
      <c r="E24" s="6">
        <v>0</v>
      </c>
      <c r="F24" s="6">
        <v>0</v>
      </c>
      <c r="G24" s="7">
        <f t="shared" si="1"/>
        <v>0</v>
      </c>
      <c r="H24" s="7">
        <f t="shared" si="2"/>
        <v>0</v>
      </c>
      <c r="I24" s="8">
        <v>2411</v>
      </c>
      <c r="J24" s="9"/>
      <c r="K24" s="8">
        <f t="shared" si="3"/>
        <v>28932</v>
      </c>
      <c r="L24" s="7">
        <f t="shared" si="4"/>
        <v>0</v>
      </c>
      <c r="M24" s="10">
        <f t="shared" si="7"/>
        <v>1</v>
      </c>
      <c r="N24" s="11">
        <f t="shared" si="5"/>
        <v>0.105246785566157</v>
      </c>
      <c r="O24" s="8">
        <f t="shared" si="8"/>
        <v>6090.00000000009</v>
      </c>
      <c r="P24" s="12">
        <f t="shared" si="6"/>
        <v>0</v>
      </c>
    </row>
    <row r="25" spans="1:16">
      <c r="A25" s="2">
        <v>45862</v>
      </c>
      <c r="B25" s="3">
        <f>Data_Entry!P117</f>
        <v>3720.00000000003</v>
      </c>
      <c r="C25" s="4">
        <f>Data_Entry!V117</f>
        <v>1.49</v>
      </c>
      <c r="D25" s="5">
        <f t="shared" si="0"/>
        <v>0.0642886768975534</v>
      </c>
      <c r="E25" s="6">
        <v>0.666666666666667</v>
      </c>
      <c r="F25" s="6">
        <v>0.78125</v>
      </c>
      <c r="G25" s="7">
        <f t="shared" si="1"/>
        <v>165</v>
      </c>
      <c r="H25" s="7">
        <f t="shared" si="2"/>
        <v>2.75</v>
      </c>
      <c r="I25" s="8">
        <v>2411</v>
      </c>
      <c r="J25" s="9">
        <v>2411</v>
      </c>
      <c r="K25" s="8">
        <f t="shared" si="3"/>
        <v>28932</v>
      </c>
      <c r="L25" s="7">
        <f t="shared" si="4"/>
        <v>6630.25</v>
      </c>
      <c r="M25" s="10">
        <f t="shared" si="7"/>
        <v>0.770833333333333</v>
      </c>
      <c r="N25" s="11">
        <f t="shared" si="5"/>
        <v>0.0834015267860152</v>
      </c>
      <c r="O25" s="8">
        <f t="shared" si="8"/>
        <v>4825.94594594598</v>
      </c>
      <c r="P25" s="12">
        <f t="shared" si="6"/>
        <v>1105.94594594595</v>
      </c>
    </row>
    <row r="26" spans="1:16">
      <c r="A26" s="2">
        <v>45863</v>
      </c>
      <c r="B26" s="3">
        <f>Data_Entry!P118</f>
        <v>7799.9999999999</v>
      </c>
      <c r="C26" s="4">
        <f>Data_Entry!V118</f>
        <v>3.14</v>
      </c>
      <c r="D26" s="5">
        <f t="shared" si="0"/>
        <v>0.134798838656158</v>
      </c>
      <c r="E26" s="6">
        <v>0</v>
      </c>
      <c r="F26" s="6">
        <v>0</v>
      </c>
      <c r="G26" s="7">
        <f t="shared" si="1"/>
        <v>0</v>
      </c>
      <c r="H26" s="7">
        <f t="shared" si="2"/>
        <v>0</v>
      </c>
      <c r="I26" s="8">
        <v>2411</v>
      </c>
      <c r="J26" s="9"/>
      <c r="K26" s="8">
        <f t="shared" si="3"/>
        <v>28932</v>
      </c>
      <c r="L26" s="7">
        <f t="shared" si="4"/>
        <v>0</v>
      </c>
      <c r="M26" s="10">
        <f t="shared" si="7"/>
        <v>1</v>
      </c>
      <c r="N26" s="11">
        <f t="shared" si="5"/>
        <v>0.134798838656158</v>
      </c>
      <c r="O26" s="8">
        <f t="shared" si="8"/>
        <v>7799.9999999999</v>
      </c>
      <c r="P26" s="12">
        <f t="shared" si="6"/>
        <v>0</v>
      </c>
    </row>
    <row r="27" spans="1:16">
      <c r="A27" s="2">
        <v>45864</v>
      </c>
      <c r="B27" s="3">
        <f>Data_Entry!P119</f>
        <v>5550.00000000007</v>
      </c>
      <c r="C27" s="4">
        <f>Data_Entry!V119</f>
        <v>2.26</v>
      </c>
      <c r="D27" s="5">
        <f t="shared" si="0"/>
        <v>0.095914558274576</v>
      </c>
      <c r="E27" s="6">
        <v>0</v>
      </c>
      <c r="F27" s="6">
        <v>0</v>
      </c>
      <c r="G27" s="7">
        <f t="shared" si="1"/>
        <v>0</v>
      </c>
      <c r="H27" s="7">
        <f t="shared" si="2"/>
        <v>0</v>
      </c>
      <c r="I27" s="8">
        <v>2411</v>
      </c>
      <c r="J27" s="9"/>
      <c r="K27" s="8">
        <f t="shared" si="3"/>
        <v>28932</v>
      </c>
      <c r="L27" s="7">
        <f t="shared" si="4"/>
        <v>0</v>
      </c>
      <c r="M27" s="10">
        <f t="shared" si="7"/>
        <v>1</v>
      </c>
      <c r="N27" s="11">
        <f t="shared" si="5"/>
        <v>0.095914558274576</v>
      </c>
      <c r="O27" s="8">
        <f t="shared" si="8"/>
        <v>5550.00000000007</v>
      </c>
      <c r="P27" s="12">
        <f t="shared" si="6"/>
        <v>0</v>
      </c>
    </row>
    <row r="28" spans="1:16">
      <c r="A28" s="2">
        <v>45865</v>
      </c>
      <c r="B28" s="3">
        <f>Data_Entry!P120</f>
        <v>4260.00000000005</v>
      </c>
      <c r="C28" s="4">
        <f>Data_Entry!V120</f>
        <v>1.6</v>
      </c>
      <c r="D28" s="5">
        <f t="shared" si="0"/>
        <v>0.073620904189134</v>
      </c>
      <c r="E28" s="6">
        <v>0</v>
      </c>
      <c r="F28" s="6">
        <v>0</v>
      </c>
      <c r="G28" s="7">
        <f t="shared" si="1"/>
        <v>0</v>
      </c>
      <c r="H28" s="7">
        <f t="shared" si="2"/>
        <v>0</v>
      </c>
      <c r="I28" s="8">
        <v>2411</v>
      </c>
      <c r="J28" s="9"/>
      <c r="K28" s="8">
        <f t="shared" si="3"/>
        <v>28932</v>
      </c>
      <c r="L28" s="7">
        <f t="shared" si="4"/>
        <v>0</v>
      </c>
      <c r="M28" s="10">
        <f t="shared" si="7"/>
        <v>1</v>
      </c>
      <c r="N28" s="11">
        <f t="shared" si="5"/>
        <v>0.073620904189134</v>
      </c>
      <c r="O28" s="8">
        <f t="shared" si="8"/>
        <v>4260.00000000005</v>
      </c>
      <c r="P28" s="12">
        <f t="shared" si="6"/>
        <v>0</v>
      </c>
    </row>
    <row r="29" spans="1:16">
      <c r="A29" s="2">
        <v>45866</v>
      </c>
      <c r="B29" s="3">
        <f>Data_Entry!P121</f>
        <v>5519.99999999993</v>
      </c>
      <c r="C29" s="4">
        <f>Data_Entry!V121</f>
        <v>2.18</v>
      </c>
      <c r="D29" s="5">
        <f t="shared" si="0"/>
        <v>0.0953961012028191</v>
      </c>
      <c r="E29" s="6">
        <v>0</v>
      </c>
      <c r="F29" s="6">
        <v>0</v>
      </c>
      <c r="G29" s="7">
        <f t="shared" si="1"/>
        <v>0</v>
      </c>
      <c r="H29" s="7">
        <f t="shared" si="2"/>
        <v>0</v>
      </c>
      <c r="I29" s="8">
        <v>2411</v>
      </c>
      <c r="J29" s="9"/>
      <c r="K29" s="8">
        <f t="shared" si="3"/>
        <v>28932</v>
      </c>
      <c r="L29" s="7">
        <f t="shared" si="4"/>
        <v>0</v>
      </c>
      <c r="M29" s="10">
        <f t="shared" si="7"/>
        <v>1</v>
      </c>
      <c r="N29" s="11">
        <f t="shared" si="5"/>
        <v>0.0953961012028191</v>
      </c>
      <c r="O29" s="8">
        <f t="shared" si="8"/>
        <v>5519.99999999993</v>
      </c>
      <c r="P29" s="12">
        <f t="shared" si="6"/>
        <v>0</v>
      </c>
    </row>
    <row r="30" spans="1:16">
      <c r="A30" s="2">
        <v>45867</v>
      </c>
      <c r="B30" s="3">
        <f>Data_Entry!P122</f>
        <v>4830.00000000004</v>
      </c>
      <c r="C30" s="4">
        <f>Data_Entry!V122</f>
        <v>1.89</v>
      </c>
      <c r="D30" s="5">
        <f t="shared" si="0"/>
        <v>0.0834715885524686</v>
      </c>
      <c r="E30" s="6">
        <v>0</v>
      </c>
      <c r="F30" s="6">
        <v>0</v>
      </c>
      <c r="G30" s="7">
        <f t="shared" si="1"/>
        <v>0</v>
      </c>
      <c r="H30" s="7">
        <f t="shared" si="2"/>
        <v>0</v>
      </c>
      <c r="I30" s="8">
        <v>2411</v>
      </c>
      <c r="J30" s="9"/>
      <c r="K30" s="8">
        <f t="shared" si="3"/>
        <v>28932</v>
      </c>
      <c r="L30" s="7">
        <f t="shared" si="4"/>
        <v>0</v>
      </c>
      <c r="M30" s="10">
        <f t="shared" si="7"/>
        <v>1</v>
      </c>
      <c r="N30" s="11">
        <f t="shared" si="5"/>
        <v>0.0834715885524686</v>
      </c>
      <c r="O30" s="8">
        <f t="shared" si="8"/>
        <v>4830.00000000004</v>
      </c>
      <c r="P30" s="12">
        <f t="shared" si="6"/>
        <v>0</v>
      </c>
    </row>
    <row r="31" spans="1:16">
      <c r="A31" s="2">
        <v>45868</v>
      </c>
      <c r="B31" s="3">
        <f>Data_Entry!P123</f>
        <v>7440.00000000005</v>
      </c>
      <c r="C31" s="4">
        <f>Data_Entry!V123</f>
        <v>3.4</v>
      </c>
      <c r="D31" s="5">
        <f t="shared" si="0"/>
        <v>0.128577353795107</v>
      </c>
      <c r="E31" s="6">
        <v>0</v>
      </c>
      <c r="F31" s="6">
        <v>0</v>
      </c>
      <c r="G31" s="7">
        <f t="shared" si="1"/>
        <v>0</v>
      </c>
      <c r="H31" s="7">
        <f t="shared" si="2"/>
        <v>0</v>
      </c>
      <c r="I31" s="8">
        <v>2411</v>
      </c>
      <c r="J31" s="9"/>
      <c r="K31" s="8">
        <f t="shared" si="3"/>
        <v>28932</v>
      </c>
      <c r="L31" s="7">
        <f t="shared" si="4"/>
        <v>0</v>
      </c>
      <c r="M31" s="10">
        <f t="shared" si="7"/>
        <v>1</v>
      </c>
      <c r="N31" s="11">
        <f t="shared" si="5"/>
        <v>0.128577353795107</v>
      </c>
      <c r="O31" s="8">
        <f t="shared" si="8"/>
        <v>7440.00000000005</v>
      </c>
      <c r="P31" s="12">
        <f t="shared" si="6"/>
        <v>0</v>
      </c>
    </row>
    <row r="32" spans="1:16">
      <c r="A32" s="2">
        <v>45869</v>
      </c>
      <c r="B32" s="3">
        <f>Data_Entry!P124</f>
        <v>6029.99999999997</v>
      </c>
      <c r="C32" s="4">
        <f>Data_Entry!V124</f>
        <v>2.19</v>
      </c>
      <c r="D32" s="5">
        <f t="shared" si="0"/>
        <v>0.104209871422646</v>
      </c>
      <c r="E32" s="6">
        <v>0</v>
      </c>
      <c r="F32" s="6">
        <v>0</v>
      </c>
      <c r="G32" s="7">
        <f t="shared" si="1"/>
        <v>0</v>
      </c>
      <c r="H32" s="7">
        <f t="shared" si="2"/>
        <v>0</v>
      </c>
      <c r="I32" s="8">
        <v>2411</v>
      </c>
      <c r="J32" s="9"/>
      <c r="K32" s="8">
        <f t="shared" si="3"/>
        <v>28932</v>
      </c>
      <c r="L32" s="7">
        <f t="shared" si="4"/>
        <v>0</v>
      </c>
      <c r="M32" s="10">
        <f t="shared" si="7"/>
        <v>1</v>
      </c>
      <c r="N32" s="11">
        <f t="shared" si="5"/>
        <v>0.104209871422646</v>
      </c>
      <c r="O32" s="8">
        <f t="shared" si="8"/>
        <v>6029.99999999997</v>
      </c>
      <c r="P32" s="12">
        <f t="shared" si="6"/>
        <v>0</v>
      </c>
    </row>
    <row r="33" spans="1:16">
      <c r="A33" s="2"/>
      <c r="B33" s="3"/>
      <c r="C33" s="4"/>
      <c r="D33" s="5"/>
      <c r="E33" s="6"/>
      <c r="F33" s="6"/>
      <c r="G33" s="7"/>
      <c r="H33" s="7"/>
      <c r="I33" s="8"/>
      <c r="J33" s="9"/>
      <c r="K33" s="8"/>
      <c r="L33" s="7"/>
      <c r="M33" s="10"/>
      <c r="N33" s="11"/>
      <c r="O33" s="8"/>
      <c r="P33" s="12"/>
    </row>
    <row r="34" spans="1:16">
      <c r="A34" s="2">
        <v>45870</v>
      </c>
      <c r="B34" s="3">
        <f>Data_Entry!P125</f>
        <v>6449.99999999993</v>
      </c>
      <c r="C34" s="4">
        <f>Data_Entry!V125</f>
        <v>2.71</v>
      </c>
      <c r="D34" s="5">
        <f t="shared" si="0"/>
        <v>0.111468270427207</v>
      </c>
      <c r="E34" s="6">
        <v>0</v>
      </c>
      <c r="F34" s="6">
        <v>0</v>
      </c>
      <c r="G34" s="7">
        <f t="shared" si="1"/>
        <v>0</v>
      </c>
      <c r="H34" s="7">
        <f t="shared" si="2"/>
        <v>0</v>
      </c>
      <c r="I34" s="8">
        <v>2411</v>
      </c>
      <c r="J34" s="9"/>
      <c r="K34" s="8">
        <f t="shared" si="3"/>
        <v>28932</v>
      </c>
      <c r="L34" s="7">
        <f t="shared" si="4"/>
        <v>0</v>
      </c>
      <c r="M34" s="10">
        <f t="shared" si="7"/>
        <v>1</v>
      </c>
      <c r="N34" s="11">
        <f t="shared" si="5"/>
        <v>0.111468270427207</v>
      </c>
      <c r="O34" s="8">
        <f t="shared" si="8"/>
        <v>6449.99999999993</v>
      </c>
      <c r="P34" s="12">
        <f t="shared" si="6"/>
        <v>0</v>
      </c>
    </row>
    <row r="35" spans="1:16">
      <c r="A35" s="2">
        <v>45871</v>
      </c>
      <c r="B35" s="3">
        <f>Data_Entry!P126</f>
        <v>7379.99999999994</v>
      </c>
      <c r="C35" s="4">
        <f>Data_Entry!V126</f>
        <v>3.07</v>
      </c>
      <c r="D35" s="5">
        <f t="shared" si="0"/>
        <v>0.127540439651596</v>
      </c>
      <c r="E35" s="6">
        <v>0</v>
      </c>
      <c r="F35" s="6">
        <v>0</v>
      </c>
      <c r="G35" s="7">
        <f t="shared" si="1"/>
        <v>0</v>
      </c>
      <c r="H35" s="7">
        <f t="shared" si="2"/>
        <v>0</v>
      </c>
      <c r="I35" s="8">
        <v>2411</v>
      </c>
      <c r="J35" s="9"/>
      <c r="K35" s="8">
        <f t="shared" si="3"/>
        <v>28932</v>
      </c>
      <c r="L35" s="7">
        <f t="shared" si="4"/>
        <v>0</v>
      </c>
      <c r="M35" s="10">
        <f t="shared" si="7"/>
        <v>1</v>
      </c>
      <c r="N35" s="11">
        <f t="shared" si="5"/>
        <v>0.127540439651596</v>
      </c>
      <c r="O35" s="8">
        <f t="shared" si="8"/>
        <v>7379.99999999994</v>
      </c>
      <c r="P35" s="12">
        <f t="shared" si="6"/>
        <v>0</v>
      </c>
    </row>
    <row r="36" spans="1:16">
      <c r="A36" s="2">
        <v>45872</v>
      </c>
      <c r="B36" s="3">
        <f>Data_Entry!P127</f>
        <v>5280.00000000014</v>
      </c>
      <c r="C36" s="4">
        <f>Data_Entry!V127</f>
        <v>2.18</v>
      </c>
      <c r="D36" s="5">
        <f t="shared" si="0"/>
        <v>0.0912484446287872</v>
      </c>
      <c r="E36" s="6">
        <v>0</v>
      </c>
      <c r="F36" s="6">
        <v>0</v>
      </c>
      <c r="G36" s="7">
        <f t="shared" si="1"/>
        <v>0</v>
      </c>
      <c r="H36" s="7">
        <f t="shared" si="2"/>
        <v>0</v>
      </c>
      <c r="I36" s="8">
        <v>2411</v>
      </c>
      <c r="J36" s="9"/>
      <c r="K36" s="8">
        <f t="shared" si="3"/>
        <v>28932</v>
      </c>
      <c r="L36" s="7">
        <f t="shared" si="4"/>
        <v>0</v>
      </c>
      <c r="M36" s="10">
        <f t="shared" si="7"/>
        <v>1</v>
      </c>
      <c r="N36" s="11">
        <f t="shared" si="5"/>
        <v>0.0912484446287872</v>
      </c>
      <c r="O36" s="8">
        <f t="shared" si="8"/>
        <v>5280.00000000014</v>
      </c>
      <c r="P36" s="12">
        <f t="shared" si="6"/>
        <v>0</v>
      </c>
    </row>
    <row r="37" spans="1:16">
      <c r="A37" s="2">
        <v>45873</v>
      </c>
      <c r="B37" s="3">
        <f>Data_Entry!P128</f>
        <v>5189.99999999988</v>
      </c>
      <c r="C37" s="4">
        <f>Data_Entry!V128</f>
        <v>1.96</v>
      </c>
      <c r="D37" s="5">
        <f t="shared" si="0"/>
        <v>0.0896930734135193</v>
      </c>
      <c r="E37" s="6">
        <v>0</v>
      </c>
      <c r="F37" s="6">
        <v>0</v>
      </c>
      <c r="G37" s="7">
        <f t="shared" si="1"/>
        <v>0</v>
      </c>
      <c r="H37" s="7">
        <f t="shared" si="2"/>
        <v>0</v>
      </c>
      <c r="I37" s="8">
        <v>2411</v>
      </c>
      <c r="J37" s="9"/>
      <c r="K37" s="8">
        <f t="shared" si="3"/>
        <v>28932</v>
      </c>
      <c r="L37" s="7">
        <f t="shared" si="4"/>
        <v>0</v>
      </c>
      <c r="M37" s="10">
        <f t="shared" si="7"/>
        <v>1</v>
      </c>
      <c r="N37" s="11">
        <f t="shared" si="5"/>
        <v>0.0896930734135193</v>
      </c>
      <c r="O37" s="8">
        <f t="shared" si="8"/>
        <v>5189.99999999988</v>
      </c>
      <c r="P37" s="12">
        <f t="shared" si="6"/>
        <v>0</v>
      </c>
    </row>
    <row r="38" spans="1:16">
      <c r="A38" s="2">
        <v>45874</v>
      </c>
      <c r="B38" s="3">
        <f>Data_Entry!P129</f>
        <v>7080.00000000004</v>
      </c>
      <c r="C38" s="4">
        <f>Data_Entry!V129</f>
        <v>3</v>
      </c>
      <c r="D38" s="5">
        <f t="shared" si="0"/>
        <v>0.122355868934053</v>
      </c>
      <c r="E38" s="6">
        <v>0.713888888888889</v>
      </c>
      <c r="F38" s="6">
        <v>0.727777777777778</v>
      </c>
      <c r="G38" s="7">
        <f t="shared" si="1"/>
        <v>19.9999999999999</v>
      </c>
      <c r="H38" s="7">
        <f t="shared" si="2"/>
        <v>0.333333333333332</v>
      </c>
      <c r="I38" s="8">
        <v>2411</v>
      </c>
      <c r="J38" s="9">
        <v>2411</v>
      </c>
      <c r="K38" s="8">
        <f t="shared" si="3"/>
        <v>28932</v>
      </c>
      <c r="L38" s="7">
        <f t="shared" si="4"/>
        <v>803.666666666664</v>
      </c>
      <c r="M38" s="10">
        <f t="shared" si="7"/>
        <v>0.972222222222222</v>
      </c>
      <c r="N38" s="11">
        <f t="shared" si="5"/>
        <v>0.125851750903597</v>
      </c>
      <c r="O38" s="8">
        <f t="shared" si="8"/>
        <v>7282.28571428576</v>
      </c>
      <c r="P38" s="12">
        <f t="shared" si="6"/>
        <v>202.285714285715</v>
      </c>
    </row>
    <row r="39" spans="1:16">
      <c r="A39" s="2">
        <v>45875</v>
      </c>
      <c r="B39" s="3">
        <f>Data_Entry!P130</f>
        <v>10620.0000000001</v>
      </c>
      <c r="C39" s="4">
        <f>Data_Entry!V130</f>
        <v>4.33</v>
      </c>
      <c r="D39" s="5">
        <f t="shared" si="0"/>
        <v>0.183533803401079</v>
      </c>
      <c r="E39" s="6">
        <v>0</v>
      </c>
      <c r="F39" s="6">
        <v>0</v>
      </c>
      <c r="G39" s="7">
        <f t="shared" si="1"/>
        <v>0</v>
      </c>
      <c r="H39" s="7">
        <f t="shared" si="2"/>
        <v>0</v>
      </c>
      <c r="I39" s="8">
        <v>2411</v>
      </c>
      <c r="J39" s="9"/>
      <c r="K39" s="8">
        <f t="shared" si="3"/>
        <v>28932</v>
      </c>
      <c r="L39" s="7">
        <f t="shared" si="4"/>
        <v>0</v>
      </c>
      <c r="M39" s="10">
        <f t="shared" si="7"/>
        <v>1</v>
      </c>
      <c r="N39" s="11">
        <f t="shared" si="5"/>
        <v>0.183533803401079</v>
      </c>
      <c r="O39" s="8">
        <f t="shared" si="8"/>
        <v>10620.0000000001</v>
      </c>
      <c r="P39" s="12">
        <f t="shared" si="6"/>
        <v>0</v>
      </c>
    </row>
    <row r="40" spans="1:16">
      <c r="A40" s="2">
        <v>45876</v>
      </c>
      <c r="B40" s="3">
        <f>Data_Entry!P131</f>
        <v>12329.9999999999</v>
      </c>
      <c r="C40" s="4">
        <f>Data_Entry!V131</f>
        <v>5.09</v>
      </c>
      <c r="D40" s="5">
        <f t="shared" si="0"/>
        <v>0.21308585649108</v>
      </c>
      <c r="E40" s="6">
        <v>0</v>
      </c>
      <c r="F40" s="6">
        <v>0</v>
      </c>
      <c r="G40" s="7">
        <f t="shared" si="1"/>
        <v>0</v>
      </c>
      <c r="H40" s="7">
        <f t="shared" si="2"/>
        <v>0</v>
      </c>
      <c r="I40" s="8">
        <v>2411</v>
      </c>
      <c r="J40" s="9"/>
      <c r="K40" s="8">
        <f t="shared" si="3"/>
        <v>28932</v>
      </c>
      <c r="L40" s="7">
        <f t="shared" si="4"/>
        <v>0</v>
      </c>
      <c r="M40" s="10">
        <f t="shared" si="7"/>
        <v>1</v>
      </c>
      <c r="N40" s="11">
        <f t="shared" si="5"/>
        <v>0.21308585649108</v>
      </c>
      <c r="O40" s="8">
        <f t="shared" si="8"/>
        <v>12329.9999999999</v>
      </c>
      <c r="P40" s="12">
        <f t="shared" si="6"/>
        <v>0</v>
      </c>
    </row>
    <row r="41" spans="1:16">
      <c r="A41" s="2">
        <v>45877</v>
      </c>
      <c r="B41" s="3">
        <f>Data_Entry!P132</f>
        <v>10380.0000000001</v>
      </c>
      <c r="C41" s="4">
        <f>Data_Entry!V132</f>
        <v>4.32</v>
      </c>
      <c r="D41" s="5">
        <f t="shared" si="0"/>
        <v>0.179386146827045</v>
      </c>
      <c r="E41" s="6">
        <v>0</v>
      </c>
      <c r="F41" s="6">
        <v>0</v>
      </c>
      <c r="G41" s="7">
        <f t="shared" si="1"/>
        <v>0</v>
      </c>
      <c r="H41" s="7">
        <f t="shared" si="2"/>
        <v>0</v>
      </c>
      <c r="I41" s="8">
        <v>2411</v>
      </c>
      <c r="J41" s="9"/>
      <c r="K41" s="8">
        <f t="shared" si="3"/>
        <v>28932</v>
      </c>
      <c r="L41" s="7">
        <f t="shared" si="4"/>
        <v>0</v>
      </c>
      <c r="M41" s="10">
        <f t="shared" si="7"/>
        <v>1</v>
      </c>
      <c r="N41" s="11">
        <f t="shared" si="5"/>
        <v>0.179386146827045</v>
      </c>
      <c r="O41" s="8">
        <f t="shared" si="8"/>
        <v>10380.0000000001</v>
      </c>
      <c r="P41" s="12">
        <f t="shared" si="6"/>
        <v>0</v>
      </c>
    </row>
    <row r="42" spans="1:16">
      <c r="A42" s="2">
        <v>45878</v>
      </c>
      <c r="B42" s="3">
        <f>Data_Entry!P133</f>
        <v>7769.99999999993</v>
      </c>
      <c r="C42" s="4">
        <f>Data_Entry!V133</f>
        <v>3.13</v>
      </c>
      <c r="D42" s="5">
        <f t="shared" si="0"/>
        <v>0.134280381584404</v>
      </c>
      <c r="E42" s="6">
        <v>0</v>
      </c>
      <c r="F42" s="6">
        <v>0</v>
      </c>
      <c r="G42" s="7">
        <f t="shared" si="1"/>
        <v>0</v>
      </c>
      <c r="H42" s="7">
        <f t="shared" si="2"/>
        <v>0</v>
      </c>
      <c r="I42" s="8">
        <v>2411</v>
      </c>
      <c r="J42" s="9"/>
      <c r="K42" s="8">
        <f t="shared" si="3"/>
        <v>28932</v>
      </c>
      <c r="L42" s="7">
        <f t="shared" si="4"/>
        <v>0</v>
      </c>
      <c r="M42" s="10">
        <f t="shared" si="7"/>
        <v>1</v>
      </c>
      <c r="N42" s="11">
        <f t="shared" si="5"/>
        <v>0.134280381584404</v>
      </c>
      <c r="O42" s="8">
        <f t="shared" si="8"/>
        <v>7769.99999999993</v>
      </c>
      <c r="P42" s="12">
        <f t="shared" si="6"/>
        <v>0</v>
      </c>
    </row>
    <row r="43" spans="1:16">
      <c r="A43" s="2">
        <v>45879</v>
      </c>
      <c r="B43" s="3">
        <f>Data_Entry!P134</f>
        <v>9000</v>
      </c>
      <c r="C43" s="4">
        <f>Data_Entry!V134</f>
        <v>3.41</v>
      </c>
      <c r="D43" s="5">
        <f t="shared" si="0"/>
        <v>0.155537121526338</v>
      </c>
      <c r="E43" s="6">
        <v>0</v>
      </c>
      <c r="F43" s="6">
        <v>0</v>
      </c>
      <c r="G43" s="7">
        <f t="shared" si="1"/>
        <v>0</v>
      </c>
      <c r="H43" s="7">
        <f t="shared" si="2"/>
        <v>0</v>
      </c>
      <c r="I43" s="8">
        <v>2411</v>
      </c>
      <c r="J43" s="9"/>
      <c r="K43" s="8">
        <f t="shared" si="3"/>
        <v>28932</v>
      </c>
      <c r="L43" s="7">
        <f t="shared" si="4"/>
        <v>0</v>
      </c>
      <c r="M43" s="10">
        <f t="shared" si="7"/>
        <v>1</v>
      </c>
      <c r="N43" s="11">
        <f t="shared" si="5"/>
        <v>0.155537121526338</v>
      </c>
      <c r="O43" s="8">
        <f t="shared" si="8"/>
        <v>9000</v>
      </c>
      <c r="P43" s="12">
        <f t="shared" si="6"/>
        <v>0</v>
      </c>
    </row>
    <row r="44" spans="1:16">
      <c r="A44" s="2">
        <v>45880</v>
      </c>
      <c r="B44" s="3">
        <f>Data_Entry!P135</f>
        <v>9870.00000000006</v>
      </c>
      <c r="C44" s="4">
        <f>Data_Entry!V135</f>
        <v>3.67</v>
      </c>
      <c r="D44" s="5">
        <f t="shared" si="0"/>
        <v>0.170572376607218</v>
      </c>
      <c r="E44" s="6">
        <v>0</v>
      </c>
      <c r="F44" s="6">
        <v>0</v>
      </c>
      <c r="G44" s="7">
        <f t="shared" si="1"/>
        <v>0</v>
      </c>
      <c r="H44" s="7">
        <f t="shared" si="2"/>
        <v>0</v>
      </c>
      <c r="I44" s="8">
        <v>2411</v>
      </c>
      <c r="J44" s="9"/>
      <c r="K44" s="8">
        <f t="shared" si="3"/>
        <v>28932</v>
      </c>
      <c r="L44" s="7">
        <f t="shared" si="4"/>
        <v>0</v>
      </c>
      <c r="M44" s="10">
        <f t="shared" si="7"/>
        <v>1</v>
      </c>
      <c r="N44" s="11">
        <f t="shared" si="5"/>
        <v>0.170572376607218</v>
      </c>
      <c r="O44" s="8">
        <f t="shared" si="8"/>
        <v>9870.00000000006</v>
      </c>
      <c r="P44" s="12">
        <f t="shared" si="6"/>
        <v>0</v>
      </c>
    </row>
    <row r="45" spans="1:16">
      <c r="A45" s="2">
        <v>45881</v>
      </c>
      <c r="B45" s="3">
        <f>Data_Entry!P136</f>
        <v>7979.9999999999</v>
      </c>
      <c r="C45" s="4">
        <f>Data_Entry!V136</f>
        <v>2.94</v>
      </c>
      <c r="D45" s="5">
        <f t="shared" si="0"/>
        <v>0.137909581086684</v>
      </c>
      <c r="E45" s="6">
        <v>0</v>
      </c>
      <c r="F45" s="6">
        <v>0</v>
      </c>
      <c r="G45" s="7">
        <f t="shared" si="1"/>
        <v>0</v>
      </c>
      <c r="H45" s="7">
        <f t="shared" si="2"/>
        <v>0</v>
      </c>
      <c r="I45" s="8">
        <v>2411</v>
      </c>
      <c r="J45" s="9"/>
      <c r="K45" s="8">
        <f t="shared" si="3"/>
        <v>28932</v>
      </c>
      <c r="L45" s="7">
        <f t="shared" si="4"/>
        <v>0</v>
      </c>
      <c r="M45" s="10">
        <f t="shared" si="7"/>
        <v>1</v>
      </c>
      <c r="N45" s="11">
        <f t="shared" si="5"/>
        <v>0.137909581086684</v>
      </c>
      <c r="O45" s="8">
        <f t="shared" si="8"/>
        <v>7979.99999999991</v>
      </c>
      <c r="P45" s="12">
        <f t="shared" si="6"/>
        <v>0</v>
      </c>
    </row>
    <row r="46" spans="1:16">
      <c r="A46" s="2">
        <v>45882</v>
      </c>
      <c r="B46" s="3">
        <f>Data_Entry!P137</f>
        <v>9090.00000000009</v>
      </c>
      <c r="C46" s="4">
        <f>Data_Entry!V137</f>
        <v>3.69</v>
      </c>
      <c r="D46" s="5">
        <f t="shared" si="0"/>
        <v>0.157092492741603</v>
      </c>
      <c r="E46" s="6">
        <v>0</v>
      </c>
      <c r="F46" s="6">
        <v>0</v>
      </c>
      <c r="G46" s="7">
        <f t="shared" si="1"/>
        <v>0</v>
      </c>
      <c r="H46" s="7">
        <f t="shared" si="2"/>
        <v>0</v>
      </c>
      <c r="I46" s="8">
        <v>2411</v>
      </c>
      <c r="J46" s="9"/>
      <c r="K46" s="8">
        <f t="shared" si="3"/>
        <v>28932</v>
      </c>
      <c r="L46" s="7">
        <f t="shared" si="4"/>
        <v>0</v>
      </c>
      <c r="M46" s="10">
        <f t="shared" si="7"/>
        <v>1</v>
      </c>
      <c r="N46" s="11">
        <f t="shared" si="5"/>
        <v>0.157092492741603</v>
      </c>
      <c r="O46" s="8">
        <f t="shared" si="8"/>
        <v>9090.00000000009</v>
      </c>
      <c r="P46" s="12">
        <f t="shared" si="6"/>
        <v>0</v>
      </c>
    </row>
    <row r="47" spans="1:16">
      <c r="A47" s="2">
        <v>45883</v>
      </c>
      <c r="B47" s="3">
        <f>Data_Entry!P138</f>
        <v>6959.99999999998</v>
      </c>
      <c r="C47" s="4">
        <f>Data_Entry!V138</f>
        <v>2.7</v>
      </c>
      <c r="D47" s="5">
        <f t="shared" si="0"/>
        <v>0.120282040647034</v>
      </c>
      <c r="E47" s="6">
        <v>0</v>
      </c>
      <c r="F47" s="6">
        <v>0</v>
      </c>
      <c r="G47" s="7">
        <f t="shared" si="1"/>
        <v>0</v>
      </c>
      <c r="H47" s="7">
        <f t="shared" si="2"/>
        <v>0</v>
      </c>
      <c r="I47" s="8">
        <v>2411</v>
      </c>
      <c r="J47" s="9"/>
      <c r="K47" s="8">
        <f t="shared" si="3"/>
        <v>28932</v>
      </c>
      <c r="L47" s="7">
        <f t="shared" si="4"/>
        <v>0</v>
      </c>
      <c r="M47" s="10">
        <f t="shared" si="7"/>
        <v>1</v>
      </c>
      <c r="N47" s="11">
        <f t="shared" si="5"/>
        <v>0.120282040647034</v>
      </c>
      <c r="O47" s="8">
        <f t="shared" si="8"/>
        <v>6959.99999999998</v>
      </c>
      <c r="P47" s="12">
        <f t="shared" si="6"/>
        <v>0</v>
      </c>
    </row>
    <row r="48" spans="1:16">
      <c r="A48" s="2">
        <v>45884</v>
      </c>
      <c r="B48" s="3">
        <f>Data_Entry!P139</f>
        <v>6720.00000000003</v>
      </c>
      <c r="C48" s="4">
        <f>Data_Entry!V139</f>
        <v>3.05</v>
      </c>
      <c r="D48" s="5">
        <f t="shared" si="0"/>
        <v>0.116134384072999</v>
      </c>
      <c r="E48" s="6">
        <v>0</v>
      </c>
      <c r="F48" s="6">
        <v>0</v>
      </c>
      <c r="G48" s="7">
        <f t="shared" si="1"/>
        <v>0</v>
      </c>
      <c r="H48" s="7">
        <f t="shared" si="2"/>
        <v>0</v>
      </c>
      <c r="I48" s="8">
        <v>2411</v>
      </c>
      <c r="J48" s="9"/>
      <c r="K48" s="8">
        <f t="shared" si="3"/>
        <v>28932</v>
      </c>
      <c r="L48" s="7">
        <f t="shared" si="4"/>
        <v>0</v>
      </c>
      <c r="M48" s="10">
        <f t="shared" si="7"/>
        <v>1</v>
      </c>
      <c r="N48" s="11">
        <f t="shared" si="5"/>
        <v>0.116134384072999</v>
      </c>
      <c r="O48" s="8">
        <f t="shared" si="8"/>
        <v>6720.00000000003</v>
      </c>
      <c r="P48" s="12">
        <f t="shared" si="6"/>
        <v>0</v>
      </c>
    </row>
    <row r="49" spans="1:16">
      <c r="A49" s="2">
        <v>45885</v>
      </c>
      <c r="B49" s="3">
        <f>Data_Entry!P140</f>
        <v>9209.99999999998</v>
      </c>
      <c r="C49" s="4">
        <f>Data_Entry!V140</f>
        <v>3.53</v>
      </c>
      <c r="D49" s="5">
        <f t="shared" si="0"/>
        <v>0.159166321028618</v>
      </c>
      <c r="E49" s="6">
        <v>0</v>
      </c>
      <c r="F49" s="6">
        <v>0</v>
      </c>
      <c r="G49" s="7">
        <f t="shared" si="1"/>
        <v>0</v>
      </c>
      <c r="H49" s="7">
        <f t="shared" si="2"/>
        <v>0</v>
      </c>
      <c r="I49" s="8">
        <v>2411</v>
      </c>
      <c r="J49" s="9"/>
      <c r="K49" s="8">
        <f t="shared" si="3"/>
        <v>28932</v>
      </c>
      <c r="L49" s="7">
        <f t="shared" si="4"/>
        <v>0</v>
      </c>
      <c r="M49" s="10">
        <f t="shared" si="7"/>
        <v>1</v>
      </c>
      <c r="N49" s="11">
        <f t="shared" si="5"/>
        <v>0.159166321028618</v>
      </c>
      <c r="O49" s="8">
        <f t="shared" si="8"/>
        <v>9209.99999999998</v>
      </c>
      <c r="P49" s="12">
        <f t="shared" si="6"/>
        <v>0</v>
      </c>
    </row>
    <row r="50" spans="1:16">
      <c r="A50" s="2">
        <v>45886</v>
      </c>
      <c r="B50" s="3">
        <f>Data_Entry!P141</f>
        <v>8220.00000000003</v>
      </c>
      <c r="C50" s="4">
        <f>Data_Entry!V141</f>
        <v>3.05</v>
      </c>
      <c r="D50" s="5">
        <f t="shared" si="0"/>
        <v>0.142057237660722</v>
      </c>
      <c r="E50" s="6">
        <v>0</v>
      </c>
      <c r="F50" s="6">
        <v>0</v>
      </c>
      <c r="G50" s="7">
        <f t="shared" si="1"/>
        <v>0</v>
      </c>
      <c r="H50" s="7">
        <f t="shared" si="2"/>
        <v>0</v>
      </c>
      <c r="I50" s="8">
        <v>2411</v>
      </c>
      <c r="J50" s="9"/>
      <c r="K50" s="8">
        <f t="shared" si="3"/>
        <v>28932</v>
      </c>
      <c r="L50" s="7">
        <f t="shared" si="4"/>
        <v>0</v>
      </c>
      <c r="M50" s="10">
        <f t="shared" si="7"/>
        <v>1</v>
      </c>
      <c r="N50" s="11">
        <f t="shared" si="5"/>
        <v>0.142057237660722</v>
      </c>
      <c r="O50" s="8">
        <f t="shared" si="8"/>
        <v>8220.00000000003</v>
      </c>
      <c r="P50" s="12">
        <f t="shared" si="6"/>
        <v>0</v>
      </c>
    </row>
    <row r="51" spans="1:16">
      <c r="A51" s="2">
        <v>45887</v>
      </c>
      <c r="B51" s="3">
        <f>Data_Entry!P142</f>
        <v>8250</v>
      </c>
      <c r="C51" s="4">
        <f>Data_Entry!V142</f>
        <v>3.27</v>
      </c>
      <c r="D51" s="5">
        <f t="shared" si="0"/>
        <v>0.142575694732476</v>
      </c>
      <c r="E51" s="6">
        <v>0</v>
      </c>
      <c r="F51" s="6">
        <v>0</v>
      </c>
      <c r="G51" s="7">
        <f t="shared" si="1"/>
        <v>0</v>
      </c>
      <c r="H51" s="7">
        <f t="shared" si="2"/>
        <v>0</v>
      </c>
      <c r="I51" s="8">
        <v>2411</v>
      </c>
      <c r="J51" s="9"/>
      <c r="K51" s="8">
        <f t="shared" si="3"/>
        <v>28932</v>
      </c>
      <c r="L51" s="7">
        <f t="shared" si="4"/>
        <v>0</v>
      </c>
      <c r="M51" s="10">
        <f t="shared" si="7"/>
        <v>1</v>
      </c>
      <c r="N51" s="11">
        <f t="shared" si="5"/>
        <v>0.142575694732476</v>
      </c>
      <c r="O51" s="8">
        <f t="shared" si="8"/>
        <v>8250</v>
      </c>
      <c r="P51" s="12">
        <f t="shared" si="6"/>
        <v>0</v>
      </c>
    </row>
    <row r="52" spans="1:16">
      <c r="A52" s="2">
        <v>45888</v>
      </c>
      <c r="B52" s="3">
        <f>Data_Entry!P143</f>
        <v>9239.99999999995</v>
      </c>
      <c r="C52" s="4">
        <f>Data_Entry!V143</f>
        <v>0</v>
      </c>
      <c r="D52" s="5">
        <f t="shared" si="0"/>
        <v>0.159684778100372</v>
      </c>
      <c r="E52" s="6">
        <v>0</v>
      </c>
      <c r="F52" s="6">
        <v>0</v>
      </c>
      <c r="G52" s="7">
        <f t="shared" si="1"/>
        <v>0</v>
      </c>
      <c r="H52" s="7">
        <f t="shared" si="2"/>
        <v>0</v>
      </c>
      <c r="I52" s="8">
        <v>2411</v>
      </c>
      <c r="J52" s="9"/>
      <c r="K52" s="8">
        <f t="shared" si="3"/>
        <v>28932</v>
      </c>
      <c r="L52" s="7">
        <f t="shared" si="4"/>
        <v>0</v>
      </c>
      <c r="M52" s="10">
        <f t="shared" si="7"/>
        <v>1</v>
      </c>
      <c r="N52" s="11">
        <f t="shared" si="5"/>
        <v>0.159684778100372</v>
      </c>
      <c r="O52" s="8">
        <f t="shared" si="8"/>
        <v>9239.99999999995</v>
      </c>
      <c r="P52" s="12">
        <f t="shared" si="6"/>
        <v>0</v>
      </c>
    </row>
    <row r="53" spans="1:16">
      <c r="A53" s="2">
        <v>45889</v>
      </c>
      <c r="B53" s="3">
        <f>Data_Entry!P144</f>
        <v>2760.00000000005</v>
      </c>
      <c r="C53" s="4">
        <f>Data_Entry!V144</f>
        <v>0</v>
      </c>
      <c r="D53" s="5">
        <f t="shared" si="0"/>
        <v>0.047698050601411</v>
      </c>
      <c r="E53" s="6">
        <v>0</v>
      </c>
      <c r="F53" s="6">
        <v>0</v>
      </c>
      <c r="G53" s="7">
        <f t="shared" si="1"/>
        <v>0</v>
      </c>
      <c r="H53" s="7">
        <f t="shared" si="2"/>
        <v>0</v>
      </c>
      <c r="I53" s="8">
        <v>2411</v>
      </c>
      <c r="J53" s="9"/>
      <c r="K53" s="8">
        <f t="shared" si="3"/>
        <v>28932</v>
      </c>
      <c r="L53" s="7">
        <f t="shared" si="4"/>
        <v>0</v>
      </c>
      <c r="M53" s="10">
        <f t="shared" si="7"/>
        <v>1</v>
      </c>
      <c r="N53" s="11">
        <f t="shared" si="5"/>
        <v>0.047698050601411</v>
      </c>
      <c r="O53" s="8">
        <f t="shared" si="8"/>
        <v>2760.00000000005</v>
      </c>
      <c r="P53" s="12">
        <f t="shared" si="6"/>
        <v>0</v>
      </c>
    </row>
    <row r="54" spans="1:16">
      <c r="A54" s="2">
        <v>45890</v>
      </c>
      <c r="B54" s="3">
        <f>Data_Entry!P145</f>
        <v>8069.99999999999</v>
      </c>
      <c r="C54" s="4">
        <f>Data_Entry!V145</f>
        <v>0</v>
      </c>
      <c r="D54" s="5">
        <f t="shared" si="0"/>
        <v>0.139464952301949</v>
      </c>
      <c r="E54" s="6">
        <v>0</v>
      </c>
      <c r="F54" s="6">
        <v>0</v>
      </c>
      <c r="G54" s="7">
        <f t="shared" si="1"/>
        <v>0</v>
      </c>
      <c r="H54" s="7">
        <f t="shared" si="2"/>
        <v>0</v>
      </c>
      <c r="I54" s="8">
        <v>2411</v>
      </c>
      <c r="J54" s="9"/>
      <c r="K54" s="8">
        <f t="shared" si="3"/>
        <v>28932</v>
      </c>
      <c r="L54" s="7">
        <f t="shared" si="4"/>
        <v>0</v>
      </c>
      <c r="M54" s="10">
        <f t="shared" si="7"/>
        <v>1</v>
      </c>
      <c r="N54" s="11">
        <f t="shared" si="5"/>
        <v>0.139464952301949</v>
      </c>
      <c r="O54" s="8">
        <f t="shared" si="8"/>
        <v>8069.99999999999</v>
      </c>
      <c r="P54" s="12">
        <f t="shared" si="6"/>
        <v>0</v>
      </c>
    </row>
    <row r="55" spans="1:16">
      <c r="A55" s="2">
        <v>45891</v>
      </c>
      <c r="B55" s="3">
        <f>Data_Entry!P146</f>
        <v>8459.99999999998</v>
      </c>
      <c r="C55" s="4">
        <f>Data_Entry!V146</f>
        <v>0</v>
      </c>
      <c r="D55" s="5">
        <f t="shared" si="0"/>
        <v>0.146204894234757</v>
      </c>
      <c r="E55" s="6">
        <v>0</v>
      </c>
      <c r="F55" s="6">
        <v>0</v>
      </c>
      <c r="G55" s="7">
        <f t="shared" si="1"/>
        <v>0</v>
      </c>
      <c r="H55" s="7">
        <f t="shared" si="2"/>
        <v>0</v>
      </c>
      <c r="I55" s="8">
        <v>2411</v>
      </c>
      <c r="J55" s="9"/>
      <c r="K55" s="8">
        <f t="shared" si="3"/>
        <v>28932</v>
      </c>
      <c r="L55" s="7">
        <f t="shared" si="4"/>
        <v>0</v>
      </c>
      <c r="M55" s="10">
        <f t="shared" si="7"/>
        <v>1</v>
      </c>
      <c r="N55" s="11">
        <f t="shared" si="5"/>
        <v>0.146204894234757</v>
      </c>
      <c r="O55" s="8">
        <f t="shared" si="8"/>
        <v>8459.99999999998</v>
      </c>
      <c r="P55" s="12">
        <f t="shared" si="6"/>
        <v>0</v>
      </c>
    </row>
    <row r="56" spans="1:16">
      <c r="A56" s="2">
        <v>45892</v>
      </c>
      <c r="B56" s="3">
        <f>Data_Entry!P147</f>
        <v>5790.00000000002</v>
      </c>
      <c r="C56" s="4">
        <f>Data_Entry!V147</f>
        <v>0</v>
      </c>
      <c r="D56" s="5">
        <f t="shared" si="0"/>
        <v>0.100062214848611</v>
      </c>
      <c r="E56" s="6">
        <v>0</v>
      </c>
      <c r="F56" s="6">
        <v>0</v>
      </c>
      <c r="G56" s="7">
        <f t="shared" si="1"/>
        <v>0</v>
      </c>
      <c r="H56" s="7">
        <f t="shared" si="2"/>
        <v>0</v>
      </c>
      <c r="I56" s="8">
        <v>2411</v>
      </c>
      <c r="J56" s="9"/>
      <c r="K56" s="8">
        <f t="shared" si="3"/>
        <v>28932</v>
      </c>
      <c r="L56" s="7">
        <f t="shared" si="4"/>
        <v>0</v>
      </c>
      <c r="M56" s="10">
        <f t="shared" si="7"/>
        <v>1</v>
      </c>
      <c r="N56" s="11">
        <f t="shared" si="5"/>
        <v>0.100062214848611</v>
      </c>
      <c r="O56" s="8">
        <f t="shared" si="8"/>
        <v>5790.00000000002</v>
      </c>
      <c r="P56" s="12">
        <f t="shared" si="6"/>
        <v>0</v>
      </c>
    </row>
    <row r="57" spans="1:16">
      <c r="A57" s="2">
        <v>45893</v>
      </c>
      <c r="B57" s="3">
        <f>Data_Entry!P148</f>
        <v>5940.00000000005</v>
      </c>
      <c r="C57" s="4">
        <f>Data_Entry!V148</f>
        <v>0</v>
      </c>
      <c r="D57" s="5">
        <f t="shared" si="0"/>
        <v>0.102654500207384</v>
      </c>
      <c r="E57" s="6">
        <v>0</v>
      </c>
      <c r="F57" s="6">
        <v>0</v>
      </c>
      <c r="G57" s="7">
        <f t="shared" si="1"/>
        <v>0</v>
      </c>
      <c r="H57" s="7">
        <f t="shared" si="2"/>
        <v>0</v>
      </c>
      <c r="I57" s="8">
        <v>2411</v>
      </c>
      <c r="J57" s="9"/>
      <c r="K57" s="8">
        <f t="shared" si="3"/>
        <v>28932</v>
      </c>
      <c r="L57" s="7">
        <f t="shared" si="4"/>
        <v>0</v>
      </c>
      <c r="M57" s="10">
        <f t="shared" si="7"/>
        <v>1</v>
      </c>
      <c r="N57" s="11">
        <f t="shared" si="5"/>
        <v>0.102654500207384</v>
      </c>
      <c r="O57" s="8">
        <f t="shared" si="8"/>
        <v>5940.00000000005</v>
      </c>
      <c r="P57" s="12">
        <f t="shared" si="6"/>
        <v>0</v>
      </c>
    </row>
    <row r="58" spans="1:16">
      <c r="A58" s="2">
        <v>45894</v>
      </c>
      <c r="B58" s="3">
        <f>Data_Entry!P149</f>
        <v>6180.00000000001</v>
      </c>
      <c r="C58" s="4">
        <f>Data_Entry!V149</f>
        <v>0</v>
      </c>
      <c r="D58" s="5">
        <f t="shared" si="0"/>
        <v>0.106802156781419</v>
      </c>
      <c r="E58" s="6">
        <v>0</v>
      </c>
      <c r="F58" s="6">
        <v>0</v>
      </c>
      <c r="G58" s="7">
        <f t="shared" si="1"/>
        <v>0</v>
      </c>
      <c r="H58" s="7">
        <f t="shared" si="2"/>
        <v>0</v>
      </c>
      <c r="I58" s="8">
        <v>2411</v>
      </c>
      <c r="J58" s="9"/>
      <c r="K58" s="8">
        <f t="shared" si="3"/>
        <v>28932</v>
      </c>
      <c r="L58" s="7">
        <f t="shared" si="4"/>
        <v>0</v>
      </c>
      <c r="M58" s="10">
        <f t="shared" si="7"/>
        <v>1</v>
      </c>
      <c r="N58" s="11">
        <f t="shared" si="5"/>
        <v>0.106802156781419</v>
      </c>
      <c r="O58" s="8">
        <f t="shared" si="8"/>
        <v>6180.00000000001</v>
      </c>
      <c r="P58" s="12">
        <f t="shared" si="6"/>
        <v>0</v>
      </c>
    </row>
    <row r="59" spans="1:16">
      <c r="A59" s="2">
        <v>45895</v>
      </c>
      <c r="B59" s="3">
        <f>Data_Entry!P150</f>
        <v>7619.99999999989</v>
      </c>
      <c r="C59" s="4">
        <f>Data_Entry!V150</f>
        <v>0</v>
      </c>
      <c r="D59" s="5">
        <f t="shared" si="0"/>
        <v>0.131688096225631</v>
      </c>
      <c r="E59" s="6">
        <v>0</v>
      </c>
      <c r="F59" s="6">
        <v>0</v>
      </c>
      <c r="G59" s="7">
        <f t="shared" si="1"/>
        <v>0</v>
      </c>
      <c r="H59" s="7">
        <f t="shared" si="2"/>
        <v>0</v>
      </c>
      <c r="I59" s="8">
        <v>2411</v>
      </c>
      <c r="J59" s="9"/>
      <c r="K59" s="8">
        <f t="shared" si="3"/>
        <v>28932</v>
      </c>
      <c r="L59" s="7">
        <f t="shared" si="4"/>
        <v>0</v>
      </c>
      <c r="M59" s="10">
        <f t="shared" si="7"/>
        <v>1</v>
      </c>
      <c r="N59" s="11">
        <f t="shared" si="5"/>
        <v>0.131688096225631</v>
      </c>
      <c r="O59" s="8">
        <f t="shared" si="8"/>
        <v>7619.99999999989</v>
      </c>
      <c r="P59" s="12">
        <f t="shared" si="6"/>
        <v>0</v>
      </c>
    </row>
    <row r="60" spans="1:16">
      <c r="A60" s="2">
        <v>45896</v>
      </c>
      <c r="B60" s="3">
        <f>Data_Entry!P151</f>
        <v>9419.99999999996</v>
      </c>
      <c r="C60" s="4">
        <f>Data_Entry!V151</f>
        <v>0</v>
      </c>
      <c r="D60" s="5">
        <f t="shared" si="0"/>
        <v>0.162795520530899</v>
      </c>
      <c r="E60" s="6">
        <v>0</v>
      </c>
      <c r="F60" s="6">
        <v>0</v>
      </c>
      <c r="G60" s="7">
        <f t="shared" si="1"/>
        <v>0</v>
      </c>
      <c r="H60" s="7">
        <f t="shared" si="2"/>
        <v>0</v>
      </c>
      <c r="I60" s="8">
        <v>2411</v>
      </c>
      <c r="J60" s="9"/>
      <c r="K60" s="8">
        <f t="shared" si="3"/>
        <v>28932</v>
      </c>
      <c r="L60" s="7">
        <f t="shared" si="4"/>
        <v>0</v>
      </c>
      <c r="M60" s="10">
        <f t="shared" si="7"/>
        <v>1</v>
      </c>
      <c r="N60" s="11">
        <f t="shared" si="5"/>
        <v>0.162795520530899</v>
      </c>
      <c r="O60" s="8">
        <f t="shared" si="8"/>
        <v>9419.99999999996</v>
      </c>
      <c r="P60" s="12">
        <f t="shared" si="6"/>
        <v>0</v>
      </c>
    </row>
    <row r="61" spans="1:16">
      <c r="A61" s="2">
        <v>45897</v>
      </c>
      <c r="B61" s="3">
        <f>Data_Entry!P152</f>
        <v>9030.00000000014</v>
      </c>
      <c r="C61" s="4">
        <f>Data_Entry!V152</f>
        <v>0</v>
      </c>
      <c r="D61" s="5">
        <f t="shared" si="0"/>
        <v>0.156055578598095</v>
      </c>
      <c r="E61" s="6">
        <v>0</v>
      </c>
      <c r="F61" s="6">
        <v>0</v>
      </c>
      <c r="G61" s="7">
        <f t="shared" si="1"/>
        <v>0</v>
      </c>
      <c r="H61" s="7">
        <f t="shared" si="2"/>
        <v>0</v>
      </c>
      <c r="I61" s="8">
        <v>2411</v>
      </c>
      <c r="J61" s="9"/>
      <c r="K61" s="8">
        <f t="shared" si="3"/>
        <v>28932</v>
      </c>
      <c r="L61" s="7">
        <f t="shared" si="4"/>
        <v>0</v>
      </c>
      <c r="M61" s="10">
        <f t="shared" si="7"/>
        <v>1</v>
      </c>
      <c r="N61" s="11">
        <f t="shared" si="5"/>
        <v>0.156055578598095</v>
      </c>
      <c r="O61" s="8">
        <f t="shared" si="8"/>
        <v>9030.00000000015</v>
      </c>
      <c r="P61" s="12">
        <f t="shared" si="6"/>
        <v>0</v>
      </c>
    </row>
    <row r="62" spans="1:16">
      <c r="A62" s="2">
        <v>45898</v>
      </c>
      <c r="B62" s="3">
        <f>Data_Entry!P153</f>
        <v>7110.00000000001</v>
      </c>
      <c r="C62" s="4">
        <f>Data_Entry!V153</f>
        <v>0</v>
      </c>
      <c r="D62" s="5">
        <f t="shared" si="0"/>
        <v>0.122874326005807</v>
      </c>
      <c r="E62" s="6">
        <v>0</v>
      </c>
      <c r="F62" s="6">
        <v>0</v>
      </c>
      <c r="G62" s="7">
        <f t="shared" si="1"/>
        <v>0</v>
      </c>
      <c r="H62" s="7">
        <f t="shared" si="2"/>
        <v>0</v>
      </c>
      <c r="I62" s="8">
        <v>2411</v>
      </c>
      <c r="J62" s="9"/>
      <c r="K62" s="8">
        <f t="shared" si="3"/>
        <v>28932</v>
      </c>
      <c r="L62" s="7">
        <f t="shared" si="4"/>
        <v>0</v>
      </c>
      <c r="M62" s="10">
        <f t="shared" si="7"/>
        <v>1</v>
      </c>
      <c r="N62" s="11">
        <f t="shared" si="5"/>
        <v>0.122874326005807</v>
      </c>
      <c r="O62" s="8">
        <f t="shared" si="8"/>
        <v>7110.00000000001</v>
      </c>
      <c r="P62" s="12">
        <f t="shared" si="6"/>
        <v>0</v>
      </c>
    </row>
    <row r="63" spans="1:16">
      <c r="A63" s="2">
        <v>45899</v>
      </c>
      <c r="B63" s="3">
        <f>Data_Entry!P154</f>
        <v>8250</v>
      </c>
      <c r="C63" s="4">
        <f>Data_Entry!V154</f>
        <v>0</v>
      </c>
      <c r="D63" s="5">
        <f t="shared" si="0"/>
        <v>0.142575694732476</v>
      </c>
      <c r="E63" s="6">
        <v>0</v>
      </c>
      <c r="F63" s="6">
        <v>0</v>
      </c>
      <c r="G63" s="7">
        <f t="shared" si="1"/>
        <v>0</v>
      </c>
      <c r="H63" s="7">
        <f t="shared" si="2"/>
        <v>0</v>
      </c>
      <c r="I63" s="8">
        <v>2411</v>
      </c>
      <c r="J63" s="9"/>
      <c r="K63" s="8">
        <f t="shared" si="3"/>
        <v>28932</v>
      </c>
      <c r="L63" s="7">
        <f t="shared" si="4"/>
        <v>0</v>
      </c>
      <c r="M63" s="10">
        <f t="shared" si="7"/>
        <v>1</v>
      </c>
      <c r="N63" s="11">
        <f t="shared" si="5"/>
        <v>0.142575694732476</v>
      </c>
      <c r="O63" s="8">
        <f t="shared" si="8"/>
        <v>8250</v>
      </c>
      <c r="P63" s="12">
        <f t="shared" si="6"/>
        <v>0</v>
      </c>
    </row>
    <row r="64" spans="1:16">
      <c r="A64" s="2">
        <v>45900</v>
      </c>
      <c r="B64" s="3">
        <f>Data_Entry!P155</f>
        <v>7409.99999999991</v>
      </c>
      <c r="C64" s="4">
        <f>Data_Entry!V155</f>
        <v>0</v>
      </c>
      <c r="D64" s="5">
        <f t="shared" si="0"/>
        <v>0.12805889672335</v>
      </c>
      <c r="E64" s="6">
        <v>0</v>
      </c>
      <c r="F64" s="6">
        <v>0</v>
      </c>
      <c r="G64" s="7">
        <f t="shared" si="1"/>
        <v>0</v>
      </c>
      <c r="H64" s="7">
        <f t="shared" si="2"/>
        <v>0</v>
      </c>
      <c r="I64" s="8">
        <v>2411</v>
      </c>
      <c r="J64" s="9"/>
      <c r="K64" s="8">
        <f t="shared" si="3"/>
        <v>28932</v>
      </c>
      <c r="L64" s="7">
        <f t="shared" si="4"/>
        <v>0</v>
      </c>
      <c r="M64" s="10">
        <f t="shared" si="7"/>
        <v>1</v>
      </c>
      <c r="N64" s="11">
        <f t="shared" si="5"/>
        <v>0.12805889672335</v>
      </c>
      <c r="O64" s="8">
        <f t="shared" si="8"/>
        <v>7409.99999999991</v>
      </c>
      <c r="P64" s="12">
        <f t="shared" si="6"/>
        <v>0</v>
      </c>
    </row>
    <row r="65" spans="1:16">
      <c r="A65" s="2"/>
      <c r="B65" s="3"/>
      <c r="C65" s="4"/>
      <c r="D65" s="5"/>
      <c r="E65" s="6"/>
      <c r="F65" s="6"/>
      <c r="G65" s="7"/>
      <c r="H65" s="7"/>
      <c r="I65" s="8"/>
      <c r="J65" s="9"/>
      <c r="K65" s="8"/>
      <c r="L65" s="7"/>
      <c r="M65" s="10">
        <f>AVERAGE(M34:M64)</f>
        <v>0.99910394265233</v>
      </c>
      <c r="N65" s="11"/>
      <c r="O65" s="8"/>
      <c r="P65" s="12"/>
    </row>
    <row r="66" spans="1:16">
      <c r="A66" s="2">
        <v>45901</v>
      </c>
      <c r="B66" s="3">
        <f>Data_Entry!P156</f>
        <v>8519.99999999993</v>
      </c>
      <c r="C66" s="4">
        <f>Data_Entry!V156</f>
        <v>0</v>
      </c>
      <c r="D66" s="5">
        <f t="shared" si="0"/>
        <v>0.147241808378265</v>
      </c>
      <c r="E66" s="6">
        <v>0</v>
      </c>
      <c r="F66" s="6">
        <v>0</v>
      </c>
      <c r="G66" s="7">
        <f t="shared" si="1"/>
        <v>0</v>
      </c>
      <c r="H66" s="7">
        <f t="shared" si="2"/>
        <v>0</v>
      </c>
      <c r="I66" s="8">
        <v>2411</v>
      </c>
      <c r="J66" s="9"/>
      <c r="K66" s="8">
        <f t="shared" si="3"/>
        <v>28932</v>
      </c>
      <c r="L66" s="7">
        <f t="shared" si="4"/>
        <v>0</v>
      </c>
      <c r="M66" s="10">
        <f t="shared" si="7"/>
        <v>1</v>
      </c>
      <c r="N66" s="11">
        <f t="shared" si="5"/>
        <v>0.147241808378265</v>
      </c>
      <c r="O66" s="8">
        <f t="shared" si="8"/>
        <v>8519.99999999993</v>
      </c>
      <c r="P66" s="12">
        <f t="shared" si="6"/>
        <v>0</v>
      </c>
    </row>
    <row r="67" spans="1:16">
      <c r="A67" s="2">
        <v>45902</v>
      </c>
      <c r="B67" s="3">
        <f>Data_Entry!P157</f>
        <v>11910.0000000001</v>
      </c>
      <c r="C67" s="4">
        <f>Data_Entry!V157</f>
        <v>0</v>
      </c>
      <c r="D67" s="5">
        <f t="shared" si="0"/>
        <v>0.205827457486522</v>
      </c>
      <c r="E67" s="6">
        <v>0</v>
      </c>
      <c r="F67" s="6">
        <v>0</v>
      </c>
      <c r="G67" s="7">
        <f t="shared" si="1"/>
        <v>0</v>
      </c>
      <c r="H67" s="7">
        <f t="shared" si="2"/>
        <v>0</v>
      </c>
      <c r="I67" s="8">
        <v>2411</v>
      </c>
      <c r="J67" s="9"/>
      <c r="K67" s="8">
        <f t="shared" si="3"/>
        <v>28932</v>
      </c>
      <c r="L67" s="7">
        <f t="shared" si="4"/>
        <v>0</v>
      </c>
      <c r="M67" s="10">
        <f t="shared" si="7"/>
        <v>1</v>
      </c>
      <c r="N67" s="11">
        <f t="shared" si="5"/>
        <v>0.205827457486522</v>
      </c>
      <c r="O67" s="8">
        <f t="shared" si="8"/>
        <v>11910.0000000001</v>
      </c>
      <c r="P67" s="12">
        <f t="shared" si="6"/>
        <v>0</v>
      </c>
    </row>
    <row r="68" spans="1:16">
      <c r="A68" s="2">
        <v>45903</v>
      </c>
      <c r="B68" s="3">
        <f>Data_Entry!P158</f>
        <v>12449.9999999999</v>
      </c>
      <c r="C68" s="4">
        <f>Data_Entry!V158</f>
        <v>0</v>
      </c>
      <c r="D68" s="5">
        <f t="shared" ref="D68:D131" si="9">B68/(24*I68)</f>
        <v>0.215159684778099</v>
      </c>
      <c r="E68" s="6">
        <v>0</v>
      </c>
      <c r="F68" s="6">
        <v>0</v>
      </c>
      <c r="G68" s="7">
        <f t="shared" ref="G68:G131" si="10">(F68-E68)*24*60</f>
        <v>0</v>
      </c>
      <c r="H68" s="7">
        <f t="shared" ref="H68:H131" si="11">G68/60</f>
        <v>0</v>
      </c>
      <c r="I68" s="8">
        <v>2411</v>
      </c>
      <c r="J68" s="9"/>
      <c r="K68" s="8">
        <f t="shared" ref="K68:K131" si="12">I68*12</f>
        <v>28932</v>
      </c>
      <c r="L68" s="7">
        <f t="shared" ref="L68:L131" si="13">J68*H68</f>
        <v>0</v>
      </c>
      <c r="M68" s="10">
        <f t="shared" si="7"/>
        <v>1</v>
      </c>
      <c r="N68" s="11">
        <f t="shared" ref="N68:N131" si="14">D68/M68</f>
        <v>0.215159684778099</v>
      </c>
      <c r="O68" s="8">
        <f t="shared" si="8"/>
        <v>12449.9999999999</v>
      </c>
      <c r="P68" s="12">
        <f t="shared" ref="P68:P131" si="15">O68-B68</f>
        <v>0</v>
      </c>
    </row>
    <row r="69" spans="1:16">
      <c r="A69" s="2">
        <v>45904</v>
      </c>
      <c r="B69" s="3">
        <f>Data_Entry!P159</f>
        <v>6029.99999999997</v>
      </c>
      <c r="C69" s="4">
        <f>Data_Entry!V159</f>
        <v>0</v>
      </c>
      <c r="D69" s="5">
        <f t="shared" si="9"/>
        <v>0.104209871422646</v>
      </c>
      <c r="E69" s="6">
        <v>0</v>
      </c>
      <c r="F69" s="6">
        <v>0</v>
      </c>
      <c r="G69" s="7">
        <f t="shared" si="10"/>
        <v>0</v>
      </c>
      <c r="H69" s="7">
        <f t="shared" si="11"/>
        <v>0</v>
      </c>
      <c r="I69" s="8">
        <v>2411</v>
      </c>
      <c r="J69" s="9"/>
      <c r="K69" s="8">
        <f t="shared" si="12"/>
        <v>28932</v>
      </c>
      <c r="L69" s="7">
        <f t="shared" si="13"/>
        <v>0</v>
      </c>
      <c r="M69" s="10">
        <f t="shared" ref="M69:M132" si="16">(K69-L69)/K69</f>
        <v>1</v>
      </c>
      <c r="N69" s="11">
        <f t="shared" si="14"/>
        <v>0.104209871422646</v>
      </c>
      <c r="O69" s="8">
        <f t="shared" ref="O69:O132" si="17">N69*I69*24</f>
        <v>6029.99999999997</v>
      </c>
      <c r="P69" s="12">
        <f t="shared" si="15"/>
        <v>0</v>
      </c>
    </row>
    <row r="70" spans="1:16">
      <c r="A70" s="2">
        <v>45905</v>
      </c>
      <c r="B70" s="3">
        <f>Data_Entry!P160</f>
        <v>5430.00000000018</v>
      </c>
      <c r="C70" s="4">
        <f>Data_Entry!V160</f>
        <v>0</v>
      </c>
      <c r="D70" s="5">
        <f t="shared" si="9"/>
        <v>0.0938407299875601</v>
      </c>
      <c r="E70" s="6">
        <v>0</v>
      </c>
      <c r="F70" s="6">
        <v>0</v>
      </c>
      <c r="G70" s="7">
        <f t="shared" si="10"/>
        <v>0</v>
      </c>
      <c r="H70" s="7">
        <f t="shared" si="11"/>
        <v>0</v>
      </c>
      <c r="I70" s="8">
        <v>2411</v>
      </c>
      <c r="J70" s="9"/>
      <c r="K70" s="8">
        <f t="shared" si="12"/>
        <v>28932</v>
      </c>
      <c r="L70" s="7">
        <f t="shared" si="13"/>
        <v>0</v>
      </c>
      <c r="M70" s="10">
        <f t="shared" si="16"/>
        <v>1</v>
      </c>
      <c r="N70" s="11">
        <f t="shared" si="14"/>
        <v>0.0938407299875601</v>
      </c>
      <c r="O70" s="8">
        <f t="shared" si="17"/>
        <v>5430.00000000018</v>
      </c>
      <c r="P70" s="12">
        <f t="shared" si="15"/>
        <v>0</v>
      </c>
    </row>
    <row r="71" spans="1:16">
      <c r="A71" s="2">
        <v>45906</v>
      </c>
      <c r="B71" s="3">
        <f>Data_Entry!P161</f>
        <v>3419.99999999996</v>
      </c>
      <c r="C71" s="4">
        <f>Data_Entry!V161</f>
        <v>0</v>
      </c>
      <c r="D71" s="5">
        <f t="shared" si="9"/>
        <v>0.0591041061800076</v>
      </c>
      <c r="E71" s="6">
        <v>0</v>
      </c>
      <c r="F71" s="6">
        <v>0</v>
      </c>
      <c r="G71" s="7">
        <f t="shared" si="10"/>
        <v>0</v>
      </c>
      <c r="H71" s="7">
        <f t="shared" si="11"/>
        <v>0</v>
      </c>
      <c r="I71" s="8">
        <v>2411</v>
      </c>
      <c r="J71" s="9"/>
      <c r="K71" s="8">
        <f t="shared" si="12"/>
        <v>28932</v>
      </c>
      <c r="L71" s="7">
        <f t="shared" si="13"/>
        <v>0</v>
      </c>
      <c r="M71" s="10">
        <f t="shared" si="16"/>
        <v>1</v>
      </c>
      <c r="N71" s="11">
        <f t="shared" si="14"/>
        <v>0.0591041061800076</v>
      </c>
      <c r="O71" s="8">
        <f t="shared" si="17"/>
        <v>3419.99999999996</v>
      </c>
      <c r="P71" s="12">
        <f t="shared" si="15"/>
        <v>0</v>
      </c>
    </row>
    <row r="72" spans="1:16">
      <c r="A72" s="2">
        <v>45907</v>
      </c>
      <c r="B72" s="3">
        <f>Data_Entry!P162</f>
        <v>3119.99999999989</v>
      </c>
      <c r="C72" s="4">
        <f>Data_Entry!V162</f>
        <v>0</v>
      </c>
      <c r="D72" s="5">
        <f t="shared" si="9"/>
        <v>0.0539195354624618</v>
      </c>
      <c r="E72" s="6">
        <v>0</v>
      </c>
      <c r="F72" s="6">
        <v>0</v>
      </c>
      <c r="G72" s="7">
        <f t="shared" si="10"/>
        <v>0</v>
      </c>
      <c r="H72" s="7">
        <f t="shared" si="11"/>
        <v>0</v>
      </c>
      <c r="I72" s="8">
        <v>2411</v>
      </c>
      <c r="J72" s="9"/>
      <c r="K72" s="8">
        <f t="shared" si="12"/>
        <v>28932</v>
      </c>
      <c r="L72" s="7">
        <f t="shared" si="13"/>
        <v>0</v>
      </c>
      <c r="M72" s="10">
        <f t="shared" si="16"/>
        <v>1</v>
      </c>
      <c r="N72" s="11">
        <f t="shared" si="14"/>
        <v>0.0539195354624618</v>
      </c>
      <c r="O72" s="8">
        <f t="shared" si="17"/>
        <v>3119.99999999989</v>
      </c>
      <c r="P72" s="12">
        <f t="shared" si="15"/>
        <v>0</v>
      </c>
    </row>
    <row r="73" spans="1:16">
      <c r="A73" s="2">
        <v>45908</v>
      </c>
      <c r="B73" s="3">
        <f>Data_Entry!P163</f>
        <v>3600.00000000014</v>
      </c>
      <c r="C73" s="4">
        <f>Data_Entry!V163</f>
        <v>0</v>
      </c>
      <c r="D73" s="5">
        <f t="shared" si="9"/>
        <v>0.0622148486105374</v>
      </c>
      <c r="E73" s="6">
        <v>0</v>
      </c>
      <c r="F73" s="6">
        <v>0</v>
      </c>
      <c r="G73" s="7">
        <f t="shared" si="10"/>
        <v>0</v>
      </c>
      <c r="H73" s="7">
        <f t="shared" si="11"/>
        <v>0</v>
      </c>
      <c r="I73" s="8">
        <v>2411</v>
      </c>
      <c r="J73" s="9"/>
      <c r="K73" s="8">
        <f t="shared" si="12"/>
        <v>28932</v>
      </c>
      <c r="L73" s="7">
        <f t="shared" si="13"/>
        <v>0</v>
      </c>
      <c r="M73" s="10">
        <f t="shared" si="16"/>
        <v>1</v>
      </c>
      <c r="N73" s="11">
        <f t="shared" si="14"/>
        <v>0.0622148486105374</v>
      </c>
      <c r="O73" s="8">
        <f t="shared" si="17"/>
        <v>3600.00000000014</v>
      </c>
      <c r="P73" s="12">
        <f t="shared" si="15"/>
        <v>0</v>
      </c>
    </row>
    <row r="74" spans="1:16">
      <c r="A74" s="2">
        <v>45909</v>
      </c>
      <c r="B74" s="3">
        <f>Data_Entry!P164</f>
        <v>11250</v>
      </c>
      <c r="C74" s="4">
        <f>Data_Entry!V164</f>
        <v>0</v>
      </c>
      <c r="D74" s="5">
        <f t="shared" si="9"/>
        <v>0.194421401907922</v>
      </c>
      <c r="E74" s="6">
        <v>0</v>
      </c>
      <c r="F74" s="6">
        <v>0</v>
      </c>
      <c r="G74" s="7">
        <f t="shared" si="10"/>
        <v>0</v>
      </c>
      <c r="H74" s="7">
        <f t="shared" si="11"/>
        <v>0</v>
      </c>
      <c r="I74" s="8">
        <v>2411</v>
      </c>
      <c r="J74" s="9"/>
      <c r="K74" s="8">
        <f t="shared" si="12"/>
        <v>28932</v>
      </c>
      <c r="L74" s="7">
        <f t="shared" si="13"/>
        <v>0</v>
      </c>
      <c r="M74" s="10">
        <f t="shared" si="16"/>
        <v>1</v>
      </c>
      <c r="N74" s="11">
        <f t="shared" si="14"/>
        <v>0.194421401907922</v>
      </c>
      <c r="O74" s="8">
        <f t="shared" si="17"/>
        <v>11250</v>
      </c>
      <c r="P74" s="12">
        <f t="shared" si="15"/>
        <v>0</v>
      </c>
    </row>
    <row r="75" spans="1:16">
      <c r="A75" s="2">
        <v>45910</v>
      </c>
      <c r="B75" s="3">
        <f>Data_Entry!P165</f>
        <v>10349.9999999998</v>
      </c>
      <c r="C75" s="4">
        <f>Data_Entry!V165</f>
        <v>0</v>
      </c>
      <c r="D75" s="5">
        <f t="shared" si="9"/>
        <v>0.178867689755285</v>
      </c>
      <c r="E75" s="6">
        <v>0</v>
      </c>
      <c r="F75" s="6">
        <v>0</v>
      </c>
      <c r="G75" s="7">
        <f t="shared" si="10"/>
        <v>0</v>
      </c>
      <c r="H75" s="7">
        <f t="shared" si="11"/>
        <v>0</v>
      </c>
      <c r="I75" s="8">
        <v>2411</v>
      </c>
      <c r="J75" s="9"/>
      <c r="K75" s="8">
        <f t="shared" si="12"/>
        <v>28932</v>
      </c>
      <c r="L75" s="7">
        <f t="shared" si="13"/>
        <v>0</v>
      </c>
      <c r="M75" s="10">
        <f t="shared" si="16"/>
        <v>1</v>
      </c>
      <c r="N75" s="11">
        <f t="shared" si="14"/>
        <v>0.178867689755285</v>
      </c>
      <c r="O75" s="8">
        <f t="shared" si="17"/>
        <v>10349.9999999998</v>
      </c>
      <c r="P75" s="12">
        <f t="shared" si="15"/>
        <v>0</v>
      </c>
    </row>
    <row r="76" spans="1:16">
      <c r="A76" s="2">
        <v>45911</v>
      </c>
      <c r="B76" s="3">
        <f>Data_Entry!P166</f>
        <v>14070.0000000002</v>
      </c>
      <c r="C76" s="4">
        <f>Data_Entry!V166</f>
        <v>0</v>
      </c>
      <c r="D76" s="5">
        <f t="shared" si="9"/>
        <v>0.243156366652844</v>
      </c>
      <c r="E76" s="6">
        <v>0</v>
      </c>
      <c r="F76" s="6">
        <v>0</v>
      </c>
      <c r="G76" s="7">
        <f t="shared" si="10"/>
        <v>0</v>
      </c>
      <c r="H76" s="7">
        <f t="shared" si="11"/>
        <v>0</v>
      </c>
      <c r="I76" s="8">
        <v>2411</v>
      </c>
      <c r="J76" s="9"/>
      <c r="K76" s="8">
        <f t="shared" si="12"/>
        <v>28932</v>
      </c>
      <c r="L76" s="7">
        <f t="shared" si="13"/>
        <v>0</v>
      </c>
      <c r="M76" s="10">
        <f t="shared" si="16"/>
        <v>1</v>
      </c>
      <c r="N76" s="11">
        <f t="shared" si="14"/>
        <v>0.243156366652844</v>
      </c>
      <c r="O76" s="8">
        <f t="shared" si="17"/>
        <v>14070.0000000002</v>
      </c>
      <c r="P76" s="12">
        <f t="shared" si="15"/>
        <v>0</v>
      </c>
    </row>
    <row r="77" spans="1:16">
      <c r="A77" s="2">
        <v>45912</v>
      </c>
      <c r="B77" s="3">
        <f>Data_Entry!P167</f>
        <v>12209.9999999998</v>
      </c>
      <c r="C77" s="4">
        <f>Data_Entry!V167</f>
        <v>0</v>
      </c>
      <c r="D77" s="5">
        <f t="shared" si="9"/>
        <v>0.211012028204061</v>
      </c>
      <c r="E77" s="6">
        <v>0</v>
      </c>
      <c r="F77" s="6">
        <v>0</v>
      </c>
      <c r="G77" s="7">
        <f t="shared" si="10"/>
        <v>0</v>
      </c>
      <c r="H77" s="7">
        <f t="shared" si="11"/>
        <v>0</v>
      </c>
      <c r="I77" s="8">
        <v>2411</v>
      </c>
      <c r="J77" s="9"/>
      <c r="K77" s="8">
        <f t="shared" si="12"/>
        <v>28932</v>
      </c>
      <c r="L77" s="7">
        <f t="shared" si="13"/>
        <v>0</v>
      </c>
      <c r="M77" s="10">
        <f t="shared" si="16"/>
        <v>1</v>
      </c>
      <c r="N77" s="11">
        <f t="shared" si="14"/>
        <v>0.211012028204061</v>
      </c>
      <c r="O77" s="8">
        <f t="shared" si="17"/>
        <v>12209.9999999998</v>
      </c>
      <c r="P77" s="12">
        <f t="shared" si="15"/>
        <v>0</v>
      </c>
    </row>
    <row r="78" spans="1:16">
      <c r="A78" s="2">
        <v>45913</v>
      </c>
      <c r="B78" s="3">
        <f>Data_Entry!P168</f>
        <v>12450.0000000003</v>
      </c>
      <c r="C78" s="4">
        <f>Data_Entry!V168</f>
        <v>0</v>
      </c>
      <c r="D78" s="5">
        <f t="shared" si="9"/>
        <v>0.215159684778105</v>
      </c>
      <c r="E78" s="6">
        <v>0</v>
      </c>
      <c r="F78" s="6">
        <v>0</v>
      </c>
      <c r="G78" s="7">
        <f t="shared" si="10"/>
        <v>0</v>
      </c>
      <c r="H78" s="7">
        <f t="shared" si="11"/>
        <v>0</v>
      </c>
      <c r="I78" s="8">
        <v>2411</v>
      </c>
      <c r="J78" s="9"/>
      <c r="K78" s="8">
        <f t="shared" si="12"/>
        <v>28932</v>
      </c>
      <c r="L78" s="7">
        <f t="shared" si="13"/>
        <v>0</v>
      </c>
      <c r="M78" s="10">
        <f t="shared" si="16"/>
        <v>1</v>
      </c>
      <c r="N78" s="11">
        <f t="shared" si="14"/>
        <v>0.215159684778105</v>
      </c>
      <c r="O78" s="8">
        <f t="shared" si="17"/>
        <v>12450.0000000003</v>
      </c>
      <c r="P78" s="12">
        <f t="shared" si="15"/>
        <v>0</v>
      </c>
    </row>
    <row r="79" spans="1:16">
      <c r="A79" s="2">
        <v>45914</v>
      </c>
      <c r="B79" s="3">
        <f>Data_Entry!P169</f>
        <v>8759.99999999988</v>
      </c>
      <c r="C79" s="4">
        <f>Data_Entry!V169</f>
        <v>0</v>
      </c>
      <c r="D79" s="5">
        <f t="shared" si="9"/>
        <v>0.1513894649523</v>
      </c>
      <c r="E79" s="6">
        <v>0</v>
      </c>
      <c r="F79" s="6">
        <v>0</v>
      </c>
      <c r="G79" s="7">
        <f t="shared" si="10"/>
        <v>0</v>
      </c>
      <c r="H79" s="7">
        <f t="shared" si="11"/>
        <v>0</v>
      </c>
      <c r="I79" s="8">
        <v>2411</v>
      </c>
      <c r="J79" s="9"/>
      <c r="K79" s="8">
        <f t="shared" si="12"/>
        <v>28932</v>
      </c>
      <c r="L79" s="7">
        <f t="shared" si="13"/>
        <v>0</v>
      </c>
      <c r="M79" s="10">
        <f t="shared" si="16"/>
        <v>1</v>
      </c>
      <c r="N79" s="11">
        <f t="shared" si="14"/>
        <v>0.1513894649523</v>
      </c>
      <c r="O79" s="8">
        <f t="shared" si="17"/>
        <v>8759.99999999988</v>
      </c>
      <c r="P79" s="12">
        <f t="shared" si="15"/>
        <v>0</v>
      </c>
    </row>
    <row r="80" spans="1:16">
      <c r="A80" s="2">
        <v>45915</v>
      </c>
      <c r="B80" s="3">
        <f>Data_Entry!P170</f>
        <v>7289.99999999985</v>
      </c>
      <c r="C80" s="4">
        <f>Data_Entry!V170</f>
        <v>0</v>
      </c>
      <c r="D80" s="5">
        <f t="shared" si="9"/>
        <v>0.125985068436331</v>
      </c>
      <c r="E80" s="6">
        <v>0</v>
      </c>
      <c r="F80" s="6">
        <v>0</v>
      </c>
      <c r="G80" s="7">
        <f t="shared" si="10"/>
        <v>0</v>
      </c>
      <c r="H80" s="7">
        <f t="shared" si="11"/>
        <v>0</v>
      </c>
      <c r="I80" s="8">
        <v>2411</v>
      </c>
      <c r="J80" s="9"/>
      <c r="K80" s="8">
        <f t="shared" si="12"/>
        <v>28932</v>
      </c>
      <c r="L80" s="7">
        <f t="shared" si="13"/>
        <v>0</v>
      </c>
      <c r="M80" s="10">
        <f t="shared" si="16"/>
        <v>1</v>
      </c>
      <c r="N80" s="11">
        <f t="shared" si="14"/>
        <v>0.125985068436331</v>
      </c>
      <c r="O80" s="8">
        <f t="shared" si="17"/>
        <v>7289.99999999985</v>
      </c>
      <c r="P80" s="12">
        <f t="shared" si="15"/>
        <v>0</v>
      </c>
    </row>
    <row r="81" spans="1:16">
      <c r="A81" s="2">
        <v>45916</v>
      </c>
      <c r="B81" s="3">
        <f>Data_Entry!P171</f>
        <v>13140.0000000003</v>
      </c>
      <c r="C81" s="4">
        <f>Data_Entry!V171</f>
        <v>0</v>
      </c>
      <c r="D81" s="5">
        <f t="shared" si="9"/>
        <v>0.227084197428459</v>
      </c>
      <c r="E81" s="6">
        <v>0</v>
      </c>
      <c r="F81" s="6">
        <v>0</v>
      </c>
      <c r="G81" s="7">
        <f t="shared" si="10"/>
        <v>0</v>
      </c>
      <c r="H81" s="7">
        <f t="shared" si="11"/>
        <v>0</v>
      </c>
      <c r="I81" s="8">
        <v>2411</v>
      </c>
      <c r="J81" s="9"/>
      <c r="K81" s="8">
        <f t="shared" si="12"/>
        <v>28932</v>
      </c>
      <c r="L81" s="7">
        <f t="shared" si="13"/>
        <v>0</v>
      </c>
      <c r="M81" s="10">
        <f t="shared" si="16"/>
        <v>1</v>
      </c>
      <c r="N81" s="11">
        <f t="shared" si="14"/>
        <v>0.227084197428459</v>
      </c>
      <c r="O81" s="8">
        <f t="shared" si="17"/>
        <v>13140.0000000003</v>
      </c>
      <c r="P81" s="12">
        <f t="shared" si="15"/>
        <v>0</v>
      </c>
    </row>
    <row r="82" spans="1:16">
      <c r="A82" s="2">
        <v>45917</v>
      </c>
      <c r="B82" s="3">
        <f>Data_Entry!P172</f>
        <v>10890</v>
      </c>
      <c r="C82" s="4">
        <f>Data_Entry!V172</f>
        <v>0</v>
      </c>
      <c r="D82" s="5">
        <f t="shared" si="9"/>
        <v>0.188199917046868</v>
      </c>
      <c r="E82" s="6">
        <v>0</v>
      </c>
      <c r="F82" s="6">
        <v>0</v>
      </c>
      <c r="G82" s="7">
        <f t="shared" si="10"/>
        <v>0</v>
      </c>
      <c r="H82" s="7">
        <f t="shared" si="11"/>
        <v>0</v>
      </c>
      <c r="I82" s="8">
        <v>2411</v>
      </c>
      <c r="J82" s="9"/>
      <c r="K82" s="8">
        <f t="shared" si="12"/>
        <v>28932</v>
      </c>
      <c r="L82" s="7">
        <f t="shared" si="13"/>
        <v>0</v>
      </c>
      <c r="M82" s="10">
        <f t="shared" si="16"/>
        <v>1</v>
      </c>
      <c r="N82" s="11">
        <f t="shared" si="14"/>
        <v>0.188199917046868</v>
      </c>
      <c r="O82" s="8">
        <f t="shared" si="17"/>
        <v>10890</v>
      </c>
      <c r="P82" s="12">
        <f t="shared" si="15"/>
        <v>0</v>
      </c>
    </row>
    <row r="83" spans="1:16">
      <c r="A83" s="2">
        <v>45918</v>
      </c>
      <c r="B83" s="3">
        <f>Data_Entry!P173</f>
        <v>12239.9999999998</v>
      </c>
      <c r="C83" s="4">
        <f>Data_Entry!V173</f>
        <v>0</v>
      </c>
      <c r="D83" s="5">
        <f t="shared" si="9"/>
        <v>0.211530485275815</v>
      </c>
      <c r="E83" s="6">
        <v>0</v>
      </c>
      <c r="F83" s="6">
        <v>0</v>
      </c>
      <c r="G83" s="7">
        <f t="shared" si="10"/>
        <v>0</v>
      </c>
      <c r="H83" s="7">
        <f t="shared" si="11"/>
        <v>0</v>
      </c>
      <c r="I83" s="8">
        <v>2411</v>
      </c>
      <c r="J83" s="9"/>
      <c r="K83" s="8">
        <f t="shared" si="12"/>
        <v>28932</v>
      </c>
      <c r="L83" s="7">
        <f t="shared" si="13"/>
        <v>0</v>
      </c>
      <c r="M83" s="10">
        <f t="shared" si="16"/>
        <v>1</v>
      </c>
      <c r="N83" s="11">
        <f t="shared" si="14"/>
        <v>0.211530485275815</v>
      </c>
      <c r="O83" s="8">
        <f t="shared" si="17"/>
        <v>12239.9999999998</v>
      </c>
      <c r="P83" s="12">
        <f t="shared" si="15"/>
        <v>0</v>
      </c>
    </row>
    <row r="84" spans="1:16">
      <c r="A84" s="2">
        <v>45919</v>
      </c>
      <c r="B84" s="3">
        <f>Data_Entry!P174</f>
        <v>9690.00000000005</v>
      </c>
      <c r="C84" s="4">
        <f>Data_Entry!V174</f>
        <v>0</v>
      </c>
      <c r="D84" s="5">
        <f t="shared" si="9"/>
        <v>0.167461634176691</v>
      </c>
      <c r="E84" s="6">
        <v>0</v>
      </c>
      <c r="F84" s="6">
        <v>0</v>
      </c>
      <c r="G84" s="7">
        <f t="shared" si="10"/>
        <v>0</v>
      </c>
      <c r="H84" s="7">
        <f t="shared" si="11"/>
        <v>0</v>
      </c>
      <c r="I84" s="8">
        <v>2411</v>
      </c>
      <c r="J84" s="9"/>
      <c r="K84" s="8">
        <f t="shared" si="12"/>
        <v>28932</v>
      </c>
      <c r="L84" s="7">
        <f t="shared" si="13"/>
        <v>0</v>
      </c>
      <c r="M84" s="10">
        <f t="shared" si="16"/>
        <v>1</v>
      </c>
      <c r="N84" s="11">
        <f t="shared" si="14"/>
        <v>0.167461634176691</v>
      </c>
      <c r="O84" s="8">
        <f t="shared" si="17"/>
        <v>9690.00000000005</v>
      </c>
      <c r="P84" s="12">
        <f t="shared" si="15"/>
        <v>0</v>
      </c>
    </row>
    <row r="85" spans="1:16">
      <c r="A85" s="2">
        <v>45920</v>
      </c>
      <c r="B85" s="3">
        <f>Data_Entry!P175</f>
        <v>7380.00000000011</v>
      </c>
      <c r="C85" s="4">
        <f>Data_Entry!V175</f>
        <v>0</v>
      </c>
      <c r="D85" s="5">
        <f t="shared" si="9"/>
        <v>0.127540439651599</v>
      </c>
      <c r="E85" s="6">
        <v>0</v>
      </c>
      <c r="F85" s="6">
        <v>0</v>
      </c>
      <c r="G85" s="7">
        <f t="shared" si="10"/>
        <v>0</v>
      </c>
      <c r="H85" s="7">
        <f t="shared" si="11"/>
        <v>0</v>
      </c>
      <c r="I85" s="8">
        <v>2411</v>
      </c>
      <c r="J85" s="9"/>
      <c r="K85" s="8">
        <f t="shared" si="12"/>
        <v>28932</v>
      </c>
      <c r="L85" s="7">
        <f t="shared" si="13"/>
        <v>0</v>
      </c>
      <c r="M85" s="10">
        <f t="shared" si="16"/>
        <v>1</v>
      </c>
      <c r="N85" s="11">
        <f t="shared" si="14"/>
        <v>0.127540439651599</v>
      </c>
      <c r="O85" s="8">
        <f t="shared" si="17"/>
        <v>7380.00000000011</v>
      </c>
      <c r="P85" s="12">
        <f t="shared" si="15"/>
        <v>0</v>
      </c>
    </row>
    <row r="86" spans="1:16">
      <c r="A86" s="2">
        <v>45921</v>
      </c>
      <c r="B86" s="3">
        <f>Data_Entry!P176</f>
        <v>10709.9999999998</v>
      </c>
      <c r="C86" s="4">
        <f>Data_Entry!V176</f>
        <v>3.75</v>
      </c>
      <c r="D86" s="5">
        <f t="shared" si="9"/>
        <v>0.185089174616338</v>
      </c>
      <c r="E86" s="6">
        <v>0</v>
      </c>
      <c r="F86" s="6">
        <v>0</v>
      </c>
      <c r="G86" s="7">
        <f t="shared" si="10"/>
        <v>0</v>
      </c>
      <c r="H86" s="7">
        <f t="shared" si="11"/>
        <v>0</v>
      </c>
      <c r="I86" s="8">
        <v>2411</v>
      </c>
      <c r="J86" s="9"/>
      <c r="K86" s="8">
        <f t="shared" si="12"/>
        <v>28932</v>
      </c>
      <c r="L86" s="7">
        <f t="shared" si="13"/>
        <v>0</v>
      </c>
      <c r="M86" s="10">
        <f t="shared" si="16"/>
        <v>1</v>
      </c>
      <c r="N86" s="11">
        <f t="shared" si="14"/>
        <v>0.185089174616338</v>
      </c>
      <c r="O86" s="8">
        <f t="shared" si="17"/>
        <v>10709.9999999998</v>
      </c>
      <c r="P86" s="12">
        <f t="shared" si="15"/>
        <v>0</v>
      </c>
    </row>
    <row r="87" spans="1:16">
      <c r="A87" s="2">
        <v>45922</v>
      </c>
      <c r="B87" s="3">
        <f>Data_Entry!P177</f>
        <v>7980.00000000025</v>
      </c>
      <c r="C87" s="4">
        <f>Data_Entry!V177</f>
        <v>3.24</v>
      </c>
      <c r="D87" s="5">
        <f t="shared" si="9"/>
        <v>0.13790958108669</v>
      </c>
      <c r="E87" s="6">
        <v>0</v>
      </c>
      <c r="F87" s="6">
        <v>0</v>
      </c>
      <c r="G87" s="7">
        <f t="shared" si="10"/>
        <v>0</v>
      </c>
      <c r="H87" s="7">
        <f t="shared" si="11"/>
        <v>0</v>
      </c>
      <c r="I87" s="8">
        <v>2411</v>
      </c>
      <c r="J87" s="9"/>
      <c r="K87" s="8">
        <f t="shared" si="12"/>
        <v>28932</v>
      </c>
      <c r="L87" s="7">
        <f t="shared" si="13"/>
        <v>0</v>
      </c>
      <c r="M87" s="10">
        <f t="shared" si="16"/>
        <v>1</v>
      </c>
      <c r="N87" s="11">
        <f t="shared" si="14"/>
        <v>0.13790958108669</v>
      </c>
      <c r="O87" s="8">
        <f t="shared" si="17"/>
        <v>7980.00000000025</v>
      </c>
      <c r="P87" s="12">
        <f t="shared" si="15"/>
        <v>0</v>
      </c>
    </row>
    <row r="88" spans="1:16">
      <c r="A88" s="2">
        <v>45923</v>
      </c>
      <c r="B88" s="3">
        <f>Data_Entry!P178</f>
        <v>12959.9999999998</v>
      </c>
      <c r="C88" s="4">
        <f>Data_Entry!V178</f>
        <v>3.71</v>
      </c>
      <c r="D88" s="5">
        <f t="shared" si="9"/>
        <v>0.223973454997923</v>
      </c>
      <c r="E88" s="6">
        <v>0</v>
      </c>
      <c r="F88" s="6">
        <v>0</v>
      </c>
      <c r="G88" s="7">
        <f t="shared" si="10"/>
        <v>0</v>
      </c>
      <c r="H88" s="7">
        <f t="shared" si="11"/>
        <v>0</v>
      </c>
      <c r="I88" s="8">
        <v>2411</v>
      </c>
      <c r="J88" s="9"/>
      <c r="K88" s="8">
        <f t="shared" si="12"/>
        <v>28932</v>
      </c>
      <c r="L88" s="7">
        <f t="shared" si="13"/>
        <v>0</v>
      </c>
      <c r="M88" s="10">
        <f t="shared" si="16"/>
        <v>1</v>
      </c>
      <c r="N88" s="11">
        <f t="shared" si="14"/>
        <v>0.223973454997923</v>
      </c>
      <c r="O88" s="8">
        <f t="shared" si="17"/>
        <v>12959.9999999998</v>
      </c>
      <c r="P88" s="12">
        <f t="shared" si="15"/>
        <v>0</v>
      </c>
    </row>
    <row r="89" spans="1:16">
      <c r="A89" s="2">
        <v>45924</v>
      </c>
      <c r="B89" s="3">
        <f>Data_Entry!P179</f>
        <v>12479.9999999999</v>
      </c>
      <c r="C89" s="4">
        <f>Data_Entry!V179</f>
        <v>2.42</v>
      </c>
      <c r="D89" s="5">
        <f t="shared" si="9"/>
        <v>0.215678141849853</v>
      </c>
      <c r="E89" s="6">
        <v>0</v>
      </c>
      <c r="F89" s="6">
        <v>0</v>
      </c>
      <c r="G89" s="7">
        <f t="shared" si="10"/>
        <v>0</v>
      </c>
      <c r="H89" s="7">
        <f t="shared" si="11"/>
        <v>0</v>
      </c>
      <c r="I89" s="8">
        <v>2411</v>
      </c>
      <c r="J89" s="9"/>
      <c r="K89" s="8">
        <f t="shared" si="12"/>
        <v>28932</v>
      </c>
      <c r="L89" s="7">
        <f t="shared" si="13"/>
        <v>0</v>
      </c>
      <c r="M89" s="10">
        <f t="shared" si="16"/>
        <v>1</v>
      </c>
      <c r="N89" s="11">
        <f t="shared" si="14"/>
        <v>0.215678141849853</v>
      </c>
      <c r="O89" s="8">
        <f t="shared" si="17"/>
        <v>12479.9999999999</v>
      </c>
      <c r="P89" s="12">
        <f t="shared" si="15"/>
        <v>0</v>
      </c>
    </row>
    <row r="90" spans="1:16">
      <c r="A90" s="2">
        <v>45925</v>
      </c>
      <c r="B90" s="3">
        <f>Data_Entry!P180</f>
        <v>11430.0000000002</v>
      </c>
      <c r="C90" s="4">
        <f>Data_Entry!V180</f>
        <v>4.09</v>
      </c>
      <c r="D90" s="5">
        <f t="shared" si="9"/>
        <v>0.197532144338452</v>
      </c>
      <c r="E90" s="6">
        <v>0</v>
      </c>
      <c r="F90" s="6">
        <v>0</v>
      </c>
      <c r="G90" s="7">
        <f t="shared" si="10"/>
        <v>0</v>
      </c>
      <c r="H90" s="7">
        <f t="shared" si="11"/>
        <v>0</v>
      </c>
      <c r="I90" s="8">
        <v>2411</v>
      </c>
      <c r="J90" s="9"/>
      <c r="K90" s="8">
        <f t="shared" si="12"/>
        <v>28932</v>
      </c>
      <c r="L90" s="7">
        <f t="shared" si="13"/>
        <v>0</v>
      </c>
      <c r="M90" s="10">
        <f t="shared" si="16"/>
        <v>1</v>
      </c>
      <c r="N90" s="11">
        <f t="shared" si="14"/>
        <v>0.197532144338452</v>
      </c>
      <c r="O90" s="8">
        <f t="shared" si="17"/>
        <v>11430.0000000002</v>
      </c>
      <c r="P90" s="12">
        <f t="shared" si="15"/>
        <v>0</v>
      </c>
    </row>
    <row r="91" spans="1:16">
      <c r="A91" s="2">
        <v>45926</v>
      </c>
      <c r="B91" s="3">
        <f>Data_Entry!P181</f>
        <v>2669.99999999996</v>
      </c>
      <c r="C91" s="4">
        <f>Data_Entry!V181</f>
        <v>0.37</v>
      </c>
      <c r="D91" s="5">
        <f t="shared" si="9"/>
        <v>0.0461426793861461</v>
      </c>
      <c r="E91" s="6">
        <v>0.302083333333333</v>
      </c>
      <c r="F91" s="6">
        <v>0.59375</v>
      </c>
      <c r="G91" s="7">
        <f t="shared" si="10"/>
        <v>420</v>
      </c>
      <c r="H91" s="7">
        <f t="shared" si="11"/>
        <v>7</v>
      </c>
      <c r="I91" s="8">
        <v>2411</v>
      </c>
      <c r="J91" s="9">
        <v>2411.08</v>
      </c>
      <c r="K91" s="8">
        <f t="shared" si="12"/>
        <v>28932</v>
      </c>
      <c r="L91" s="7">
        <f t="shared" si="13"/>
        <v>16877.56</v>
      </c>
      <c r="M91" s="10">
        <f t="shared" si="16"/>
        <v>0.416647310935988</v>
      </c>
      <c r="N91" s="11">
        <f t="shared" si="14"/>
        <v>0.110747575167323</v>
      </c>
      <c r="O91" s="8">
        <f t="shared" si="17"/>
        <v>6408.29768948195</v>
      </c>
      <c r="P91" s="12">
        <f t="shared" si="15"/>
        <v>3738.29768948199</v>
      </c>
    </row>
    <row r="92" spans="1:16">
      <c r="A92" s="2">
        <v>45927</v>
      </c>
      <c r="B92" s="3">
        <f>Data_Entry!P182</f>
        <v>10860</v>
      </c>
      <c r="C92" s="4">
        <f>Data_Entry!V182</f>
        <v>4.13</v>
      </c>
      <c r="D92" s="5">
        <f t="shared" si="9"/>
        <v>0.187681459975114</v>
      </c>
      <c r="E92" s="6">
        <v>0</v>
      </c>
      <c r="F92" s="6">
        <v>0</v>
      </c>
      <c r="G92" s="7">
        <f t="shared" si="10"/>
        <v>0</v>
      </c>
      <c r="H92" s="7">
        <f t="shared" si="11"/>
        <v>0</v>
      </c>
      <c r="I92" s="8">
        <v>2411</v>
      </c>
      <c r="J92" s="9"/>
      <c r="K92" s="8">
        <f t="shared" si="12"/>
        <v>28932</v>
      </c>
      <c r="L92" s="7">
        <f t="shared" si="13"/>
        <v>0</v>
      </c>
      <c r="M92" s="10">
        <f t="shared" si="16"/>
        <v>1</v>
      </c>
      <c r="N92" s="11">
        <f t="shared" si="14"/>
        <v>0.187681459975114</v>
      </c>
      <c r="O92" s="8">
        <f t="shared" si="17"/>
        <v>10860</v>
      </c>
      <c r="P92" s="12">
        <f t="shared" si="15"/>
        <v>0</v>
      </c>
    </row>
    <row r="93" spans="1:16">
      <c r="A93" s="2">
        <v>45928</v>
      </c>
      <c r="B93" s="3">
        <f>Data_Entry!P183</f>
        <v>3660.00000000008</v>
      </c>
      <c r="C93" s="4">
        <f>Data_Entry!V183</f>
        <v>1.72</v>
      </c>
      <c r="D93" s="5">
        <f t="shared" si="9"/>
        <v>0.0632517627540454</v>
      </c>
      <c r="E93" s="6">
        <v>0</v>
      </c>
      <c r="F93" s="6">
        <v>0</v>
      </c>
      <c r="G93" s="7">
        <f t="shared" si="10"/>
        <v>0</v>
      </c>
      <c r="H93" s="7">
        <f t="shared" si="11"/>
        <v>0</v>
      </c>
      <c r="I93" s="8">
        <v>2411</v>
      </c>
      <c r="J93" s="9"/>
      <c r="K93" s="8">
        <f t="shared" si="12"/>
        <v>28932</v>
      </c>
      <c r="L93" s="7">
        <f t="shared" si="13"/>
        <v>0</v>
      </c>
      <c r="M93" s="10">
        <f t="shared" si="16"/>
        <v>1</v>
      </c>
      <c r="N93" s="11">
        <f t="shared" si="14"/>
        <v>0.0632517627540454</v>
      </c>
      <c r="O93" s="8">
        <f t="shared" si="17"/>
        <v>3660.00000000008</v>
      </c>
      <c r="P93" s="12">
        <f t="shared" si="15"/>
        <v>0</v>
      </c>
    </row>
    <row r="94" spans="1:16">
      <c r="A94" s="2">
        <v>45929</v>
      </c>
      <c r="B94" s="3">
        <f>Data_Entry!P184</f>
        <v>4169.99999999996</v>
      </c>
      <c r="C94" s="4">
        <f>Data_Entry!V184</f>
        <v>1.45</v>
      </c>
      <c r="D94" s="5">
        <f t="shared" si="9"/>
        <v>0.0720655329738691</v>
      </c>
      <c r="E94" s="6">
        <v>0</v>
      </c>
      <c r="F94" s="6">
        <v>0</v>
      </c>
      <c r="G94" s="7">
        <f t="shared" si="10"/>
        <v>0</v>
      </c>
      <c r="H94" s="7">
        <f t="shared" si="11"/>
        <v>0</v>
      </c>
      <c r="I94" s="8">
        <v>2411</v>
      </c>
      <c r="J94" s="9"/>
      <c r="K94" s="8">
        <f t="shared" si="12"/>
        <v>28932</v>
      </c>
      <c r="L94" s="7">
        <f t="shared" si="13"/>
        <v>0</v>
      </c>
      <c r="M94" s="10">
        <f t="shared" si="16"/>
        <v>1</v>
      </c>
      <c r="N94" s="11">
        <f t="shared" si="14"/>
        <v>0.0720655329738691</v>
      </c>
      <c r="O94" s="8">
        <f t="shared" si="17"/>
        <v>4169.99999999996</v>
      </c>
      <c r="P94" s="12">
        <f t="shared" si="15"/>
        <v>0</v>
      </c>
    </row>
    <row r="95" spans="1:16">
      <c r="A95" s="2">
        <v>45930</v>
      </c>
      <c r="B95" s="3">
        <f>Data_Entry!P185</f>
        <v>3720.00000000003</v>
      </c>
      <c r="C95" s="4">
        <f>Data_Entry!V185</f>
        <v>1.22</v>
      </c>
      <c r="D95" s="5">
        <f t="shared" si="9"/>
        <v>0.0642886768975534</v>
      </c>
      <c r="E95" s="6">
        <v>0</v>
      </c>
      <c r="F95" s="6">
        <v>0</v>
      </c>
      <c r="G95" s="7">
        <f t="shared" si="10"/>
        <v>0</v>
      </c>
      <c r="H95" s="7">
        <f t="shared" si="11"/>
        <v>0</v>
      </c>
      <c r="I95" s="8">
        <v>2411</v>
      </c>
      <c r="J95" s="9"/>
      <c r="K95" s="8">
        <f t="shared" si="12"/>
        <v>28932</v>
      </c>
      <c r="L95" s="7">
        <f t="shared" si="13"/>
        <v>0</v>
      </c>
      <c r="M95" s="10">
        <f t="shared" si="16"/>
        <v>1</v>
      </c>
      <c r="N95" s="11">
        <f t="shared" si="14"/>
        <v>0.0642886768975534</v>
      </c>
      <c r="O95" s="8">
        <f t="shared" si="17"/>
        <v>3720.00000000003</v>
      </c>
      <c r="P95" s="12">
        <f t="shared" si="15"/>
        <v>0</v>
      </c>
    </row>
    <row r="96" spans="1:16">
      <c r="A96" s="2">
        <v>45931</v>
      </c>
      <c r="B96" s="3">
        <f>Data_Entry!P186</f>
        <v>5550.00000000007</v>
      </c>
      <c r="C96" s="4">
        <f>Data_Entry!V186</f>
        <v>1.61</v>
      </c>
      <c r="D96" s="5">
        <f t="shared" si="9"/>
        <v>0.095914558274576</v>
      </c>
      <c r="E96" s="6">
        <v>0</v>
      </c>
      <c r="F96" s="6">
        <v>0</v>
      </c>
      <c r="G96" s="7">
        <f t="shared" si="10"/>
        <v>0</v>
      </c>
      <c r="H96" s="7">
        <f t="shared" si="11"/>
        <v>0</v>
      </c>
      <c r="I96" s="8">
        <v>2411</v>
      </c>
      <c r="J96" s="9"/>
      <c r="K96" s="8">
        <f t="shared" si="12"/>
        <v>28932</v>
      </c>
      <c r="L96" s="7">
        <f t="shared" si="13"/>
        <v>0</v>
      </c>
      <c r="M96" s="10">
        <f t="shared" si="16"/>
        <v>1</v>
      </c>
      <c r="N96" s="11">
        <f t="shared" si="14"/>
        <v>0.095914558274576</v>
      </c>
      <c r="O96" s="8">
        <f t="shared" si="17"/>
        <v>5550.00000000007</v>
      </c>
      <c r="P96" s="12">
        <f t="shared" si="15"/>
        <v>0</v>
      </c>
    </row>
    <row r="97" spans="1:16">
      <c r="A97" s="2">
        <v>45932</v>
      </c>
      <c r="B97" s="3">
        <f>Data_Entry!P187</f>
        <v>7110.00000000001</v>
      </c>
      <c r="C97" s="4">
        <f>Data_Entry!V187</f>
        <v>2.03</v>
      </c>
      <c r="D97" s="5">
        <f t="shared" si="9"/>
        <v>0.122874326005807</v>
      </c>
      <c r="E97" s="6">
        <v>0</v>
      </c>
      <c r="F97" s="6">
        <v>0</v>
      </c>
      <c r="G97" s="7">
        <f t="shared" si="10"/>
        <v>0</v>
      </c>
      <c r="H97" s="7">
        <f t="shared" si="11"/>
        <v>0</v>
      </c>
      <c r="I97" s="8">
        <v>2411</v>
      </c>
      <c r="J97" s="9"/>
      <c r="K97" s="8">
        <f t="shared" si="12"/>
        <v>28932</v>
      </c>
      <c r="L97" s="7">
        <f t="shared" si="13"/>
        <v>0</v>
      </c>
      <c r="M97" s="10">
        <f t="shared" si="16"/>
        <v>1</v>
      </c>
      <c r="N97" s="11">
        <f t="shared" si="14"/>
        <v>0.122874326005807</v>
      </c>
      <c r="O97" s="8">
        <f t="shared" si="17"/>
        <v>7110.00000000001</v>
      </c>
      <c r="P97" s="12">
        <f t="shared" si="15"/>
        <v>0</v>
      </c>
    </row>
    <row r="98" spans="1:16">
      <c r="A98" s="2">
        <v>45933</v>
      </c>
      <c r="B98" s="3">
        <f>Data_Entry!P188</f>
        <v>9209.99999999981</v>
      </c>
      <c r="C98" s="4">
        <f>Data_Entry!V188</f>
        <v>4.45</v>
      </c>
      <c r="D98" s="5">
        <f t="shared" si="9"/>
        <v>0.159166321028616</v>
      </c>
      <c r="E98" s="6">
        <v>0</v>
      </c>
      <c r="F98" s="6">
        <v>0</v>
      </c>
      <c r="G98" s="7">
        <f t="shared" si="10"/>
        <v>0</v>
      </c>
      <c r="H98" s="7">
        <f t="shared" si="11"/>
        <v>0</v>
      </c>
      <c r="I98" s="8">
        <v>2411</v>
      </c>
      <c r="J98" s="9"/>
      <c r="K98" s="8">
        <f t="shared" si="12"/>
        <v>28932</v>
      </c>
      <c r="L98" s="7">
        <f t="shared" si="13"/>
        <v>0</v>
      </c>
      <c r="M98" s="10">
        <f t="shared" si="16"/>
        <v>1</v>
      </c>
      <c r="N98" s="11">
        <f t="shared" si="14"/>
        <v>0.159166321028616</v>
      </c>
      <c r="O98" s="8">
        <f t="shared" si="17"/>
        <v>9209.99999999981</v>
      </c>
      <c r="P98" s="12">
        <f t="shared" si="15"/>
        <v>0</v>
      </c>
    </row>
    <row r="99" spans="1:16">
      <c r="A99" s="2">
        <v>45934</v>
      </c>
      <c r="B99" s="3">
        <f>Data_Entry!P189</f>
        <v>13440.0000000001</v>
      </c>
      <c r="C99" s="4">
        <f>Data_Entry!V189</f>
        <v>4.57</v>
      </c>
      <c r="D99" s="5">
        <f t="shared" si="9"/>
        <v>0.232268768145998</v>
      </c>
      <c r="E99" s="6">
        <v>0</v>
      </c>
      <c r="F99" s="6">
        <v>0</v>
      </c>
      <c r="G99" s="7">
        <f t="shared" si="10"/>
        <v>0</v>
      </c>
      <c r="H99" s="7">
        <f t="shared" si="11"/>
        <v>0</v>
      </c>
      <c r="I99" s="8">
        <v>2411</v>
      </c>
      <c r="J99" s="9"/>
      <c r="K99" s="8">
        <f t="shared" si="12"/>
        <v>28932</v>
      </c>
      <c r="L99" s="7">
        <f t="shared" si="13"/>
        <v>0</v>
      </c>
      <c r="M99" s="10">
        <f t="shared" si="16"/>
        <v>1</v>
      </c>
      <c r="N99" s="11">
        <f t="shared" si="14"/>
        <v>0.232268768145998</v>
      </c>
      <c r="O99" s="8">
        <f t="shared" si="17"/>
        <v>13440.0000000001</v>
      </c>
      <c r="P99" s="12">
        <f t="shared" si="15"/>
        <v>0</v>
      </c>
    </row>
    <row r="100" spans="1:16">
      <c r="A100" s="2">
        <v>45935</v>
      </c>
      <c r="B100" s="3">
        <f>Data_Entry!P190</f>
        <v>9569.99999999982</v>
      </c>
      <c r="C100" s="4">
        <f>Data_Entry!V190</f>
        <v>4.59</v>
      </c>
      <c r="D100" s="5">
        <f t="shared" si="9"/>
        <v>0.165387805889669</v>
      </c>
      <c r="E100" s="6">
        <v>0</v>
      </c>
      <c r="F100" s="6">
        <v>0</v>
      </c>
      <c r="G100" s="7">
        <f t="shared" si="10"/>
        <v>0</v>
      </c>
      <c r="H100" s="7">
        <f t="shared" si="11"/>
        <v>0</v>
      </c>
      <c r="I100" s="8">
        <v>2411</v>
      </c>
      <c r="J100" s="9"/>
      <c r="K100" s="8">
        <f t="shared" si="12"/>
        <v>28932</v>
      </c>
      <c r="L100" s="7">
        <f t="shared" si="13"/>
        <v>0</v>
      </c>
      <c r="M100" s="10">
        <f t="shared" si="16"/>
        <v>1</v>
      </c>
      <c r="N100" s="11">
        <f t="shared" si="14"/>
        <v>0.165387805889669</v>
      </c>
      <c r="O100" s="8">
        <f t="shared" si="17"/>
        <v>9569.99999999982</v>
      </c>
      <c r="P100" s="12">
        <f t="shared" si="15"/>
        <v>0</v>
      </c>
    </row>
    <row r="101" spans="1:16">
      <c r="A101" s="2">
        <v>45936</v>
      </c>
      <c r="B101" s="3">
        <f>Data_Entry!P191</f>
        <v>11700.0000000003</v>
      </c>
      <c r="C101" s="4">
        <f>Data_Entry!V191</f>
        <v>4.79</v>
      </c>
      <c r="D101" s="5">
        <f t="shared" si="9"/>
        <v>0.202198257984244</v>
      </c>
      <c r="E101" s="6">
        <v>0</v>
      </c>
      <c r="F101" s="6">
        <v>0</v>
      </c>
      <c r="G101" s="7">
        <f t="shared" si="10"/>
        <v>0</v>
      </c>
      <c r="H101" s="7">
        <f t="shared" si="11"/>
        <v>0</v>
      </c>
      <c r="I101" s="8">
        <v>2411</v>
      </c>
      <c r="J101" s="9"/>
      <c r="K101" s="8">
        <f t="shared" si="12"/>
        <v>28932</v>
      </c>
      <c r="L101" s="7">
        <f t="shared" si="13"/>
        <v>0</v>
      </c>
      <c r="M101" s="10">
        <f t="shared" si="16"/>
        <v>1</v>
      </c>
      <c r="N101" s="11">
        <f t="shared" si="14"/>
        <v>0.202198257984244</v>
      </c>
      <c r="O101" s="8">
        <f t="shared" si="17"/>
        <v>11700.0000000003</v>
      </c>
      <c r="P101" s="12">
        <f t="shared" si="15"/>
        <v>0</v>
      </c>
    </row>
    <row r="102" spans="1:16">
      <c r="A102" s="2">
        <v>45937</v>
      </c>
      <c r="B102" s="3">
        <f>Data_Entry!P192</f>
        <v>12239.9999999998</v>
      </c>
      <c r="C102" s="4">
        <f>Data_Entry!V192</f>
        <v>4.85</v>
      </c>
      <c r="D102" s="5">
        <f t="shared" si="9"/>
        <v>0.211530485275815</v>
      </c>
      <c r="E102" s="6">
        <v>0</v>
      </c>
      <c r="F102" s="6">
        <v>0</v>
      </c>
      <c r="G102" s="7">
        <f t="shared" si="10"/>
        <v>0</v>
      </c>
      <c r="H102" s="7">
        <f t="shared" si="11"/>
        <v>0</v>
      </c>
      <c r="I102" s="8">
        <v>2411</v>
      </c>
      <c r="J102" s="9"/>
      <c r="K102" s="8">
        <f t="shared" si="12"/>
        <v>28932</v>
      </c>
      <c r="L102" s="7">
        <f t="shared" si="13"/>
        <v>0</v>
      </c>
      <c r="M102" s="10">
        <f t="shared" si="16"/>
        <v>1</v>
      </c>
      <c r="N102" s="11">
        <f t="shared" si="14"/>
        <v>0.211530485275815</v>
      </c>
      <c r="O102" s="8">
        <f t="shared" si="17"/>
        <v>12239.9999999998</v>
      </c>
      <c r="P102" s="12">
        <f t="shared" si="15"/>
        <v>0</v>
      </c>
    </row>
    <row r="103" spans="1:16">
      <c r="A103" s="2">
        <v>45938</v>
      </c>
      <c r="B103" s="3">
        <f>Data_Entry!P193</f>
        <v>12420</v>
      </c>
      <c r="C103" s="4">
        <f>Data_Entry!V193</f>
        <v>4.32</v>
      </c>
      <c r="D103" s="5">
        <f t="shared" si="9"/>
        <v>0.214641227706345</v>
      </c>
      <c r="E103" s="6">
        <v>0</v>
      </c>
      <c r="F103" s="6">
        <v>0</v>
      </c>
      <c r="G103" s="7">
        <f t="shared" si="10"/>
        <v>0</v>
      </c>
      <c r="H103" s="7">
        <f t="shared" si="11"/>
        <v>0</v>
      </c>
      <c r="I103" s="8">
        <v>2411</v>
      </c>
      <c r="J103" s="9"/>
      <c r="K103" s="8">
        <f t="shared" si="12"/>
        <v>28932</v>
      </c>
      <c r="L103" s="7">
        <f t="shared" si="13"/>
        <v>0</v>
      </c>
      <c r="M103" s="10">
        <f t="shared" si="16"/>
        <v>1</v>
      </c>
      <c r="N103" s="11">
        <f t="shared" si="14"/>
        <v>0.214641227706345</v>
      </c>
      <c r="O103" s="8">
        <f t="shared" si="17"/>
        <v>12420</v>
      </c>
      <c r="P103" s="12">
        <f t="shared" si="15"/>
        <v>0</v>
      </c>
    </row>
    <row r="104" spans="1:16">
      <c r="A104" s="2">
        <v>45939</v>
      </c>
      <c r="B104" s="3">
        <f>Data_Entry!P194</f>
        <v>9270.00000000009</v>
      </c>
      <c r="C104" s="4">
        <f>Data_Entry!V194</f>
        <v>4.69</v>
      </c>
      <c r="D104" s="5">
        <f t="shared" si="9"/>
        <v>0.160203235172129</v>
      </c>
      <c r="E104" s="6">
        <v>0</v>
      </c>
      <c r="F104" s="6">
        <v>0</v>
      </c>
      <c r="G104" s="7">
        <f t="shared" si="10"/>
        <v>0</v>
      </c>
      <c r="H104" s="7">
        <f t="shared" si="11"/>
        <v>0</v>
      </c>
      <c r="I104" s="8">
        <v>2411</v>
      </c>
      <c r="J104" s="9"/>
      <c r="K104" s="8">
        <f t="shared" si="12"/>
        <v>28932</v>
      </c>
      <c r="L104" s="7">
        <f t="shared" si="13"/>
        <v>0</v>
      </c>
      <c r="M104" s="10">
        <f t="shared" si="16"/>
        <v>1</v>
      </c>
      <c r="N104" s="11">
        <f t="shared" si="14"/>
        <v>0.160203235172129</v>
      </c>
      <c r="O104" s="8">
        <f t="shared" si="17"/>
        <v>9270.00000000009</v>
      </c>
      <c r="P104" s="12">
        <f t="shared" si="15"/>
        <v>0</v>
      </c>
    </row>
    <row r="105" spans="1:16">
      <c r="A105" s="2">
        <v>45940</v>
      </c>
      <c r="B105" s="3">
        <f>Data_Entry!P195</f>
        <v>12449.9999999999</v>
      </c>
      <c r="C105" s="4">
        <f>Data_Entry!V195</f>
        <v>3.91</v>
      </c>
      <c r="D105" s="5">
        <f t="shared" si="9"/>
        <v>0.215159684778099</v>
      </c>
      <c r="E105" s="6">
        <v>0</v>
      </c>
      <c r="F105" s="6">
        <v>0</v>
      </c>
      <c r="G105" s="7">
        <f t="shared" si="10"/>
        <v>0</v>
      </c>
      <c r="H105" s="7">
        <f t="shared" si="11"/>
        <v>0</v>
      </c>
      <c r="I105" s="8">
        <v>2411</v>
      </c>
      <c r="J105" s="9"/>
      <c r="K105" s="8">
        <f t="shared" si="12"/>
        <v>28932</v>
      </c>
      <c r="L105" s="7">
        <f t="shared" si="13"/>
        <v>0</v>
      </c>
      <c r="M105" s="10">
        <f t="shared" si="16"/>
        <v>1</v>
      </c>
      <c r="N105" s="11">
        <f t="shared" si="14"/>
        <v>0.215159684778099</v>
      </c>
      <c r="O105" s="8">
        <f t="shared" si="17"/>
        <v>12449.9999999999</v>
      </c>
      <c r="P105" s="12">
        <f t="shared" si="15"/>
        <v>0</v>
      </c>
    </row>
    <row r="106" spans="1:16">
      <c r="A106" s="2">
        <v>45941</v>
      </c>
      <c r="B106" s="3">
        <f>Data_Entry!P196</f>
        <v>12240.0000000001</v>
      </c>
      <c r="C106" s="4">
        <f>Data_Entry!V196</f>
        <v>3.48</v>
      </c>
      <c r="D106" s="5">
        <f t="shared" si="9"/>
        <v>0.211530485275821</v>
      </c>
      <c r="E106" s="6">
        <v>0</v>
      </c>
      <c r="F106" s="6">
        <v>0</v>
      </c>
      <c r="G106" s="7">
        <f t="shared" si="10"/>
        <v>0</v>
      </c>
      <c r="H106" s="7">
        <f t="shared" si="11"/>
        <v>0</v>
      </c>
      <c r="I106" s="8">
        <v>2411</v>
      </c>
      <c r="J106" s="9"/>
      <c r="K106" s="8">
        <f t="shared" si="12"/>
        <v>28932</v>
      </c>
      <c r="L106" s="7">
        <f t="shared" si="13"/>
        <v>0</v>
      </c>
      <c r="M106" s="10">
        <f t="shared" si="16"/>
        <v>1</v>
      </c>
      <c r="N106" s="11">
        <f t="shared" si="14"/>
        <v>0.211530485275821</v>
      </c>
      <c r="O106" s="8">
        <f t="shared" si="17"/>
        <v>12240.0000000001</v>
      </c>
      <c r="P106" s="12">
        <f t="shared" si="15"/>
        <v>0</v>
      </c>
    </row>
    <row r="107" spans="1:16">
      <c r="A107" s="2">
        <v>45942</v>
      </c>
      <c r="B107" s="3">
        <f>Data_Entry!P197</f>
        <v>13140</v>
      </c>
      <c r="C107" s="4">
        <f>Data_Entry!V197</f>
        <v>3.55</v>
      </c>
      <c r="D107" s="5">
        <f t="shared" si="9"/>
        <v>0.227084197428453</v>
      </c>
      <c r="E107" s="6">
        <v>0</v>
      </c>
      <c r="F107" s="6">
        <v>0</v>
      </c>
      <c r="G107" s="7">
        <f t="shared" si="10"/>
        <v>0</v>
      </c>
      <c r="H107" s="7">
        <f t="shared" si="11"/>
        <v>0</v>
      </c>
      <c r="I107" s="8">
        <v>2411</v>
      </c>
      <c r="J107" s="9"/>
      <c r="K107" s="8">
        <f t="shared" si="12"/>
        <v>28932</v>
      </c>
      <c r="L107" s="7">
        <f t="shared" si="13"/>
        <v>0</v>
      </c>
      <c r="M107" s="10">
        <f t="shared" si="16"/>
        <v>1</v>
      </c>
      <c r="N107" s="11">
        <f t="shared" si="14"/>
        <v>0.227084197428453</v>
      </c>
      <c r="O107" s="8">
        <f t="shared" si="17"/>
        <v>13140</v>
      </c>
      <c r="P107" s="12">
        <f t="shared" si="15"/>
        <v>0</v>
      </c>
    </row>
    <row r="108" spans="1:16">
      <c r="A108" s="2">
        <v>45943</v>
      </c>
      <c r="B108" s="3">
        <f>Data_Entry!P198</f>
        <v>12630.0000000001</v>
      </c>
      <c r="C108" s="4">
        <f>Data_Entry!V198</f>
        <v>3.54</v>
      </c>
      <c r="D108" s="5">
        <f t="shared" si="9"/>
        <v>0.218270427208629</v>
      </c>
      <c r="E108" s="6">
        <v>0</v>
      </c>
      <c r="F108" s="6">
        <v>0</v>
      </c>
      <c r="G108" s="7">
        <f t="shared" si="10"/>
        <v>0</v>
      </c>
      <c r="H108" s="7">
        <f t="shared" si="11"/>
        <v>0</v>
      </c>
      <c r="I108" s="8">
        <v>2411</v>
      </c>
      <c r="J108" s="9"/>
      <c r="K108" s="8">
        <f t="shared" si="12"/>
        <v>28932</v>
      </c>
      <c r="L108" s="7">
        <f t="shared" si="13"/>
        <v>0</v>
      </c>
      <c r="M108" s="10">
        <f t="shared" si="16"/>
        <v>1</v>
      </c>
      <c r="N108" s="11">
        <f t="shared" si="14"/>
        <v>0.218270427208629</v>
      </c>
      <c r="O108" s="8">
        <f t="shared" si="17"/>
        <v>12630.0000000001</v>
      </c>
      <c r="P108" s="12">
        <f t="shared" si="15"/>
        <v>0</v>
      </c>
    </row>
    <row r="109" spans="1:16">
      <c r="A109" s="2">
        <v>45944</v>
      </c>
      <c r="B109" s="3">
        <f>Data_Entry!P199</f>
        <v>12629.9999999998</v>
      </c>
      <c r="C109" s="4">
        <f>Data_Entry!V199</f>
        <v>3.44</v>
      </c>
      <c r="D109" s="5">
        <f t="shared" si="9"/>
        <v>0.218270427208623</v>
      </c>
      <c r="E109" s="6">
        <v>0</v>
      </c>
      <c r="F109" s="6">
        <v>0</v>
      </c>
      <c r="G109" s="7">
        <f t="shared" si="10"/>
        <v>0</v>
      </c>
      <c r="H109" s="7">
        <f t="shared" si="11"/>
        <v>0</v>
      </c>
      <c r="I109" s="8">
        <v>2411</v>
      </c>
      <c r="J109" s="9"/>
      <c r="K109" s="8">
        <f t="shared" si="12"/>
        <v>28932</v>
      </c>
      <c r="L109" s="7">
        <f t="shared" si="13"/>
        <v>0</v>
      </c>
      <c r="M109" s="10">
        <f t="shared" si="16"/>
        <v>1</v>
      </c>
      <c r="N109" s="11">
        <f t="shared" si="14"/>
        <v>0.218270427208623</v>
      </c>
      <c r="O109" s="8">
        <f t="shared" si="17"/>
        <v>12629.9999999998</v>
      </c>
      <c r="P109" s="12">
        <f t="shared" si="15"/>
        <v>0</v>
      </c>
    </row>
    <row r="110" spans="1:16">
      <c r="A110" s="2">
        <v>45945</v>
      </c>
      <c r="B110" s="3">
        <f>Data_Entry!P200</f>
        <v>12990.0000000001</v>
      </c>
      <c r="C110" s="4">
        <f>Data_Entry!V200</f>
        <v>3.55</v>
      </c>
      <c r="D110" s="5">
        <f t="shared" si="9"/>
        <v>0.224491912069683</v>
      </c>
      <c r="E110" s="6">
        <v>0</v>
      </c>
      <c r="F110" s="6">
        <v>0</v>
      </c>
      <c r="G110" s="7">
        <f t="shared" si="10"/>
        <v>0</v>
      </c>
      <c r="H110" s="7">
        <f t="shared" si="11"/>
        <v>0</v>
      </c>
      <c r="I110" s="8">
        <v>2411</v>
      </c>
      <c r="J110" s="9"/>
      <c r="K110" s="8">
        <f t="shared" si="12"/>
        <v>28932</v>
      </c>
      <c r="L110" s="7">
        <f t="shared" si="13"/>
        <v>0</v>
      </c>
      <c r="M110" s="10">
        <f t="shared" si="16"/>
        <v>1</v>
      </c>
      <c r="N110" s="11">
        <f t="shared" si="14"/>
        <v>0.224491912069683</v>
      </c>
      <c r="O110" s="8">
        <f t="shared" si="17"/>
        <v>12990.0000000001</v>
      </c>
      <c r="P110" s="12">
        <f t="shared" si="15"/>
        <v>0</v>
      </c>
    </row>
    <row r="111" spans="1:16">
      <c r="A111" s="2">
        <v>45946</v>
      </c>
      <c r="B111" s="3">
        <f>Data_Entry!P201</f>
        <v>10800.0000000001</v>
      </c>
      <c r="C111" s="4">
        <f>Data_Entry!V201</f>
        <v>3.36</v>
      </c>
      <c r="D111" s="5">
        <f t="shared" si="9"/>
        <v>0.186644545831606</v>
      </c>
      <c r="E111" s="6">
        <v>0</v>
      </c>
      <c r="F111" s="6">
        <v>0</v>
      </c>
      <c r="G111" s="7">
        <f t="shared" si="10"/>
        <v>0</v>
      </c>
      <c r="H111" s="7">
        <f t="shared" si="11"/>
        <v>0</v>
      </c>
      <c r="I111" s="8">
        <v>2411</v>
      </c>
      <c r="J111" s="9"/>
      <c r="K111" s="8">
        <f t="shared" si="12"/>
        <v>28932</v>
      </c>
      <c r="L111" s="7">
        <f t="shared" si="13"/>
        <v>0</v>
      </c>
      <c r="M111" s="10">
        <f t="shared" si="16"/>
        <v>1</v>
      </c>
      <c r="N111" s="11">
        <f t="shared" si="14"/>
        <v>0.186644545831606</v>
      </c>
      <c r="O111" s="8">
        <f t="shared" si="17"/>
        <v>10800.0000000001</v>
      </c>
      <c r="P111" s="12">
        <f t="shared" si="15"/>
        <v>0</v>
      </c>
    </row>
    <row r="112" spans="1:16">
      <c r="A112" s="2">
        <v>45947</v>
      </c>
      <c r="B112" s="3">
        <f>Data_Entry!P202</f>
        <v>11039.9999999999</v>
      </c>
      <c r="C112" s="4">
        <f>Data_Entry!V202</f>
        <v>3.23</v>
      </c>
      <c r="D112" s="5">
        <f t="shared" si="9"/>
        <v>0.190792202405638</v>
      </c>
      <c r="E112" s="6">
        <v>0</v>
      </c>
      <c r="F112" s="6">
        <v>0</v>
      </c>
      <c r="G112" s="7">
        <f t="shared" si="10"/>
        <v>0</v>
      </c>
      <c r="H112" s="7">
        <f t="shared" si="11"/>
        <v>0</v>
      </c>
      <c r="I112" s="8">
        <v>2411</v>
      </c>
      <c r="J112" s="9"/>
      <c r="K112" s="8">
        <f t="shared" si="12"/>
        <v>28932</v>
      </c>
      <c r="L112" s="7">
        <f t="shared" si="13"/>
        <v>0</v>
      </c>
      <c r="M112" s="10">
        <f t="shared" si="16"/>
        <v>1</v>
      </c>
      <c r="N112" s="11">
        <f t="shared" si="14"/>
        <v>0.190792202405638</v>
      </c>
      <c r="O112" s="8">
        <f t="shared" si="17"/>
        <v>11039.9999999999</v>
      </c>
      <c r="P112" s="12">
        <f t="shared" si="15"/>
        <v>0</v>
      </c>
    </row>
    <row r="113" spans="1:16">
      <c r="A113" s="2">
        <v>45948</v>
      </c>
      <c r="B113" s="3">
        <f>Data_Entry!P203</f>
        <v>12839.9999999999</v>
      </c>
      <c r="C113" s="4">
        <f>Data_Entry!V203</f>
        <v>3.93</v>
      </c>
      <c r="D113" s="5">
        <f t="shared" si="9"/>
        <v>0.221899626710907</v>
      </c>
      <c r="E113" s="6">
        <v>0</v>
      </c>
      <c r="F113" s="6">
        <v>0</v>
      </c>
      <c r="G113" s="7">
        <f t="shared" si="10"/>
        <v>0</v>
      </c>
      <c r="H113" s="7">
        <f t="shared" si="11"/>
        <v>0</v>
      </c>
      <c r="I113" s="8">
        <v>2411</v>
      </c>
      <c r="J113" s="9"/>
      <c r="K113" s="8">
        <f t="shared" si="12"/>
        <v>28932</v>
      </c>
      <c r="L113" s="7">
        <f t="shared" si="13"/>
        <v>0</v>
      </c>
      <c r="M113" s="10">
        <f t="shared" si="16"/>
        <v>1</v>
      </c>
      <c r="N113" s="11">
        <f t="shared" si="14"/>
        <v>0.221899626710907</v>
      </c>
      <c r="O113" s="8">
        <f t="shared" si="17"/>
        <v>12839.9999999999</v>
      </c>
      <c r="P113" s="12">
        <f t="shared" si="15"/>
        <v>0</v>
      </c>
    </row>
    <row r="114" spans="1:16">
      <c r="A114" s="2">
        <v>45949</v>
      </c>
      <c r="B114" s="3">
        <f>Data_Entry!P204</f>
        <v>12000</v>
      </c>
      <c r="C114" s="4">
        <f>Data_Entry!V204</f>
        <v>4.46</v>
      </c>
      <c r="D114" s="5">
        <f t="shared" si="9"/>
        <v>0.207382828701783</v>
      </c>
      <c r="E114" s="6">
        <v>0</v>
      </c>
      <c r="F114" s="6">
        <v>0</v>
      </c>
      <c r="G114" s="7">
        <f t="shared" si="10"/>
        <v>0</v>
      </c>
      <c r="H114" s="7">
        <f t="shared" si="11"/>
        <v>0</v>
      </c>
      <c r="I114" s="8">
        <v>2411</v>
      </c>
      <c r="J114" s="9"/>
      <c r="K114" s="8">
        <f t="shared" si="12"/>
        <v>28932</v>
      </c>
      <c r="L114" s="7">
        <f t="shared" si="13"/>
        <v>0</v>
      </c>
      <c r="M114" s="10">
        <f t="shared" si="16"/>
        <v>1</v>
      </c>
      <c r="N114" s="11">
        <f t="shared" si="14"/>
        <v>0.207382828701783</v>
      </c>
      <c r="O114" s="8">
        <f t="shared" si="17"/>
        <v>12000</v>
      </c>
      <c r="P114" s="12">
        <f t="shared" si="15"/>
        <v>0</v>
      </c>
    </row>
    <row r="115" spans="1:16">
      <c r="A115" s="2">
        <v>45950</v>
      </c>
      <c r="B115" s="3">
        <f>Data_Entry!P205</f>
        <v>11760.0000000002</v>
      </c>
      <c r="C115" s="4">
        <f>Data_Entry!V205</f>
        <v>3.96</v>
      </c>
      <c r="D115" s="5">
        <f t="shared" si="9"/>
        <v>0.203235172127752</v>
      </c>
      <c r="E115" s="6">
        <v>0</v>
      </c>
      <c r="F115" s="6">
        <v>0</v>
      </c>
      <c r="G115" s="7">
        <f t="shared" si="10"/>
        <v>0</v>
      </c>
      <c r="H115" s="7">
        <f t="shared" si="11"/>
        <v>0</v>
      </c>
      <c r="I115" s="8">
        <v>2411</v>
      </c>
      <c r="J115" s="9"/>
      <c r="K115" s="8">
        <f t="shared" si="12"/>
        <v>28932</v>
      </c>
      <c r="L115" s="7">
        <f t="shared" si="13"/>
        <v>0</v>
      </c>
      <c r="M115" s="10">
        <f t="shared" si="16"/>
        <v>1</v>
      </c>
      <c r="N115" s="11">
        <f t="shared" si="14"/>
        <v>0.203235172127752</v>
      </c>
      <c r="O115" s="8">
        <f t="shared" si="17"/>
        <v>11760.0000000002</v>
      </c>
      <c r="P115" s="12">
        <f t="shared" si="15"/>
        <v>0</v>
      </c>
    </row>
    <row r="116" spans="1:16">
      <c r="A116" s="2">
        <v>45951</v>
      </c>
      <c r="B116" s="3">
        <f>Data_Entry!P206</f>
        <v>10050.0000000001</v>
      </c>
      <c r="C116" s="4">
        <f>Data_Entry!V206</f>
        <v>3.86</v>
      </c>
      <c r="D116" s="5">
        <f t="shared" si="9"/>
        <v>0.173683119037745</v>
      </c>
      <c r="E116" s="6">
        <v>0</v>
      </c>
      <c r="F116" s="6">
        <v>0</v>
      </c>
      <c r="G116" s="7">
        <f t="shared" si="10"/>
        <v>0</v>
      </c>
      <c r="H116" s="7">
        <f t="shared" si="11"/>
        <v>0</v>
      </c>
      <c r="I116" s="8">
        <v>2411</v>
      </c>
      <c r="J116" s="9"/>
      <c r="K116" s="8">
        <f t="shared" si="12"/>
        <v>28932</v>
      </c>
      <c r="L116" s="7">
        <f t="shared" si="13"/>
        <v>0</v>
      </c>
      <c r="M116" s="10">
        <f t="shared" si="16"/>
        <v>1</v>
      </c>
      <c r="N116" s="11">
        <f t="shared" si="14"/>
        <v>0.173683119037745</v>
      </c>
      <c r="O116" s="8">
        <f t="shared" si="17"/>
        <v>10050.0000000001</v>
      </c>
      <c r="P116" s="12">
        <f t="shared" si="15"/>
        <v>0</v>
      </c>
    </row>
    <row r="117" spans="1:16">
      <c r="A117" s="2">
        <v>45952</v>
      </c>
      <c r="B117" s="3">
        <f>Data_Entry!P207</f>
        <v>10949.9999999999</v>
      </c>
      <c r="C117" s="4">
        <f>Data_Entry!V207</f>
        <v>4.26</v>
      </c>
      <c r="D117" s="5">
        <f t="shared" si="9"/>
        <v>0.189236831190376</v>
      </c>
      <c r="E117" s="6">
        <v>0</v>
      </c>
      <c r="F117" s="6">
        <v>0</v>
      </c>
      <c r="G117" s="7">
        <f t="shared" si="10"/>
        <v>0</v>
      </c>
      <c r="H117" s="7">
        <f t="shared" si="11"/>
        <v>0</v>
      </c>
      <c r="I117" s="8">
        <v>2411</v>
      </c>
      <c r="J117" s="9"/>
      <c r="K117" s="8">
        <f t="shared" si="12"/>
        <v>28932</v>
      </c>
      <c r="L117" s="7">
        <f t="shared" si="13"/>
        <v>0</v>
      </c>
      <c r="M117" s="10">
        <f t="shared" si="16"/>
        <v>1</v>
      </c>
      <c r="N117" s="11">
        <f t="shared" si="14"/>
        <v>0.189236831190376</v>
      </c>
      <c r="O117" s="8">
        <f t="shared" si="17"/>
        <v>10949.9999999999</v>
      </c>
      <c r="P117" s="12">
        <f t="shared" si="15"/>
        <v>0</v>
      </c>
    </row>
    <row r="118" spans="1:16">
      <c r="A118" s="2">
        <v>45953</v>
      </c>
      <c r="B118" s="3">
        <f>Data_Entry!P208</f>
        <v>10800.0000000001</v>
      </c>
      <c r="C118" s="4">
        <f>Data_Entry!V208</f>
        <v>3.78</v>
      </c>
      <c r="D118" s="5">
        <f t="shared" si="9"/>
        <v>0.186644545831606</v>
      </c>
      <c r="E118" s="6">
        <v>0</v>
      </c>
      <c r="F118" s="6">
        <v>0</v>
      </c>
      <c r="G118" s="7">
        <f t="shared" si="10"/>
        <v>0</v>
      </c>
      <c r="H118" s="7">
        <f t="shared" si="11"/>
        <v>0</v>
      </c>
      <c r="I118" s="8">
        <v>2411</v>
      </c>
      <c r="J118" s="9"/>
      <c r="K118" s="8">
        <f t="shared" si="12"/>
        <v>28932</v>
      </c>
      <c r="L118" s="7">
        <f t="shared" si="13"/>
        <v>0</v>
      </c>
      <c r="M118" s="10">
        <f t="shared" si="16"/>
        <v>1</v>
      </c>
      <c r="N118" s="11">
        <f t="shared" si="14"/>
        <v>0.186644545831606</v>
      </c>
      <c r="O118" s="8">
        <f t="shared" si="17"/>
        <v>10800.0000000001</v>
      </c>
      <c r="P118" s="12">
        <f t="shared" si="15"/>
        <v>0</v>
      </c>
    </row>
    <row r="119" spans="1:16">
      <c r="A119" s="2">
        <v>45954</v>
      </c>
      <c r="B119" s="3">
        <f>Data_Entry!P209</f>
        <v>10530</v>
      </c>
      <c r="C119" s="4">
        <f>Data_Entry!V209</f>
        <v>3.95</v>
      </c>
      <c r="D119" s="5">
        <f t="shared" si="9"/>
        <v>0.181978432185815</v>
      </c>
      <c r="E119" s="6">
        <v>0</v>
      </c>
      <c r="F119" s="6">
        <v>0</v>
      </c>
      <c r="G119" s="7">
        <f t="shared" si="10"/>
        <v>0</v>
      </c>
      <c r="H119" s="7">
        <f t="shared" si="11"/>
        <v>0</v>
      </c>
      <c r="I119" s="8">
        <v>2411</v>
      </c>
      <c r="J119" s="9"/>
      <c r="K119" s="8">
        <f t="shared" si="12"/>
        <v>28932</v>
      </c>
      <c r="L119" s="7">
        <f t="shared" si="13"/>
        <v>0</v>
      </c>
      <c r="M119" s="10">
        <f t="shared" si="16"/>
        <v>1</v>
      </c>
      <c r="N119" s="11">
        <f t="shared" si="14"/>
        <v>0.181978432185815</v>
      </c>
      <c r="O119" s="8">
        <f t="shared" si="17"/>
        <v>10530</v>
      </c>
      <c r="P119" s="12">
        <f t="shared" si="15"/>
        <v>0</v>
      </c>
    </row>
    <row r="120" spans="1:16">
      <c r="A120" s="2">
        <v>45955</v>
      </c>
      <c r="B120" s="3">
        <f>Data_Entry!P210</f>
        <v>10019.9999999998</v>
      </c>
      <c r="C120" s="4">
        <f>Data_Entry!V210</f>
        <v>3.42</v>
      </c>
      <c r="D120" s="5">
        <f t="shared" si="9"/>
        <v>0.173164661965985</v>
      </c>
      <c r="E120" s="6">
        <v>0</v>
      </c>
      <c r="F120" s="6">
        <v>0</v>
      </c>
      <c r="G120" s="7">
        <f t="shared" si="10"/>
        <v>0</v>
      </c>
      <c r="H120" s="7">
        <f t="shared" si="11"/>
        <v>0</v>
      </c>
      <c r="I120" s="8">
        <v>2411</v>
      </c>
      <c r="J120" s="9"/>
      <c r="K120" s="8">
        <f t="shared" si="12"/>
        <v>28932</v>
      </c>
      <c r="L120" s="7">
        <f t="shared" si="13"/>
        <v>0</v>
      </c>
      <c r="M120" s="10">
        <f t="shared" si="16"/>
        <v>1</v>
      </c>
      <c r="N120" s="11">
        <f t="shared" si="14"/>
        <v>0.173164661965985</v>
      </c>
      <c r="O120" s="8">
        <f t="shared" si="17"/>
        <v>10019.9999999998</v>
      </c>
      <c r="P120" s="12">
        <f t="shared" si="15"/>
        <v>0</v>
      </c>
    </row>
    <row r="121" spans="1:16">
      <c r="A121" s="2">
        <v>45956</v>
      </c>
      <c r="B121" s="3">
        <f>Data_Entry!P211</f>
        <v>2430.00000000018</v>
      </c>
      <c r="C121" s="4">
        <f>Data_Entry!V211</f>
        <v>0.69</v>
      </c>
      <c r="D121" s="5">
        <f t="shared" si="9"/>
        <v>0.0419950228121142</v>
      </c>
      <c r="E121" s="6">
        <v>0</v>
      </c>
      <c r="F121" s="6">
        <v>0</v>
      </c>
      <c r="G121" s="7">
        <f t="shared" si="10"/>
        <v>0</v>
      </c>
      <c r="H121" s="7">
        <f t="shared" si="11"/>
        <v>0</v>
      </c>
      <c r="I121" s="8">
        <v>2411</v>
      </c>
      <c r="J121" s="9"/>
      <c r="K121" s="8">
        <f t="shared" si="12"/>
        <v>28932</v>
      </c>
      <c r="L121" s="7">
        <f t="shared" si="13"/>
        <v>0</v>
      </c>
      <c r="M121" s="10">
        <f t="shared" si="16"/>
        <v>1</v>
      </c>
      <c r="N121" s="11">
        <f t="shared" si="14"/>
        <v>0.0419950228121142</v>
      </c>
      <c r="O121" s="8">
        <f t="shared" si="17"/>
        <v>2430.00000000018</v>
      </c>
      <c r="P121" s="12">
        <f t="shared" si="15"/>
        <v>0</v>
      </c>
    </row>
    <row r="122" spans="1:16">
      <c r="A122" s="2">
        <v>45957</v>
      </c>
      <c r="B122" s="3">
        <f>Data_Entry!P212</f>
        <v>2729.9999999999</v>
      </c>
      <c r="C122" s="4">
        <f>Data_Entry!V212</f>
        <v>1.38</v>
      </c>
      <c r="D122" s="5">
        <f t="shared" si="9"/>
        <v>0.0471795935296541</v>
      </c>
      <c r="E122" s="6">
        <v>0</v>
      </c>
      <c r="F122" s="6">
        <v>0</v>
      </c>
      <c r="G122" s="7">
        <f t="shared" si="10"/>
        <v>0</v>
      </c>
      <c r="H122" s="7">
        <f t="shared" si="11"/>
        <v>0</v>
      </c>
      <c r="I122" s="8">
        <v>2411</v>
      </c>
      <c r="J122" s="9"/>
      <c r="K122" s="8">
        <f t="shared" si="12"/>
        <v>28932</v>
      </c>
      <c r="L122" s="7">
        <f t="shared" si="13"/>
        <v>0</v>
      </c>
      <c r="M122" s="10">
        <f t="shared" si="16"/>
        <v>1</v>
      </c>
      <c r="N122" s="11">
        <f t="shared" si="14"/>
        <v>0.0471795935296541</v>
      </c>
      <c r="O122" s="8">
        <f t="shared" si="17"/>
        <v>2729.9999999999</v>
      </c>
      <c r="P122" s="12">
        <f t="shared" si="15"/>
        <v>0</v>
      </c>
    </row>
    <row r="123" spans="1:16">
      <c r="A123" s="2">
        <v>45958</v>
      </c>
      <c r="B123" s="3">
        <f>Data_Entry!P213</f>
        <v>1410.00000000008</v>
      </c>
      <c r="C123" s="4">
        <f>Data_Entry!V213</f>
        <v>0.56</v>
      </c>
      <c r="D123" s="5">
        <f t="shared" si="9"/>
        <v>0.024367482372461</v>
      </c>
      <c r="E123" s="6">
        <v>0</v>
      </c>
      <c r="F123" s="6">
        <v>0</v>
      </c>
      <c r="G123" s="7">
        <f t="shared" si="10"/>
        <v>0</v>
      </c>
      <c r="H123" s="7">
        <f t="shared" si="11"/>
        <v>0</v>
      </c>
      <c r="I123" s="8">
        <v>2411</v>
      </c>
      <c r="J123" s="9"/>
      <c r="K123" s="8">
        <f t="shared" si="12"/>
        <v>28932</v>
      </c>
      <c r="L123" s="7">
        <f t="shared" si="13"/>
        <v>0</v>
      </c>
      <c r="M123" s="10">
        <f t="shared" si="16"/>
        <v>1</v>
      </c>
      <c r="N123" s="11">
        <f t="shared" si="14"/>
        <v>0.024367482372461</v>
      </c>
      <c r="O123" s="8">
        <f t="shared" si="17"/>
        <v>1410.00000000008</v>
      </c>
      <c r="P123" s="12">
        <f t="shared" si="15"/>
        <v>0</v>
      </c>
    </row>
    <row r="124" spans="1:16">
      <c r="A124" s="2">
        <v>45959</v>
      </c>
      <c r="B124" s="3">
        <f>Data_Entry!P214</f>
        <v>2369.99999999989</v>
      </c>
      <c r="C124" s="4">
        <f>Data_Entry!V214</f>
        <v>1.04</v>
      </c>
      <c r="D124" s="5">
        <f t="shared" si="9"/>
        <v>0.0409581086686004</v>
      </c>
      <c r="E124" s="6">
        <v>0</v>
      </c>
      <c r="F124" s="6">
        <v>0</v>
      </c>
      <c r="G124" s="7">
        <f t="shared" si="10"/>
        <v>0</v>
      </c>
      <c r="H124" s="7">
        <f t="shared" si="11"/>
        <v>0</v>
      </c>
      <c r="I124" s="8">
        <v>2411</v>
      </c>
      <c r="J124" s="9"/>
      <c r="K124" s="8">
        <f t="shared" si="12"/>
        <v>28932</v>
      </c>
      <c r="L124" s="7">
        <f t="shared" si="13"/>
        <v>0</v>
      </c>
      <c r="M124" s="10">
        <f t="shared" si="16"/>
        <v>1</v>
      </c>
      <c r="N124" s="11">
        <f t="shared" si="14"/>
        <v>0.0409581086686004</v>
      </c>
      <c r="O124" s="8">
        <f t="shared" si="17"/>
        <v>2369.99999999989</v>
      </c>
      <c r="P124" s="12">
        <f t="shared" si="15"/>
        <v>0</v>
      </c>
    </row>
    <row r="125" spans="1:16">
      <c r="A125" s="2">
        <v>45960</v>
      </c>
      <c r="B125" s="3">
        <f>Data_Entry!P215</f>
        <v>2220.00000000003</v>
      </c>
      <c r="C125" s="4">
        <f>Data_Entry!V215</f>
        <v>1.64</v>
      </c>
      <c r="D125" s="5">
        <f t="shared" si="9"/>
        <v>0.0383658233098304</v>
      </c>
      <c r="E125" s="6">
        <v>0</v>
      </c>
      <c r="F125" s="6">
        <v>0</v>
      </c>
      <c r="G125" s="7">
        <f t="shared" si="10"/>
        <v>0</v>
      </c>
      <c r="H125" s="7">
        <f t="shared" si="11"/>
        <v>0</v>
      </c>
      <c r="I125" s="8">
        <v>2411</v>
      </c>
      <c r="J125" s="9"/>
      <c r="K125" s="8">
        <f t="shared" si="12"/>
        <v>28932</v>
      </c>
      <c r="L125" s="7">
        <f t="shared" si="13"/>
        <v>0</v>
      </c>
      <c r="M125" s="10">
        <f t="shared" si="16"/>
        <v>1</v>
      </c>
      <c r="N125" s="11">
        <f t="shared" si="14"/>
        <v>0.0383658233098304</v>
      </c>
      <c r="O125" s="8">
        <f t="shared" si="17"/>
        <v>2220.00000000003</v>
      </c>
      <c r="P125" s="12">
        <f t="shared" si="15"/>
        <v>0</v>
      </c>
    </row>
    <row r="126" spans="1:16">
      <c r="A126" s="2">
        <v>45961</v>
      </c>
      <c r="B126" s="3">
        <f>Data_Entry!P216</f>
        <v>2699.99999999993</v>
      </c>
      <c r="C126" s="4">
        <f>Data_Entry!V216</f>
        <v>1.47</v>
      </c>
      <c r="D126" s="5">
        <f t="shared" si="9"/>
        <v>0.0466611364579001</v>
      </c>
      <c r="E126" s="6">
        <v>0</v>
      </c>
      <c r="F126" s="6">
        <v>0</v>
      </c>
      <c r="G126" s="7">
        <f t="shared" si="10"/>
        <v>0</v>
      </c>
      <c r="H126" s="7">
        <f t="shared" si="11"/>
        <v>0</v>
      </c>
      <c r="I126" s="8">
        <v>2411</v>
      </c>
      <c r="J126" s="9"/>
      <c r="K126" s="8">
        <f t="shared" si="12"/>
        <v>28932</v>
      </c>
      <c r="L126" s="7">
        <f t="shared" si="13"/>
        <v>0</v>
      </c>
      <c r="M126" s="10">
        <f t="shared" si="16"/>
        <v>1</v>
      </c>
      <c r="N126" s="11">
        <f t="shared" si="14"/>
        <v>0.0466611364579001</v>
      </c>
      <c r="O126" s="8">
        <f t="shared" si="17"/>
        <v>2699.99999999993</v>
      </c>
      <c r="P126" s="12">
        <f t="shared" si="15"/>
        <v>0</v>
      </c>
    </row>
    <row r="127" spans="1:16">
      <c r="A127" s="2">
        <v>45962</v>
      </c>
      <c r="B127" s="3">
        <f>Data_Entry!P217</f>
        <v>5490.00000000012</v>
      </c>
      <c r="C127" s="4">
        <f>Data_Entry!V217</f>
        <v>2.56</v>
      </c>
      <c r="D127" s="5">
        <f t="shared" si="9"/>
        <v>0.0948776441310681</v>
      </c>
      <c r="E127" s="6">
        <v>0</v>
      </c>
      <c r="F127" s="6">
        <v>0</v>
      </c>
      <c r="G127" s="7">
        <f t="shared" si="10"/>
        <v>0</v>
      </c>
      <c r="H127" s="7">
        <f t="shared" si="11"/>
        <v>0</v>
      </c>
      <c r="I127" s="8">
        <v>2411</v>
      </c>
      <c r="J127" s="9"/>
      <c r="K127" s="8">
        <f t="shared" si="12"/>
        <v>28932</v>
      </c>
      <c r="L127" s="7">
        <f t="shared" si="13"/>
        <v>0</v>
      </c>
      <c r="M127" s="10">
        <f t="shared" si="16"/>
        <v>1</v>
      </c>
      <c r="N127" s="11">
        <f t="shared" si="14"/>
        <v>0.0948776441310681</v>
      </c>
      <c r="O127" s="8">
        <f t="shared" si="17"/>
        <v>5490.00000000012</v>
      </c>
      <c r="P127" s="12">
        <f t="shared" si="15"/>
        <v>0</v>
      </c>
    </row>
    <row r="128" spans="1:16">
      <c r="A128" s="2">
        <v>45963</v>
      </c>
      <c r="B128" s="3">
        <f>Data_Entry!P218</f>
        <v>10259.9999999999</v>
      </c>
      <c r="C128" s="4">
        <f>Data_Entry!V218</f>
        <v>2.92</v>
      </c>
      <c r="D128" s="5">
        <f t="shared" si="9"/>
        <v>0.177312318540023</v>
      </c>
      <c r="E128" s="6">
        <v>0</v>
      </c>
      <c r="F128" s="6">
        <v>0</v>
      </c>
      <c r="G128" s="7">
        <f t="shared" si="10"/>
        <v>0</v>
      </c>
      <c r="H128" s="7">
        <f t="shared" si="11"/>
        <v>0</v>
      </c>
      <c r="I128" s="8">
        <v>2411</v>
      </c>
      <c r="J128" s="9"/>
      <c r="K128" s="8">
        <f t="shared" si="12"/>
        <v>28932</v>
      </c>
      <c r="L128" s="7">
        <f t="shared" si="13"/>
        <v>0</v>
      </c>
      <c r="M128" s="10">
        <f t="shared" si="16"/>
        <v>1</v>
      </c>
      <c r="N128" s="11">
        <f t="shared" si="14"/>
        <v>0.177312318540023</v>
      </c>
      <c r="O128" s="8">
        <f t="shared" si="17"/>
        <v>10259.9999999999</v>
      </c>
      <c r="P128" s="12">
        <f t="shared" si="15"/>
        <v>0</v>
      </c>
    </row>
    <row r="129" spans="1:16">
      <c r="A129" s="2">
        <v>45964</v>
      </c>
      <c r="B129" s="3">
        <f>Data_Entry!P219</f>
        <v>11880.0000000001</v>
      </c>
      <c r="C129" s="4">
        <f>Data_Entry!V219</f>
        <v>4.15</v>
      </c>
      <c r="D129" s="5">
        <f t="shared" si="9"/>
        <v>0.205309000414768</v>
      </c>
      <c r="E129" s="6">
        <v>0</v>
      </c>
      <c r="F129" s="6">
        <v>0</v>
      </c>
      <c r="G129" s="7">
        <f t="shared" si="10"/>
        <v>0</v>
      </c>
      <c r="H129" s="7">
        <f t="shared" si="11"/>
        <v>0</v>
      </c>
      <c r="I129" s="8">
        <v>2411</v>
      </c>
      <c r="J129" s="9"/>
      <c r="K129" s="8">
        <f t="shared" si="12"/>
        <v>28932</v>
      </c>
      <c r="L129" s="7">
        <f t="shared" si="13"/>
        <v>0</v>
      </c>
      <c r="M129" s="10">
        <f t="shared" si="16"/>
        <v>1</v>
      </c>
      <c r="N129" s="11">
        <f t="shared" si="14"/>
        <v>0.205309000414768</v>
      </c>
      <c r="O129" s="8">
        <f t="shared" si="17"/>
        <v>11880.0000000001</v>
      </c>
      <c r="P129" s="12">
        <f t="shared" si="15"/>
        <v>0</v>
      </c>
    </row>
    <row r="130" spans="1:16">
      <c r="A130" s="2">
        <v>45965</v>
      </c>
      <c r="B130" s="3">
        <f>Data_Entry!P220</f>
        <v>12869.9999999999</v>
      </c>
      <c r="C130" s="4">
        <f>Data_Entry!V220</f>
        <v>4</v>
      </c>
      <c r="D130" s="5">
        <f t="shared" si="9"/>
        <v>0.222418083782661</v>
      </c>
      <c r="E130" s="6">
        <v>0</v>
      </c>
      <c r="F130" s="6">
        <v>0</v>
      </c>
      <c r="G130" s="7">
        <f t="shared" si="10"/>
        <v>0</v>
      </c>
      <c r="H130" s="7">
        <f t="shared" si="11"/>
        <v>0</v>
      </c>
      <c r="I130" s="8">
        <v>2411</v>
      </c>
      <c r="J130" s="9"/>
      <c r="K130" s="8">
        <f t="shared" si="12"/>
        <v>28932</v>
      </c>
      <c r="L130" s="7">
        <f t="shared" si="13"/>
        <v>0</v>
      </c>
      <c r="M130" s="10">
        <f t="shared" si="16"/>
        <v>1</v>
      </c>
      <c r="N130" s="11">
        <f t="shared" si="14"/>
        <v>0.222418083782661</v>
      </c>
      <c r="O130" s="8">
        <f t="shared" si="17"/>
        <v>12869.9999999999</v>
      </c>
      <c r="P130" s="12">
        <f t="shared" si="15"/>
        <v>0</v>
      </c>
    </row>
    <row r="131" spans="1:16">
      <c r="A131" s="2">
        <v>45966</v>
      </c>
      <c r="B131" s="3">
        <f>Data_Entry!P221</f>
        <v>12810.0000000003</v>
      </c>
      <c r="C131" s="4">
        <f>Data_Entry!V221</f>
        <v>4.39</v>
      </c>
      <c r="D131" s="5">
        <f t="shared" si="9"/>
        <v>0.221381169639159</v>
      </c>
      <c r="E131" s="6">
        <v>0</v>
      </c>
      <c r="F131" s="6">
        <v>0</v>
      </c>
      <c r="G131" s="7">
        <f t="shared" si="10"/>
        <v>0</v>
      </c>
      <c r="H131" s="7">
        <f t="shared" si="11"/>
        <v>0</v>
      </c>
      <c r="I131" s="8">
        <v>2411</v>
      </c>
      <c r="J131" s="9"/>
      <c r="K131" s="8">
        <f t="shared" si="12"/>
        <v>28932</v>
      </c>
      <c r="L131" s="7">
        <f t="shared" si="13"/>
        <v>0</v>
      </c>
      <c r="M131" s="10">
        <f t="shared" si="16"/>
        <v>1</v>
      </c>
      <c r="N131" s="11">
        <f t="shared" si="14"/>
        <v>0.221381169639159</v>
      </c>
      <c r="O131" s="8">
        <f t="shared" si="17"/>
        <v>12810.0000000003</v>
      </c>
      <c r="P131" s="12">
        <f t="shared" si="15"/>
        <v>0</v>
      </c>
    </row>
    <row r="132" spans="1:16">
      <c r="A132" s="2">
        <v>45967</v>
      </c>
      <c r="B132" s="3">
        <f>Data_Entry!P222</f>
        <v>12689.9999999997</v>
      </c>
      <c r="C132" s="4">
        <f>Data_Entry!V222</f>
        <v>4.39</v>
      </c>
      <c r="D132" s="5">
        <f t="shared" ref="D132:D195" si="18">B132/(24*I132)</f>
        <v>0.219307341352131</v>
      </c>
      <c r="E132" s="6">
        <v>0</v>
      </c>
      <c r="F132" s="6">
        <v>0</v>
      </c>
      <c r="G132" s="7">
        <f t="shared" ref="G132:G195" si="19">(F132-E132)*24*60</f>
        <v>0</v>
      </c>
      <c r="H132" s="7">
        <f t="shared" ref="H132:H195" si="20">G132/60</f>
        <v>0</v>
      </c>
      <c r="I132" s="8">
        <v>2411</v>
      </c>
      <c r="J132" s="9"/>
      <c r="K132" s="8">
        <f t="shared" ref="K132:K195" si="21">I132*12</f>
        <v>28932</v>
      </c>
      <c r="L132" s="7">
        <f t="shared" ref="L132:L195" si="22">J132*H132</f>
        <v>0</v>
      </c>
      <c r="M132" s="10">
        <f t="shared" si="16"/>
        <v>1</v>
      </c>
      <c r="N132" s="11">
        <f t="shared" ref="N132:N195" si="23">D132/M132</f>
        <v>0.219307341352131</v>
      </c>
      <c r="O132" s="8">
        <f t="shared" si="17"/>
        <v>12689.9999999997</v>
      </c>
      <c r="P132" s="12">
        <f t="shared" ref="P132:P195" si="24">O132-B132</f>
        <v>0</v>
      </c>
    </row>
    <row r="133" spans="1:16">
      <c r="A133" s="2">
        <v>45968</v>
      </c>
      <c r="B133" s="3">
        <f>Data_Entry!P223</f>
        <v>12090.0000000003</v>
      </c>
      <c r="C133" s="4">
        <f>Data_Entry!V223</f>
        <v>4.17</v>
      </c>
      <c r="D133" s="5">
        <f t="shared" si="18"/>
        <v>0.208938199917051</v>
      </c>
      <c r="E133" s="6">
        <v>0</v>
      </c>
      <c r="F133" s="6">
        <v>0</v>
      </c>
      <c r="G133" s="7">
        <f t="shared" si="19"/>
        <v>0</v>
      </c>
      <c r="H133" s="7">
        <f t="shared" si="20"/>
        <v>0</v>
      </c>
      <c r="I133" s="8">
        <v>2411</v>
      </c>
      <c r="J133" s="9"/>
      <c r="K133" s="8">
        <f t="shared" si="21"/>
        <v>28932</v>
      </c>
      <c r="L133" s="7">
        <f t="shared" si="22"/>
        <v>0</v>
      </c>
      <c r="M133" s="10">
        <f t="shared" ref="M133:M196" si="25">(K133-L133)/K133</f>
        <v>1</v>
      </c>
      <c r="N133" s="11">
        <f t="shared" si="23"/>
        <v>0.208938199917051</v>
      </c>
      <c r="O133" s="8">
        <f t="shared" ref="O133:O196" si="26">N133*I133*24</f>
        <v>12090.0000000003</v>
      </c>
      <c r="P133" s="12">
        <f t="shared" si="24"/>
        <v>0</v>
      </c>
    </row>
    <row r="134" spans="1:16">
      <c r="A134" s="2">
        <v>45969</v>
      </c>
      <c r="B134" s="3">
        <f>Data_Entry!P224</f>
        <v>12360</v>
      </c>
      <c r="C134" s="4">
        <f>Data_Entry!V224</f>
        <v>4.47</v>
      </c>
      <c r="D134" s="5">
        <f t="shared" si="18"/>
        <v>0.213604313562837</v>
      </c>
      <c r="E134" s="6">
        <v>0</v>
      </c>
      <c r="F134" s="6">
        <v>0</v>
      </c>
      <c r="G134" s="7">
        <f t="shared" si="19"/>
        <v>0</v>
      </c>
      <c r="H134" s="7">
        <f t="shared" si="20"/>
        <v>0</v>
      </c>
      <c r="I134" s="8">
        <v>2411</v>
      </c>
      <c r="J134" s="9"/>
      <c r="K134" s="8">
        <f t="shared" si="21"/>
        <v>28932</v>
      </c>
      <c r="L134" s="7">
        <f t="shared" si="22"/>
        <v>0</v>
      </c>
      <c r="M134" s="10">
        <f t="shared" si="25"/>
        <v>1</v>
      </c>
      <c r="N134" s="11">
        <f t="shared" si="23"/>
        <v>0.213604313562837</v>
      </c>
      <c r="O134" s="8">
        <f t="shared" si="26"/>
        <v>12360</v>
      </c>
      <c r="P134" s="12">
        <f t="shared" si="24"/>
        <v>0</v>
      </c>
    </row>
    <row r="135" spans="1:16">
      <c r="A135" s="2">
        <v>45970</v>
      </c>
      <c r="B135" s="3">
        <f>Data_Entry!P225</f>
        <v>12599.9999999998</v>
      </c>
      <c r="C135" s="4">
        <f>Data_Entry!V225</f>
        <v>4.46</v>
      </c>
      <c r="D135" s="5">
        <f t="shared" si="18"/>
        <v>0.217751970136869</v>
      </c>
      <c r="E135" s="6">
        <v>0</v>
      </c>
      <c r="F135" s="6">
        <v>0</v>
      </c>
      <c r="G135" s="7">
        <f t="shared" si="19"/>
        <v>0</v>
      </c>
      <c r="H135" s="7">
        <f t="shared" si="20"/>
        <v>0</v>
      </c>
      <c r="I135" s="8">
        <v>2411</v>
      </c>
      <c r="J135" s="9"/>
      <c r="K135" s="8">
        <f t="shared" si="21"/>
        <v>28932</v>
      </c>
      <c r="L135" s="7">
        <f t="shared" si="22"/>
        <v>0</v>
      </c>
      <c r="M135" s="10">
        <f t="shared" si="25"/>
        <v>1</v>
      </c>
      <c r="N135" s="11">
        <f t="shared" si="23"/>
        <v>0.217751970136869</v>
      </c>
      <c r="O135" s="8">
        <f t="shared" si="26"/>
        <v>12599.9999999998</v>
      </c>
      <c r="P135" s="12">
        <f t="shared" si="24"/>
        <v>0</v>
      </c>
    </row>
    <row r="136" spans="1:16">
      <c r="A136" s="2">
        <v>45971</v>
      </c>
      <c r="B136" s="3">
        <f>Data_Entry!P226</f>
        <v>12180.0000000002</v>
      </c>
      <c r="C136" s="4">
        <f>Data_Entry!V226</f>
        <v>4.42</v>
      </c>
      <c r="D136" s="5">
        <f t="shared" si="18"/>
        <v>0.210493571132313</v>
      </c>
      <c r="E136" s="6">
        <v>0</v>
      </c>
      <c r="F136" s="6">
        <v>0</v>
      </c>
      <c r="G136" s="7">
        <f t="shared" si="19"/>
        <v>0</v>
      </c>
      <c r="H136" s="7">
        <f t="shared" si="20"/>
        <v>0</v>
      </c>
      <c r="I136" s="8">
        <v>2411</v>
      </c>
      <c r="J136" s="9"/>
      <c r="K136" s="8">
        <f t="shared" si="21"/>
        <v>28932</v>
      </c>
      <c r="L136" s="7">
        <f t="shared" si="22"/>
        <v>0</v>
      </c>
      <c r="M136" s="10">
        <f t="shared" si="25"/>
        <v>1</v>
      </c>
      <c r="N136" s="11">
        <f t="shared" si="23"/>
        <v>0.210493571132313</v>
      </c>
      <c r="O136" s="8">
        <f t="shared" si="26"/>
        <v>12180.0000000002</v>
      </c>
      <c r="P136" s="12">
        <f t="shared" si="24"/>
        <v>0</v>
      </c>
    </row>
    <row r="137" spans="1:16">
      <c r="A137" s="2">
        <v>45972</v>
      </c>
      <c r="B137" s="3">
        <f>Data_Entry!P227</f>
        <v>12209.9999999998</v>
      </c>
      <c r="C137" s="4">
        <f>Data_Entry!V227</f>
        <v>4.34</v>
      </c>
      <c r="D137" s="5">
        <f t="shared" si="18"/>
        <v>0.211012028204061</v>
      </c>
      <c r="E137" s="6">
        <v>0</v>
      </c>
      <c r="F137" s="6">
        <v>0</v>
      </c>
      <c r="G137" s="7">
        <f t="shared" si="19"/>
        <v>0</v>
      </c>
      <c r="H137" s="7">
        <f t="shared" si="20"/>
        <v>0</v>
      </c>
      <c r="I137" s="8">
        <v>2411</v>
      </c>
      <c r="J137" s="9"/>
      <c r="K137" s="8">
        <f t="shared" si="21"/>
        <v>28932</v>
      </c>
      <c r="L137" s="7">
        <f t="shared" si="22"/>
        <v>0</v>
      </c>
      <c r="M137" s="10">
        <f t="shared" si="25"/>
        <v>1</v>
      </c>
      <c r="N137" s="11">
        <f t="shared" si="23"/>
        <v>0.211012028204061</v>
      </c>
      <c r="O137" s="8">
        <f t="shared" si="26"/>
        <v>12209.9999999998</v>
      </c>
      <c r="P137" s="12">
        <f t="shared" si="24"/>
        <v>0</v>
      </c>
    </row>
    <row r="138" spans="1:16">
      <c r="A138" s="2">
        <v>45973</v>
      </c>
      <c r="B138" s="3">
        <f>Data_Entry!P228</f>
        <v>12030</v>
      </c>
      <c r="C138" s="4">
        <f>Data_Entry!V228</f>
        <v>4.29</v>
      </c>
      <c r="D138" s="5">
        <f t="shared" si="18"/>
        <v>0.207901285773537</v>
      </c>
      <c r="E138" s="6">
        <v>0</v>
      </c>
      <c r="F138" s="6">
        <v>0</v>
      </c>
      <c r="G138" s="7">
        <f t="shared" si="19"/>
        <v>0</v>
      </c>
      <c r="H138" s="7">
        <f t="shared" si="20"/>
        <v>0</v>
      </c>
      <c r="I138" s="8">
        <v>2411</v>
      </c>
      <c r="J138" s="9"/>
      <c r="K138" s="8">
        <f t="shared" si="21"/>
        <v>28932</v>
      </c>
      <c r="L138" s="7">
        <f t="shared" si="22"/>
        <v>0</v>
      </c>
      <c r="M138" s="10">
        <f t="shared" si="25"/>
        <v>1</v>
      </c>
      <c r="N138" s="11">
        <f t="shared" si="23"/>
        <v>0.207901285773537</v>
      </c>
      <c r="O138" s="8">
        <f t="shared" si="26"/>
        <v>12030</v>
      </c>
      <c r="P138" s="12">
        <f t="shared" si="24"/>
        <v>0</v>
      </c>
    </row>
    <row r="139" spans="1:16">
      <c r="A139" s="2">
        <v>45974</v>
      </c>
      <c r="B139" s="3">
        <f>Data_Entry!P229</f>
        <v>11940.0000000001</v>
      </c>
      <c r="C139" s="4">
        <f>Data_Entry!V229</f>
        <v>4.25</v>
      </c>
      <c r="D139" s="5">
        <f t="shared" si="18"/>
        <v>0.206345914558276</v>
      </c>
      <c r="E139" s="6">
        <v>0</v>
      </c>
      <c r="F139" s="6">
        <v>0</v>
      </c>
      <c r="G139" s="7">
        <f t="shared" si="19"/>
        <v>0</v>
      </c>
      <c r="H139" s="7">
        <f t="shared" si="20"/>
        <v>0</v>
      </c>
      <c r="I139" s="8">
        <v>2411</v>
      </c>
      <c r="J139" s="9"/>
      <c r="K139" s="8">
        <f t="shared" si="21"/>
        <v>28932</v>
      </c>
      <c r="L139" s="7">
        <f t="shared" si="22"/>
        <v>0</v>
      </c>
      <c r="M139" s="10">
        <f t="shared" si="25"/>
        <v>1</v>
      </c>
      <c r="N139" s="11">
        <f t="shared" si="23"/>
        <v>0.206345914558276</v>
      </c>
      <c r="O139" s="8">
        <f t="shared" si="26"/>
        <v>11940.0000000001</v>
      </c>
      <c r="P139" s="12">
        <f t="shared" si="24"/>
        <v>0</v>
      </c>
    </row>
    <row r="140" spans="1:16">
      <c r="A140" s="2">
        <v>45975</v>
      </c>
      <c r="B140" s="3">
        <f>Data_Entry!P230</f>
        <v>11729.9999999999</v>
      </c>
      <c r="C140" s="4">
        <f>Data_Entry!V230</f>
        <v>4.27</v>
      </c>
      <c r="D140" s="5">
        <f t="shared" si="18"/>
        <v>0.202716715055992</v>
      </c>
      <c r="E140" s="6">
        <v>0</v>
      </c>
      <c r="F140" s="6">
        <v>0</v>
      </c>
      <c r="G140" s="7">
        <f t="shared" si="19"/>
        <v>0</v>
      </c>
      <c r="H140" s="7">
        <f t="shared" si="20"/>
        <v>0</v>
      </c>
      <c r="I140" s="8">
        <v>2411</v>
      </c>
      <c r="J140" s="9"/>
      <c r="K140" s="8">
        <f t="shared" si="21"/>
        <v>28932</v>
      </c>
      <c r="L140" s="7">
        <f t="shared" si="22"/>
        <v>0</v>
      </c>
      <c r="M140" s="10">
        <f t="shared" si="25"/>
        <v>1</v>
      </c>
      <c r="N140" s="11">
        <f t="shared" si="23"/>
        <v>0.202716715055992</v>
      </c>
      <c r="O140" s="8">
        <f t="shared" si="26"/>
        <v>11729.9999999999</v>
      </c>
      <c r="P140" s="12">
        <f t="shared" si="24"/>
        <v>0</v>
      </c>
    </row>
    <row r="141" spans="1:16">
      <c r="A141" s="2">
        <v>45976</v>
      </c>
      <c r="B141" s="3">
        <f>Data_Entry!P231</f>
        <v>11490.0000000001</v>
      </c>
      <c r="C141" s="4">
        <f>Data_Entry!V231</f>
        <v>4.17</v>
      </c>
      <c r="D141" s="5">
        <f t="shared" si="18"/>
        <v>0.19856905848196</v>
      </c>
      <c r="E141" s="6">
        <v>0</v>
      </c>
      <c r="F141" s="6">
        <v>0</v>
      </c>
      <c r="G141" s="7">
        <f t="shared" si="19"/>
        <v>0</v>
      </c>
      <c r="H141" s="7">
        <f t="shared" si="20"/>
        <v>0</v>
      </c>
      <c r="I141" s="8">
        <v>2411</v>
      </c>
      <c r="J141" s="9"/>
      <c r="K141" s="8">
        <f t="shared" si="21"/>
        <v>28932</v>
      </c>
      <c r="L141" s="7">
        <f t="shared" si="22"/>
        <v>0</v>
      </c>
      <c r="M141" s="10">
        <f t="shared" si="25"/>
        <v>1</v>
      </c>
      <c r="N141" s="11">
        <f t="shared" si="23"/>
        <v>0.19856905848196</v>
      </c>
      <c r="O141" s="8">
        <f t="shared" si="26"/>
        <v>11490.0000000001</v>
      </c>
      <c r="P141" s="12">
        <f t="shared" si="24"/>
        <v>0</v>
      </c>
    </row>
    <row r="142" spans="1:16">
      <c r="A142" s="2">
        <v>45977</v>
      </c>
      <c r="B142" s="3">
        <f>Data_Entry!P232</f>
        <v>11160.0000000001</v>
      </c>
      <c r="C142" s="4">
        <f>Data_Entry!V232</f>
        <v>4.01</v>
      </c>
      <c r="D142" s="5">
        <f t="shared" si="18"/>
        <v>0.19286603069266</v>
      </c>
      <c r="E142" s="6">
        <v>0</v>
      </c>
      <c r="F142" s="6">
        <v>0</v>
      </c>
      <c r="G142" s="7">
        <f t="shared" si="19"/>
        <v>0</v>
      </c>
      <c r="H142" s="7">
        <f t="shared" si="20"/>
        <v>0</v>
      </c>
      <c r="I142" s="8">
        <v>2411</v>
      </c>
      <c r="J142" s="9"/>
      <c r="K142" s="8">
        <f t="shared" si="21"/>
        <v>28932</v>
      </c>
      <c r="L142" s="7">
        <f t="shared" si="22"/>
        <v>0</v>
      </c>
      <c r="M142" s="10">
        <f t="shared" si="25"/>
        <v>1</v>
      </c>
      <c r="N142" s="11">
        <f t="shared" si="23"/>
        <v>0.19286603069266</v>
      </c>
      <c r="O142" s="8">
        <f t="shared" si="26"/>
        <v>11160.0000000001</v>
      </c>
      <c r="P142" s="12">
        <f t="shared" si="24"/>
        <v>0</v>
      </c>
    </row>
    <row r="143" spans="1:16">
      <c r="A143" s="2">
        <v>45978</v>
      </c>
      <c r="B143" s="3">
        <f>Data_Entry!P233</f>
        <v>11880.0000000001</v>
      </c>
      <c r="C143" s="4">
        <f>Data_Entry!V233</f>
        <v>4.21</v>
      </c>
      <c r="D143" s="5">
        <f t="shared" si="18"/>
        <v>0.205309000414768</v>
      </c>
      <c r="E143" s="6">
        <v>0</v>
      </c>
      <c r="F143" s="6">
        <v>0</v>
      </c>
      <c r="G143" s="7">
        <f t="shared" si="19"/>
        <v>0</v>
      </c>
      <c r="H143" s="7">
        <f t="shared" si="20"/>
        <v>0</v>
      </c>
      <c r="I143" s="8">
        <v>2411</v>
      </c>
      <c r="J143" s="9"/>
      <c r="K143" s="8">
        <f t="shared" si="21"/>
        <v>28932</v>
      </c>
      <c r="L143" s="7">
        <f t="shared" si="22"/>
        <v>0</v>
      </c>
      <c r="M143" s="10">
        <f t="shared" si="25"/>
        <v>1</v>
      </c>
      <c r="N143" s="11">
        <f t="shared" si="23"/>
        <v>0.205309000414768</v>
      </c>
      <c r="O143" s="8">
        <f t="shared" si="26"/>
        <v>11880.0000000001</v>
      </c>
      <c r="P143" s="12">
        <f t="shared" si="24"/>
        <v>0</v>
      </c>
    </row>
    <row r="144" spans="1:16">
      <c r="A144" s="2">
        <v>45979</v>
      </c>
      <c r="B144" s="3">
        <f>Data_Entry!P234</f>
        <v>11939.9999999997</v>
      </c>
      <c r="C144" s="4">
        <f>Data_Entry!V234</f>
        <v>4.22</v>
      </c>
      <c r="D144" s="5">
        <f t="shared" si="18"/>
        <v>0.20634591455827</v>
      </c>
      <c r="E144" s="6">
        <v>0</v>
      </c>
      <c r="F144" s="6">
        <v>0</v>
      </c>
      <c r="G144" s="7">
        <f t="shared" si="19"/>
        <v>0</v>
      </c>
      <c r="H144" s="7">
        <f t="shared" si="20"/>
        <v>0</v>
      </c>
      <c r="I144" s="8">
        <v>2411</v>
      </c>
      <c r="J144" s="9"/>
      <c r="K144" s="8">
        <f t="shared" si="21"/>
        <v>28932</v>
      </c>
      <c r="L144" s="7">
        <f t="shared" si="22"/>
        <v>0</v>
      </c>
      <c r="M144" s="10">
        <f t="shared" si="25"/>
        <v>1</v>
      </c>
      <c r="N144" s="11">
        <f t="shared" si="23"/>
        <v>0.20634591455827</v>
      </c>
      <c r="O144" s="8">
        <f t="shared" si="26"/>
        <v>11939.9999999997</v>
      </c>
      <c r="P144" s="12">
        <f t="shared" si="24"/>
        <v>0</v>
      </c>
    </row>
    <row r="145" spans="1:16">
      <c r="A145" s="2">
        <v>45980</v>
      </c>
      <c r="B145" s="3">
        <f>Data_Entry!P235</f>
        <v>11160.0000000001</v>
      </c>
      <c r="C145" s="4">
        <f>Data_Entry!V235</f>
        <v>3.96</v>
      </c>
      <c r="D145" s="5">
        <f t="shared" si="18"/>
        <v>0.19286603069266</v>
      </c>
      <c r="E145" s="6">
        <v>0</v>
      </c>
      <c r="F145" s="6">
        <v>0</v>
      </c>
      <c r="G145" s="7">
        <f t="shared" si="19"/>
        <v>0</v>
      </c>
      <c r="H145" s="7">
        <f t="shared" si="20"/>
        <v>0</v>
      </c>
      <c r="I145" s="8">
        <v>2411</v>
      </c>
      <c r="J145" s="9"/>
      <c r="K145" s="8">
        <f t="shared" si="21"/>
        <v>28932</v>
      </c>
      <c r="L145" s="7">
        <f t="shared" si="22"/>
        <v>0</v>
      </c>
      <c r="M145" s="10">
        <f t="shared" si="25"/>
        <v>1</v>
      </c>
      <c r="N145" s="11">
        <f t="shared" si="23"/>
        <v>0.19286603069266</v>
      </c>
      <c r="O145" s="8">
        <f t="shared" si="26"/>
        <v>11160.0000000001</v>
      </c>
      <c r="P145" s="12">
        <f t="shared" si="24"/>
        <v>0</v>
      </c>
    </row>
    <row r="146" spans="1:16">
      <c r="A146" s="2">
        <v>45981</v>
      </c>
      <c r="B146" s="3">
        <f>Data_Entry!P236</f>
        <v>11160.0000000001</v>
      </c>
      <c r="C146" s="4">
        <f>Data_Entry!V236</f>
        <v>3.97</v>
      </c>
      <c r="D146" s="5">
        <f t="shared" si="18"/>
        <v>0.19286603069266</v>
      </c>
      <c r="E146" s="6">
        <v>0</v>
      </c>
      <c r="F146" s="6">
        <v>0</v>
      </c>
      <c r="G146" s="7">
        <f t="shared" si="19"/>
        <v>0</v>
      </c>
      <c r="H146" s="7">
        <f t="shared" si="20"/>
        <v>0</v>
      </c>
      <c r="I146" s="8">
        <v>2411</v>
      </c>
      <c r="J146" s="9"/>
      <c r="K146" s="8">
        <f t="shared" si="21"/>
        <v>28932</v>
      </c>
      <c r="L146" s="7">
        <f t="shared" si="22"/>
        <v>0</v>
      </c>
      <c r="M146" s="10">
        <f t="shared" si="25"/>
        <v>1</v>
      </c>
      <c r="N146" s="11">
        <f t="shared" si="23"/>
        <v>0.19286603069266</v>
      </c>
      <c r="O146" s="8">
        <f t="shared" si="26"/>
        <v>11160.0000000001</v>
      </c>
      <c r="P146" s="12">
        <f t="shared" si="24"/>
        <v>0</v>
      </c>
    </row>
    <row r="147" spans="1:16">
      <c r="A147" s="2">
        <v>45982</v>
      </c>
      <c r="B147" s="3">
        <f>Data_Entry!P237</f>
        <v>10110</v>
      </c>
      <c r="C147" s="4">
        <f>Data_Entry!V237</f>
        <v>3.66</v>
      </c>
      <c r="D147" s="5">
        <f t="shared" si="18"/>
        <v>0.174720033181253</v>
      </c>
      <c r="E147" s="6">
        <v>0</v>
      </c>
      <c r="F147" s="6">
        <v>0</v>
      </c>
      <c r="G147" s="7">
        <f t="shared" si="19"/>
        <v>0</v>
      </c>
      <c r="H147" s="7">
        <f t="shared" si="20"/>
        <v>0</v>
      </c>
      <c r="I147" s="8">
        <v>2411</v>
      </c>
      <c r="J147" s="9"/>
      <c r="K147" s="8">
        <f t="shared" si="21"/>
        <v>28932</v>
      </c>
      <c r="L147" s="7">
        <f t="shared" si="22"/>
        <v>0</v>
      </c>
      <c r="M147" s="10">
        <f t="shared" si="25"/>
        <v>1</v>
      </c>
      <c r="N147" s="11">
        <f t="shared" si="23"/>
        <v>0.174720033181253</v>
      </c>
      <c r="O147" s="8">
        <f t="shared" si="26"/>
        <v>10110</v>
      </c>
      <c r="P147" s="12">
        <f t="shared" si="24"/>
        <v>0</v>
      </c>
    </row>
    <row r="148" spans="1:16">
      <c r="A148" s="2">
        <v>45983</v>
      </c>
      <c r="B148" s="3">
        <f>Data_Entry!P238</f>
        <v>11099.9999999998</v>
      </c>
      <c r="C148" s="4">
        <f>Data_Entry!V238</f>
        <v>3.92</v>
      </c>
      <c r="D148" s="5">
        <f t="shared" si="18"/>
        <v>0.191829116549146</v>
      </c>
      <c r="E148" s="6">
        <v>0</v>
      </c>
      <c r="F148" s="6">
        <v>0</v>
      </c>
      <c r="G148" s="7">
        <f t="shared" si="19"/>
        <v>0</v>
      </c>
      <c r="H148" s="7">
        <f t="shared" si="20"/>
        <v>0</v>
      </c>
      <c r="I148" s="8">
        <v>2411</v>
      </c>
      <c r="J148" s="9"/>
      <c r="K148" s="8">
        <f t="shared" si="21"/>
        <v>28932</v>
      </c>
      <c r="L148" s="7">
        <f t="shared" si="22"/>
        <v>0</v>
      </c>
      <c r="M148" s="10">
        <f t="shared" si="25"/>
        <v>1</v>
      </c>
      <c r="N148" s="11">
        <f t="shared" si="23"/>
        <v>0.191829116549146</v>
      </c>
      <c r="O148" s="8">
        <f t="shared" si="26"/>
        <v>11099.9999999998</v>
      </c>
      <c r="P148" s="12">
        <f t="shared" si="24"/>
        <v>0</v>
      </c>
    </row>
    <row r="149" spans="1:16">
      <c r="A149" s="2">
        <v>45984</v>
      </c>
      <c r="B149" s="3">
        <f>Data_Entry!P239</f>
        <v>11370.0000000002</v>
      </c>
      <c r="C149" s="4">
        <f>Data_Entry!V239</f>
        <v>4.02</v>
      </c>
      <c r="D149" s="5">
        <f t="shared" si="18"/>
        <v>0.196495230194944</v>
      </c>
      <c r="E149" s="6">
        <v>0</v>
      </c>
      <c r="F149" s="6">
        <v>0</v>
      </c>
      <c r="G149" s="7">
        <f t="shared" si="19"/>
        <v>0</v>
      </c>
      <c r="H149" s="7">
        <f t="shared" si="20"/>
        <v>0</v>
      </c>
      <c r="I149" s="8">
        <v>2411</v>
      </c>
      <c r="J149" s="9"/>
      <c r="K149" s="8">
        <f t="shared" si="21"/>
        <v>28932</v>
      </c>
      <c r="L149" s="7">
        <f t="shared" si="22"/>
        <v>0</v>
      </c>
      <c r="M149" s="10">
        <f t="shared" si="25"/>
        <v>1</v>
      </c>
      <c r="N149" s="11">
        <f t="shared" si="23"/>
        <v>0.196495230194944</v>
      </c>
      <c r="O149" s="8">
        <f t="shared" si="26"/>
        <v>11370.0000000002</v>
      </c>
      <c r="P149" s="12">
        <f t="shared" si="24"/>
        <v>0</v>
      </c>
    </row>
    <row r="150" spans="1:16">
      <c r="A150" s="2">
        <v>45985</v>
      </c>
      <c r="B150" s="3">
        <f>Data_Entry!P240</f>
        <v>12000</v>
      </c>
      <c r="C150" s="4">
        <f>Data_Entry!V240</f>
        <v>4.11</v>
      </c>
      <c r="D150" s="5">
        <f t="shared" si="18"/>
        <v>0.207382828701783</v>
      </c>
      <c r="E150" s="6">
        <v>0</v>
      </c>
      <c r="F150" s="6">
        <v>0</v>
      </c>
      <c r="G150" s="7">
        <f t="shared" si="19"/>
        <v>0</v>
      </c>
      <c r="H150" s="7">
        <f t="shared" si="20"/>
        <v>0</v>
      </c>
      <c r="I150" s="8">
        <v>2411</v>
      </c>
      <c r="J150" s="9"/>
      <c r="K150" s="8">
        <f t="shared" si="21"/>
        <v>28932</v>
      </c>
      <c r="L150" s="7">
        <f t="shared" si="22"/>
        <v>0</v>
      </c>
      <c r="M150" s="10">
        <f t="shared" si="25"/>
        <v>1</v>
      </c>
      <c r="N150" s="11">
        <f t="shared" si="23"/>
        <v>0.207382828701783</v>
      </c>
      <c r="O150" s="8">
        <f t="shared" si="26"/>
        <v>12000</v>
      </c>
      <c r="P150" s="12">
        <f t="shared" si="24"/>
        <v>0</v>
      </c>
    </row>
    <row r="151" spans="1:16">
      <c r="A151" s="2">
        <v>45986</v>
      </c>
      <c r="B151" s="3">
        <f>Data_Entry!P241</f>
        <v>10739.9999999998</v>
      </c>
      <c r="C151" s="4">
        <f>Data_Entry!V241</f>
        <v>3.9</v>
      </c>
      <c r="D151" s="5">
        <f t="shared" si="18"/>
        <v>0.185607631688092</v>
      </c>
      <c r="E151" s="6">
        <v>0</v>
      </c>
      <c r="F151" s="6">
        <v>0</v>
      </c>
      <c r="G151" s="7">
        <f t="shared" si="19"/>
        <v>0</v>
      </c>
      <c r="H151" s="7">
        <f t="shared" si="20"/>
        <v>0</v>
      </c>
      <c r="I151" s="8">
        <v>2411</v>
      </c>
      <c r="J151" s="9"/>
      <c r="K151" s="8">
        <f t="shared" si="21"/>
        <v>28932</v>
      </c>
      <c r="L151" s="7">
        <f t="shared" si="22"/>
        <v>0</v>
      </c>
      <c r="M151" s="10">
        <f t="shared" si="25"/>
        <v>1</v>
      </c>
      <c r="N151" s="11">
        <f t="shared" si="23"/>
        <v>0.185607631688092</v>
      </c>
      <c r="O151" s="8">
        <f t="shared" si="26"/>
        <v>10739.9999999998</v>
      </c>
      <c r="P151" s="12">
        <f t="shared" si="24"/>
        <v>0</v>
      </c>
    </row>
    <row r="152" spans="1:16">
      <c r="A152" s="2">
        <v>45987</v>
      </c>
      <c r="B152" s="3">
        <f>Data_Entry!P242</f>
        <v>10050.0000000001</v>
      </c>
      <c r="C152" s="4">
        <f>Data_Entry!V242</f>
        <v>3.7</v>
      </c>
      <c r="D152" s="5">
        <f t="shared" si="18"/>
        <v>0.173683119037745</v>
      </c>
      <c r="E152" s="6">
        <v>0</v>
      </c>
      <c r="F152" s="6">
        <v>0</v>
      </c>
      <c r="G152" s="7">
        <f t="shared" si="19"/>
        <v>0</v>
      </c>
      <c r="H152" s="7">
        <f t="shared" si="20"/>
        <v>0</v>
      </c>
      <c r="I152" s="8">
        <v>2411</v>
      </c>
      <c r="J152" s="9"/>
      <c r="K152" s="8">
        <f t="shared" si="21"/>
        <v>28932</v>
      </c>
      <c r="L152" s="7">
        <f t="shared" si="22"/>
        <v>0</v>
      </c>
      <c r="M152" s="10">
        <f t="shared" si="25"/>
        <v>1</v>
      </c>
      <c r="N152" s="11">
        <f t="shared" si="23"/>
        <v>0.173683119037745</v>
      </c>
      <c r="O152" s="8">
        <f t="shared" si="26"/>
        <v>10050.0000000001</v>
      </c>
      <c r="P152" s="12">
        <f t="shared" si="24"/>
        <v>0</v>
      </c>
    </row>
    <row r="153" spans="1:16">
      <c r="A153" s="2">
        <v>45988</v>
      </c>
      <c r="B153" s="3">
        <f>Data_Entry!P243</f>
        <v>9449.99999999993</v>
      </c>
      <c r="C153" s="4">
        <f>Data_Entry!V243</f>
        <v>3.42</v>
      </c>
      <c r="D153" s="5">
        <f t="shared" si="18"/>
        <v>0.163313977602653</v>
      </c>
      <c r="E153" s="6">
        <v>0</v>
      </c>
      <c r="F153" s="6">
        <v>0</v>
      </c>
      <c r="G153" s="7">
        <f t="shared" si="19"/>
        <v>0</v>
      </c>
      <c r="H153" s="7">
        <f t="shared" si="20"/>
        <v>0</v>
      </c>
      <c r="I153" s="8">
        <v>2411</v>
      </c>
      <c r="J153" s="9"/>
      <c r="K153" s="8">
        <f t="shared" si="21"/>
        <v>28932</v>
      </c>
      <c r="L153" s="7">
        <f t="shared" si="22"/>
        <v>0</v>
      </c>
      <c r="M153" s="10">
        <f t="shared" si="25"/>
        <v>1</v>
      </c>
      <c r="N153" s="11">
        <f t="shared" si="23"/>
        <v>0.163313977602653</v>
      </c>
      <c r="O153" s="8">
        <f t="shared" si="26"/>
        <v>9449.99999999993</v>
      </c>
      <c r="P153" s="12">
        <f t="shared" si="24"/>
        <v>0</v>
      </c>
    </row>
    <row r="154" spans="1:16">
      <c r="A154" s="2">
        <v>45989</v>
      </c>
      <c r="B154" s="3">
        <f>Data_Entry!P244</f>
        <v>8460.00000000015</v>
      </c>
      <c r="C154" s="4">
        <f>Data_Entry!V244</f>
        <v>3.13</v>
      </c>
      <c r="D154" s="5">
        <f t="shared" si="18"/>
        <v>0.14620489423476</v>
      </c>
      <c r="E154" s="6">
        <v>0</v>
      </c>
      <c r="F154" s="6">
        <v>0</v>
      </c>
      <c r="G154" s="7">
        <f t="shared" si="19"/>
        <v>0</v>
      </c>
      <c r="H154" s="7">
        <f t="shared" si="20"/>
        <v>0</v>
      </c>
      <c r="I154" s="8">
        <v>2411</v>
      </c>
      <c r="J154" s="9"/>
      <c r="K154" s="8">
        <f t="shared" si="21"/>
        <v>28932</v>
      </c>
      <c r="L154" s="7">
        <f t="shared" si="22"/>
        <v>0</v>
      </c>
      <c r="M154" s="10">
        <f t="shared" si="25"/>
        <v>1</v>
      </c>
      <c r="N154" s="11">
        <f t="shared" si="23"/>
        <v>0.14620489423476</v>
      </c>
      <c r="O154" s="8">
        <f t="shared" si="26"/>
        <v>8460.00000000015</v>
      </c>
      <c r="P154" s="12">
        <f t="shared" si="24"/>
        <v>0</v>
      </c>
    </row>
    <row r="155" spans="1:16">
      <c r="A155" s="2">
        <v>45990</v>
      </c>
      <c r="B155" s="3">
        <f>Data_Entry!P245</f>
        <v>9059.99999999995</v>
      </c>
      <c r="C155" s="4">
        <f>Data_Entry!V245</f>
        <v>3.34</v>
      </c>
      <c r="D155" s="5">
        <f t="shared" si="18"/>
        <v>0.156574035669846</v>
      </c>
      <c r="E155" s="6">
        <v>0</v>
      </c>
      <c r="F155" s="6">
        <v>0</v>
      </c>
      <c r="G155" s="7">
        <f t="shared" si="19"/>
        <v>0</v>
      </c>
      <c r="H155" s="7">
        <f t="shared" si="20"/>
        <v>0</v>
      </c>
      <c r="I155" s="8">
        <v>2411</v>
      </c>
      <c r="J155" s="9"/>
      <c r="K155" s="8">
        <f t="shared" si="21"/>
        <v>28932</v>
      </c>
      <c r="L155" s="7">
        <f t="shared" si="22"/>
        <v>0</v>
      </c>
      <c r="M155" s="10">
        <f t="shared" si="25"/>
        <v>1</v>
      </c>
      <c r="N155" s="11">
        <f t="shared" si="23"/>
        <v>0.156574035669846</v>
      </c>
      <c r="O155" s="8">
        <f t="shared" si="26"/>
        <v>9059.99999999995</v>
      </c>
      <c r="P155" s="12">
        <f t="shared" si="24"/>
        <v>0</v>
      </c>
    </row>
    <row r="156" spans="1:16">
      <c r="A156" s="2">
        <v>45991</v>
      </c>
      <c r="B156" s="3">
        <f>Data_Entry!P246</f>
        <v>8669.99999999996</v>
      </c>
      <c r="C156" s="4">
        <f>Data_Entry!V246</f>
        <v>3.55</v>
      </c>
      <c r="D156" s="5">
        <f t="shared" si="18"/>
        <v>0.149834093737038</v>
      </c>
      <c r="E156" s="6">
        <v>0</v>
      </c>
      <c r="F156" s="6">
        <v>0</v>
      </c>
      <c r="G156" s="7">
        <f t="shared" si="19"/>
        <v>0</v>
      </c>
      <c r="H156" s="7">
        <f t="shared" si="20"/>
        <v>0</v>
      </c>
      <c r="I156" s="8">
        <v>2411</v>
      </c>
      <c r="J156" s="9"/>
      <c r="K156" s="8">
        <f t="shared" si="21"/>
        <v>28932</v>
      </c>
      <c r="L156" s="7">
        <f t="shared" si="22"/>
        <v>0</v>
      </c>
      <c r="M156" s="10">
        <f t="shared" si="25"/>
        <v>1</v>
      </c>
      <c r="N156" s="11">
        <f t="shared" si="23"/>
        <v>0.149834093737038</v>
      </c>
      <c r="O156" s="8">
        <f t="shared" si="26"/>
        <v>8669.99999999996</v>
      </c>
      <c r="P156" s="12">
        <f t="shared" si="24"/>
        <v>0</v>
      </c>
    </row>
    <row r="157" spans="1:16">
      <c r="A157" s="2">
        <v>45992</v>
      </c>
      <c r="B157" s="3">
        <f>Data_Entry!P247</f>
        <v>11940.0000000001</v>
      </c>
      <c r="C157" s="4">
        <f>Data_Entry!V247</f>
        <v>3.81</v>
      </c>
      <c r="D157" s="5">
        <f t="shared" si="18"/>
        <v>0.206345914558276</v>
      </c>
      <c r="E157" s="6">
        <v>0</v>
      </c>
      <c r="F157" s="6">
        <v>0</v>
      </c>
      <c r="G157" s="7">
        <f t="shared" si="19"/>
        <v>0</v>
      </c>
      <c r="H157" s="7">
        <f t="shared" si="20"/>
        <v>0</v>
      </c>
      <c r="I157" s="8">
        <v>2411</v>
      </c>
      <c r="J157" s="9"/>
      <c r="K157" s="8">
        <f t="shared" si="21"/>
        <v>28932</v>
      </c>
      <c r="L157" s="7">
        <f t="shared" si="22"/>
        <v>0</v>
      </c>
      <c r="M157" s="10">
        <f t="shared" si="25"/>
        <v>1</v>
      </c>
      <c r="N157" s="11">
        <f t="shared" si="23"/>
        <v>0.206345914558276</v>
      </c>
      <c r="O157" s="8">
        <f t="shared" si="26"/>
        <v>11940.0000000001</v>
      </c>
      <c r="P157" s="12">
        <f t="shared" si="24"/>
        <v>0</v>
      </c>
    </row>
    <row r="158" spans="1:16">
      <c r="A158" s="2">
        <v>45993</v>
      </c>
      <c r="B158" s="3">
        <f>Data_Entry!P248</f>
        <v>9389.99999999999</v>
      </c>
      <c r="C158" s="4">
        <f>Data_Entry!V248</f>
        <v>3.5</v>
      </c>
      <c r="D158" s="5">
        <f t="shared" si="18"/>
        <v>0.162277063459145</v>
      </c>
      <c r="E158" s="6">
        <v>0</v>
      </c>
      <c r="F158" s="6">
        <v>0</v>
      </c>
      <c r="G158" s="7">
        <f t="shared" si="19"/>
        <v>0</v>
      </c>
      <c r="H158" s="7">
        <f t="shared" si="20"/>
        <v>0</v>
      </c>
      <c r="I158" s="8">
        <v>2411</v>
      </c>
      <c r="J158" s="9"/>
      <c r="K158" s="8">
        <f t="shared" si="21"/>
        <v>28932</v>
      </c>
      <c r="L158" s="7">
        <f t="shared" si="22"/>
        <v>0</v>
      </c>
      <c r="M158" s="10">
        <f t="shared" si="25"/>
        <v>1</v>
      </c>
      <c r="N158" s="11">
        <f t="shared" si="23"/>
        <v>0.162277063459145</v>
      </c>
      <c r="O158" s="8">
        <f t="shared" si="26"/>
        <v>9389.99999999999</v>
      </c>
      <c r="P158" s="12">
        <f t="shared" si="24"/>
        <v>0</v>
      </c>
    </row>
    <row r="159" spans="1:16">
      <c r="A159" s="2">
        <v>45994</v>
      </c>
      <c r="B159" s="3">
        <f>Data_Entry!P249</f>
        <v>10559.9999999999</v>
      </c>
      <c r="C159" s="4">
        <f>Data_Entry!V249</f>
        <v>3.79</v>
      </c>
      <c r="D159" s="5">
        <f t="shared" si="18"/>
        <v>0.182496889257569</v>
      </c>
      <c r="E159" s="6">
        <v>0</v>
      </c>
      <c r="F159" s="6">
        <v>0</v>
      </c>
      <c r="G159" s="7">
        <f t="shared" si="19"/>
        <v>0</v>
      </c>
      <c r="H159" s="7">
        <f t="shared" si="20"/>
        <v>0</v>
      </c>
      <c r="I159" s="8">
        <v>2411</v>
      </c>
      <c r="J159" s="9"/>
      <c r="K159" s="8">
        <f t="shared" si="21"/>
        <v>28932</v>
      </c>
      <c r="L159" s="7">
        <f t="shared" si="22"/>
        <v>0</v>
      </c>
      <c r="M159" s="10">
        <f t="shared" si="25"/>
        <v>1</v>
      </c>
      <c r="N159" s="11">
        <f t="shared" si="23"/>
        <v>0.182496889257569</v>
      </c>
      <c r="O159" s="8">
        <f t="shared" si="26"/>
        <v>10559.9999999999</v>
      </c>
      <c r="P159" s="12">
        <f t="shared" si="24"/>
        <v>0</v>
      </c>
    </row>
    <row r="160" spans="1:16">
      <c r="A160" s="2">
        <v>45995</v>
      </c>
      <c r="B160" s="3">
        <f>Data_Entry!P250</f>
        <v>10140</v>
      </c>
      <c r="C160" s="4">
        <f>Data_Entry!V250</f>
        <v>3.65</v>
      </c>
      <c r="D160" s="5">
        <f t="shared" si="18"/>
        <v>0.175238490253007</v>
      </c>
      <c r="E160" s="6">
        <v>0</v>
      </c>
      <c r="F160" s="6">
        <v>0</v>
      </c>
      <c r="G160" s="7">
        <f t="shared" si="19"/>
        <v>0</v>
      </c>
      <c r="H160" s="7">
        <f t="shared" si="20"/>
        <v>0</v>
      </c>
      <c r="I160" s="8">
        <v>2411</v>
      </c>
      <c r="J160" s="9"/>
      <c r="K160" s="8">
        <f t="shared" si="21"/>
        <v>28932</v>
      </c>
      <c r="L160" s="7">
        <f t="shared" si="22"/>
        <v>0</v>
      </c>
      <c r="M160" s="10">
        <f t="shared" si="25"/>
        <v>1</v>
      </c>
      <c r="N160" s="11">
        <f t="shared" si="23"/>
        <v>0.175238490253007</v>
      </c>
      <c r="O160" s="8">
        <f t="shared" si="26"/>
        <v>10140</v>
      </c>
      <c r="P160" s="12">
        <f t="shared" si="24"/>
        <v>0</v>
      </c>
    </row>
    <row r="161" spans="1:16">
      <c r="A161" s="2">
        <v>45996</v>
      </c>
      <c r="B161" s="3">
        <f>Data_Entry!P251</f>
        <v>10320.0000000002</v>
      </c>
      <c r="C161" s="4">
        <f>Data_Entry!V251</f>
        <v>3.71</v>
      </c>
      <c r="D161" s="5">
        <f t="shared" si="18"/>
        <v>0.178349232683537</v>
      </c>
      <c r="E161" s="6">
        <v>0</v>
      </c>
      <c r="F161" s="6">
        <v>0</v>
      </c>
      <c r="G161" s="7">
        <f t="shared" si="19"/>
        <v>0</v>
      </c>
      <c r="H161" s="7">
        <f t="shared" si="20"/>
        <v>0</v>
      </c>
      <c r="I161" s="8">
        <v>2411</v>
      </c>
      <c r="J161" s="9"/>
      <c r="K161" s="8">
        <f t="shared" si="21"/>
        <v>28932</v>
      </c>
      <c r="L161" s="7">
        <f t="shared" si="22"/>
        <v>0</v>
      </c>
      <c r="M161" s="10">
        <f t="shared" si="25"/>
        <v>1</v>
      </c>
      <c r="N161" s="11">
        <f t="shared" si="23"/>
        <v>0.178349232683537</v>
      </c>
      <c r="O161" s="8">
        <f t="shared" si="26"/>
        <v>10320.0000000002</v>
      </c>
      <c r="P161" s="12">
        <f t="shared" si="24"/>
        <v>0</v>
      </c>
    </row>
    <row r="162" spans="1:16">
      <c r="A162" s="2">
        <v>45997</v>
      </c>
      <c r="B162" s="3">
        <f>Data_Entry!P252</f>
        <v>10349.9999999998</v>
      </c>
      <c r="C162" s="4">
        <f>Data_Entry!V252</f>
        <v>3.46</v>
      </c>
      <c r="D162" s="5">
        <f t="shared" si="18"/>
        <v>0.178867689755285</v>
      </c>
      <c r="E162" s="6">
        <v>0</v>
      </c>
      <c r="F162" s="6">
        <v>0</v>
      </c>
      <c r="G162" s="7">
        <f t="shared" si="19"/>
        <v>0</v>
      </c>
      <c r="H162" s="7">
        <f t="shared" si="20"/>
        <v>0</v>
      </c>
      <c r="I162" s="8">
        <v>2411</v>
      </c>
      <c r="J162" s="9"/>
      <c r="K162" s="8">
        <f t="shared" si="21"/>
        <v>28932</v>
      </c>
      <c r="L162" s="7">
        <f t="shared" si="22"/>
        <v>0</v>
      </c>
      <c r="M162" s="10">
        <f t="shared" si="25"/>
        <v>1</v>
      </c>
      <c r="N162" s="11">
        <f t="shared" si="23"/>
        <v>0.178867689755285</v>
      </c>
      <c r="O162" s="8">
        <f t="shared" si="26"/>
        <v>10349.9999999998</v>
      </c>
      <c r="P162" s="12">
        <f t="shared" si="24"/>
        <v>0</v>
      </c>
    </row>
    <row r="163" spans="1:16">
      <c r="A163" s="2">
        <v>45998</v>
      </c>
      <c r="B163" s="3">
        <f>Data_Entry!P253</f>
        <v>11340.0000000003</v>
      </c>
      <c r="C163" s="4">
        <f>Data_Entry!V253</f>
        <v>3.81</v>
      </c>
      <c r="D163" s="5">
        <f t="shared" si="18"/>
        <v>0.19597677312319</v>
      </c>
      <c r="E163" s="6">
        <v>0</v>
      </c>
      <c r="F163" s="6">
        <v>0</v>
      </c>
      <c r="G163" s="7">
        <f t="shared" si="19"/>
        <v>0</v>
      </c>
      <c r="H163" s="7">
        <f t="shared" si="20"/>
        <v>0</v>
      </c>
      <c r="I163" s="8">
        <v>2411</v>
      </c>
      <c r="J163" s="9"/>
      <c r="K163" s="8">
        <f t="shared" si="21"/>
        <v>28932</v>
      </c>
      <c r="L163" s="7">
        <f t="shared" si="22"/>
        <v>0</v>
      </c>
      <c r="M163" s="10">
        <f t="shared" si="25"/>
        <v>1</v>
      </c>
      <c r="N163" s="11">
        <f t="shared" si="23"/>
        <v>0.19597677312319</v>
      </c>
      <c r="O163" s="8">
        <f t="shared" si="26"/>
        <v>11340.0000000003</v>
      </c>
      <c r="P163" s="12">
        <f t="shared" si="24"/>
        <v>0</v>
      </c>
    </row>
    <row r="164" spans="1:16">
      <c r="A164" s="2">
        <v>45999</v>
      </c>
      <c r="B164" s="3">
        <f>Data_Entry!P254</f>
        <v>11250</v>
      </c>
      <c r="C164" s="4">
        <f>Data_Entry!V254</f>
        <v>3.81</v>
      </c>
      <c r="D164" s="5">
        <f t="shared" si="18"/>
        <v>0.194421401907922</v>
      </c>
      <c r="E164" s="6">
        <v>0</v>
      </c>
      <c r="F164" s="6">
        <v>0</v>
      </c>
      <c r="G164" s="7">
        <f t="shared" si="19"/>
        <v>0</v>
      </c>
      <c r="H164" s="7">
        <f t="shared" si="20"/>
        <v>0</v>
      </c>
      <c r="I164" s="8">
        <v>2411</v>
      </c>
      <c r="J164" s="9"/>
      <c r="K164" s="8">
        <f t="shared" si="21"/>
        <v>28932</v>
      </c>
      <c r="L164" s="7">
        <f t="shared" si="22"/>
        <v>0</v>
      </c>
      <c r="M164" s="10">
        <f t="shared" si="25"/>
        <v>1</v>
      </c>
      <c r="N164" s="11">
        <f t="shared" si="23"/>
        <v>0.194421401907922</v>
      </c>
      <c r="O164" s="8">
        <f t="shared" si="26"/>
        <v>11250</v>
      </c>
      <c r="P164" s="12">
        <f t="shared" si="24"/>
        <v>0</v>
      </c>
    </row>
    <row r="165" spans="1:16">
      <c r="A165" s="2">
        <v>46000</v>
      </c>
      <c r="B165" s="3">
        <f>Data_Entry!P255</f>
        <v>12269.9999999998</v>
      </c>
      <c r="C165" s="4">
        <f>Data_Entry!V255</f>
        <v>4.15</v>
      </c>
      <c r="D165" s="5">
        <f t="shared" si="18"/>
        <v>0.212048942347569</v>
      </c>
      <c r="E165" s="6">
        <v>0</v>
      </c>
      <c r="F165" s="6">
        <v>0</v>
      </c>
      <c r="G165" s="7">
        <f t="shared" si="19"/>
        <v>0</v>
      </c>
      <c r="H165" s="7">
        <f t="shared" si="20"/>
        <v>0</v>
      </c>
      <c r="I165" s="8">
        <v>2411</v>
      </c>
      <c r="J165" s="9"/>
      <c r="K165" s="8">
        <f t="shared" si="21"/>
        <v>28932</v>
      </c>
      <c r="L165" s="7">
        <f t="shared" si="22"/>
        <v>0</v>
      </c>
      <c r="M165" s="10">
        <f t="shared" si="25"/>
        <v>1</v>
      </c>
      <c r="N165" s="11">
        <f t="shared" si="23"/>
        <v>0.212048942347569</v>
      </c>
      <c r="O165" s="8">
        <f t="shared" si="26"/>
        <v>12269.9999999998</v>
      </c>
      <c r="P165" s="12">
        <f t="shared" si="24"/>
        <v>0</v>
      </c>
    </row>
    <row r="166" spans="1:16">
      <c r="A166" s="2">
        <v>46001</v>
      </c>
      <c r="B166" s="3">
        <f>Data_Entry!P256</f>
        <v>12120.0000000002</v>
      </c>
      <c r="C166" s="4">
        <f>Data_Entry!V256</f>
        <v>3.32</v>
      </c>
      <c r="D166" s="5">
        <f t="shared" si="18"/>
        <v>0.209456656988805</v>
      </c>
      <c r="E166" s="6">
        <v>0</v>
      </c>
      <c r="F166" s="6">
        <v>0</v>
      </c>
      <c r="G166" s="7">
        <f t="shared" si="19"/>
        <v>0</v>
      </c>
      <c r="H166" s="7">
        <f t="shared" si="20"/>
        <v>0</v>
      </c>
      <c r="I166" s="8">
        <v>2411</v>
      </c>
      <c r="J166" s="9"/>
      <c r="K166" s="8">
        <f t="shared" si="21"/>
        <v>28932</v>
      </c>
      <c r="L166" s="7">
        <f t="shared" si="22"/>
        <v>0</v>
      </c>
      <c r="M166" s="10">
        <f t="shared" si="25"/>
        <v>1</v>
      </c>
      <c r="N166" s="11">
        <f t="shared" si="23"/>
        <v>0.209456656988805</v>
      </c>
      <c r="O166" s="8">
        <f t="shared" si="26"/>
        <v>12120.0000000002</v>
      </c>
      <c r="P166" s="12">
        <f t="shared" si="24"/>
        <v>0</v>
      </c>
    </row>
    <row r="167" spans="1:16">
      <c r="A167" s="2">
        <v>46002</v>
      </c>
      <c r="B167" s="3">
        <f>Data_Entry!P257</f>
        <v>12239.9999999998</v>
      </c>
      <c r="C167" s="4">
        <f>Data_Entry!V257</f>
        <v>4.11</v>
      </c>
      <c r="D167" s="5">
        <f t="shared" si="18"/>
        <v>0.211530485275815</v>
      </c>
      <c r="E167" s="6">
        <v>0</v>
      </c>
      <c r="F167" s="6">
        <v>0</v>
      </c>
      <c r="G167" s="7">
        <f t="shared" si="19"/>
        <v>0</v>
      </c>
      <c r="H167" s="7">
        <f t="shared" si="20"/>
        <v>0</v>
      </c>
      <c r="I167" s="8">
        <v>2411</v>
      </c>
      <c r="J167" s="9"/>
      <c r="K167" s="8">
        <f t="shared" si="21"/>
        <v>28932</v>
      </c>
      <c r="L167" s="7">
        <f t="shared" si="22"/>
        <v>0</v>
      </c>
      <c r="M167" s="10">
        <f t="shared" si="25"/>
        <v>1</v>
      </c>
      <c r="N167" s="11">
        <f t="shared" si="23"/>
        <v>0.211530485275815</v>
      </c>
      <c r="O167" s="8">
        <f t="shared" si="26"/>
        <v>12239.9999999998</v>
      </c>
      <c r="P167" s="12">
        <f t="shared" si="24"/>
        <v>0</v>
      </c>
    </row>
    <row r="168" spans="1:16">
      <c r="A168" s="2">
        <v>46003</v>
      </c>
      <c r="B168" s="3">
        <f>Data_Entry!P258</f>
        <v>12090.0000000003</v>
      </c>
      <c r="C168" s="4">
        <f>Data_Entry!V258</f>
        <v>4.14</v>
      </c>
      <c r="D168" s="5">
        <f t="shared" si="18"/>
        <v>0.208938199917051</v>
      </c>
      <c r="E168" s="6">
        <v>0</v>
      </c>
      <c r="F168" s="6">
        <v>0</v>
      </c>
      <c r="G168" s="7">
        <f t="shared" si="19"/>
        <v>0</v>
      </c>
      <c r="H168" s="7">
        <f t="shared" si="20"/>
        <v>0</v>
      </c>
      <c r="I168" s="8">
        <v>2411</v>
      </c>
      <c r="J168" s="9"/>
      <c r="K168" s="8">
        <f t="shared" si="21"/>
        <v>28932</v>
      </c>
      <c r="L168" s="7">
        <f t="shared" si="22"/>
        <v>0</v>
      </c>
      <c r="M168" s="10">
        <f t="shared" si="25"/>
        <v>1</v>
      </c>
      <c r="N168" s="11">
        <f t="shared" si="23"/>
        <v>0.208938199917051</v>
      </c>
      <c r="O168" s="8">
        <f t="shared" si="26"/>
        <v>12090.0000000003</v>
      </c>
      <c r="P168" s="12">
        <f t="shared" si="24"/>
        <v>0</v>
      </c>
    </row>
    <row r="169" spans="1:16">
      <c r="A169" s="2">
        <v>46004</v>
      </c>
      <c r="B169" s="3">
        <f>Data_Entry!P259</f>
        <v>11849.9999999998</v>
      </c>
      <c r="C169" s="4">
        <f>Data_Entry!V259</f>
        <v>3.94</v>
      </c>
      <c r="D169" s="5">
        <f t="shared" si="18"/>
        <v>0.204790543343008</v>
      </c>
      <c r="E169" s="6">
        <v>0</v>
      </c>
      <c r="F169" s="6">
        <v>0</v>
      </c>
      <c r="G169" s="7">
        <f t="shared" si="19"/>
        <v>0</v>
      </c>
      <c r="H169" s="7">
        <f t="shared" si="20"/>
        <v>0</v>
      </c>
      <c r="I169" s="8">
        <v>2411</v>
      </c>
      <c r="J169" s="9"/>
      <c r="K169" s="8">
        <f t="shared" si="21"/>
        <v>28932</v>
      </c>
      <c r="L169" s="7">
        <f t="shared" si="22"/>
        <v>0</v>
      </c>
      <c r="M169" s="10">
        <f t="shared" si="25"/>
        <v>1</v>
      </c>
      <c r="N169" s="11">
        <f t="shared" si="23"/>
        <v>0.204790543343008</v>
      </c>
      <c r="O169" s="8">
        <f t="shared" si="26"/>
        <v>11849.9999999998</v>
      </c>
      <c r="P169" s="12">
        <f t="shared" si="24"/>
        <v>0</v>
      </c>
    </row>
    <row r="170" spans="1:16">
      <c r="A170" s="2">
        <v>46005</v>
      </c>
      <c r="B170" s="3">
        <f>Data_Entry!P260</f>
        <v>11430.0000000002</v>
      </c>
      <c r="C170" s="4">
        <f>Data_Entry!V260</f>
        <v>0.81</v>
      </c>
      <c r="D170" s="5">
        <f t="shared" si="18"/>
        <v>0.197532144338452</v>
      </c>
      <c r="E170" s="6">
        <v>0</v>
      </c>
      <c r="F170" s="6">
        <v>0</v>
      </c>
      <c r="G170" s="7">
        <f t="shared" si="19"/>
        <v>0</v>
      </c>
      <c r="H170" s="7">
        <f t="shared" si="20"/>
        <v>0</v>
      </c>
      <c r="I170" s="8">
        <v>2411</v>
      </c>
      <c r="J170" s="9"/>
      <c r="K170" s="8">
        <f t="shared" si="21"/>
        <v>28932</v>
      </c>
      <c r="L170" s="7">
        <f t="shared" si="22"/>
        <v>0</v>
      </c>
      <c r="M170" s="10">
        <f t="shared" si="25"/>
        <v>1</v>
      </c>
      <c r="N170" s="11">
        <f t="shared" si="23"/>
        <v>0.197532144338452</v>
      </c>
      <c r="O170" s="8">
        <f t="shared" si="26"/>
        <v>11430.0000000002</v>
      </c>
      <c r="P170" s="12">
        <f t="shared" si="24"/>
        <v>0</v>
      </c>
    </row>
    <row r="171" spans="1:16">
      <c r="A171" s="2">
        <v>46006</v>
      </c>
      <c r="B171" s="3">
        <f>Data_Entry!P261</f>
        <v>11610</v>
      </c>
      <c r="C171" s="4">
        <f>Data_Entry!V261</f>
        <v>3.91</v>
      </c>
      <c r="D171" s="5">
        <f t="shared" si="18"/>
        <v>0.200642886768976</v>
      </c>
      <c r="E171" s="6">
        <v>0</v>
      </c>
      <c r="F171" s="6">
        <v>0</v>
      </c>
      <c r="G171" s="7">
        <f t="shared" si="19"/>
        <v>0</v>
      </c>
      <c r="H171" s="7">
        <f t="shared" si="20"/>
        <v>0</v>
      </c>
      <c r="I171" s="8">
        <v>2411</v>
      </c>
      <c r="J171" s="9"/>
      <c r="K171" s="8">
        <f t="shared" si="21"/>
        <v>28932</v>
      </c>
      <c r="L171" s="7">
        <f t="shared" si="22"/>
        <v>0</v>
      </c>
      <c r="M171" s="10">
        <f t="shared" si="25"/>
        <v>1</v>
      </c>
      <c r="N171" s="11">
        <f t="shared" si="23"/>
        <v>0.200642886768976</v>
      </c>
      <c r="O171" s="8">
        <f t="shared" si="26"/>
        <v>11610</v>
      </c>
      <c r="P171" s="12">
        <f t="shared" si="24"/>
        <v>0</v>
      </c>
    </row>
    <row r="172" spans="1:16">
      <c r="A172" s="2">
        <v>46007</v>
      </c>
      <c r="B172" s="3">
        <f>Data_Entry!P262</f>
        <v>11250</v>
      </c>
      <c r="C172" s="4">
        <f>Data_Entry!V262</f>
        <v>3.86</v>
      </c>
      <c r="D172" s="5">
        <f t="shared" si="18"/>
        <v>0.194421401907922</v>
      </c>
      <c r="E172" s="6">
        <v>0</v>
      </c>
      <c r="F172" s="6">
        <v>0</v>
      </c>
      <c r="G172" s="7">
        <f t="shared" si="19"/>
        <v>0</v>
      </c>
      <c r="H172" s="7">
        <f t="shared" si="20"/>
        <v>0</v>
      </c>
      <c r="I172" s="8">
        <v>2411</v>
      </c>
      <c r="J172" s="9"/>
      <c r="K172" s="8">
        <f t="shared" si="21"/>
        <v>28932</v>
      </c>
      <c r="L172" s="7">
        <f t="shared" si="22"/>
        <v>0</v>
      </c>
      <c r="M172" s="10">
        <f t="shared" si="25"/>
        <v>1</v>
      </c>
      <c r="N172" s="11">
        <f t="shared" si="23"/>
        <v>0.194421401907922</v>
      </c>
      <c r="O172" s="8">
        <f t="shared" si="26"/>
        <v>11250</v>
      </c>
      <c r="P172" s="12">
        <f t="shared" si="24"/>
        <v>0</v>
      </c>
    </row>
    <row r="173" spans="1:16">
      <c r="A173" s="2">
        <v>46008</v>
      </c>
      <c r="B173" s="3">
        <f>Data_Entry!P263</f>
        <v>10559.9999999999</v>
      </c>
      <c r="C173" s="4">
        <f>Data_Entry!V263</f>
        <v>3.62</v>
      </c>
      <c r="D173" s="5">
        <f t="shared" si="18"/>
        <v>0.182496889257569</v>
      </c>
      <c r="E173" s="6">
        <v>0</v>
      </c>
      <c r="F173" s="6">
        <v>0</v>
      </c>
      <c r="G173" s="7">
        <f t="shared" si="19"/>
        <v>0</v>
      </c>
      <c r="H173" s="7">
        <f t="shared" si="20"/>
        <v>0</v>
      </c>
      <c r="I173" s="8">
        <v>2411</v>
      </c>
      <c r="J173" s="9"/>
      <c r="K173" s="8">
        <f t="shared" si="21"/>
        <v>28932</v>
      </c>
      <c r="L173" s="7">
        <f t="shared" si="22"/>
        <v>0</v>
      </c>
      <c r="M173" s="10">
        <f t="shared" si="25"/>
        <v>1</v>
      </c>
      <c r="N173" s="11">
        <f t="shared" si="23"/>
        <v>0.182496889257569</v>
      </c>
      <c r="O173" s="8">
        <f t="shared" si="26"/>
        <v>10559.9999999999</v>
      </c>
      <c r="P173" s="12">
        <f t="shared" si="24"/>
        <v>0</v>
      </c>
    </row>
    <row r="174" spans="1:16">
      <c r="A174" s="2">
        <v>46009</v>
      </c>
      <c r="B174" s="3">
        <f>Data_Entry!P264</f>
        <v>10199.9999999999</v>
      </c>
      <c r="C174" s="4">
        <f>Data_Entry!V264</f>
        <v>3.99</v>
      </c>
      <c r="D174" s="5">
        <f t="shared" si="18"/>
        <v>0.176275404396515</v>
      </c>
      <c r="E174" s="6">
        <v>0</v>
      </c>
      <c r="F174" s="6">
        <v>0</v>
      </c>
      <c r="G174" s="7">
        <f t="shared" si="19"/>
        <v>0</v>
      </c>
      <c r="H174" s="7">
        <f t="shared" si="20"/>
        <v>0</v>
      </c>
      <c r="I174" s="8">
        <v>2411</v>
      </c>
      <c r="J174" s="9"/>
      <c r="K174" s="8">
        <f t="shared" si="21"/>
        <v>28932</v>
      </c>
      <c r="L174" s="7">
        <f t="shared" si="22"/>
        <v>0</v>
      </c>
      <c r="M174" s="10">
        <f t="shared" si="25"/>
        <v>1</v>
      </c>
      <c r="N174" s="11">
        <f t="shared" si="23"/>
        <v>0.176275404396515</v>
      </c>
      <c r="O174" s="8">
        <f t="shared" si="26"/>
        <v>10199.9999999999</v>
      </c>
      <c r="P174" s="12">
        <f t="shared" si="24"/>
        <v>0</v>
      </c>
    </row>
    <row r="175" spans="1:16">
      <c r="A175" s="2">
        <v>46010</v>
      </c>
      <c r="B175" s="3">
        <f>Data_Entry!P265</f>
        <v>11640</v>
      </c>
      <c r="C175" s="4">
        <f>Data_Entry!V265</f>
        <v>3.65</v>
      </c>
      <c r="D175" s="5">
        <f t="shared" si="18"/>
        <v>0.20116134384073</v>
      </c>
      <c r="E175" s="6">
        <v>0</v>
      </c>
      <c r="F175" s="6">
        <v>0</v>
      </c>
      <c r="G175" s="7">
        <f t="shared" si="19"/>
        <v>0</v>
      </c>
      <c r="H175" s="7">
        <f t="shared" si="20"/>
        <v>0</v>
      </c>
      <c r="I175" s="8">
        <v>2411</v>
      </c>
      <c r="J175" s="9"/>
      <c r="K175" s="8">
        <f t="shared" si="21"/>
        <v>28932</v>
      </c>
      <c r="L175" s="7">
        <f t="shared" si="22"/>
        <v>0</v>
      </c>
      <c r="M175" s="10">
        <f t="shared" si="25"/>
        <v>1</v>
      </c>
      <c r="N175" s="11">
        <f t="shared" si="23"/>
        <v>0.20116134384073</v>
      </c>
      <c r="O175" s="8">
        <f t="shared" si="26"/>
        <v>11640</v>
      </c>
      <c r="P175" s="12">
        <f t="shared" si="24"/>
        <v>0</v>
      </c>
    </row>
    <row r="176" spans="1:16">
      <c r="A176" s="2">
        <v>46011</v>
      </c>
      <c r="B176" s="3">
        <f>Data_Entry!P266</f>
        <v>11940.0000000001</v>
      </c>
      <c r="C176" s="4">
        <f>Data_Entry!V266</f>
        <v>4.1</v>
      </c>
      <c r="D176" s="5">
        <f t="shared" si="18"/>
        <v>0.206345914558276</v>
      </c>
      <c r="E176" s="6">
        <v>0</v>
      </c>
      <c r="F176" s="6">
        <v>0</v>
      </c>
      <c r="G176" s="7">
        <f t="shared" si="19"/>
        <v>0</v>
      </c>
      <c r="H176" s="7">
        <f t="shared" si="20"/>
        <v>0</v>
      </c>
      <c r="I176" s="8">
        <v>2411</v>
      </c>
      <c r="J176" s="9"/>
      <c r="K176" s="8">
        <f t="shared" si="21"/>
        <v>28932</v>
      </c>
      <c r="L176" s="7">
        <f t="shared" si="22"/>
        <v>0</v>
      </c>
      <c r="M176" s="10">
        <f t="shared" si="25"/>
        <v>1</v>
      </c>
      <c r="N176" s="11">
        <f t="shared" si="23"/>
        <v>0.206345914558276</v>
      </c>
      <c r="O176" s="8">
        <f t="shared" si="26"/>
        <v>11940.0000000001</v>
      </c>
      <c r="P176" s="12">
        <f t="shared" si="24"/>
        <v>0</v>
      </c>
    </row>
    <row r="177" spans="1:16">
      <c r="A177" s="2">
        <v>46012</v>
      </c>
      <c r="B177" s="3">
        <f>Data_Entry!P267</f>
        <v>10740.0000000001</v>
      </c>
      <c r="C177" s="4">
        <f>Data_Entry!V267</f>
        <v>3.36</v>
      </c>
      <c r="D177" s="5">
        <f t="shared" si="18"/>
        <v>0.185607631688098</v>
      </c>
      <c r="E177" s="6">
        <v>0</v>
      </c>
      <c r="F177" s="6">
        <v>0</v>
      </c>
      <c r="G177" s="7">
        <f t="shared" si="19"/>
        <v>0</v>
      </c>
      <c r="H177" s="7">
        <f t="shared" si="20"/>
        <v>0</v>
      </c>
      <c r="I177" s="8">
        <v>2411</v>
      </c>
      <c r="J177" s="9"/>
      <c r="K177" s="8">
        <f t="shared" si="21"/>
        <v>28932</v>
      </c>
      <c r="L177" s="7">
        <f t="shared" si="22"/>
        <v>0</v>
      </c>
      <c r="M177" s="10">
        <f t="shared" si="25"/>
        <v>1</v>
      </c>
      <c r="N177" s="11">
        <f t="shared" si="23"/>
        <v>0.185607631688098</v>
      </c>
      <c r="O177" s="8">
        <f t="shared" si="26"/>
        <v>10740.0000000001</v>
      </c>
      <c r="P177" s="12">
        <f t="shared" si="24"/>
        <v>0</v>
      </c>
    </row>
    <row r="178" spans="1:16">
      <c r="A178" s="2">
        <v>46013</v>
      </c>
      <c r="B178" s="3">
        <f>Data_Entry!P268</f>
        <v>11549.9999999997</v>
      </c>
      <c r="C178" s="4">
        <f>Data_Entry!V268</f>
        <v>3.89</v>
      </c>
      <c r="D178" s="5">
        <f t="shared" si="18"/>
        <v>0.199605972625462</v>
      </c>
      <c r="E178" s="6">
        <v>0</v>
      </c>
      <c r="F178" s="6">
        <v>0</v>
      </c>
      <c r="G178" s="7">
        <f t="shared" si="19"/>
        <v>0</v>
      </c>
      <c r="H178" s="7">
        <f t="shared" si="20"/>
        <v>0</v>
      </c>
      <c r="I178" s="8">
        <v>2411</v>
      </c>
      <c r="J178" s="9"/>
      <c r="K178" s="8">
        <f t="shared" si="21"/>
        <v>28932</v>
      </c>
      <c r="L178" s="7">
        <f t="shared" si="22"/>
        <v>0</v>
      </c>
      <c r="M178" s="10">
        <f t="shared" si="25"/>
        <v>1</v>
      </c>
      <c r="N178" s="11">
        <f t="shared" si="23"/>
        <v>0.199605972625462</v>
      </c>
      <c r="O178" s="8">
        <f t="shared" si="26"/>
        <v>11549.9999999997</v>
      </c>
      <c r="P178" s="12">
        <f t="shared" si="24"/>
        <v>0</v>
      </c>
    </row>
    <row r="179" spans="1:16">
      <c r="A179" s="2">
        <v>46014</v>
      </c>
      <c r="B179" s="3">
        <f>Data_Entry!P269</f>
        <v>11820.0000000002</v>
      </c>
      <c r="C179" s="4">
        <f>Data_Entry!V269</f>
        <v>3.85</v>
      </c>
      <c r="D179" s="5">
        <f t="shared" si="18"/>
        <v>0.20427208627126</v>
      </c>
      <c r="E179" s="6">
        <v>0</v>
      </c>
      <c r="F179" s="6">
        <v>0</v>
      </c>
      <c r="G179" s="7">
        <f t="shared" si="19"/>
        <v>0</v>
      </c>
      <c r="H179" s="7">
        <f t="shared" si="20"/>
        <v>0</v>
      </c>
      <c r="I179" s="8">
        <v>2411</v>
      </c>
      <c r="J179" s="9"/>
      <c r="K179" s="8">
        <f t="shared" si="21"/>
        <v>28932</v>
      </c>
      <c r="L179" s="7">
        <f t="shared" si="22"/>
        <v>0</v>
      </c>
      <c r="M179" s="10">
        <f t="shared" si="25"/>
        <v>1</v>
      </c>
      <c r="N179" s="11">
        <f t="shared" si="23"/>
        <v>0.20427208627126</v>
      </c>
      <c r="O179" s="8">
        <f t="shared" si="26"/>
        <v>11820.0000000002</v>
      </c>
      <c r="P179" s="12">
        <f t="shared" si="24"/>
        <v>0</v>
      </c>
    </row>
    <row r="180" spans="1:16">
      <c r="A180" s="2">
        <v>46015</v>
      </c>
      <c r="B180" s="3">
        <f>Data_Entry!P270</f>
        <v>11910.0000000001</v>
      </c>
      <c r="C180" s="4">
        <f>Data_Entry!V270</f>
        <v>3.93</v>
      </c>
      <c r="D180" s="5">
        <f t="shared" si="18"/>
        <v>0.205827457486522</v>
      </c>
      <c r="E180" s="6">
        <v>0</v>
      </c>
      <c r="F180" s="6">
        <v>0</v>
      </c>
      <c r="G180" s="7">
        <f t="shared" si="19"/>
        <v>0</v>
      </c>
      <c r="H180" s="7">
        <f t="shared" si="20"/>
        <v>0</v>
      </c>
      <c r="I180" s="8">
        <v>2411</v>
      </c>
      <c r="J180" s="9"/>
      <c r="K180" s="8">
        <f t="shared" si="21"/>
        <v>28932</v>
      </c>
      <c r="L180" s="7">
        <f t="shared" si="22"/>
        <v>0</v>
      </c>
      <c r="M180" s="10">
        <f t="shared" si="25"/>
        <v>1</v>
      </c>
      <c r="N180" s="11">
        <f t="shared" si="23"/>
        <v>0.205827457486522</v>
      </c>
      <c r="O180" s="8">
        <f t="shared" si="26"/>
        <v>11910.0000000001</v>
      </c>
      <c r="P180" s="12">
        <f t="shared" si="24"/>
        <v>0</v>
      </c>
    </row>
    <row r="181" spans="1:16">
      <c r="A181" s="2">
        <v>46016</v>
      </c>
      <c r="B181" s="3">
        <f>Data_Entry!P271</f>
        <v>11670</v>
      </c>
      <c r="C181" s="4">
        <f>Data_Entry!V271</f>
        <v>3.87</v>
      </c>
      <c r="D181" s="5">
        <f t="shared" si="18"/>
        <v>0.201679800912484</v>
      </c>
      <c r="E181" s="6">
        <v>0</v>
      </c>
      <c r="F181" s="6">
        <v>0</v>
      </c>
      <c r="G181" s="7">
        <f t="shared" si="19"/>
        <v>0</v>
      </c>
      <c r="H181" s="7">
        <f t="shared" si="20"/>
        <v>0</v>
      </c>
      <c r="I181" s="8">
        <v>2411</v>
      </c>
      <c r="J181" s="9"/>
      <c r="K181" s="8">
        <f t="shared" si="21"/>
        <v>28932</v>
      </c>
      <c r="L181" s="7">
        <f t="shared" si="22"/>
        <v>0</v>
      </c>
      <c r="M181" s="10">
        <f t="shared" si="25"/>
        <v>1</v>
      </c>
      <c r="N181" s="11">
        <f t="shared" si="23"/>
        <v>0.201679800912484</v>
      </c>
      <c r="O181" s="8">
        <f t="shared" si="26"/>
        <v>11670</v>
      </c>
      <c r="P181" s="12">
        <f t="shared" si="24"/>
        <v>0</v>
      </c>
    </row>
    <row r="182" spans="1:16">
      <c r="A182" s="2">
        <v>46017</v>
      </c>
      <c r="B182" s="3">
        <f>Data_Entry!P272</f>
        <v>11190.0000000001</v>
      </c>
      <c r="C182" s="4">
        <f>Data_Entry!V272</f>
        <v>3.74</v>
      </c>
      <c r="D182" s="5">
        <f t="shared" si="18"/>
        <v>0.193384487764414</v>
      </c>
      <c r="E182" s="6">
        <v>0</v>
      </c>
      <c r="F182" s="6">
        <v>0</v>
      </c>
      <c r="G182" s="7">
        <f t="shared" si="19"/>
        <v>0</v>
      </c>
      <c r="H182" s="7">
        <f t="shared" si="20"/>
        <v>0</v>
      </c>
      <c r="I182" s="8">
        <v>2411</v>
      </c>
      <c r="J182" s="9"/>
      <c r="K182" s="8">
        <f t="shared" si="21"/>
        <v>28932</v>
      </c>
      <c r="L182" s="7">
        <f t="shared" si="22"/>
        <v>0</v>
      </c>
      <c r="M182" s="10">
        <f t="shared" si="25"/>
        <v>1</v>
      </c>
      <c r="N182" s="11">
        <f t="shared" si="23"/>
        <v>0.193384487764414</v>
      </c>
      <c r="O182" s="8">
        <f t="shared" si="26"/>
        <v>11190.0000000001</v>
      </c>
      <c r="P182" s="12">
        <f t="shared" si="24"/>
        <v>0</v>
      </c>
    </row>
    <row r="183" spans="1:16">
      <c r="A183" s="2">
        <v>46018</v>
      </c>
      <c r="B183" s="3">
        <f>Data_Entry!P273</f>
        <v>10619.9999999999</v>
      </c>
      <c r="C183" s="4">
        <f>Data_Entry!V273</f>
        <v>3.62</v>
      </c>
      <c r="D183" s="5">
        <f t="shared" si="18"/>
        <v>0.183533803401077</v>
      </c>
      <c r="E183" s="6">
        <v>0</v>
      </c>
      <c r="F183" s="6">
        <v>0</v>
      </c>
      <c r="G183" s="7">
        <f t="shared" si="19"/>
        <v>0</v>
      </c>
      <c r="H183" s="7">
        <f t="shared" si="20"/>
        <v>0</v>
      </c>
      <c r="I183" s="8">
        <v>2411</v>
      </c>
      <c r="J183" s="9"/>
      <c r="K183" s="8">
        <f t="shared" si="21"/>
        <v>28932</v>
      </c>
      <c r="L183" s="7">
        <f t="shared" si="22"/>
        <v>0</v>
      </c>
      <c r="M183" s="10">
        <f t="shared" si="25"/>
        <v>1</v>
      </c>
      <c r="N183" s="11">
        <f t="shared" si="23"/>
        <v>0.183533803401077</v>
      </c>
      <c r="O183" s="8">
        <f t="shared" si="26"/>
        <v>10619.9999999999</v>
      </c>
      <c r="P183" s="12">
        <f t="shared" si="24"/>
        <v>0</v>
      </c>
    </row>
    <row r="184" spans="1:16">
      <c r="A184" s="2">
        <v>46019</v>
      </c>
      <c r="B184" s="3">
        <f>Data_Entry!P274</f>
        <v>10559.9999999999</v>
      </c>
      <c r="C184" s="4">
        <f>Data_Entry!V274</f>
        <v>3.62</v>
      </c>
      <c r="D184" s="5">
        <f t="shared" si="18"/>
        <v>0.182496889257569</v>
      </c>
      <c r="E184" s="6">
        <v>0</v>
      </c>
      <c r="F184" s="6">
        <v>0</v>
      </c>
      <c r="G184" s="7">
        <f t="shared" si="19"/>
        <v>0</v>
      </c>
      <c r="H184" s="7">
        <f t="shared" si="20"/>
        <v>0</v>
      </c>
      <c r="I184" s="8">
        <v>2411</v>
      </c>
      <c r="J184" s="9"/>
      <c r="K184" s="8">
        <f t="shared" si="21"/>
        <v>28932</v>
      </c>
      <c r="L184" s="7">
        <f t="shared" si="22"/>
        <v>0</v>
      </c>
      <c r="M184" s="10">
        <f t="shared" si="25"/>
        <v>1</v>
      </c>
      <c r="N184" s="11">
        <f t="shared" si="23"/>
        <v>0.182496889257569</v>
      </c>
      <c r="O184" s="8">
        <f t="shared" si="26"/>
        <v>10559.9999999999</v>
      </c>
      <c r="P184" s="12">
        <f t="shared" si="24"/>
        <v>0</v>
      </c>
    </row>
    <row r="185" spans="1:16">
      <c r="A185" s="2">
        <v>46020</v>
      </c>
      <c r="B185" s="3">
        <f>Data_Entry!P275</f>
        <v>10289.9999999999</v>
      </c>
      <c r="C185" s="4">
        <f>Data_Entry!V275</f>
        <v>3.6</v>
      </c>
      <c r="D185" s="5">
        <f t="shared" si="18"/>
        <v>0.177830775611777</v>
      </c>
      <c r="E185" s="6">
        <v>0</v>
      </c>
      <c r="F185" s="6">
        <v>0</v>
      </c>
      <c r="G185" s="7">
        <f t="shared" si="19"/>
        <v>0</v>
      </c>
      <c r="H185" s="7">
        <f t="shared" si="20"/>
        <v>0</v>
      </c>
      <c r="I185" s="8">
        <v>2411</v>
      </c>
      <c r="J185" s="9"/>
      <c r="K185" s="8">
        <f t="shared" si="21"/>
        <v>28932</v>
      </c>
      <c r="L185" s="7">
        <f t="shared" si="22"/>
        <v>0</v>
      </c>
      <c r="M185" s="10">
        <f t="shared" si="25"/>
        <v>1</v>
      </c>
      <c r="N185" s="11">
        <f t="shared" si="23"/>
        <v>0.177830775611777</v>
      </c>
      <c r="O185" s="8">
        <f t="shared" si="26"/>
        <v>10289.9999999999</v>
      </c>
      <c r="P185" s="12">
        <f t="shared" si="24"/>
        <v>0</v>
      </c>
    </row>
    <row r="186" spans="1:16">
      <c r="A186" s="2">
        <v>46021</v>
      </c>
      <c r="B186" s="3">
        <f>Data_Entry!P276</f>
        <v>10440.0000000001</v>
      </c>
      <c r="C186" s="4">
        <f>Data_Entry!V276</f>
        <v>3.5</v>
      </c>
      <c r="D186" s="5">
        <f t="shared" si="18"/>
        <v>0.180423060970553</v>
      </c>
      <c r="E186" s="6">
        <v>0</v>
      </c>
      <c r="F186" s="6">
        <v>0</v>
      </c>
      <c r="G186" s="7">
        <f t="shared" si="19"/>
        <v>0</v>
      </c>
      <c r="H186" s="7">
        <f t="shared" si="20"/>
        <v>0</v>
      </c>
      <c r="I186" s="8">
        <v>2411</v>
      </c>
      <c r="J186" s="9"/>
      <c r="K186" s="8">
        <f t="shared" si="21"/>
        <v>28932</v>
      </c>
      <c r="L186" s="7">
        <f t="shared" si="22"/>
        <v>0</v>
      </c>
      <c r="M186" s="10">
        <f t="shared" si="25"/>
        <v>1</v>
      </c>
      <c r="N186" s="11">
        <f t="shared" si="23"/>
        <v>0.180423060970553</v>
      </c>
      <c r="O186" s="8">
        <f t="shared" si="26"/>
        <v>10440.0000000001</v>
      </c>
      <c r="P186" s="12">
        <f t="shared" si="24"/>
        <v>0</v>
      </c>
    </row>
    <row r="187" spans="1:16">
      <c r="A187" s="2">
        <v>46022</v>
      </c>
      <c r="B187" s="3">
        <f>Data_Entry!P277</f>
        <v>7410.00000000008</v>
      </c>
      <c r="C187" s="4">
        <f>Data_Entry!V277</f>
        <v>3.1</v>
      </c>
      <c r="D187" s="5">
        <f t="shared" si="18"/>
        <v>0.128058896723353</v>
      </c>
      <c r="E187" s="6">
        <v>0</v>
      </c>
      <c r="F187" s="6">
        <v>0</v>
      </c>
      <c r="G187" s="7">
        <f t="shared" si="19"/>
        <v>0</v>
      </c>
      <c r="H187" s="7">
        <f t="shared" si="20"/>
        <v>0</v>
      </c>
      <c r="I187" s="8">
        <v>2411</v>
      </c>
      <c r="J187" s="9"/>
      <c r="K187" s="8">
        <f t="shared" si="21"/>
        <v>28932</v>
      </c>
      <c r="L187" s="7">
        <f t="shared" si="22"/>
        <v>0</v>
      </c>
      <c r="M187" s="10">
        <f t="shared" si="25"/>
        <v>1</v>
      </c>
      <c r="N187" s="11">
        <f t="shared" si="23"/>
        <v>0.128058896723353</v>
      </c>
      <c r="O187" s="8">
        <f t="shared" si="26"/>
        <v>7410.00000000008</v>
      </c>
      <c r="P187" s="12">
        <f t="shared" si="24"/>
        <v>0</v>
      </c>
    </row>
    <row r="188" spans="1:16">
      <c r="A188" s="2">
        <v>46023</v>
      </c>
      <c r="B188" s="3">
        <f>Data_Entry!P278</f>
        <v>11309.9999999999</v>
      </c>
      <c r="C188" s="4">
        <f>Data_Entry!V278</f>
        <v>3.58</v>
      </c>
      <c r="D188" s="5">
        <f t="shared" si="18"/>
        <v>0.19545831605143</v>
      </c>
      <c r="E188" s="6">
        <v>0</v>
      </c>
      <c r="F188" s="6">
        <v>0</v>
      </c>
      <c r="G188" s="7">
        <f t="shared" si="19"/>
        <v>0</v>
      </c>
      <c r="H188" s="7">
        <f t="shared" si="20"/>
        <v>0</v>
      </c>
      <c r="I188" s="8">
        <v>2411</v>
      </c>
      <c r="J188" s="9"/>
      <c r="K188" s="8">
        <f t="shared" si="21"/>
        <v>28932</v>
      </c>
      <c r="L188" s="7">
        <f t="shared" si="22"/>
        <v>0</v>
      </c>
      <c r="M188" s="10">
        <f t="shared" si="25"/>
        <v>1</v>
      </c>
      <c r="N188" s="11">
        <f t="shared" si="23"/>
        <v>0.19545831605143</v>
      </c>
      <c r="O188" s="8">
        <f t="shared" si="26"/>
        <v>11309.9999999999</v>
      </c>
      <c r="P188" s="12">
        <f t="shared" si="24"/>
        <v>0</v>
      </c>
    </row>
    <row r="189" spans="1:16">
      <c r="A189" s="2">
        <v>46024</v>
      </c>
      <c r="B189" s="3">
        <f>Data_Entry!P279</f>
        <v>11730.0000000002</v>
      </c>
      <c r="C189" s="4">
        <f>Data_Entry!V279</f>
        <v>3.9</v>
      </c>
      <c r="D189" s="5">
        <f t="shared" si="18"/>
        <v>0.202716715055998</v>
      </c>
      <c r="E189" s="6">
        <v>0</v>
      </c>
      <c r="F189" s="6">
        <v>0</v>
      </c>
      <c r="G189" s="7">
        <f t="shared" si="19"/>
        <v>0</v>
      </c>
      <c r="H189" s="7">
        <f t="shared" si="20"/>
        <v>0</v>
      </c>
      <c r="I189" s="8">
        <v>2411</v>
      </c>
      <c r="J189" s="9"/>
      <c r="K189" s="8">
        <f t="shared" si="21"/>
        <v>28932</v>
      </c>
      <c r="L189" s="7">
        <f t="shared" si="22"/>
        <v>0</v>
      </c>
      <c r="M189" s="10">
        <f t="shared" si="25"/>
        <v>1</v>
      </c>
      <c r="N189" s="11">
        <f t="shared" si="23"/>
        <v>0.202716715055998</v>
      </c>
      <c r="O189" s="8">
        <f t="shared" si="26"/>
        <v>11730.0000000002</v>
      </c>
      <c r="P189" s="12">
        <f t="shared" si="24"/>
        <v>0</v>
      </c>
    </row>
    <row r="190" spans="1:16">
      <c r="A190" s="2">
        <v>46025</v>
      </c>
      <c r="B190" s="3">
        <f>Data_Entry!P280</f>
        <v>7889.99999999999</v>
      </c>
      <c r="C190" s="4">
        <f>Data_Entry!V280</f>
        <v>2.91</v>
      </c>
      <c r="D190" s="5">
        <f t="shared" si="18"/>
        <v>0.136354209871422</v>
      </c>
      <c r="E190" s="6">
        <v>0</v>
      </c>
      <c r="F190" s="6">
        <v>0</v>
      </c>
      <c r="G190" s="7">
        <f t="shared" si="19"/>
        <v>0</v>
      </c>
      <c r="H190" s="7">
        <f t="shared" si="20"/>
        <v>0</v>
      </c>
      <c r="I190" s="8">
        <v>2411</v>
      </c>
      <c r="J190" s="9"/>
      <c r="K190" s="8">
        <f t="shared" si="21"/>
        <v>28932</v>
      </c>
      <c r="L190" s="7">
        <f t="shared" si="22"/>
        <v>0</v>
      </c>
      <c r="M190" s="10">
        <f t="shared" si="25"/>
        <v>1</v>
      </c>
      <c r="N190" s="11">
        <f t="shared" si="23"/>
        <v>0.136354209871422</v>
      </c>
      <c r="O190" s="8">
        <f t="shared" si="26"/>
        <v>7889.99999999999</v>
      </c>
      <c r="P190" s="12">
        <f t="shared" si="24"/>
        <v>0</v>
      </c>
    </row>
    <row r="191" spans="1:16">
      <c r="A191" s="2">
        <v>46026</v>
      </c>
      <c r="B191" s="3">
        <f>Data_Entry!P281</f>
        <v>12569.9999999998</v>
      </c>
      <c r="C191" s="4">
        <f>Data_Entry!V281</f>
        <v>4.15</v>
      </c>
      <c r="D191" s="5">
        <f t="shared" si="18"/>
        <v>0.217233513065115</v>
      </c>
      <c r="E191" s="6">
        <v>0</v>
      </c>
      <c r="F191" s="6">
        <v>0</v>
      </c>
      <c r="G191" s="7">
        <f t="shared" si="19"/>
        <v>0</v>
      </c>
      <c r="H191" s="7">
        <f t="shared" si="20"/>
        <v>0</v>
      </c>
      <c r="I191" s="8">
        <v>2411</v>
      </c>
      <c r="J191" s="9"/>
      <c r="K191" s="8">
        <f t="shared" si="21"/>
        <v>28932</v>
      </c>
      <c r="L191" s="7">
        <f t="shared" si="22"/>
        <v>0</v>
      </c>
      <c r="M191" s="10">
        <f t="shared" si="25"/>
        <v>1</v>
      </c>
      <c r="N191" s="11">
        <f t="shared" si="23"/>
        <v>0.217233513065115</v>
      </c>
      <c r="O191" s="8">
        <f t="shared" si="26"/>
        <v>12569.9999999998</v>
      </c>
      <c r="P191" s="12">
        <f t="shared" si="24"/>
        <v>0</v>
      </c>
    </row>
    <row r="192" spans="1:16">
      <c r="A192" s="2">
        <v>46027</v>
      </c>
      <c r="B192" s="3">
        <f>Data_Entry!P282</f>
        <v>12000</v>
      </c>
      <c r="C192" s="4">
        <f>Data_Entry!V282</f>
        <v>4</v>
      </c>
      <c r="D192" s="5">
        <f t="shared" si="18"/>
        <v>0.207382828701783</v>
      </c>
      <c r="E192" s="6">
        <v>0</v>
      </c>
      <c r="F192" s="6">
        <v>0</v>
      </c>
      <c r="G192" s="7">
        <f t="shared" si="19"/>
        <v>0</v>
      </c>
      <c r="H192" s="7">
        <f t="shared" si="20"/>
        <v>0</v>
      </c>
      <c r="I192" s="8">
        <v>2411</v>
      </c>
      <c r="J192" s="9"/>
      <c r="K192" s="8">
        <f t="shared" si="21"/>
        <v>28932</v>
      </c>
      <c r="L192" s="7">
        <f t="shared" si="22"/>
        <v>0</v>
      </c>
      <c r="M192" s="10">
        <f t="shared" si="25"/>
        <v>1</v>
      </c>
      <c r="N192" s="11">
        <f t="shared" si="23"/>
        <v>0.207382828701783</v>
      </c>
      <c r="O192" s="8">
        <f t="shared" si="26"/>
        <v>12000</v>
      </c>
      <c r="P192" s="12">
        <f t="shared" si="24"/>
        <v>0</v>
      </c>
    </row>
    <row r="193" spans="1:16">
      <c r="A193" s="2">
        <v>46028</v>
      </c>
      <c r="B193" s="3">
        <f>Data_Entry!P283</f>
        <v>11820.0000000002</v>
      </c>
      <c r="C193" s="4">
        <f>Data_Entry!V283</f>
        <v>4.02</v>
      </c>
      <c r="D193" s="5">
        <f t="shared" si="18"/>
        <v>0.20427208627126</v>
      </c>
      <c r="E193" s="6">
        <v>0</v>
      </c>
      <c r="F193" s="6">
        <v>0</v>
      </c>
      <c r="G193" s="7">
        <f t="shared" si="19"/>
        <v>0</v>
      </c>
      <c r="H193" s="7">
        <f t="shared" si="20"/>
        <v>0</v>
      </c>
      <c r="I193" s="8">
        <v>2411</v>
      </c>
      <c r="J193" s="9"/>
      <c r="K193" s="8">
        <f t="shared" si="21"/>
        <v>28932</v>
      </c>
      <c r="L193" s="7">
        <f t="shared" si="22"/>
        <v>0</v>
      </c>
      <c r="M193" s="10">
        <f t="shared" si="25"/>
        <v>1</v>
      </c>
      <c r="N193" s="11">
        <f t="shared" si="23"/>
        <v>0.20427208627126</v>
      </c>
      <c r="O193" s="8">
        <f t="shared" si="26"/>
        <v>11820.0000000002</v>
      </c>
      <c r="P193" s="12">
        <f t="shared" si="24"/>
        <v>0</v>
      </c>
    </row>
    <row r="194" spans="1:16">
      <c r="A194" s="2">
        <v>46029</v>
      </c>
      <c r="B194" s="3">
        <f>Data_Entry!P284</f>
        <v>11729.9999999999</v>
      </c>
      <c r="C194" s="4">
        <f>Data_Entry!V284</f>
        <v>4</v>
      </c>
      <c r="D194" s="5">
        <f t="shared" si="18"/>
        <v>0.202716715055992</v>
      </c>
      <c r="E194" s="6">
        <v>0</v>
      </c>
      <c r="F194" s="6">
        <v>0</v>
      </c>
      <c r="G194" s="7">
        <f t="shared" si="19"/>
        <v>0</v>
      </c>
      <c r="H194" s="7">
        <f t="shared" si="20"/>
        <v>0</v>
      </c>
      <c r="I194" s="8">
        <v>2411</v>
      </c>
      <c r="J194" s="9"/>
      <c r="K194" s="8">
        <f t="shared" si="21"/>
        <v>28932</v>
      </c>
      <c r="L194" s="7">
        <f t="shared" si="22"/>
        <v>0</v>
      </c>
      <c r="M194" s="10">
        <f t="shared" si="25"/>
        <v>1</v>
      </c>
      <c r="N194" s="11">
        <f t="shared" si="23"/>
        <v>0.202716715055992</v>
      </c>
      <c r="O194" s="8">
        <f t="shared" si="26"/>
        <v>11729.9999999999</v>
      </c>
      <c r="P194" s="12">
        <f t="shared" si="24"/>
        <v>0</v>
      </c>
    </row>
    <row r="195" spans="1:16">
      <c r="A195" s="2">
        <v>46030</v>
      </c>
      <c r="B195" s="3">
        <f>Data_Entry!P285</f>
        <v>10470</v>
      </c>
      <c r="C195" s="4">
        <f>Data_Entry!V285</f>
        <v>3.77</v>
      </c>
      <c r="D195" s="5">
        <f t="shared" si="18"/>
        <v>0.180941518042307</v>
      </c>
      <c r="E195" s="6">
        <v>0</v>
      </c>
      <c r="F195" s="6">
        <v>0</v>
      </c>
      <c r="G195" s="7">
        <f t="shared" si="19"/>
        <v>0</v>
      </c>
      <c r="H195" s="7">
        <f t="shared" si="20"/>
        <v>0</v>
      </c>
      <c r="I195" s="8">
        <v>2411</v>
      </c>
      <c r="J195" s="9"/>
      <c r="K195" s="8">
        <f t="shared" si="21"/>
        <v>28932</v>
      </c>
      <c r="L195" s="7">
        <f t="shared" si="22"/>
        <v>0</v>
      </c>
      <c r="M195" s="10">
        <f t="shared" si="25"/>
        <v>1</v>
      </c>
      <c r="N195" s="11">
        <f t="shared" si="23"/>
        <v>0.180941518042307</v>
      </c>
      <c r="O195" s="8">
        <f t="shared" si="26"/>
        <v>10470</v>
      </c>
      <c r="P195" s="12">
        <f t="shared" si="24"/>
        <v>0</v>
      </c>
    </row>
    <row r="196" spans="1:16">
      <c r="A196" s="2">
        <v>46031</v>
      </c>
      <c r="B196" s="3">
        <f>Data_Entry!P286</f>
        <v>10110</v>
      </c>
      <c r="C196" s="4">
        <f>Data_Entry!V286</f>
        <v>3.81</v>
      </c>
      <c r="D196" s="5">
        <f t="shared" ref="D196:D210" si="27">B196/(24*I196)</f>
        <v>0.174720033181253</v>
      </c>
      <c r="E196" s="6">
        <v>0</v>
      </c>
      <c r="F196" s="6">
        <v>0</v>
      </c>
      <c r="G196" s="7">
        <f t="shared" ref="G196:G210" si="28">(F196-E196)*24*60</f>
        <v>0</v>
      </c>
      <c r="H196" s="7">
        <f t="shared" ref="H196:H210" si="29">G196/60</f>
        <v>0</v>
      </c>
      <c r="I196" s="8">
        <v>2411</v>
      </c>
      <c r="J196" s="9"/>
      <c r="K196" s="8">
        <f t="shared" ref="K196:K210" si="30">I196*12</f>
        <v>28932</v>
      </c>
      <c r="L196" s="7">
        <f t="shared" ref="L196:L210" si="31">J196*H196</f>
        <v>0</v>
      </c>
      <c r="M196" s="10">
        <f t="shared" si="25"/>
        <v>1</v>
      </c>
      <c r="N196" s="11">
        <f t="shared" ref="N196:N210" si="32">D196/M196</f>
        <v>0.174720033181253</v>
      </c>
      <c r="O196" s="8">
        <f t="shared" si="26"/>
        <v>10110</v>
      </c>
      <c r="P196" s="12">
        <f t="shared" ref="P196:P210" si="33">O196-B196</f>
        <v>0</v>
      </c>
    </row>
    <row r="197" spans="1:16">
      <c r="A197" s="2">
        <v>46032</v>
      </c>
      <c r="B197" s="3">
        <f>Data_Entry!P287</f>
        <v>11940.0000000001</v>
      </c>
      <c r="C197" s="4">
        <f>Data_Entry!V287</f>
        <v>4.11</v>
      </c>
      <c r="D197" s="5">
        <f t="shared" si="27"/>
        <v>0.206345914558276</v>
      </c>
      <c r="E197" s="6">
        <v>0</v>
      </c>
      <c r="F197" s="6">
        <v>0</v>
      </c>
      <c r="G197" s="7">
        <f t="shared" si="28"/>
        <v>0</v>
      </c>
      <c r="H197" s="7">
        <f t="shared" si="29"/>
        <v>0</v>
      </c>
      <c r="I197" s="8">
        <v>2411</v>
      </c>
      <c r="J197" s="9"/>
      <c r="K197" s="8">
        <f t="shared" si="30"/>
        <v>28932</v>
      </c>
      <c r="L197" s="7">
        <f t="shared" si="31"/>
        <v>0</v>
      </c>
      <c r="M197" s="10">
        <f t="shared" ref="M197:M210" si="34">(K197-L197)/K197</f>
        <v>1</v>
      </c>
      <c r="N197" s="11">
        <f t="shared" si="32"/>
        <v>0.206345914558276</v>
      </c>
      <c r="O197" s="8">
        <f t="shared" ref="O197:O210" si="35">N197*I197*24</f>
        <v>11940.0000000001</v>
      </c>
      <c r="P197" s="12">
        <f t="shared" si="33"/>
        <v>0</v>
      </c>
    </row>
    <row r="198" spans="1:16">
      <c r="A198" s="2">
        <v>46033</v>
      </c>
      <c r="B198" s="3">
        <f>Data_Entry!P288</f>
        <v>12089.9999999999</v>
      </c>
      <c r="C198" s="4">
        <f>Data_Entry!V288</f>
        <v>4.08</v>
      </c>
      <c r="D198" s="5">
        <f t="shared" si="27"/>
        <v>0.208938199917045</v>
      </c>
      <c r="E198" s="6">
        <v>0</v>
      </c>
      <c r="F198" s="6">
        <v>0</v>
      </c>
      <c r="G198" s="7">
        <f t="shared" si="28"/>
        <v>0</v>
      </c>
      <c r="H198" s="7">
        <f t="shared" si="29"/>
        <v>0</v>
      </c>
      <c r="I198" s="8">
        <v>2411</v>
      </c>
      <c r="J198" s="9"/>
      <c r="K198" s="8">
        <f t="shared" si="30"/>
        <v>28932</v>
      </c>
      <c r="L198" s="7">
        <f t="shared" si="31"/>
        <v>0</v>
      </c>
      <c r="M198" s="10">
        <f t="shared" si="34"/>
        <v>1</v>
      </c>
      <c r="N198" s="11">
        <f t="shared" si="32"/>
        <v>0.208938199917045</v>
      </c>
      <c r="O198" s="8">
        <f t="shared" si="35"/>
        <v>12089.9999999999</v>
      </c>
      <c r="P198" s="12">
        <f t="shared" si="33"/>
        <v>0</v>
      </c>
    </row>
    <row r="199" spans="1:16">
      <c r="A199" s="2">
        <v>46034</v>
      </c>
      <c r="B199" s="3">
        <f>Data_Entry!P289</f>
        <v>11489.9999999998</v>
      </c>
      <c r="C199" s="4">
        <f>Data_Entry!V289</f>
        <v>3.96</v>
      </c>
      <c r="D199" s="5">
        <f t="shared" si="27"/>
        <v>0.198569058481954</v>
      </c>
      <c r="E199" s="6">
        <v>0</v>
      </c>
      <c r="F199" s="6">
        <v>0</v>
      </c>
      <c r="G199" s="7">
        <f t="shared" si="28"/>
        <v>0</v>
      </c>
      <c r="H199" s="7">
        <f t="shared" si="29"/>
        <v>0</v>
      </c>
      <c r="I199" s="8">
        <v>2411</v>
      </c>
      <c r="J199" s="9"/>
      <c r="K199" s="8">
        <f t="shared" si="30"/>
        <v>28932</v>
      </c>
      <c r="L199" s="7">
        <f t="shared" si="31"/>
        <v>0</v>
      </c>
      <c r="M199" s="10">
        <f t="shared" si="34"/>
        <v>1</v>
      </c>
      <c r="N199" s="11">
        <f t="shared" si="32"/>
        <v>0.198569058481954</v>
      </c>
      <c r="O199" s="8">
        <f t="shared" si="35"/>
        <v>11489.9999999998</v>
      </c>
      <c r="P199" s="12">
        <f t="shared" si="33"/>
        <v>0</v>
      </c>
    </row>
    <row r="200" spans="1:16">
      <c r="A200" s="2">
        <v>46035</v>
      </c>
      <c r="B200" s="3">
        <f>Data_Entry!P290</f>
        <v>11160.0000000001</v>
      </c>
      <c r="C200" s="4">
        <f>Data_Entry!V290</f>
        <v>3.88</v>
      </c>
      <c r="D200" s="5">
        <f t="shared" si="27"/>
        <v>0.19286603069266</v>
      </c>
      <c r="E200" s="6">
        <v>0</v>
      </c>
      <c r="F200" s="6">
        <v>0</v>
      </c>
      <c r="G200" s="7">
        <f t="shared" si="28"/>
        <v>0</v>
      </c>
      <c r="H200" s="7">
        <f t="shared" si="29"/>
        <v>0</v>
      </c>
      <c r="I200" s="8">
        <v>2411</v>
      </c>
      <c r="J200" s="9"/>
      <c r="K200" s="8">
        <f t="shared" si="30"/>
        <v>28932</v>
      </c>
      <c r="L200" s="7">
        <f t="shared" si="31"/>
        <v>0</v>
      </c>
      <c r="M200" s="10">
        <f t="shared" si="34"/>
        <v>1</v>
      </c>
      <c r="N200" s="11">
        <f t="shared" si="32"/>
        <v>0.19286603069266</v>
      </c>
      <c r="O200" s="8">
        <f t="shared" si="35"/>
        <v>11160.0000000001</v>
      </c>
      <c r="P200" s="12">
        <f t="shared" si="33"/>
        <v>0</v>
      </c>
    </row>
    <row r="201" spans="1:16">
      <c r="A201" s="2">
        <v>46036</v>
      </c>
      <c r="B201" s="3">
        <f>Data_Entry!P291</f>
        <v>10920</v>
      </c>
      <c r="C201" s="4">
        <f>Data_Entry!V291</f>
        <v>3.65</v>
      </c>
      <c r="D201" s="5">
        <f t="shared" si="27"/>
        <v>0.188718374118623</v>
      </c>
      <c r="E201" s="6">
        <v>0.649305555555556</v>
      </c>
      <c r="F201" s="6">
        <v>0.765277777777778</v>
      </c>
      <c r="G201" s="7">
        <f t="shared" si="28"/>
        <v>167</v>
      </c>
      <c r="H201" s="7">
        <f t="shared" si="29"/>
        <v>2.78333333333333</v>
      </c>
      <c r="I201" s="8">
        <v>2411</v>
      </c>
      <c r="J201" s="9">
        <v>2411</v>
      </c>
      <c r="K201" s="8">
        <f t="shared" si="30"/>
        <v>28932</v>
      </c>
      <c r="L201" s="7">
        <f t="shared" si="31"/>
        <v>6710.61666666665</v>
      </c>
      <c r="M201" s="10">
        <f t="shared" si="34"/>
        <v>0.768055555555556</v>
      </c>
      <c r="N201" s="11">
        <f t="shared" si="32"/>
        <v>0.245709275525151</v>
      </c>
      <c r="O201" s="8">
        <f t="shared" si="35"/>
        <v>14217.7215189873</v>
      </c>
      <c r="P201" s="12">
        <f t="shared" si="33"/>
        <v>3297.72151898733</v>
      </c>
    </row>
    <row r="202" spans="1:16">
      <c r="A202" s="2">
        <v>46037</v>
      </c>
      <c r="B202" s="3">
        <f>Data_Entry!P292</f>
        <v>13080</v>
      </c>
      <c r="C202" s="4">
        <f>Data_Entry!V292</f>
        <v>4.38</v>
      </c>
      <c r="D202" s="5">
        <f t="shared" si="27"/>
        <v>0.226047283284944</v>
      </c>
      <c r="E202" s="6">
        <v>0</v>
      </c>
      <c r="F202" s="6">
        <v>0</v>
      </c>
      <c r="G202" s="7">
        <f t="shared" si="28"/>
        <v>0</v>
      </c>
      <c r="H202" s="7">
        <f t="shared" si="29"/>
        <v>0</v>
      </c>
      <c r="I202" s="8">
        <v>2411</v>
      </c>
      <c r="J202" s="9"/>
      <c r="K202" s="8">
        <f t="shared" si="30"/>
        <v>28932</v>
      </c>
      <c r="L202" s="7">
        <f t="shared" si="31"/>
        <v>0</v>
      </c>
      <c r="M202" s="10">
        <f t="shared" si="34"/>
        <v>1</v>
      </c>
      <c r="N202" s="11">
        <f t="shared" si="32"/>
        <v>0.226047283284944</v>
      </c>
      <c r="O202" s="8">
        <f t="shared" si="35"/>
        <v>13080</v>
      </c>
      <c r="P202" s="12">
        <f t="shared" si="33"/>
        <v>0</v>
      </c>
    </row>
    <row r="203" spans="1:16">
      <c r="A203" s="2">
        <v>46038</v>
      </c>
      <c r="B203" s="3">
        <f>Data_Entry!P293</f>
        <v>12270.0000000001</v>
      </c>
      <c r="C203" s="4">
        <f>Data_Entry!V293</f>
        <v>4.28</v>
      </c>
      <c r="D203" s="5">
        <f t="shared" si="27"/>
        <v>0.212048942347575</v>
      </c>
      <c r="E203" s="6">
        <v>0</v>
      </c>
      <c r="F203" s="6">
        <v>0</v>
      </c>
      <c r="G203" s="7">
        <f t="shared" si="28"/>
        <v>0</v>
      </c>
      <c r="H203" s="7">
        <f t="shared" si="29"/>
        <v>0</v>
      </c>
      <c r="I203" s="8">
        <v>2411</v>
      </c>
      <c r="J203" s="9"/>
      <c r="K203" s="8">
        <f t="shared" si="30"/>
        <v>28932</v>
      </c>
      <c r="L203" s="7">
        <f t="shared" si="31"/>
        <v>0</v>
      </c>
      <c r="M203" s="10">
        <f t="shared" si="34"/>
        <v>1</v>
      </c>
      <c r="N203" s="11">
        <f t="shared" si="32"/>
        <v>0.212048942347575</v>
      </c>
      <c r="O203" s="8">
        <f t="shared" si="35"/>
        <v>12270.0000000001</v>
      </c>
      <c r="P203" s="12">
        <f t="shared" si="33"/>
        <v>0</v>
      </c>
    </row>
    <row r="204" spans="1:16">
      <c r="A204" s="2">
        <v>46039</v>
      </c>
      <c r="B204" s="3">
        <f>Data_Entry!P294</f>
        <v>12300.0000000001</v>
      </c>
      <c r="C204" s="4">
        <f>Data_Entry!V294</f>
        <v>4.08</v>
      </c>
      <c r="D204" s="5">
        <f t="shared" si="27"/>
        <v>0.21256739941933</v>
      </c>
      <c r="E204" s="6">
        <v>0</v>
      </c>
      <c r="F204" s="6">
        <v>0</v>
      </c>
      <c r="G204" s="7">
        <f t="shared" si="28"/>
        <v>0</v>
      </c>
      <c r="H204" s="7">
        <f t="shared" si="29"/>
        <v>0</v>
      </c>
      <c r="I204" s="8">
        <v>2411</v>
      </c>
      <c r="J204" s="9"/>
      <c r="K204" s="8">
        <f t="shared" si="30"/>
        <v>28932</v>
      </c>
      <c r="L204" s="7">
        <f t="shared" si="31"/>
        <v>0</v>
      </c>
      <c r="M204" s="10">
        <f t="shared" si="34"/>
        <v>1</v>
      </c>
      <c r="N204" s="11">
        <f t="shared" si="32"/>
        <v>0.21256739941933</v>
      </c>
      <c r="O204" s="8">
        <f t="shared" si="35"/>
        <v>12300.0000000001</v>
      </c>
      <c r="P204" s="12">
        <f t="shared" si="33"/>
        <v>0</v>
      </c>
    </row>
    <row r="205" spans="1:16">
      <c r="A205" s="2">
        <v>46040</v>
      </c>
      <c r="B205" s="3">
        <f>Data_Entry!P295</f>
        <v>12599.9999999998</v>
      </c>
      <c r="C205" s="4">
        <f>Data_Entry!V295</f>
        <v>3.94</v>
      </c>
      <c r="D205" s="5">
        <f t="shared" si="27"/>
        <v>0.217751970136869</v>
      </c>
      <c r="E205" s="6">
        <v>0</v>
      </c>
      <c r="F205" s="6">
        <v>0</v>
      </c>
      <c r="G205" s="7">
        <f t="shared" si="28"/>
        <v>0</v>
      </c>
      <c r="H205" s="7">
        <f t="shared" si="29"/>
        <v>0</v>
      </c>
      <c r="I205" s="8">
        <v>2411</v>
      </c>
      <c r="J205" s="9"/>
      <c r="K205" s="8">
        <f t="shared" si="30"/>
        <v>28932</v>
      </c>
      <c r="L205" s="7">
        <f t="shared" si="31"/>
        <v>0</v>
      </c>
      <c r="M205" s="10">
        <f t="shared" si="34"/>
        <v>1</v>
      </c>
      <c r="N205" s="11">
        <f t="shared" si="32"/>
        <v>0.217751970136869</v>
      </c>
      <c r="O205" s="8">
        <f t="shared" si="35"/>
        <v>12599.9999999998</v>
      </c>
      <c r="P205" s="12">
        <f t="shared" si="33"/>
        <v>0</v>
      </c>
    </row>
    <row r="206" spans="1:16">
      <c r="A206" s="2">
        <v>46041</v>
      </c>
      <c r="B206" s="3">
        <f>Data_Entry!P296</f>
        <v>12810.0000000003</v>
      </c>
      <c r="C206" s="4">
        <f>Data_Entry!V296</f>
        <v>4.16</v>
      </c>
      <c r="D206" s="5">
        <f t="shared" si="27"/>
        <v>0.221381169639159</v>
      </c>
      <c r="E206" s="6">
        <v>0.551388888888889</v>
      </c>
      <c r="F206" s="6">
        <v>0.560416666666667</v>
      </c>
      <c r="G206" s="7">
        <f t="shared" si="28"/>
        <v>13.0000000000003</v>
      </c>
      <c r="H206" s="7">
        <f t="shared" si="29"/>
        <v>0.216666666666671</v>
      </c>
      <c r="I206" s="8">
        <v>2411</v>
      </c>
      <c r="J206" s="9">
        <v>2411</v>
      </c>
      <c r="K206" s="8">
        <f t="shared" si="30"/>
        <v>28932</v>
      </c>
      <c r="L206" s="7">
        <f t="shared" si="31"/>
        <v>522.383333333344</v>
      </c>
      <c r="M206" s="10">
        <f t="shared" si="34"/>
        <v>0.981944444444444</v>
      </c>
      <c r="N206" s="11">
        <f t="shared" si="32"/>
        <v>0.225451827638182</v>
      </c>
      <c r="O206" s="8">
        <f t="shared" si="35"/>
        <v>13045.5445544558</v>
      </c>
      <c r="P206" s="12">
        <f t="shared" si="33"/>
        <v>235.544554455459</v>
      </c>
    </row>
    <row r="207" spans="1:16">
      <c r="A207" s="2">
        <v>46042</v>
      </c>
      <c r="B207" s="3">
        <f>Data_Entry!P297</f>
        <v>10409.9999999997</v>
      </c>
      <c r="C207" s="4">
        <f>Data_Entry!V297</f>
        <v>3.75</v>
      </c>
      <c r="D207" s="5">
        <f t="shared" si="27"/>
        <v>0.179904603898792</v>
      </c>
      <c r="E207" s="6">
        <v>0.517361111111111</v>
      </c>
      <c r="F207" s="6">
        <v>0.559027777777778</v>
      </c>
      <c r="G207" s="7">
        <f t="shared" si="28"/>
        <v>60.0000000000004</v>
      </c>
      <c r="H207" s="7">
        <f t="shared" si="29"/>
        <v>1.00000000000001</v>
      </c>
      <c r="I207" s="8">
        <v>2411</v>
      </c>
      <c r="J207" s="9">
        <v>2411</v>
      </c>
      <c r="K207" s="8">
        <f t="shared" si="30"/>
        <v>28932</v>
      </c>
      <c r="L207" s="7">
        <f t="shared" si="31"/>
        <v>2411.00000000002</v>
      </c>
      <c r="M207" s="10">
        <f t="shared" si="34"/>
        <v>0.916666666666666</v>
      </c>
      <c r="N207" s="11">
        <f t="shared" si="32"/>
        <v>0.196259567889591</v>
      </c>
      <c r="O207" s="8">
        <f t="shared" si="35"/>
        <v>11356.3636363633</v>
      </c>
      <c r="P207" s="12">
        <f t="shared" si="33"/>
        <v>946.363636363614</v>
      </c>
    </row>
    <row r="208" spans="1:16">
      <c r="A208" s="2">
        <v>46043</v>
      </c>
      <c r="B208" s="3">
        <f>Data_Entry!P298</f>
        <v>11370.0000000002</v>
      </c>
      <c r="C208" s="4">
        <f>Data_Entry!V298</f>
        <v>3.85</v>
      </c>
      <c r="D208" s="5">
        <f t="shared" si="27"/>
        <v>0.196495230194943</v>
      </c>
      <c r="E208" s="6">
        <v>0</v>
      </c>
      <c r="F208" s="6">
        <v>0</v>
      </c>
      <c r="G208" s="7">
        <f t="shared" si="28"/>
        <v>0</v>
      </c>
      <c r="H208" s="7">
        <f t="shared" si="29"/>
        <v>0</v>
      </c>
      <c r="I208" s="8">
        <v>2411</v>
      </c>
      <c r="J208" s="9"/>
      <c r="K208" s="8">
        <f t="shared" si="30"/>
        <v>28932</v>
      </c>
      <c r="L208" s="7">
        <f t="shared" si="31"/>
        <v>0</v>
      </c>
      <c r="M208" s="10">
        <f t="shared" si="34"/>
        <v>1</v>
      </c>
      <c r="N208" s="11">
        <f t="shared" si="32"/>
        <v>0.196495230194943</v>
      </c>
      <c r="O208" s="8">
        <f t="shared" si="35"/>
        <v>11370.0000000002</v>
      </c>
      <c r="P208" s="12">
        <f t="shared" si="33"/>
        <v>0</v>
      </c>
    </row>
    <row r="209" spans="1:16">
      <c r="A209" s="2">
        <v>46044</v>
      </c>
      <c r="B209" s="3">
        <f>Data_Entry!P299</f>
        <v>10319.9999999998</v>
      </c>
      <c r="C209" s="4">
        <f>Data_Entry!V299</f>
        <v>3.81</v>
      </c>
      <c r="D209" s="5">
        <f t="shared" si="27"/>
        <v>0.17834923268353</v>
      </c>
      <c r="E209" s="6">
        <v>0</v>
      </c>
      <c r="F209" s="6">
        <v>0</v>
      </c>
      <c r="G209" s="7">
        <f t="shared" si="28"/>
        <v>0</v>
      </c>
      <c r="H209" s="7">
        <f t="shared" si="29"/>
        <v>0</v>
      </c>
      <c r="I209" s="8">
        <v>2411</v>
      </c>
      <c r="J209" s="9"/>
      <c r="K209" s="8">
        <f t="shared" si="30"/>
        <v>28932</v>
      </c>
      <c r="L209" s="7">
        <f t="shared" si="31"/>
        <v>0</v>
      </c>
      <c r="M209" s="10">
        <f t="shared" si="34"/>
        <v>1</v>
      </c>
      <c r="N209" s="11">
        <f t="shared" si="32"/>
        <v>0.17834923268353</v>
      </c>
      <c r="O209" s="8">
        <f t="shared" si="35"/>
        <v>10319.9999999998</v>
      </c>
      <c r="P209" s="12">
        <f t="shared" si="33"/>
        <v>0</v>
      </c>
    </row>
    <row r="210" spans="1:16">
      <c r="A210" s="2">
        <v>46045</v>
      </c>
      <c r="B210" s="3">
        <f>Data_Entry!P300</f>
        <v>9960.00000000015</v>
      </c>
      <c r="C210" s="4">
        <f>Data_Entry!V300</f>
        <v>3.62</v>
      </c>
      <c r="D210" s="5">
        <f t="shared" si="27"/>
        <v>0.172127747822483</v>
      </c>
      <c r="E210" s="6">
        <v>0</v>
      </c>
      <c r="F210" s="6">
        <v>0</v>
      </c>
      <c r="G210" s="7">
        <f t="shared" si="28"/>
        <v>0</v>
      </c>
      <c r="H210" s="7">
        <f t="shared" si="29"/>
        <v>0</v>
      </c>
      <c r="I210" s="8">
        <v>2411</v>
      </c>
      <c r="J210" s="9"/>
      <c r="K210" s="8">
        <f t="shared" si="30"/>
        <v>28932</v>
      </c>
      <c r="L210" s="7">
        <f t="shared" si="31"/>
        <v>0</v>
      </c>
      <c r="M210" s="10">
        <f t="shared" si="34"/>
        <v>1</v>
      </c>
      <c r="N210" s="11">
        <f t="shared" si="32"/>
        <v>0.172127747822483</v>
      </c>
      <c r="O210" s="8">
        <f t="shared" si="35"/>
        <v>9960.00000000015</v>
      </c>
      <c r="P210" s="12">
        <f t="shared" si="33"/>
        <v>0</v>
      </c>
    </row>
    <row r="211" spans="1:16">
      <c r="A211" s="2">
        <v>46046</v>
      </c>
      <c r="B211" s="3">
        <f>Data_Entry!P301</f>
        <v>12209.9999999998</v>
      </c>
      <c r="C211" s="4">
        <f>Data_Entry!V301</f>
        <v>4.03</v>
      </c>
      <c r="D211" s="5">
        <f t="shared" ref="D211:D242" si="36">B211/(24*I211)</f>
        <v>0.211012028204061</v>
      </c>
      <c r="E211" s="6">
        <v>0</v>
      </c>
      <c r="F211" s="6">
        <v>0</v>
      </c>
      <c r="G211" s="7">
        <f t="shared" ref="G211:G242" si="37">(F211-E211)*24*60</f>
        <v>0</v>
      </c>
      <c r="H211" s="7">
        <f t="shared" ref="H211:H242" si="38">G211/60</f>
        <v>0</v>
      </c>
      <c r="I211" s="8">
        <v>2411</v>
      </c>
      <c r="J211" s="9"/>
      <c r="K211" s="8">
        <f t="shared" ref="K211:K242" si="39">I211*12</f>
        <v>28932</v>
      </c>
      <c r="L211" s="7">
        <f t="shared" ref="L211:L242" si="40">J211*H211</f>
        <v>0</v>
      </c>
      <c r="M211" s="10">
        <f t="shared" ref="M211:M242" si="41">(K211-L211)/K211</f>
        <v>1</v>
      </c>
      <c r="N211" s="11">
        <f t="shared" ref="N211:N242" si="42">D211/M211</f>
        <v>0.211012028204061</v>
      </c>
      <c r="O211" s="8">
        <f t="shared" ref="O211:O242" si="43">N211*I211*24</f>
        <v>12209.9999999998</v>
      </c>
      <c r="P211" s="12">
        <f t="shared" ref="P211:P242" si="44">O211-B211</f>
        <v>0</v>
      </c>
    </row>
    <row r="212" spans="1:16">
      <c r="A212" s="2">
        <v>46047</v>
      </c>
      <c r="B212" s="3">
        <f>Data_Entry!P302</f>
        <v>11790.0000000002</v>
      </c>
      <c r="C212" s="4">
        <f>Data_Entry!V302</f>
        <v>3.63</v>
      </c>
      <c r="D212" s="5">
        <f t="shared" si="36"/>
        <v>0.203753629199506</v>
      </c>
      <c r="E212" s="6">
        <v>0</v>
      </c>
      <c r="F212" s="6">
        <v>0</v>
      </c>
      <c r="G212" s="7">
        <f t="shared" si="37"/>
        <v>0</v>
      </c>
      <c r="H212" s="7">
        <f t="shared" si="38"/>
        <v>0</v>
      </c>
      <c r="I212" s="8">
        <v>2411</v>
      </c>
      <c r="J212" s="9"/>
      <c r="K212" s="8">
        <f t="shared" si="39"/>
        <v>28932</v>
      </c>
      <c r="L212" s="7">
        <f t="shared" si="40"/>
        <v>0</v>
      </c>
      <c r="M212" s="10">
        <f t="shared" si="41"/>
        <v>1</v>
      </c>
      <c r="N212" s="11">
        <f t="shared" si="42"/>
        <v>0.203753629199506</v>
      </c>
      <c r="O212" s="8">
        <f t="shared" si="43"/>
        <v>11790.0000000002</v>
      </c>
      <c r="P212" s="12">
        <f t="shared" si="44"/>
        <v>0</v>
      </c>
    </row>
    <row r="213" spans="1:16">
      <c r="A213" s="2">
        <v>46048</v>
      </c>
      <c r="B213" s="3">
        <f>Data_Entry!P303</f>
        <v>11640</v>
      </c>
      <c r="C213" s="4">
        <f>Data_Entry!V303</f>
        <v>3.89</v>
      </c>
      <c r="D213" s="5">
        <f t="shared" si="36"/>
        <v>0.20116134384073</v>
      </c>
      <c r="E213" s="6">
        <v>0</v>
      </c>
      <c r="F213" s="6">
        <v>0</v>
      </c>
      <c r="G213" s="7">
        <f t="shared" si="37"/>
        <v>0</v>
      </c>
      <c r="H213" s="7">
        <f t="shared" si="38"/>
        <v>0</v>
      </c>
      <c r="I213" s="8">
        <v>2411</v>
      </c>
      <c r="J213" s="9"/>
      <c r="K213" s="8">
        <f t="shared" si="39"/>
        <v>28932</v>
      </c>
      <c r="L213" s="7">
        <f t="shared" si="40"/>
        <v>0</v>
      </c>
      <c r="M213" s="10">
        <f t="shared" si="41"/>
        <v>1</v>
      </c>
      <c r="N213" s="11">
        <f t="shared" si="42"/>
        <v>0.20116134384073</v>
      </c>
      <c r="O213" s="8">
        <f t="shared" si="43"/>
        <v>11640</v>
      </c>
      <c r="P213" s="12">
        <f t="shared" si="44"/>
        <v>0</v>
      </c>
    </row>
    <row r="214" spans="1:16">
      <c r="A214" s="2">
        <v>46049</v>
      </c>
      <c r="B214" s="3">
        <f>Data_Entry!P304</f>
        <v>12659.9999999997</v>
      </c>
      <c r="C214" s="4">
        <f>Data_Entry!V304</f>
        <v>5.95</v>
      </c>
      <c r="D214" s="5">
        <f t="shared" si="36"/>
        <v>0.218788884280376</v>
      </c>
      <c r="E214" s="6">
        <v>0</v>
      </c>
      <c r="F214" s="6">
        <v>0</v>
      </c>
      <c r="G214" s="7">
        <f t="shared" si="37"/>
        <v>0</v>
      </c>
      <c r="H214" s="7">
        <f t="shared" si="38"/>
        <v>0</v>
      </c>
      <c r="I214" s="8">
        <v>2411</v>
      </c>
      <c r="J214" s="9"/>
      <c r="K214" s="8">
        <f t="shared" si="39"/>
        <v>28932</v>
      </c>
      <c r="L214" s="7">
        <f t="shared" si="40"/>
        <v>0</v>
      </c>
      <c r="M214" s="10">
        <f t="shared" si="41"/>
        <v>1</v>
      </c>
      <c r="N214" s="11">
        <f t="shared" si="42"/>
        <v>0.218788884280376</v>
      </c>
      <c r="O214" s="8">
        <f t="shared" si="43"/>
        <v>12659.9999999997</v>
      </c>
      <c r="P214" s="12">
        <f t="shared" si="44"/>
        <v>0</v>
      </c>
    </row>
    <row r="215" spans="1:16">
      <c r="A215" s="2">
        <v>46050</v>
      </c>
      <c r="B215" s="3">
        <f>Data_Entry!P305</f>
        <v>13559.9999999999</v>
      </c>
      <c r="C215" s="4">
        <f>Data_Entry!V305</f>
        <v>4.46</v>
      </c>
      <c r="D215" s="5">
        <f t="shared" si="36"/>
        <v>0.234342596433014</v>
      </c>
      <c r="E215" s="6">
        <v>0</v>
      </c>
      <c r="F215" s="6">
        <v>0</v>
      </c>
      <c r="G215" s="7">
        <f t="shared" si="37"/>
        <v>0</v>
      </c>
      <c r="H215" s="7">
        <f t="shared" si="38"/>
        <v>0</v>
      </c>
      <c r="I215" s="8">
        <v>2411</v>
      </c>
      <c r="J215" s="9"/>
      <c r="K215" s="8">
        <f t="shared" si="39"/>
        <v>28932</v>
      </c>
      <c r="L215" s="7">
        <f t="shared" si="40"/>
        <v>0</v>
      </c>
      <c r="M215" s="10">
        <f t="shared" si="41"/>
        <v>1</v>
      </c>
      <c r="N215" s="11">
        <f t="shared" si="42"/>
        <v>0.234342596433014</v>
      </c>
      <c r="O215" s="8">
        <f t="shared" si="43"/>
        <v>13559.9999999999</v>
      </c>
      <c r="P215" s="12">
        <f t="shared" si="44"/>
        <v>0</v>
      </c>
    </row>
    <row r="216" spans="1:16">
      <c r="A216" s="2">
        <v>46051</v>
      </c>
      <c r="B216" s="3">
        <f>Data_Entry!P306</f>
        <v>12450.0000000003</v>
      </c>
      <c r="C216" s="4">
        <f>Data_Entry!V306</f>
        <v>4.28</v>
      </c>
      <c r="D216" s="5">
        <f t="shared" si="36"/>
        <v>0.215159684778106</v>
      </c>
      <c r="E216" s="6">
        <v>0</v>
      </c>
      <c r="F216" s="6">
        <v>0</v>
      </c>
      <c r="G216" s="7">
        <f t="shared" si="37"/>
        <v>0</v>
      </c>
      <c r="H216" s="7">
        <f t="shared" si="38"/>
        <v>0</v>
      </c>
      <c r="I216" s="8">
        <v>2411</v>
      </c>
      <c r="J216" s="9"/>
      <c r="K216" s="8">
        <f t="shared" si="39"/>
        <v>28932</v>
      </c>
      <c r="L216" s="7">
        <f t="shared" si="40"/>
        <v>0</v>
      </c>
      <c r="M216" s="10">
        <f t="shared" si="41"/>
        <v>1</v>
      </c>
      <c r="N216" s="11">
        <f t="shared" si="42"/>
        <v>0.215159684778106</v>
      </c>
      <c r="O216" s="8">
        <f t="shared" si="43"/>
        <v>12450.0000000003</v>
      </c>
      <c r="P216" s="12">
        <f t="shared" si="44"/>
        <v>0</v>
      </c>
    </row>
    <row r="217" spans="1:16">
      <c r="A217" s="2">
        <v>46052</v>
      </c>
      <c r="B217" s="3">
        <f>Data_Entry!P307</f>
        <v>10350.0000000001</v>
      </c>
      <c r="C217" s="4">
        <f>Data_Entry!V307</f>
        <v>3.58</v>
      </c>
      <c r="D217" s="5">
        <f t="shared" si="36"/>
        <v>0.17886768975529</v>
      </c>
      <c r="E217" s="6">
        <v>0</v>
      </c>
      <c r="F217" s="6">
        <v>0</v>
      </c>
      <c r="G217" s="7">
        <f t="shared" si="37"/>
        <v>0</v>
      </c>
      <c r="H217" s="7">
        <f t="shared" si="38"/>
        <v>0</v>
      </c>
      <c r="I217" s="8">
        <v>2411</v>
      </c>
      <c r="J217" s="9"/>
      <c r="K217" s="8">
        <f t="shared" si="39"/>
        <v>28932</v>
      </c>
      <c r="L217" s="7">
        <f t="shared" si="40"/>
        <v>0</v>
      </c>
      <c r="M217" s="10">
        <f t="shared" si="41"/>
        <v>1</v>
      </c>
      <c r="N217" s="11">
        <f t="shared" si="42"/>
        <v>0.17886768975529</v>
      </c>
      <c r="O217" s="8">
        <f t="shared" si="43"/>
        <v>10350.0000000001</v>
      </c>
      <c r="P217" s="12">
        <f t="shared" si="44"/>
        <v>0</v>
      </c>
    </row>
    <row r="218" spans="1:16">
      <c r="A218" s="2">
        <v>46053</v>
      </c>
      <c r="B218" s="3">
        <f>Data_Entry!P308</f>
        <v>8100.00000000014</v>
      </c>
      <c r="C218" s="4">
        <f>Data_Entry!V308</f>
        <v>2.95</v>
      </c>
      <c r="D218" s="5">
        <f t="shared" si="36"/>
        <v>0.139983409373706</v>
      </c>
      <c r="E218" s="6">
        <v>0</v>
      </c>
      <c r="F218" s="6">
        <v>0</v>
      </c>
      <c r="G218" s="7">
        <f t="shared" si="37"/>
        <v>0</v>
      </c>
      <c r="H218" s="7">
        <f t="shared" si="38"/>
        <v>0</v>
      </c>
      <c r="I218" s="8">
        <v>2411</v>
      </c>
      <c r="J218" s="9"/>
      <c r="K218" s="8">
        <f t="shared" si="39"/>
        <v>28932</v>
      </c>
      <c r="L218" s="7">
        <f t="shared" si="40"/>
        <v>0</v>
      </c>
      <c r="M218" s="10">
        <f t="shared" si="41"/>
        <v>1</v>
      </c>
      <c r="N218" s="11">
        <f t="shared" si="42"/>
        <v>0.139983409373706</v>
      </c>
      <c r="O218" s="8">
        <f t="shared" si="43"/>
        <v>8100.00000000014</v>
      </c>
      <c r="P218" s="12">
        <f t="shared" si="44"/>
        <v>0</v>
      </c>
    </row>
    <row r="219" spans="1:16">
      <c r="A219" s="2">
        <v>46054</v>
      </c>
      <c r="B219" s="3">
        <f>Data_Entry!P309</f>
        <v>9719.99999999935</v>
      </c>
      <c r="C219" s="4">
        <f>Data_Entry!V309</f>
        <v>3.54</v>
      </c>
      <c r="D219" s="5">
        <f t="shared" si="36"/>
        <v>0.167980091248433</v>
      </c>
      <c r="E219" s="6">
        <v>0</v>
      </c>
      <c r="F219" s="6">
        <v>0</v>
      </c>
      <c r="G219" s="7">
        <f t="shared" si="37"/>
        <v>0</v>
      </c>
      <c r="H219" s="7">
        <f t="shared" si="38"/>
        <v>0</v>
      </c>
      <c r="I219" s="8">
        <v>2411</v>
      </c>
      <c r="J219" s="9"/>
      <c r="K219" s="8">
        <f t="shared" si="39"/>
        <v>28932</v>
      </c>
      <c r="L219" s="7">
        <f t="shared" si="40"/>
        <v>0</v>
      </c>
      <c r="M219" s="10">
        <f t="shared" si="41"/>
        <v>1</v>
      </c>
      <c r="N219" s="11">
        <f t="shared" si="42"/>
        <v>0.167980091248433</v>
      </c>
      <c r="O219" s="8">
        <f t="shared" si="43"/>
        <v>9719.99999999935</v>
      </c>
      <c r="P219" s="12">
        <f t="shared" si="44"/>
        <v>0</v>
      </c>
    </row>
    <row r="220" spans="1:16">
      <c r="A220" s="2">
        <v>46055</v>
      </c>
      <c r="B220" s="3">
        <f>Data_Entry!P310</f>
        <v>9720.00000000003</v>
      </c>
      <c r="C220" s="4">
        <f>Data_Entry!V310</f>
        <v>3.51</v>
      </c>
      <c r="D220" s="5">
        <f t="shared" si="36"/>
        <v>0.167980091248445</v>
      </c>
      <c r="E220" s="6">
        <v>0</v>
      </c>
      <c r="F220" s="6">
        <v>0</v>
      </c>
      <c r="G220" s="7">
        <f t="shared" si="37"/>
        <v>0</v>
      </c>
      <c r="H220" s="7">
        <f t="shared" si="38"/>
        <v>0</v>
      </c>
      <c r="I220" s="8">
        <v>2411</v>
      </c>
      <c r="J220" s="9"/>
      <c r="K220" s="8">
        <f t="shared" si="39"/>
        <v>28932</v>
      </c>
      <c r="L220" s="7">
        <f t="shared" si="40"/>
        <v>0</v>
      </c>
      <c r="M220" s="10">
        <f t="shared" si="41"/>
        <v>1</v>
      </c>
      <c r="N220" s="11">
        <f t="shared" si="42"/>
        <v>0.167980091248445</v>
      </c>
      <c r="O220" s="8">
        <f t="shared" si="43"/>
        <v>9720.00000000003</v>
      </c>
      <c r="P220" s="12">
        <f t="shared" si="44"/>
        <v>0</v>
      </c>
    </row>
    <row r="221" spans="1:16">
      <c r="A221" s="2">
        <v>46056</v>
      </c>
      <c r="B221" s="3">
        <f>Data_Entry!P311</f>
        <v>10590.0000000006</v>
      </c>
      <c r="C221" s="4">
        <f>Data_Entry!V311</f>
        <v>3.67</v>
      </c>
      <c r="D221" s="5">
        <f t="shared" si="36"/>
        <v>0.183015346329334</v>
      </c>
      <c r="E221" s="6">
        <v>0</v>
      </c>
      <c r="F221" s="6">
        <v>0</v>
      </c>
      <c r="G221" s="7">
        <f t="shared" si="37"/>
        <v>0</v>
      </c>
      <c r="H221" s="7">
        <f t="shared" si="38"/>
        <v>0</v>
      </c>
      <c r="I221" s="8">
        <v>2411</v>
      </c>
      <c r="J221" s="9"/>
      <c r="K221" s="8">
        <f t="shared" si="39"/>
        <v>28932</v>
      </c>
      <c r="L221" s="7">
        <f t="shared" si="40"/>
        <v>0</v>
      </c>
      <c r="M221" s="10">
        <f t="shared" si="41"/>
        <v>1</v>
      </c>
      <c r="N221" s="11">
        <f t="shared" si="42"/>
        <v>0.183015346329334</v>
      </c>
      <c r="O221" s="8">
        <f t="shared" si="43"/>
        <v>10590.0000000006</v>
      </c>
      <c r="P221" s="12">
        <f t="shared" si="44"/>
        <v>0</v>
      </c>
    </row>
    <row r="222" spans="1:16">
      <c r="A222" s="2">
        <v>46057</v>
      </c>
      <c r="B222" s="3">
        <f>Data_Entry!P312</f>
        <v>10679.9999999998</v>
      </c>
      <c r="C222" s="4">
        <f>Data_Entry!V312</f>
        <v>3.73</v>
      </c>
      <c r="D222" s="5">
        <f t="shared" si="36"/>
        <v>0.184570717544584</v>
      </c>
      <c r="E222" s="6">
        <v>0</v>
      </c>
      <c r="F222" s="6">
        <v>0</v>
      </c>
      <c r="G222" s="7">
        <f t="shared" si="37"/>
        <v>0</v>
      </c>
      <c r="H222" s="7">
        <f t="shared" si="38"/>
        <v>0</v>
      </c>
      <c r="I222" s="8">
        <v>2411</v>
      </c>
      <c r="J222" s="9"/>
      <c r="K222" s="8">
        <f t="shared" si="39"/>
        <v>28932</v>
      </c>
      <c r="L222" s="7">
        <f t="shared" si="40"/>
        <v>0</v>
      </c>
      <c r="M222" s="10">
        <f t="shared" si="41"/>
        <v>1</v>
      </c>
      <c r="N222" s="11">
        <f t="shared" si="42"/>
        <v>0.184570717544584</v>
      </c>
      <c r="O222" s="8">
        <f t="shared" si="43"/>
        <v>10679.9999999998</v>
      </c>
      <c r="P222" s="12">
        <f t="shared" si="44"/>
        <v>0</v>
      </c>
    </row>
    <row r="223" spans="1:16">
      <c r="A223" s="2">
        <v>46058</v>
      </c>
      <c r="B223" s="3">
        <f>Data_Entry!P313</f>
        <v>10769.9999999998</v>
      </c>
      <c r="C223" s="4">
        <f>Data_Entry!V313</f>
        <v>4.02</v>
      </c>
      <c r="D223" s="5">
        <f t="shared" si="36"/>
        <v>0.186126088759847</v>
      </c>
      <c r="E223" s="6">
        <v>0</v>
      </c>
      <c r="F223" s="6">
        <v>0</v>
      </c>
      <c r="G223" s="7">
        <f t="shared" si="37"/>
        <v>0</v>
      </c>
      <c r="H223" s="7">
        <f t="shared" si="38"/>
        <v>0</v>
      </c>
      <c r="I223" s="8">
        <v>2411</v>
      </c>
      <c r="J223" s="9"/>
      <c r="K223" s="8">
        <f t="shared" si="39"/>
        <v>28932</v>
      </c>
      <c r="L223" s="7">
        <f t="shared" si="40"/>
        <v>0</v>
      </c>
      <c r="M223" s="10">
        <f t="shared" si="41"/>
        <v>1</v>
      </c>
      <c r="N223" s="11">
        <f t="shared" si="42"/>
        <v>0.186126088759847</v>
      </c>
      <c r="O223" s="8">
        <f t="shared" si="43"/>
        <v>10769.9999999998</v>
      </c>
      <c r="P223" s="12">
        <f t="shared" si="44"/>
        <v>0</v>
      </c>
    </row>
    <row r="224" spans="1:16">
      <c r="A224" s="2">
        <v>46059</v>
      </c>
      <c r="B224" s="3">
        <f>Data_Entry!P314</f>
        <v>11730.0000000002</v>
      </c>
      <c r="C224" s="4">
        <f>Data_Entry!V314</f>
        <v>4.2</v>
      </c>
      <c r="D224" s="5">
        <f t="shared" si="36"/>
        <v>0.202716715055997</v>
      </c>
      <c r="E224" s="6">
        <v>0</v>
      </c>
      <c r="F224" s="6">
        <v>0</v>
      </c>
      <c r="G224" s="7">
        <f t="shared" si="37"/>
        <v>0</v>
      </c>
      <c r="H224" s="7">
        <f t="shared" si="38"/>
        <v>0</v>
      </c>
      <c r="I224" s="8">
        <v>2411</v>
      </c>
      <c r="J224" s="9"/>
      <c r="K224" s="8">
        <f t="shared" si="39"/>
        <v>28932</v>
      </c>
      <c r="L224" s="7">
        <f t="shared" si="40"/>
        <v>0</v>
      </c>
      <c r="M224" s="10">
        <f t="shared" si="41"/>
        <v>1</v>
      </c>
      <c r="N224" s="11">
        <f t="shared" si="42"/>
        <v>0.202716715055997</v>
      </c>
      <c r="O224" s="8">
        <f t="shared" si="43"/>
        <v>11730.0000000002</v>
      </c>
      <c r="P224" s="12">
        <f t="shared" si="44"/>
        <v>0</v>
      </c>
    </row>
    <row r="225" spans="1:16">
      <c r="A225" s="2">
        <v>46060</v>
      </c>
      <c r="B225" s="3">
        <f>Data_Entry!P315</f>
        <v>11250</v>
      </c>
      <c r="C225" s="4">
        <f>Data_Entry!V315</f>
        <v>4.07</v>
      </c>
      <c r="D225" s="5">
        <f t="shared" si="36"/>
        <v>0.194421401907922</v>
      </c>
      <c r="E225" s="6">
        <v>0</v>
      </c>
      <c r="F225" s="6">
        <v>0</v>
      </c>
      <c r="G225" s="7">
        <f t="shared" si="37"/>
        <v>0</v>
      </c>
      <c r="H225" s="7">
        <f t="shared" si="38"/>
        <v>0</v>
      </c>
      <c r="I225" s="8">
        <v>2411</v>
      </c>
      <c r="J225" s="9"/>
      <c r="K225" s="8">
        <f t="shared" si="39"/>
        <v>28932</v>
      </c>
      <c r="L225" s="7">
        <f t="shared" si="40"/>
        <v>0</v>
      </c>
      <c r="M225" s="10">
        <f t="shared" si="41"/>
        <v>1</v>
      </c>
      <c r="N225" s="11">
        <f t="shared" si="42"/>
        <v>0.194421401907922</v>
      </c>
      <c r="O225" s="8">
        <f t="shared" si="43"/>
        <v>11250</v>
      </c>
      <c r="P225" s="12">
        <f t="shared" si="44"/>
        <v>0</v>
      </c>
    </row>
    <row r="226" spans="1:16">
      <c r="A226" s="2">
        <v>46061</v>
      </c>
      <c r="B226" s="3">
        <f>Data_Entry!P316</f>
        <v>11579.9999999997</v>
      </c>
      <c r="C226" s="4">
        <f>Data_Entry!V316</f>
        <v>4.05</v>
      </c>
      <c r="D226" s="5">
        <f t="shared" si="36"/>
        <v>0.200124429697216</v>
      </c>
      <c r="E226" s="6">
        <v>0</v>
      </c>
      <c r="F226" s="6">
        <v>0</v>
      </c>
      <c r="G226" s="7">
        <f t="shared" si="37"/>
        <v>0</v>
      </c>
      <c r="H226" s="7">
        <f t="shared" si="38"/>
        <v>0</v>
      </c>
      <c r="I226" s="8">
        <v>2411</v>
      </c>
      <c r="J226" s="9"/>
      <c r="K226" s="8">
        <f t="shared" si="39"/>
        <v>28932</v>
      </c>
      <c r="L226" s="7">
        <f t="shared" si="40"/>
        <v>0</v>
      </c>
      <c r="M226" s="10">
        <f t="shared" si="41"/>
        <v>1</v>
      </c>
      <c r="N226" s="11">
        <f t="shared" si="42"/>
        <v>0.200124429697216</v>
      </c>
      <c r="O226" s="8">
        <f t="shared" si="43"/>
        <v>11579.9999999997</v>
      </c>
      <c r="P226" s="12">
        <f t="shared" si="44"/>
        <v>0</v>
      </c>
    </row>
    <row r="227" spans="1:16">
      <c r="A227" s="2">
        <v>46062</v>
      </c>
      <c r="B227" s="3">
        <f>Data_Entry!P317</f>
        <v>12600.0000000001</v>
      </c>
      <c r="C227" s="4">
        <f>Data_Entry!V317</f>
        <v>4.26</v>
      </c>
      <c r="D227" s="5">
        <f t="shared" si="36"/>
        <v>0.217751970136874</v>
      </c>
      <c r="E227" s="6">
        <v>0</v>
      </c>
      <c r="F227" s="6">
        <v>0</v>
      </c>
      <c r="G227" s="7">
        <f t="shared" si="37"/>
        <v>0</v>
      </c>
      <c r="H227" s="7">
        <f t="shared" si="38"/>
        <v>0</v>
      </c>
      <c r="I227" s="8">
        <v>2411</v>
      </c>
      <c r="J227" s="9"/>
      <c r="K227" s="8">
        <f t="shared" si="39"/>
        <v>28932</v>
      </c>
      <c r="L227" s="7">
        <f t="shared" si="40"/>
        <v>0</v>
      </c>
      <c r="M227" s="10">
        <f t="shared" si="41"/>
        <v>1</v>
      </c>
      <c r="N227" s="11">
        <f t="shared" si="42"/>
        <v>0.217751970136874</v>
      </c>
      <c r="O227" s="8">
        <f t="shared" si="43"/>
        <v>12600.0000000001</v>
      </c>
      <c r="P227" s="12">
        <f t="shared" si="44"/>
        <v>0</v>
      </c>
    </row>
    <row r="228" spans="1:16">
      <c r="A228" s="2">
        <v>46063</v>
      </c>
      <c r="B228" s="3">
        <f>Data_Entry!P318</f>
        <v>13440.0000000001</v>
      </c>
      <c r="C228" s="4">
        <f>Data_Entry!V318</f>
        <v>4.43</v>
      </c>
      <c r="D228" s="5">
        <f t="shared" si="36"/>
        <v>0.232268768145999</v>
      </c>
      <c r="E228" s="6">
        <v>0</v>
      </c>
      <c r="F228" s="6">
        <v>0</v>
      </c>
      <c r="G228" s="7">
        <f t="shared" si="37"/>
        <v>0</v>
      </c>
      <c r="H228" s="7">
        <f t="shared" si="38"/>
        <v>0</v>
      </c>
      <c r="I228" s="8">
        <v>2411</v>
      </c>
      <c r="J228" s="9"/>
      <c r="K228" s="8">
        <f t="shared" si="39"/>
        <v>28932</v>
      </c>
      <c r="L228" s="7">
        <f t="shared" si="40"/>
        <v>0</v>
      </c>
      <c r="M228" s="10">
        <f t="shared" si="41"/>
        <v>1</v>
      </c>
      <c r="N228" s="11">
        <f t="shared" si="42"/>
        <v>0.232268768145999</v>
      </c>
      <c r="O228" s="8">
        <f t="shared" si="43"/>
        <v>13440.0000000001</v>
      </c>
      <c r="P228" s="12">
        <f t="shared" si="44"/>
        <v>0</v>
      </c>
    </row>
    <row r="229" spans="1:16">
      <c r="A229" s="2">
        <v>46064</v>
      </c>
      <c r="B229" s="3">
        <f>Data_Entry!P319</f>
        <v>13440.0000000001</v>
      </c>
      <c r="C229" s="4">
        <f>Data_Entry!V319</f>
        <v>4.39</v>
      </c>
      <c r="D229" s="5">
        <f t="shared" si="36"/>
        <v>0.232268768145999</v>
      </c>
      <c r="E229" s="6">
        <v>0</v>
      </c>
      <c r="F229" s="6">
        <v>0</v>
      </c>
      <c r="G229" s="7">
        <f t="shared" si="37"/>
        <v>0</v>
      </c>
      <c r="H229" s="7">
        <f t="shared" si="38"/>
        <v>0</v>
      </c>
      <c r="I229" s="8">
        <v>2411</v>
      </c>
      <c r="J229" s="9"/>
      <c r="K229" s="8">
        <f t="shared" si="39"/>
        <v>28932</v>
      </c>
      <c r="L229" s="7">
        <f t="shared" si="40"/>
        <v>0</v>
      </c>
      <c r="M229" s="10">
        <f t="shared" si="41"/>
        <v>1</v>
      </c>
      <c r="N229" s="11">
        <f t="shared" si="42"/>
        <v>0.232268768145999</v>
      </c>
      <c r="O229" s="8">
        <f t="shared" si="43"/>
        <v>13440.0000000001</v>
      </c>
      <c r="P229" s="12">
        <f t="shared" si="44"/>
        <v>0</v>
      </c>
    </row>
    <row r="230" spans="1:16">
      <c r="A230" s="2">
        <v>46065</v>
      </c>
      <c r="B230" s="3">
        <f>Data_Entry!P320</f>
        <v>13350.0000000001</v>
      </c>
      <c r="C230" s="4">
        <f>Data_Entry!V320</f>
        <v>4.45</v>
      </c>
      <c r="D230" s="5">
        <f t="shared" si="36"/>
        <v>0.230713396930736</v>
      </c>
      <c r="E230" s="6">
        <v>0</v>
      </c>
      <c r="F230" s="6">
        <v>0</v>
      </c>
      <c r="G230" s="7">
        <f t="shared" si="37"/>
        <v>0</v>
      </c>
      <c r="H230" s="7">
        <f t="shared" si="38"/>
        <v>0</v>
      </c>
      <c r="I230" s="8">
        <v>2411</v>
      </c>
      <c r="J230" s="9"/>
      <c r="K230" s="8">
        <f t="shared" si="39"/>
        <v>28932</v>
      </c>
      <c r="L230" s="7">
        <f t="shared" si="40"/>
        <v>0</v>
      </c>
      <c r="M230" s="10">
        <f t="shared" si="41"/>
        <v>1</v>
      </c>
      <c r="N230" s="11">
        <f t="shared" si="42"/>
        <v>0.230713396930736</v>
      </c>
      <c r="O230" s="8">
        <f t="shared" si="43"/>
        <v>13350.0000000001</v>
      </c>
      <c r="P230" s="12">
        <f t="shared" si="44"/>
        <v>0</v>
      </c>
    </row>
    <row r="231" spans="1:16">
      <c r="A231" s="2">
        <v>46066</v>
      </c>
      <c r="B231" s="3">
        <f>Data_Entry!P321</f>
        <v>11699.9999999996</v>
      </c>
      <c r="C231" s="4">
        <f>Data_Entry!V321</f>
        <v>4.09</v>
      </c>
      <c r="D231" s="5">
        <f t="shared" si="36"/>
        <v>0.202198257984232</v>
      </c>
      <c r="E231" s="6">
        <v>0</v>
      </c>
      <c r="F231" s="6">
        <v>0</v>
      </c>
      <c r="G231" s="7">
        <f t="shared" si="37"/>
        <v>0</v>
      </c>
      <c r="H231" s="7">
        <f t="shared" si="38"/>
        <v>0</v>
      </c>
      <c r="I231" s="8">
        <v>2411</v>
      </c>
      <c r="J231" s="9"/>
      <c r="K231" s="8">
        <f t="shared" si="39"/>
        <v>28932</v>
      </c>
      <c r="L231" s="7">
        <f t="shared" si="40"/>
        <v>0</v>
      </c>
      <c r="M231" s="10">
        <f t="shared" si="41"/>
        <v>1</v>
      </c>
      <c r="N231" s="11">
        <f t="shared" si="42"/>
        <v>0.202198257984232</v>
      </c>
      <c r="O231" s="8">
        <f t="shared" si="43"/>
        <v>11699.9999999996</v>
      </c>
      <c r="P231" s="12">
        <f t="shared" si="44"/>
        <v>0</v>
      </c>
    </row>
    <row r="232" spans="1:16">
      <c r="A232" s="2">
        <v>46067</v>
      </c>
      <c r="B232" s="3">
        <f>Data_Entry!P322</f>
        <v>11940.0000000001</v>
      </c>
      <c r="C232" s="4">
        <f>Data_Entry!V322</f>
        <v>4.16</v>
      </c>
      <c r="D232" s="5">
        <f t="shared" si="36"/>
        <v>0.206345914558276</v>
      </c>
      <c r="E232" s="6">
        <v>0</v>
      </c>
      <c r="F232" s="6">
        <v>0</v>
      </c>
      <c r="G232" s="7">
        <f t="shared" si="37"/>
        <v>0</v>
      </c>
      <c r="H232" s="7">
        <f t="shared" si="38"/>
        <v>0</v>
      </c>
      <c r="I232" s="8">
        <v>2411</v>
      </c>
      <c r="J232" s="9"/>
      <c r="K232" s="8">
        <f t="shared" si="39"/>
        <v>28932</v>
      </c>
      <c r="L232" s="7">
        <f t="shared" si="40"/>
        <v>0</v>
      </c>
      <c r="M232" s="10">
        <f t="shared" si="41"/>
        <v>1</v>
      </c>
      <c r="N232" s="11">
        <f t="shared" si="42"/>
        <v>0.206345914558276</v>
      </c>
      <c r="O232" s="8">
        <f t="shared" si="43"/>
        <v>11940.0000000001</v>
      </c>
      <c r="P232" s="12">
        <f t="shared" si="44"/>
        <v>0</v>
      </c>
    </row>
    <row r="233" spans="1:16">
      <c r="A233" s="2">
        <v>46068</v>
      </c>
      <c r="B233" s="3">
        <f>Data_Entry!P323</f>
        <v>13320.0000000002</v>
      </c>
      <c r="C233" s="4">
        <f>Data_Entry!V323</f>
        <v>4.36</v>
      </c>
      <c r="D233" s="5">
        <f t="shared" si="36"/>
        <v>0.230194939858983</v>
      </c>
      <c r="E233" s="6">
        <v>0</v>
      </c>
      <c r="F233" s="6">
        <v>0</v>
      </c>
      <c r="G233" s="7">
        <f t="shared" si="37"/>
        <v>0</v>
      </c>
      <c r="H233" s="7">
        <f t="shared" si="38"/>
        <v>0</v>
      </c>
      <c r="I233" s="8">
        <v>2411</v>
      </c>
      <c r="J233" s="9"/>
      <c r="K233" s="8">
        <f t="shared" si="39"/>
        <v>28932</v>
      </c>
      <c r="L233" s="7">
        <f t="shared" si="40"/>
        <v>0</v>
      </c>
      <c r="M233" s="10">
        <f t="shared" si="41"/>
        <v>1</v>
      </c>
      <c r="N233" s="11">
        <f t="shared" si="42"/>
        <v>0.230194939858983</v>
      </c>
      <c r="O233" s="8">
        <f t="shared" si="43"/>
        <v>13320.0000000002</v>
      </c>
      <c r="P233" s="12">
        <f t="shared" si="44"/>
        <v>0</v>
      </c>
    </row>
    <row r="234" spans="1:16">
      <c r="A234" s="2">
        <v>46069</v>
      </c>
      <c r="B234" s="3">
        <f>Data_Entry!P324</f>
        <v>13350.0000000001</v>
      </c>
      <c r="C234" s="4">
        <f>Data_Entry!V324</f>
        <v>4.55</v>
      </c>
      <c r="D234" s="5">
        <f t="shared" si="36"/>
        <v>0.230713396930736</v>
      </c>
      <c r="E234" s="6">
        <v>0</v>
      </c>
      <c r="F234" s="6">
        <v>0</v>
      </c>
      <c r="G234" s="7">
        <f t="shared" si="37"/>
        <v>0</v>
      </c>
      <c r="H234" s="7">
        <f t="shared" si="38"/>
        <v>0</v>
      </c>
      <c r="I234" s="8">
        <v>2411</v>
      </c>
      <c r="J234" s="9"/>
      <c r="K234" s="8">
        <f t="shared" si="39"/>
        <v>28932</v>
      </c>
      <c r="L234" s="7">
        <f t="shared" si="40"/>
        <v>0</v>
      </c>
      <c r="M234" s="10">
        <f t="shared" si="41"/>
        <v>1</v>
      </c>
      <c r="N234" s="11">
        <f t="shared" si="42"/>
        <v>0.230713396930736</v>
      </c>
      <c r="O234" s="8">
        <f t="shared" si="43"/>
        <v>13350.0000000001</v>
      </c>
      <c r="P234" s="12">
        <f t="shared" si="44"/>
        <v>0</v>
      </c>
    </row>
    <row r="235" spans="1:16">
      <c r="A235" s="2">
        <v>46070</v>
      </c>
      <c r="B235" s="3">
        <f>Data_Entry!P325</f>
        <v>13470</v>
      </c>
      <c r="C235" s="4">
        <f>Data_Entry!V325</f>
        <v>4.73</v>
      </c>
      <c r="D235" s="5">
        <f t="shared" si="36"/>
        <v>0.232787225217752</v>
      </c>
      <c r="E235" s="6">
        <v>0</v>
      </c>
      <c r="F235" s="6">
        <v>0</v>
      </c>
      <c r="G235" s="7">
        <f t="shared" si="37"/>
        <v>0</v>
      </c>
      <c r="H235" s="7">
        <f t="shared" si="38"/>
        <v>0</v>
      </c>
      <c r="I235" s="8">
        <v>2411</v>
      </c>
      <c r="J235" s="9"/>
      <c r="K235" s="8">
        <f t="shared" si="39"/>
        <v>28932</v>
      </c>
      <c r="L235" s="7">
        <f t="shared" si="40"/>
        <v>0</v>
      </c>
      <c r="M235" s="10">
        <f t="shared" si="41"/>
        <v>1</v>
      </c>
      <c r="N235" s="11">
        <f t="shared" si="42"/>
        <v>0.232787225217752</v>
      </c>
      <c r="O235" s="8">
        <f t="shared" si="43"/>
        <v>13470</v>
      </c>
      <c r="P235" s="12">
        <f t="shared" si="44"/>
        <v>0</v>
      </c>
    </row>
    <row r="236" spans="1:16">
      <c r="A236" s="2">
        <v>46071</v>
      </c>
      <c r="B236" s="3">
        <f>Data_Entry!P326</f>
        <v>13829.9999999997</v>
      </c>
      <c r="C236" s="4">
        <f>Data_Entry!V326</f>
        <v>4.61</v>
      </c>
      <c r="D236" s="5">
        <f t="shared" si="36"/>
        <v>0.2390087100788</v>
      </c>
      <c r="E236" s="6">
        <v>0</v>
      </c>
      <c r="F236" s="6">
        <v>0</v>
      </c>
      <c r="G236" s="7">
        <f t="shared" si="37"/>
        <v>0</v>
      </c>
      <c r="H236" s="7">
        <f t="shared" si="38"/>
        <v>0</v>
      </c>
      <c r="I236" s="8">
        <v>2411</v>
      </c>
      <c r="J236" s="9"/>
      <c r="K236" s="8">
        <f t="shared" si="39"/>
        <v>28932</v>
      </c>
      <c r="L236" s="7">
        <f t="shared" si="40"/>
        <v>0</v>
      </c>
      <c r="M236" s="10">
        <f t="shared" si="41"/>
        <v>1</v>
      </c>
      <c r="N236" s="11">
        <f t="shared" si="42"/>
        <v>0.2390087100788</v>
      </c>
      <c r="O236" s="8">
        <f t="shared" si="43"/>
        <v>13829.9999999997</v>
      </c>
      <c r="P236" s="12">
        <f t="shared" si="44"/>
        <v>0</v>
      </c>
    </row>
    <row r="237" spans="1:16">
      <c r="A237" s="2">
        <v>46072</v>
      </c>
      <c r="B237" s="3">
        <f>Data_Entry!P327</f>
        <v>13080.0000000004</v>
      </c>
      <c r="C237" s="4">
        <f>Data_Entry!V327</f>
        <v>4.4</v>
      </c>
      <c r="D237" s="5">
        <f t="shared" si="36"/>
        <v>0.226047283284951</v>
      </c>
      <c r="E237" s="6">
        <v>0</v>
      </c>
      <c r="F237" s="6">
        <v>0</v>
      </c>
      <c r="G237" s="7">
        <f t="shared" si="37"/>
        <v>0</v>
      </c>
      <c r="H237" s="7">
        <f t="shared" si="38"/>
        <v>0</v>
      </c>
      <c r="I237" s="8">
        <v>2411</v>
      </c>
      <c r="J237" s="9"/>
      <c r="K237" s="8">
        <f t="shared" si="39"/>
        <v>28932</v>
      </c>
      <c r="L237" s="7">
        <f t="shared" si="40"/>
        <v>0</v>
      </c>
      <c r="M237" s="10">
        <f t="shared" si="41"/>
        <v>1</v>
      </c>
      <c r="N237" s="11">
        <f t="shared" si="42"/>
        <v>0.226047283284951</v>
      </c>
      <c r="O237" s="8">
        <f t="shared" si="43"/>
        <v>13080.0000000004</v>
      </c>
      <c r="P237" s="12">
        <f t="shared" si="44"/>
        <v>0</v>
      </c>
    </row>
    <row r="238" spans="1:16">
      <c r="A238" s="2">
        <v>46073</v>
      </c>
      <c r="B238" s="3">
        <f>Data_Entry!P328</f>
        <v>12239.9999999998</v>
      </c>
      <c r="C238" s="4">
        <f>Data_Entry!V328</f>
        <v>4.35</v>
      </c>
      <c r="D238" s="5">
        <f t="shared" si="36"/>
        <v>0.211530485275816</v>
      </c>
      <c r="E238" s="6">
        <v>0</v>
      </c>
      <c r="F238" s="6">
        <v>0</v>
      </c>
      <c r="G238" s="7">
        <f t="shared" si="37"/>
        <v>0</v>
      </c>
      <c r="H238" s="7">
        <f t="shared" si="38"/>
        <v>0</v>
      </c>
      <c r="I238" s="8">
        <v>2411</v>
      </c>
      <c r="J238" s="9"/>
      <c r="K238" s="8">
        <f t="shared" si="39"/>
        <v>28932</v>
      </c>
      <c r="L238" s="7">
        <f t="shared" si="40"/>
        <v>0</v>
      </c>
      <c r="M238" s="10">
        <f t="shared" si="41"/>
        <v>1</v>
      </c>
      <c r="N238" s="11">
        <f t="shared" si="42"/>
        <v>0.211530485275816</v>
      </c>
      <c r="O238" s="8">
        <f t="shared" si="43"/>
        <v>12239.9999999998</v>
      </c>
      <c r="P238" s="12">
        <f t="shared" si="44"/>
        <v>0</v>
      </c>
    </row>
    <row r="239" spans="1:16">
      <c r="A239" s="2">
        <v>46074</v>
      </c>
      <c r="B239" s="3">
        <f>Data_Entry!P329</f>
        <v>12809.9999999999</v>
      </c>
      <c r="C239" s="4">
        <f>Data_Entry!V329</f>
        <v>4.5</v>
      </c>
      <c r="D239" s="5">
        <f t="shared" si="36"/>
        <v>0.221381169639152</v>
      </c>
      <c r="E239" s="6">
        <v>0</v>
      </c>
      <c r="F239" s="6">
        <v>0</v>
      </c>
      <c r="G239" s="7">
        <f t="shared" si="37"/>
        <v>0</v>
      </c>
      <c r="H239" s="7">
        <f t="shared" si="38"/>
        <v>0</v>
      </c>
      <c r="I239" s="8">
        <v>2411</v>
      </c>
      <c r="J239" s="9"/>
      <c r="K239" s="8">
        <f t="shared" si="39"/>
        <v>28932</v>
      </c>
      <c r="L239" s="7">
        <f t="shared" si="40"/>
        <v>0</v>
      </c>
      <c r="M239" s="10">
        <f t="shared" si="41"/>
        <v>1</v>
      </c>
      <c r="N239" s="11">
        <f t="shared" si="42"/>
        <v>0.221381169639152</v>
      </c>
      <c r="O239" s="8">
        <f t="shared" si="43"/>
        <v>12809.9999999999</v>
      </c>
      <c r="P239" s="12">
        <f t="shared" si="44"/>
        <v>0</v>
      </c>
    </row>
    <row r="240" spans="1:16">
      <c r="A240" s="2">
        <v>46075</v>
      </c>
      <c r="B240" s="3">
        <f>Data_Entry!P330</f>
        <v>11280</v>
      </c>
      <c r="C240" s="4">
        <f>Data_Entry!V330</f>
        <v>4.12</v>
      </c>
      <c r="D240" s="5">
        <f t="shared" si="36"/>
        <v>0.194939858979676</v>
      </c>
      <c r="E240" s="6">
        <v>0</v>
      </c>
      <c r="F240" s="6">
        <v>0</v>
      </c>
      <c r="G240" s="7">
        <f t="shared" si="37"/>
        <v>0</v>
      </c>
      <c r="H240" s="7">
        <f t="shared" si="38"/>
        <v>0</v>
      </c>
      <c r="I240" s="8">
        <v>2411</v>
      </c>
      <c r="J240" s="9"/>
      <c r="K240" s="8">
        <f t="shared" si="39"/>
        <v>28932</v>
      </c>
      <c r="L240" s="7">
        <f t="shared" si="40"/>
        <v>0</v>
      </c>
      <c r="M240" s="10">
        <f t="shared" si="41"/>
        <v>1</v>
      </c>
      <c r="N240" s="11">
        <f t="shared" si="42"/>
        <v>0.194939858979676</v>
      </c>
      <c r="O240" s="8">
        <f t="shared" si="43"/>
        <v>11280</v>
      </c>
      <c r="P240" s="12">
        <f t="shared" si="44"/>
        <v>0</v>
      </c>
    </row>
    <row r="241" spans="1:16">
      <c r="A241" s="2">
        <v>46076</v>
      </c>
      <c r="B241" s="3">
        <f>Data_Entry!P331</f>
        <v>10500</v>
      </c>
      <c r="C241" s="4">
        <f>Data_Entry!V331</f>
        <v>4.2</v>
      </c>
      <c r="D241" s="5">
        <f t="shared" si="36"/>
        <v>0.181459975114061</v>
      </c>
      <c r="E241" s="6">
        <v>0</v>
      </c>
      <c r="F241" s="6">
        <v>0</v>
      </c>
      <c r="G241" s="7">
        <f t="shared" si="37"/>
        <v>0</v>
      </c>
      <c r="H241" s="7">
        <f t="shared" si="38"/>
        <v>0</v>
      </c>
      <c r="I241" s="8">
        <v>2411</v>
      </c>
      <c r="J241" s="9"/>
      <c r="K241" s="8">
        <f t="shared" si="39"/>
        <v>28932</v>
      </c>
      <c r="L241" s="7">
        <f t="shared" si="40"/>
        <v>0</v>
      </c>
      <c r="M241" s="10">
        <f t="shared" si="41"/>
        <v>1</v>
      </c>
      <c r="N241" s="11">
        <f t="shared" si="42"/>
        <v>0.181459975114061</v>
      </c>
      <c r="O241" s="8">
        <f t="shared" si="43"/>
        <v>10500</v>
      </c>
      <c r="P241" s="12">
        <f t="shared" si="44"/>
        <v>0</v>
      </c>
    </row>
    <row r="242" spans="1:16">
      <c r="A242" s="2">
        <v>46077</v>
      </c>
      <c r="B242" s="3">
        <f>Data_Entry!P332</f>
        <v>10860.0000000004</v>
      </c>
      <c r="C242" s="4">
        <f>Data_Entry!V332</f>
        <v>4.6</v>
      </c>
      <c r="D242" s="5">
        <f t="shared" si="36"/>
        <v>0.187681459975121</v>
      </c>
      <c r="E242" s="6">
        <v>0</v>
      </c>
      <c r="F242" s="6">
        <v>0</v>
      </c>
      <c r="G242" s="7">
        <f t="shared" si="37"/>
        <v>0</v>
      </c>
      <c r="H242" s="7">
        <f t="shared" si="38"/>
        <v>0</v>
      </c>
      <c r="I242" s="8">
        <v>2411</v>
      </c>
      <c r="J242" s="9"/>
      <c r="K242" s="8">
        <f t="shared" si="39"/>
        <v>28932</v>
      </c>
      <c r="L242" s="7">
        <f t="shared" si="40"/>
        <v>0</v>
      </c>
      <c r="M242" s="10">
        <f t="shared" si="41"/>
        <v>1</v>
      </c>
      <c r="N242" s="11">
        <f t="shared" si="42"/>
        <v>0.187681459975121</v>
      </c>
      <c r="O242" s="8">
        <f t="shared" si="43"/>
        <v>10860.0000000004</v>
      </c>
      <c r="P242" s="12">
        <f t="shared" si="44"/>
        <v>0</v>
      </c>
    </row>
    <row r="243" spans="1:16">
      <c r="A243" s="2">
        <v>46078</v>
      </c>
      <c r="B243" s="3">
        <f>Data_Entry!P333</f>
        <v>13619.9999999999</v>
      </c>
      <c r="C243" s="4">
        <f>Data_Entry!V333</f>
        <v>4.7</v>
      </c>
      <c r="D243" s="5">
        <f t="shared" ref="D243:D274" si="45">B243/(24*I243)</f>
        <v>0.235379510576523</v>
      </c>
      <c r="E243" s="6">
        <v>0</v>
      </c>
      <c r="F243" s="6">
        <v>0</v>
      </c>
      <c r="G243" s="7">
        <f t="shared" ref="G243:G274" si="46">(F243-E243)*24*60</f>
        <v>0</v>
      </c>
      <c r="H243" s="7">
        <f t="shared" ref="H243:H274" si="47">G243/60</f>
        <v>0</v>
      </c>
      <c r="I243" s="8">
        <v>2411</v>
      </c>
      <c r="J243" s="9"/>
      <c r="K243" s="8">
        <f t="shared" ref="K243:K274" si="48">I243*12</f>
        <v>28932</v>
      </c>
      <c r="L243" s="7">
        <f t="shared" ref="L243:L274" si="49">J243*H243</f>
        <v>0</v>
      </c>
      <c r="M243" s="10">
        <f t="shared" ref="M243:M274" si="50">(K243-L243)/K243</f>
        <v>1</v>
      </c>
      <c r="N243" s="11">
        <f t="shared" ref="N243:N274" si="51">D243/M243</f>
        <v>0.235379510576523</v>
      </c>
      <c r="O243" s="8">
        <f t="shared" ref="O243:O274" si="52">N243*I243*24</f>
        <v>13619.9999999999</v>
      </c>
      <c r="P243" s="12">
        <f t="shared" ref="P243:P274" si="53">O243-B243</f>
        <v>0</v>
      </c>
    </row>
    <row r="244" spans="1:16">
      <c r="A244" s="2">
        <v>46079</v>
      </c>
      <c r="B244" s="3">
        <f>Data_Entry!P334</f>
        <v>13799.9999999997</v>
      </c>
      <c r="C244" s="4">
        <f>Data_Entry!V334</f>
        <v>4.13</v>
      </c>
      <c r="D244" s="5">
        <f t="shared" si="45"/>
        <v>0.238490253007046</v>
      </c>
      <c r="E244" s="6">
        <v>0</v>
      </c>
      <c r="F244" s="6">
        <v>0</v>
      </c>
      <c r="G244" s="7">
        <f t="shared" si="46"/>
        <v>0</v>
      </c>
      <c r="H244" s="7">
        <f t="shared" si="47"/>
        <v>0</v>
      </c>
      <c r="I244" s="8">
        <v>2411</v>
      </c>
      <c r="J244" s="9"/>
      <c r="K244" s="8">
        <f t="shared" si="48"/>
        <v>28932</v>
      </c>
      <c r="L244" s="7">
        <f t="shared" si="49"/>
        <v>0</v>
      </c>
      <c r="M244" s="10">
        <f t="shared" si="50"/>
        <v>1</v>
      </c>
      <c r="N244" s="11">
        <f t="shared" si="51"/>
        <v>0.238490253007046</v>
      </c>
      <c r="O244" s="8">
        <f t="shared" si="52"/>
        <v>13799.9999999997</v>
      </c>
      <c r="P244" s="12">
        <f t="shared" si="53"/>
        <v>0</v>
      </c>
    </row>
    <row r="245" spans="1:16">
      <c r="A245" s="2">
        <v>46080</v>
      </c>
      <c r="B245" s="3">
        <f>Data_Entry!P335</f>
        <v>5700.00000000027</v>
      </c>
      <c r="C245" s="4">
        <f>Data_Entry!V335</f>
        <v>2.44</v>
      </c>
      <c r="D245" s="5">
        <f t="shared" si="45"/>
        <v>0.0985068436333518</v>
      </c>
      <c r="E245" s="6">
        <v>0</v>
      </c>
      <c r="F245" s="6">
        <v>0</v>
      </c>
      <c r="G245" s="7">
        <f t="shared" si="46"/>
        <v>0</v>
      </c>
      <c r="H245" s="7">
        <f t="shared" si="47"/>
        <v>0</v>
      </c>
      <c r="I245" s="8">
        <v>2411</v>
      </c>
      <c r="J245" s="9"/>
      <c r="K245" s="8">
        <f t="shared" si="48"/>
        <v>28932</v>
      </c>
      <c r="L245" s="7">
        <f t="shared" si="49"/>
        <v>0</v>
      </c>
      <c r="M245" s="10">
        <f t="shared" si="50"/>
        <v>1</v>
      </c>
      <c r="N245" s="11">
        <f t="shared" si="51"/>
        <v>0.0985068436333518</v>
      </c>
      <c r="O245" s="8">
        <f t="shared" si="52"/>
        <v>5700.00000000027</v>
      </c>
      <c r="P245" s="12">
        <f t="shared" si="53"/>
        <v>0</v>
      </c>
    </row>
    <row r="246" spans="1:16">
      <c r="A246" s="2">
        <v>46081</v>
      </c>
      <c r="B246" s="3">
        <f>Data_Entry!P336</f>
        <v>14220</v>
      </c>
      <c r="C246" s="4">
        <f>Data_Entry!V336</f>
        <v>4.42</v>
      </c>
      <c r="D246" s="5">
        <f t="shared" si="45"/>
        <v>0.245748652011613</v>
      </c>
      <c r="E246" s="6">
        <v>0</v>
      </c>
      <c r="F246" s="6">
        <v>0</v>
      </c>
      <c r="G246" s="7">
        <f t="shared" si="46"/>
        <v>0</v>
      </c>
      <c r="H246" s="7">
        <f t="shared" si="47"/>
        <v>0</v>
      </c>
      <c r="I246" s="8">
        <v>2411</v>
      </c>
      <c r="J246" s="9"/>
      <c r="K246" s="8">
        <f t="shared" si="48"/>
        <v>28932</v>
      </c>
      <c r="L246" s="7">
        <f t="shared" si="49"/>
        <v>0</v>
      </c>
      <c r="M246" s="10">
        <f t="shared" si="50"/>
        <v>1</v>
      </c>
      <c r="N246" s="11">
        <f t="shared" si="51"/>
        <v>0.245748652011613</v>
      </c>
      <c r="O246" s="8">
        <f t="shared" si="52"/>
        <v>14220</v>
      </c>
      <c r="P246" s="12">
        <f t="shared" si="53"/>
        <v>0</v>
      </c>
    </row>
    <row r="247" spans="1:16">
      <c r="A247" s="2">
        <v>46082</v>
      </c>
      <c r="B247" s="3">
        <f>Data_Entry!P337</f>
        <v>14190.0000000001</v>
      </c>
      <c r="C247" s="4">
        <f>Data_Entry!V337</f>
        <v>4.86</v>
      </c>
      <c r="D247" s="5">
        <f t="shared" si="45"/>
        <v>0.245230194939861</v>
      </c>
      <c r="E247" s="6">
        <v>0</v>
      </c>
      <c r="F247" s="6">
        <v>0</v>
      </c>
      <c r="G247" s="7">
        <f t="shared" si="46"/>
        <v>0</v>
      </c>
      <c r="H247" s="7">
        <f t="shared" si="47"/>
        <v>0</v>
      </c>
      <c r="I247" s="8">
        <v>2411</v>
      </c>
      <c r="J247" s="9"/>
      <c r="K247" s="8">
        <f t="shared" si="48"/>
        <v>28932</v>
      </c>
      <c r="L247" s="7">
        <f t="shared" si="49"/>
        <v>0</v>
      </c>
      <c r="M247" s="10">
        <f t="shared" si="50"/>
        <v>1</v>
      </c>
      <c r="N247" s="11">
        <f t="shared" si="51"/>
        <v>0.245230194939861</v>
      </c>
      <c r="O247" s="8">
        <f t="shared" si="52"/>
        <v>14190.0000000001</v>
      </c>
      <c r="P247" s="12">
        <f t="shared" si="53"/>
        <v>0</v>
      </c>
    </row>
    <row r="248" spans="1:16">
      <c r="A248" s="2">
        <v>46083</v>
      </c>
      <c r="B248" s="3">
        <f>Data_Entry!P338</f>
        <v>13919.9999999996</v>
      </c>
      <c r="C248" s="4">
        <f>Data_Entry!V338</f>
        <v>4.86</v>
      </c>
      <c r="D248" s="5">
        <f t="shared" si="45"/>
        <v>0.240564081294062</v>
      </c>
      <c r="E248" s="6">
        <v>0</v>
      </c>
      <c r="F248" s="6">
        <v>0</v>
      </c>
      <c r="G248" s="7">
        <f t="shared" si="46"/>
        <v>0</v>
      </c>
      <c r="H248" s="7">
        <f t="shared" si="47"/>
        <v>0</v>
      </c>
      <c r="I248" s="8">
        <v>2411</v>
      </c>
      <c r="J248" s="9"/>
      <c r="K248" s="8">
        <f t="shared" si="48"/>
        <v>28932</v>
      </c>
      <c r="L248" s="7">
        <f t="shared" si="49"/>
        <v>0</v>
      </c>
      <c r="M248" s="10">
        <f t="shared" si="50"/>
        <v>1</v>
      </c>
      <c r="N248" s="11">
        <f t="shared" si="51"/>
        <v>0.240564081294062</v>
      </c>
      <c r="O248" s="8">
        <f t="shared" si="52"/>
        <v>13919.9999999996</v>
      </c>
      <c r="P248" s="12">
        <f t="shared" si="53"/>
        <v>0</v>
      </c>
    </row>
    <row r="249" spans="1:16">
      <c r="A249" s="2">
        <v>46084</v>
      </c>
      <c r="B249" s="3">
        <f>Data_Entry!P339</f>
        <v>13140.0000000003</v>
      </c>
      <c r="C249" s="4">
        <f>Data_Entry!V339</f>
        <v>4.61</v>
      </c>
      <c r="D249" s="5">
        <f t="shared" si="45"/>
        <v>0.227084197428458</v>
      </c>
      <c r="E249" s="6">
        <v>0</v>
      </c>
      <c r="F249" s="6">
        <v>0</v>
      </c>
      <c r="G249" s="7">
        <f t="shared" si="46"/>
        <v>0</v>
      </c>
      <c r="H249" s="7">
        <f t="shared" si="47"/>
        <v>0</v>
      </c>
      <c r="I249" s="8">
        <v>2411</v>
      </c>
      <c r="J249" s="9"/>
      <c r="K249" s="8">
        <f t="shared" si="48"/>
        <v>28932</v>
      </c>
      <c r="L249" s="7">
        <f t="shared" si="49"/>
        <v>0</v>
      </c>
      <c r="M249" s="10">
        <f t="shared" si="50"/>
        <v>1</v>
      </c>
      <c r="N249" s="11">
        <f t="shared" si="51"/>
        <v>0.227084197428458</v>
      </c>
      <c r="O249" s="8">
        <f t="shared" si="52"/>
        <v>13140.0000000003</v>
      </c>
      <c r="P249" s="12">
        <f t="shared" si="53"/>
        <v>0</v>
      </c>
    </row>
    <row r="250" spans="1:16">
      <c r="A250" s="2">
        <v>46085</v>
      </c>
      <c r="B250" s="3">
        <f>Data_Entry!P340</f>
        <v>12750</v>
      </c>
      <c r="C250" s="4">
        <f>Data_Entry!V340</f>
        <v>4.66</v>
      </c>
      <c r="D250" s="5">
        <f t="shared" si="45"/>
        <v>0.220344255495645</v>
      </c>
      <c r="E250" s="6">
        <v>0</v>
      </c>
      <c r="F250" s="6">
        <v>0</v>
      </c>
      <c r="G250" s="7">
        <f t="shared" si="46"/>
        <v>0</v>
      </c>
      <c r="H250" s="7">
        <f t="shared" si="47"/>
        <v>0</v>
      </c>
      <c r="I250" s="8">
        <v>2411</v>
      </c>
      <c r="J250" s="9"/>
      <c r="K250" s="8">
        <f t="shared" si="48"/>
        <v>28932</v>
      </c>
      <c r="L250" s="7">
        <f t="shared" si="49"/>
        <v>0</v>
      </c>
      <c r="M250" s="10">
        <f t="shared" si="50"/>
        <v>1</v>
      </c>
      <c r="N250" s="11">
        <f t="shared" si="51"/>
        <v>0.220344255495645</v>
      </c>
      <c r="O250" s="8">
        <f t="shared" si="52"/>
        <v>12750</v>
      </c>
      <c r="P250" s="12">
        <f t="shared" si="53"/>
        <v>0</v>
      </c>
    </row>
    <row r="251" spans="1:16">
      <c r="A251" s="2">
        <v>46086</v>
      </c>
      <c r="B251" s="3">
        <f>Data_Entry!P341</f>
        <v>13410.0000000001</v>
      </c>
      <c r="C251" s="4">
        <f>Data_Entry!V341</f>
        <v>4.84</v>
      </c>
      <c r="D251" s="5">
        <f t="shared" si="45"/>
        <v>0.231750311074245</v>
      </c>
      <c r="E251" s="6">
        <v>0</v>
      </c>
      <c r="F251" s="6">
        <v>0</v>
      </c>
      <c r="G251" s="7">
        <f t="shared" si="46"/>
        <v>0</v>
      </c>
      <c r="H251" s="7">
        <f t="shared" si="47"/>
        <v>0</v>
      </c>
      <c r="I251" s="8">
        <v>2411</v>
      </c>
      <c r="J251" s="9"/>
      <c r="K251" s="8">
        <f t="shared" si="48"/>
        <v>28932</v>
      </c>
      <c r="L251" s="7">
        <f t="shared" si="49"/>
        <v>0</v>
      </c>
      <c r="M251" s="10">
        <f t="shared" si="50"/>
        <v>1</v>
      </c>
      <c r="N251" s="11">
        <f t="shared" si="51"/>
        <v>0.231750311074245</v>
      </c>
      <c r="O251" s="8">
        <f t="shared" si="52"/>
        <v>13410.0000000001</v>
      </c>
      <c r="P251" s="12">
        <f t="shared" si="53"/>
        <v>0</v>
      </c>
    </row>
    <row r="252" spans="1:16">
      <c r="A252" s="2">
        <v>46087</v>
      </c>
      <c r="B252" s="3">
        <f>Data_Entry!P342</f>
        <v>14909.9999999994</v>
      </c>
      <c r="C252" s="4">
        <f>Data_Entry!V342</f>
        <v>4.57</v>
      </c>
      <c r="D252" s="5">
        <f t="shared" si="45"/>
        <v>0.257673164661956</v>
      </c>
      <c r="E252" s="6">
        <v>0</v>
      </c>
      <c r="F252" s="6">
        <v>0</v>
      </c>
      <c r="G252" s="7">
        <f t="shared" si="46"/>
        <v>0</v>
      </c>
      <c r="H252" s="7">
        <f t="shared" si="47"/>
        <v>0</v>
      </c>
      <c r="I252" s="8">
        <v>2411</v>
      </c>
      <c r="J252" s="9"/>
      <c r="K252" s="8">
        <f t="shared" si="48"/>
        <v>28932</v>
      </c>
      <c r="L252" s="7">
        <f t="shared" si="49"/>
        <v>0</v>
      </c>
      <c r="M252" s="10">
        <f t="shared" si="50"/>
        <v>1</v>
      </c>
      <c r="N252" s="11">
        <f t="shared" si="51"/>
        <v>0.257673164661956</v>
      </c>
      <c r="O252" s="8">
        <f t="shared" si="52"/>
        <v>14909.9999999994</v>
      </c>
      <c r="P252" s="12">
        <f t="shared" si="53"/>
        <v>0</v>
      </c>
    </row>
    <row r="253" spans="1:16">
      <c r="A253" s="2">
        <v>46088</v>
      </c>
      <c r="B253" s="3">
        <f>Data_Entry!P343</f>
        <v>13290.0000000002</v>
      </c>
      <c r="C253" s="4">
        <f>Data_Entry!V343</f>
        <v>4.98</v>
      </c>
      <c r="D253" s="5">
        <f t="shared" si="45"/>
        <v>0.229676482787229</v>
      </c>
      <c r="E253" s="6">
        <v>0</v>
      </c>
      <c r="F253" s="6">
        <v>0</v>
      </c>
      <c r="G253" s="7">
        <f t="shared" si="46"/>
        <v>0</v>
      </c>
      <c r="H253" s="7">
        <f t="shared" si="47"/>
        <v>0</v>
      </c>
      <c r="I253" s="8">
        <v>2411</v>
      </c>
      <c r="J253" s="9"/>
      <c r="K253" s="8">
        <f t="shared" si="48"/>
        <v>28932</v>
      </c>
      <c r="L253" s="7">
        <f t="shared" si="49"/>
        <v>0</v>
      </c>
      <c r="M253" s="10">
        <f t="shared" si="50"/>
        <v>1</v>
      </c>
      <c r="N253" s="11">
        <f t="shared" si="51"/>
        <v>0.229676482787229</v>
      </c>
      <c r="O253" s="8">
        <f t="shared" si="52"/>
        <v>13290.0000000002</v>
      </c>
      <c r="P253" s="12">
        <f t="shared" si="53"/>
        <v>0</v>
      </c>
    </row>
    <row r="254" spans="1:16">
      <c r="A254" s="2">
        <v>46089</v>
      </c>
      <c r="B254" s="3">
        <f>Data_Entry!P344</f>
        <v>13649.9999999999</v>
      </c>
      <c r="C254" s="4">
        <f>Data_Entry!V344</f>
        <v>4.86</v>
      </c>
      <c r="D254" s="5">
        <f t="shared" si="45"/>
        <v>0.235897967648277</v>
      </c>
      <c r="E254" s="6">
        <v>0</v>
      </c>
      <c r="F254" s="6">
        <v>0</v>
      </c>
      <c r="G254" s="7">
        <f t="shared" si="46"/>
        <v>0</v>
      </c>
      <c r="H254" s="7">
        <f t="shared" si="47"/>
        <v>0</v>
      </c>
      <c r="I254" s="8">
        <v>2411</v>
      </c>
      <c r="J254" s="9"/>
      <c r="K254" s="8">
        <f t="shared" si="48"/>
        <v>28932</v>
      </c>
      <c r="L254" s="7">
        <f t="shared" si="49"/>
        <v>0</v>
      </c>
      <c r="M254" s="10">
        <f t="shared" si="50"/>
        <v>1</v>
      </c>
      <c r="N254" s="11">
        <f t="shared" si="51"/>
        <v>0.235897967648277</v>
      </c>
      <c r="O254" s="8">
        <f t="shared" si="52"/>
        <v>13649.9999999999</v>
      </c>
      <c r="P254" s="12">
        <f t="shared" si="53"/>
        <v>0</v>
      </c>
    </row>
    <row r="255" spans="1:16">
      <c r="A255" s="2">
        <v>46090</v>
      </c>
      <c r="B255" s="3">
        <f>Data_Entry!P345</f>
        <v>13830.0000000004</v>
      </c>
      <c r="C255" s="4">
        <f>Data_Entry!V345</f>
        <v>4.91</v>
      </c>
      <c r="D255" s="5">
        <f t="shared" si="45"/>
        <v>0.239008710078812</v>
      </c>
      <c r="E255" s="6">
        <v>0</v>
      </c>
      <c r="F255" s="6">
        <v>0</v>
      </c>
      <c r="G255" s="7">
        <f t="shared" si="46"/>
        <v>0</v>
      </c>
      <c r="H255" s="7">
        <f t="shared" si="47"/>
        <v>0</v>
      </c>
      <c r="I255" s="8">
        <v>2411</v>
      </c>
      <c r="J255" s="9"/>
      <c r="K255" s="8">
        <f t="shared" si="48"/>
        <v>28932</v>
      </c>
      <c r="L255" s="7">
        <f t="shared" si="49"/>
        <v>0</v>
      </c>
      <c r="M255" s="10">
        <f t="shared" si="50"/>
        <v>1</v>
      </c>
      <c r="N255" s="11">
        <f t="shared" si="51"/>
        <v>0.239008710078812</v>
      </c>
      <c r="O255" s="8">
        <f t="shared" si="52"/>
        <v>13830.0000000004</v>
      </c>
      <c r="P255" s="12">
        <f t="shared" si="53"/>
        <v>0</v>
      </c>
    </row>
    <row r="256" spans="1:16">
      <c r="A256" s="2">
        <v>46091</v>
      </c>
      <c r="B256" s="3">
        <f>Data_Entry!P346</f>
        <v>13589.9999999999</v>
      </c>
      <c r="C256" s="4">
        <f>Data_Entry!V346</f>
        <v>4.91</v>
      </c>
      <c r="D256" s="5">
        <f t="shared" si="45"/>
        <v>0.234861053504768</v>
      </c>
      <c r="E256" s="6">
        <v>0</v>
      </c>
      <c r="F256" s="6">
        <v>0</v>
      </c>
      <c r="G256" s="7">
        <f t="shared" si="46"/>
        <v>0</v>
      </c>
      <c r="H256" s="7">
        <f t="shared" si="47"/>
        <v>0</v>
      </c>
      <c r="I256" s="8">
        <v>2411</v>
      </c>
      <c r="J256" s="9"/>
      <c r="K256" s="8">
        <f t="shared" si="48"/>
        <v>28932</v>
      </c>
      <c r="L256" s="7">
        <f t="shared" si="49"/>
        <v>0</v>
      </c>
      <c r="M256" s="10">
        <f t="shared" si="50"/>
        <v>1</v>
      </c>
      <c r="N256" s="11">
        <f t="shared" si="51"/>
        <v>0.234861053504768</v>
      </c>
      <c r="O256" s="8">
        <f t="shared" si="52"/>
        <v>13589.9999999999</v>
      </c>
      <c r="P256" s="12">
        <f t="shared" si="53"/>
        <v>0</v>
      </c>
    </row>
    <row r="257" spans="1:16">
      <c r="A257" s="2">
        <v>46092</v>
      </c>
      <c r="B257" s="3">
        <f>Data_Entry!P347</f>
        <v>13320.0000000002</v>
      </c>
      <c r="C257" s="4">
        <f>Data_Entry!V347</f>
        <v>4.88</v>
      </c>
      <c r="D257" s="5">
        <f t="shared" si="45"/>
        <v>0.230194939858983</v>
      </c>
      <c r="E257" s="6">
        <v>0</v>
      </c>
      <c r="F257" s="6">
        <v>0</v>
      </c>
      <c r="G257" s="7">
        <f t="shared" si="46"/>
        <v>0</v>
      </c>
      <c r="H257" s="7">
        <f t="shared" si="47"/>
        <v>0</v>
      </c>
      <c r="I257" s="8">
        <v>2411</v>
      </c>
      <c r="J257" s="9"/>
      <c r="K257" s="8">
        <f t="shared" si="48"/>
        <v>28932</v>
      </c>
      <c r="L257" s="7">
        <f t="shared" si="49"/>
        <v>0</v>
      </c>
      <c r="M257" s="10">
        <f t="shared" si="50"/>
        <v>1</v>
      </c>
      <c r="N257" s="11">
        <f t="shared" si="51"/>
        <v>0.230194939858983</v>
      </c>
      <c r="O257" s="8">
        <f t="shared" si="52"/>
        <v>13320.0000000002</v>
      </c>
      <c r="P257" s="12">
        <f t="shared" si="53"/>
        <v>0</v>
      </c>
    </row>
    <row r="258" spans="1:16">
      <c r="A258" s="2">
        <v>46093</v>
      </c>
      <c r="B258" s="3">
        <f>Data_Entry!P348</f>
        <v>13619.9999999999</v>
      </c>
      <c r="C258" s="4">
        <f>Data_Entry!V348</f>
        <v>4.91</v>
      </c>
      <c r="D258" s="5">
        <f t="shared" si="45"/>
        <v>0.235379510576523</v>
      </c>
      <c r="E258" s="6">
        <v>0</v>
      </c>
      <c r="F258" s="6">
        <v>0</v>
      </c>
      <c r="G258" s="7">
        <f t="shared" si="46"/>
        <v>0</v>
      </c>
      <c r="H258" s="7">
        <f t="shared" si="47"/>
        <v>0</v>
      </c>
      <c r="I258" s="8">
        <v>2411</v>
      </c>
      <c r="J258" s="9"/>
      <c r="K258" s="8">
        <f t="shared" si="48"/>
        <v>28932</v>
      </c>
      <c r="L258" s="7">
        <f t="shared" si="49"/>
        <v>0</v>
      </c>
      <c r="M258" s="10">
        <f t="shared" si="50"/>
        <v>1</v>
      </c>
      <c r="N258" s="11">
        <f t="shared" si="51"/>
        <v>0.235379510576523</v>
      </c>
      <c r="O258" s="8">
        <f t="shared" si="52"/>
        <v>13619.9999999999</v>
      </c>
      <c r="P258" s="12">
        <f t="shared" si="53"/>
        <v>0</v>
      </c>
    </row>
    <row r="259" spans="1:16">
      <c r="A259" s="2">
        <v>46094</v>
      </c>
      <c r="B259" s="3">
        <f>Data_Entry!P349</f>
        <v>13350.0000000001</v>
      </c>
      <c r="C259" s="4">
        <f>Data_Entry!V349</f>
        <v>5.05</v>
      </c>
      <c r="D259" s="5">
        <f t="shared" si="45"/>
        <v>0.230713396930736</v>
      </c>
      <c r="E259" s="6">
        <v>0</v>
      </c>
      <c r="F259" s="6">
        <v>0</v>
      </c>
      <c r="G259" s="7">
        <f t="shared" si="46"/>
        <v>0</v>
      </c>
      <c r="H259" s="7">
        <f t="shared" si="47"/>
        <v>0</v>
      </c>
      <c r="I259" s="8">
        <v>2411</v>
      </c>
      <c r="J259" s="9"/>
      <c r="K259" s="8">
        <f t="shared" si="48"/>
        <v>28932</v>
      </c>
      <c r="L259" s="7">
        <f t="shared" si="49"/>
        <v>0</v>
      </c>
      <c r="M259" s="10">
        <f t="shared" si="50"/>
        <v>1</v>
      </c>
      <c r="N259" s="11">
        <f t="shared" si="51"/>
        <v>0.230713396930736</v>
      </c>
      <c r="O259" s="8">
        <f t="shared" si="52"/>
        <v>13350.0000000001</v>
      </c>
      <c r="P259" s="12">
        <f t="shared" si="53"/>
        <v>0</v>
      </c>
    </row>
    <row r="260" spans="1:16">
      <c r="A260" s="2">
        <v>46095</v>
      </c>
      <c r="B260" s="3">
        <f>Data_Entry!P350</f>
        <v>14250</v>
      </c>
      <c r="C260" s="4">
        <f>Data_Entry!V350</f>
        <v>5.34</v>
      </c>
      <c r="D260" s="5">
        <f t="shared" si="45"/>
        <v>0.246267109083368</v>
      </c>
      <c r="E260" s="6">
        <v>0</v>
      </c>
      <c r="F260" s="6">
        <v>0</v>
      </c>
      <c r="G260" s="7">
        <f t="shared" si="46"/>
        <v>0</v>
      </c>
      <c r="H260" s="7">
        <f t="shared" si="47"/>
        <v>0</v>
      </c>
      <c r="I260" s="8">
        <v>2411</v>
      </c>
      <c r="J260" s="9"/>
      <c r="K260" s="8">
        <f t="shared" si="48"/>
        <v>28932</v>
      </c>
      <c r="L260" s="7">
        <f t="shared" si="49"/>
        <v>0</v>
      </c>
      <c r="M260" s="10">
        <f t="shared" si="50"/>
        <v>1</v>
      </c>
      <c r="N260" s="11">
        <f t="shared" si="51"/>
        <v>0.246267109083368</v>
      </c>
      <c r="O260" s="8">
        <f t="shared" si="52"/>
        <v>14250</v>
      </c>
      <c r="P260" s="12">
        <f t="shared" si="53"/>
        <v>0</v>
      </c>
    </row>
    <row r="261" spans="1:16">
      <c r="A261" s="2">
        <v>46096</v>
      </c>
      <c r="B261" s="3">
        <f>Data_Entry!P351</f>
        <v>13319.9999999995</v>
      </c>
      <c r="C261" s="4">
        <f>Data_Entry!V351</f>
        <v>5.09</v>
      </c>
      <c r="D261" s="5">
        <f t="shared" si="45"/>
        <v>0.230194939858971</v>
      </c>
      <c r="E261" s="6">
        <v>0</v>
      </c>
      <c r="F261" s="6">
        <v>0</v>
      </c>
      <c r="G261" s="7">
        <f t="shared" si="46"/>
        <v>0</v>
      </c>
      <c r="H261" s="7">
        <f t="shared" si="47"/>
        <v>0</v>
      </c>
      <c r="I261" s="8">
        <v>2411</v>
      </c>
      <c r="J261" s="9"/>
      <c r="K261" s="8">
        <f t="shared" si="48"/>
        <v>28932</v>
      </c>
      <c r="L261" s="7">
        <f t="shared" si="49"/>
        <v>0</v>
      </c>
      <c r="M261" s="10">
        <f t="shared" si="50"/>
        <v>1</v>
      </c>
      <c r="N261" s="11">
        <f t="shared" si="51"/>
        <v>0.230194939858971</v>
      </c>
      <c r="O261" s="8">
        <f t="shared" si="52"/>
        <v>13319.9999999995</v>
      </c>
      <c r="P261" s="12">
        <f t="shared" si="53"/>
        <v>0</v>
      </c>
    </row>
    <row r="262" spans="1:16">
      <c r="A262" s="2">
        <v>46097</v>
      </c>
      <c r="B262" s="3">
        <f>Data_Entry!P352</f>
        <v>14190.0000000001</v>
      </c>
      <c r="C262" s="4">
        <f>Data_Entry!V352</f>
        <v>5.31</v>
      </c>
      <c r="D262" s="5">
        <f t="shared" si="45"/>
        <v>0.245230194939861</v>
      </c>
      <c r="E262" s="6">
        <v>0</v>
      </c>
      <c r="F262" s="6">
        <v>0</v>
      </c>
      <c r="G262" s="7">
        <f t="shared" si="46"/>
        <v>0</v>
      </c>
      <c r="H262" s="7">
        <f t="shared" si="47"/>
        <v>0</v>
      </c>
      <c r="I262" s="8">
        <v>2411</v>
      </c>
      <c r="J262" s="9"/>
      <c r="K262" s="8">
        <f t="shared" si="48"/>
        <v>28932</v>
      </c>
      <c r="L262" s="7">
        <f t="shared" si="49"/>
        <v>0</v>
      </c>
      <c r="M262" s="10">
        <f t="shared" si="50"/>
        <v>1</v>
      </c>
      <c r="N262" s="11">
        <f t="shared" si="51"/>
        <v>0.245230194939861</v>
      </c>
      <c r="O262" s="8">
        <f t="shared" si="52"/>
        <v>14190.0000000001</v>
      </c>
      <c r="P262" s="12">
        <f t="shared" si="53"/>
        <v>0</v>
      </c>
    </row>
    <row r="263" spans="1:16">
      <c r="A263" s="2">
        <v>46098</v>
      </c>
      <c r="B263" s="3">
        <f>Data_Entry!P353</f>
        <v>13710.0000000005</v>
      </c>
      <c r="C263" s="4">
        <f>Data_Entry!V353</f>
        <v>5.28</v>
      </c>
      <c r="D263" s="5">
        <f t="shared" si="45"/>
        <v>0.236934881791796</v>
      </c>
      <c r="E263" s="6">
        <v>0</v>
      </c>
      <c r="F263" s="6">
        <v>0</v>
      </c>
      <c r="G263" s="7">
        <f t="shared" si="46"/>
        <v>0</v>
      </c>
      <c r="H263" s="7">
        <f t="shared" si="47"/>
        <v>0</v>
      </c>
      <c r="I263" s="8">
        <v>2411</v>
      </c>
      <c r="J263" s="9"/>
      <c r="K263" s="8">
        <f t="shared" si="48"/>
        <v>28932</v>
      </c>
      <c r="L263" s="7">
        <f t="shared" si="49"/>
        <v>0</v>
      </c>
      <c r="M263" s="10">
        <f t="shared" si="50"/>
        <v>1</v>
      </c>
      <c r="N263" s="11">
        <f t="shared" si="51"/>
        <v>0.236934881791796</v>
      </c>
      <c r="O263" s="8">
        <f t="shared" si="52"/>
        <v>13710.0000000005</v>
      </c>
      <c r="P263" s="12">
        <f t="shared" si="53"/>
        <v>0</v>
      </c>
    </row>
    <row r="264" spans="1:16">
      <c r="A264" s="2">
        <v>46099</v>
      </c>
      <c r="B264" s="3">
        <f>Data_Entry!P354</f>
        <v>13559.9999999999</v>
      </c>
      <c r="C264" s="4">
        <f>Data_Entry!V354</f>
        <v>4.94</v>
      </c>
      <c r="D264" s="5">
        <f t="shared" si="45"/>
        <v>0.234342596433014</v>
      </c>
      <c r="E264" s="6">
        <v>0</v>
      </c>
      <c r="F264" s="6">
        <v>0</v>
      </c>
      <c r="G264" s="7">
        <f t="shared" si="46"/>
        <v>0</v>
      </c>
      <c r="H264" s="7">
        <f t="shared" si="47"/>
        <v>0</v>
      </c>
      <c r="I264" s="8">
        <v>2411</v>
      </c>
      <c r="J264" s="9"/>
      <c r="K264" s="8">
        <f t="shared" si="48"/>
        <v>28932</v>
      </c>
      <c r="L264" s="7">
        <f t="shared" si="49"/>
        <v>0</v>
      </c>
      <c r="M264" s="10">
        <f t="shared" si="50"/>
        <v>1</v>
      </c>
      <c r="N264" s="11">
        <f t="shared" si="51"/>
        <v>0.234342596433014</v>
      </c>
      <c r="O264" s="8">
        <f t="shared" si="52"/>
        <v>13559.9999999999</v>
      </c>
      <c r="P264" s="12">
        <f t="shared" si="53"/>
        <v>0</v>
      </c>
    </row>
    <row r="265" spans="1:16">
      <c r="A265" s="2">
        <v>46100</v>
      </c>
      <c r="B265" s="3">
        <f>Data_Entry!P355</f>
        <v>9329.9999999997</v>
      </c>
      <c r="C265" s="4">
        <f>Data_Entry!V355</f>
        <v>3.22</v>
      </c>
      <c r="D265" s="5">
        <f t="shared" si="45"/>
        <v>0.161240149315631</v>
      </c>
      <c r="E265" s="6">
        <v>0</v>
      </c>
      <c r="F265" s="6">
        <v>0</v>
      </c>
      <c r="G265" s="7">
        <f t="shared" si="46"/>
        <v>0</v>
      </c>
      <c r="H265" s="7">
        <f t="shared" si="47"/>
        <v>0</v>
      </c>
      <c r="I265" s="8">
        <v>2411</v>
      </c>
      <c r="J265" s="9"/>
      <c r="K265" s="8">
        <f t="shared" si="48"/>
        <v>28932</v>
      </c>
      <c r="L265" s="7">
        <f t="shared" si="49"/>
        <v>0</v>
      </c>
      <c r="M265" s="10">
        <f t="shared" si="50"/>
        <v>1</v>
      </c>
      <c r="N265" s="11">
        <f t="shared" si="51"/>
        <v>0.161240149315631</v>
      </c>
      <c r="O265" s="8">
        <f t="shared" si="52"/>
        <v>9329.9999999997</v>
      </c>
      <c r="P265" s="12">
        <f t="shared" si="53"/>
        <v>0</v>
      </c>
    </row>
    <row r="266" spans="1:16">
      <c r="A266" s="2">
        <v>46101</v>
      </c>
      <c r="B266" s="3">
        <f>Data_Entry!P356</f>
        <v>13739.9999999998</v>
      </c>
      <c r="C266" s="4">
        <f>Data_Entry!V356</f>
        <v>3.77</v>
      </c>
      <c r="D266" s="5">
        <f t="shared" si="45"/>
        <v>0.237453338863539</v>
      </c>
      <c r="E266" s="6">
        <v>0</v>
      </c>
      <c r="F266" s="6">
        <v>0</v>
      </c>
      <c r="G266" s="7">
        <f t="shared" si="46"/>
        <v>0</v>
      </c>
      <c r="H266" s="7">
        <f t="shared" si="47"/>
        <v>0</v>
      </c>
      <c r="I266" s="8">
        <v>2411</v>
      </c>
      <c r="J266" s="9"/>
      <c r="K266" s="8">
        <f t="shared" si="48"/>
        <v>28932</v>
      </c>
      <c r="L266" s="7">
        <f t="shared" si="49"/>
        <v>0</v>
      </c>
      <c r="M266" s="10">
        <f t="shared" si="50"/>
        <v>1</v>
      </c>
      <c r="N266" s="11">
        <f t="shared" si="51"/>
        <v>0.237453338863539</v>
      </c>
      <c r="O266" s="8">
        <f t="shared" si="52"/>
        <v>13739.9999999998</v>
      </c>
      <c r="P266" s="12">
        <f t="shared" si="53"/>
        <v>0</v>
      </c>
    </row>
    <row r="267" spans="1:16">
      <c r="A267" s="2">
        <v>46102</v>
      </c>
      <c r="B267" s="3">
        <f>Data_Entry!P357</f>
        <v>13650.0000000005</v>
      </c>
      <c r="C267" s="4">
        <f>Data_Entry!V357</f>
        <v>4.66</v>
      </c>
      <c r="D267" s="5">
        <f t="shared" si="45"/>
        <v>0.235897967648287</v>
      </c>
      <c r="E267" s="6">
        <v>0</v>
      </c>
      <c r="F267" s="6">
        <v>0</v>
      </c>
      <c r="G267" s="7">
        <f t="shared" si="46"/>
        <v>0</v>
      </c>
      <c r="H267" s="7">
        <f t="shared" si="47"/>
        <v>0</v>
      </c>
      <c r="I267" s="8">
        <v>2411</v>
      </c>
      <c r="J267" s="9"/>
      <c r="K267" s="8">
        <f t="shared" si="48"/>
        <v>28932</v>
      </c>
      <c r="L267" s="7">
        <f t="shared" si="49"/>
        <v>0</v>
      </c>
      <c r="M267" s="10">
        <f t="shared" si="50"/>
        <v>1</v>
      </c>
      <c r="N267" s="11">
        <f t="shared" si="51"/>
        <v>0.235897967648287</v>
      </c>
      <c r="O267" s="8">
        <f t="shared" si="52"/>
        <v>13650.0000000005</v>
      </c>
      <c r="P267" s="12">
        <f t="shared" si="53"/>
        <v>0</v>
      </c>
    </row>
    <row r="268" spans="1:16">
      <c r="A268" s="2">
        <v>46103</v>
      </c>
      <c r="B268" s="3">
        <f>Data_Entry!P358</f>
        <v>13530</v>
      </c>
      <c r="C268" s="4">
        <f>Data_Entry!V358</f>
        <v>4.86</v>
      </c>
      <c r="D268" s="5">
        <f t="shared" si="45"/>
        <v>0.233824139361261</v>
      </c>
      <c r="E268" s="6">
        <v>0</v>
      </c>
      <c r="F268" s="6">
        <v>0</v>
      </c>
      <c r="G268" s="7">
        <f t="shared" si="46"/>
        <v>0</v>
      </c>
      <c r="H268" s="7">
        <f t="shared" si="47"/>
        <v>0</v>
      </c>
      <c r="I268" s="8">
        <v>2411</v>
      </c>
      <c r="J268" s="9"/>
      <c r="K268" s="8">
        <f t="shared" si="48"/>
        <v>28932</v>
      </c>
      <c r="L268" s="7">
        <f t="shared" si="49"/>
        <v>0</v>
      </c>
      <c r="M268" s="10">
        <f t="shared" si="50"/>
        <v>1</v>
      </c>
      <c r="N268" s="11">
        <f t="shared" si="51"/>
        <v>0.233824139361261</v>
      </c>
      <c r="O268" s="8">
        <f t="shared" si="52"/>
        <v>13530</v>
      </c>
      <c r="P268" s="12">
        <f t="shared" si="53"/>
        <v>0</v>
      </c>
    </row>
    <row r="269" spans="1:16">
      <c r="A269" s="2">
        <v>46104</v>
      </c>
      <c r="B269" s="3">
        <f>Data_Entry!P359</f>
        <v>11789.9999999995</v>
      </c>
      <c r="C269" s="4">
        <f>Data_Entry!V359</f>
        <v>4.53</v>
      </c>
      <c r="D269" s="5">
        <f t="shared" si="45"/>
        <v>0.203753629199494</v>
      </c>
      <c r="E269" s="6">
        <v>0</v>
      </c>
      <c r="F269" s="6">
        <v>0</v>
      </c>
      <c r="G269" s="7">
        <f t="shared" si="46"/>
        <v>0</v>
      </c>
      <c r="H269" s="7">
        <f t="shared" si="47"/>
        <v>0</v>
      </c>
      <c r="I269" s="8">
        <v>2411</v>
      </c>
      <c r="J269" s="9"/>
      <c r="K269" s="8">
        <f t="shared" si="48"/>
        <v>28932</v>
      </c>
      <c r="L269" s="7">
        <f t="shared" si="49"/>
        <v>0</v>
      </c>
      <c r="M269" s="10">
        <f t="shared" si="50"/>
        <v>1</v>
      </c>
      <c r="N269" s="11">
        <f t="shared" si="51"/>
        <v>0.203753629199494</v>
      </c>
      <c r="O269" s="8">
        <f t="shared" si="52"/>
        <v>11789.9999999995</v>
      </c>
      <c r="P269" s="12">
        <f t="shared" si="53"/>
        <v>0</v>
      </c>
    </row>
    <row r="270" spans="1:16">
      <c r="A270" s="2">
        <v>46105</v>
      </c>
      <c r="B270" s="3">
        <f>Data_Entry!P360</f>
        <v>12450.0000000003</v>
      </c>
      <c r="C270" s="4">
        <f>Data_Entry!V360</f>
        <v>4.52</v>
      </c>
      <c r="D270" s="5">
        <f t="shared" si="45"/>
        <v>0.215159684778106</v>
      </c>
      <c r="E270" s="6">
        <v>0</v>
      </c>
      <c r="F270" s="6">
        <v>0</v>
      </c>
      <c r="G270" s="7">
        <f t="shared" si="46"/>
        <v>0</v>
      </c>
      <c r="H270" s="7">
        <f t="shared" si="47"/>
        <v>0</v>
      </c>
      <c r="I270" s="8">
        <v>2411</v>
      </c>
      <c r="J270" s="9"/>
      <c r="K270" s="8">
        <f t="shared" si="48"/>
        <v>28932</v>
      </c>
      <c r="L270" s="7">
        <f t="shared" si="49"/>
        <v>0</v>
      </c>
      <c r="M270" s="10">
        <f t="shared" si="50"/>
        <v>1</v>
      </c>
      <c r="N270" s="11">
        <f t="shared" si="51"/>
        <v>0.215159684778106</v>
      </c>
      <c r="O270" s="8">
        <f t="shared" si="52"/>
        <v>12450.0000000003</v>
      </c>
      <c r="P270" s="12">
        <f t="shared" si="53"/>
        <v>0</v>
      </c>
    </row>
    <row r="271" spans="1:16">
      <c r="A271" s="2">
        <v>46106</v>
      </c>
      <c r="B271" s="3">
        <f>Data_Entry!P361</f>
        <v>13139.9999999996</v>
      </c>
      <c r="C271" s="4">
        <f>Data_Entry!V361</f>
        <v>5.24</v>
      </c>
      <c r="D271" s="5">
        <f t="shared" si="45"/>
        <v>0.227084197428446</v>
      </c>
      <c r="E271" s="6">
        <v>0</v>
      </c>
      <c r="F271" s="6">
        <v>0</v>
      </c>
      <c r="G271" s="7">
        <f t="shared" si="46"/>
        <v>0</v>
      </c>
      <c r="H271" s="7">
        <f t="shared" si="47"/>
        <v>0</v>
      </c>
      <c r="I271" s="8">
        <v>2411</v>
      </c>
      <c r="J271" s="9"/>
      <c r="K271" s="8">
        <f t="shared" si="48"/>
        <v>28932</v>
      </c>
      <c r="L271" s="7">
        <f t="shared" si="49"/>
        <v>0</v>
      </c>
      <c r="M271" s="10">
        <f t="shared" si="50"/>
        <v>1</v>
      </c>
      <c r="N271" s="11">
        <f t="shared" si="51"/>
        <v>0.227084197428446</v>
      </c>
      <c r="O271" s="8">
        <f t="shared" si="52"/>
        <v>13139.9999999996</v>
      </c>
      <c r="P271" s="12">
        <f t="shared" si="53"/>
        <v>0</v>
      </c>
    </row>
    <row r="272" spans="1:16">
      <c r="A272" s="2">
        <v>46107</v>
      </c>
      <c r="B272" s="3">
        <f>Data_Entry!P362</f>
        <v>13680.0000000005</v>
      </c>
      <c r="C272" s="4">
        <f>Data_Entry!V362</f>
        <v>5.07</v>
      </c>
      <c r="D272" s="5">
        <f t="shared" si="45"/>
        <v>0.236416424720042</v>
      </c>
      <c r="E272" s="6">
        <v>0</v>
      </c>
      <c r="F272" s="6">
        <v>0</v>
      </c>
      <c r="G272" s="7">
        <f t="shared" si="46"/>
        <v>0</v>
      </c>
      <c r="H272" s="7">
        <f t="shared" si="47"/>
        <v>0</v>
      </c>
      <c r="I272" s="8">
        <v>2411</v>
      </c>
      <c r="J272" s="9"/>
      <c r="K272" s="8">
        <f t="shared" si="48"/>
        <v>28932</v>
      </c>
      <c r="L272" s="7">
        <f t="shared" si="49"/>
        <v>0</v>
      </c>
      <c r="M272" s="10">
        <f t="shared" si="50"/>
        <v>1</v>
      </c>
      <c r="N272" s="11">
        <f t="shared" si="51"/>
        <v>0.236416424720042</v>
      </c>
      <c r="O272" s="8">
        <f t="shared" si="52"/>
        <v>13680.0000000005</v>
      </c>
      <c r="P272" s="12">
        <f t="shared" si="53"/>
        <v>0</v>
      </c>
    </row>
    <row r="273" spans="1:16">
      <c r="A273" s="2">
        <v>46108</v>
      </c>
      <c r="B273" s="3">
        <f>Data_Entry!P363</f>
        <v>14039.9999999995</v>
      </c>
      <c r="C273" s="4">
        <f>Data_Entry!V363</f>
        <v>5.35</v>
      </c>
      <c r="D273" s="5">
        <f t="shared" si="45"/>
        <v>0.242637909581078</v>
      </c>
      <c r="E273" s="6">
        <v>0</v>
      </c>
      <c r="F273" s="6">
        <v>0</v>
      </c>
      <c r="G273" s="7">
        <f t="shared" si="46"/>
        <v>0</v>
      </c>
      <c r="H273" s="7">
        <f t="shared" si="47"/>
        <v>0</v>
      </c>
      <c r="I273" s="8">
        <v>2411</v>
      </c>
      <c r="J273" s="9"/>
      <c r="K273" s="8">
        <f t="shared" si="48"/>
        <v>28932</v>
      </c>
      <c r="L273" s="7">
        <f t="shared" si="49"/>
        <v>0</v>
      </c>
      <c r="M273" s="10">
        <f t="shared" si="50"/>
        <v>1</v>
      </c>
      <c r="N273" s="11">
        <f t="shared" si="51"/>
        <v>0.242637909581078</v>
      </c>
      <c r="O273" s="8">
        <f t="shared" si="52"/>
        <v>14039.9999999995</v>
      </c>
      <c r="P273" s="12">
        <f t="shared" si="53"/>
        <v>0</v>
      </c>
    </row>
    <row r="274" spans="1:16">
      <c r="A274" s="2">
        <v>46109</v>
      </c>
      <c r="B274" s="3">
        <f>Data_Entry!P364</f>
        <v>13230.0000000002</v>
      </c>
      <c r="C274" s="4">
        <f>Data_Entry!V364</f>
        <v>5.29</v>
      </c>
      <c r="D274" s="5">
        <f t="shared" si="45"/>
        <v>0.22863956864372</v>
      </c>
      <c r="E274" s="6">
        <v>0</v>
      </c>
      <c r="F274" s="6">
        <v>0</v>
      </c>
      <c r="G274" s="7">
        <f t="shared" si="46"/>
        <v>0</v>
      </c>
      <c r="H274" s="7">
        <f t="shared" si="47"/>
        <v>0</v>
      </c>
      <c r="I274" s="8">
        <v>2411</v>
      </c>
      <c r="J274" s="9"/>
      <c r="K274" s="8">
        <f t="shared" si="48"/>
        <v>28932</v>
      </c>
      <c r="L274" s="7">
        <f t="shared" si="49"/>
        <v>0</v>
      </c>
      <c r="M274" s="10">
        <f t="shared" si="50"/>
        <v>1</v>
      </c>
      <c r="N274" s="11">
        <f t="shared" si="51"/>
        <v>0.22863956864372</v>
      </c>
      <c r="O274" s="8">
        <f t="shared" si="52"/>
        <v>13230.0000000002</v>
      </c>
      <c r="P274" s="12">
        <f t="shared" si="53"/>
        <v>0</v>
      </c>
    </row>
    <row r="275" spans="1:16">
      <c r="A275" s="2">
        <v>46110</v>
      </c>
      <c r="B275" s="3">
        <f>Data_Entry!P365</f>
        <v>12209.9999999998</v>
      </c>
      <c r="C275" s="4">
        <f>Data_Entry!V365</f>
        <v>5.33</v>
      </c>
      <c r="D275" s="5">
        <f t="shared" ref="D275:D306" si="54">B275/(24*I275)</f>
        <v>0.211012028204061</v>
      </c>
      <c r="E275" s="6">
        <v>0</v>
      </c>
      <c r="F275" s="6">
        <v>0</v>
      </c>
      <c r="G275" s="7">
        <f t="shared" ref="G275:G306" si="55">(F275-E275)*24*60</f>
        <v>0</v>
      </c>
      <c r="H275" s="7">
        <f t="shared" ref="H275:H306" si="56">G275/60</f>
        <v>0</v>
      </c>
      <c r="I275" s="8">
        <v>2411</v>
      </c>
      <c r="J275" s="9"/>
      <c r="K275" s="8">
        <f t="shared" ref="K275:K306" si="57">I275*12</f>
        <v>28932</v>
      </c>
      <c r="L275" s="7">
        <f t="shared" ref="L275:L306" si="58">J275*H275</f>
        <v>0</v>
      </c>
      <c r="M275" s="10">
        <f t="shared" ref="M275:M306" si="59">(K275-L275)/K275</f>
        <v>1</v>
      </c>
      <c r="N275" s="11">
        <f t="shared" ref="N275:N306" si="60">D275/M275</f>
        <v>0.211012028204061</v>
      </c>
      <c r="O275" s="8">
        <f t="shared" ref="O275:O306" si="61">N275*I275*24</f>
        <v>12209.9999999998</v>
      </c>
      <c r="P275" s="12">
        <f t="shared" ref="P275:P306" si="62">O275-B275</f>
        <v>0</v>
      </c>
    </row>
    <row r="276" spans="1:16">
      <c r="A276" s="2">
        <v>46111</v>
      </c>
      <c r="B276" s="3">
        <f>Data_Entry!P366</f>
        <v>13770.0000000004</v>
      </c>
      <c r="C276" s="4">
        <f>Data_Entry!V366</f>
        <v>4.91</v>
      </c>
      <c r="D276" s="5">
        <f t="shared" si="54"/>
        <v>0.237971795935303</v>
      </c>
      <c r="E276" s="6">
        <v>0</v>
      </c>
      <c r="F276" s="6">
        <v>0</v>
      </c>
      <c r="G276" s="7">
        <f t="shared" si="55"/>
        <v>0</v>
      </c>
      <c r="H276" s="7">
        <f t="shared" si="56"/>
        <v>0</v>
      </c>
      <c r="I276" s="8">
        <v>2411</v>
      </c>
      <c r="J276" s="9"/>
      <c r="K276" s="8">
        <f t="shared" si="57"/>
        <v>28932</v>
      </c>
      <c r="L276" s="7">
        <f t="shared" si="58"/>
        <v>0</v>
      </c>
      <c r="M276" s="10">
        <f t="shared" si="59"/>
        <v>1</v>
      </c>
      <c r="N276" s="11">
        <f t="shared" si="60"/>
        <v>0.237971795935303</v>
      </c>
      <c r="O276" s="8">
        <f t="shared" si="61"/>
        <v>13770.0000000004</v>
      </c>
      <c r="P276" s="12">
        <f t="shared" si="62"/>
        <v>0</v>
      </c>
    </row>
    <row r="277" spans="1:16">
      <c r="A277" s="2">
        <v>46112</v>
      </c>
      <c r="B277" s="3">
        <f>Data_Entry!P367</f>
        <v>11699.9999999996</v>
      </c>
      <c r="C277" s="4">
        <f>Data_Entry!V367</f>
        <v>5.23</v>
      </c>
      <c r="D277" s="5">
        <f t="shared" si="54"/>
        <v>0.202198257984232</v>
      </c>
      <c r="E277" s="6">
        <v>0</v>
      </c>
      <c r="F277" s="6">
        <v>0</v>
      </c>
      <c r="G277" s="7">
        <f t="shared" si="55"/>
        <v>0</v>
      </c>
      <c r="H277" s="7">
        <f t="shared" si="56"/>
        <v>0</v>
      </c>
      <c r="I277" s="8">
        <v>2411</v>
      </c>
      <c r="J277" s="9"/>
      <c r="K277" s="8">
        <f t="shared" si="57"/>
        <v>28932</v>
      </c>
      <c r="L277" s="7">
        <f t="shared" si="58"/>
        <v>0</v>
      </c>
      <c r="M277" s="10">
        <f t="shared" si="59"/>
        <v>1</v>
      </c>
      <c r="N277" s="11">
        <f t="shared" si="60"/>
        <v>0.202198257984232</v>
      </c>
      <c r="O277" s="8">
        <f t="shared" si="61"/>
        <v>11699.9999999996</v>
      </c>
      <c r="P277" s="12">
        <f t="shared" si="62"/>
        <v>0</v>
      </c>
    </row>
    <row r="278" spans="1:16">
      <c r="A278" s="2">
        <v>46113</v>
      </c>
      <c r="B278" s="3">
        <f>Data_Entry!P368</f>
        <v>13380.0000000001</v>
      </c>
      <c r="C278" s="4">
        <f>Data_Entry!V368</f>
        <v>5.05</v>
      </c>
      <c r="D278" s="5">
        <f t="shared" si="54"/>
        <v>0.23123185400249</v>
      </c>
      <c r="E278" s="6">
        <v>0</v>
      </c>
      <c r="F278" s="6">
        <v>0</v>
      </c>
      <c r="G278" s="7">
        <f t="shared" si="55"/>
        <v>0</v>
      </c>
      <c r="H278" s="7">
        <f t="shared" si="56"/>
        <v>0</v>
      </c>
      <c r="I278" s="8">
        <v>2411</v>
      </c>
      <c r="J278" s="9"/>
      <c r="K278" s="8">
        <f t="shared" si="57"/>
        <v>28932</v>
      </c>
      <c r="L278" s="7">
        <f t="shared" si="58"/>
        <v>0</v>
      </c>
      <c r="M278" s="10">
        <f t="shared" si="59"/>
        <v>1</v>
      </c>
      <c r="N278" s="11">
        <f t="shared" si="60"/>
        <v>0.23123185400249</v>
      </c>
      <c r="O278" s="8">
        <f t="shared" si="61"/>
        <v>13380.0000000001</v>
      </c>
      <c r="P278" s="12">
        <f t="shared" si="62"/>
        <v>0</v>
      </c>
    </row>
    <row r="279" spans="1:16">
      <c r="A279" s="2">
        <v>46114</v>
      </c>
      <c r="B279" s="3">
        <f>Data_Entry!P369</f>
        <v>12869.9999999999</v>
      </c>
      <c r="C279" s="4">
        <f>Data_Entry!V369</f>
        <v>3.98</v>
      </c>
      <c r="D279" s="5">
        <f t="shared" si="54"/>
        <v>0.222418083782661</v>
      </c>
      <c r="E279" s="6">
        <v>0</v>
      </c>
      <c r="F279" s="6">
        <v>0</v>
      </c>
      <c r="G279" s="7">
        <f t="shared" si="55"/>
        <v>0</v>
      </c>
      <c r="H279" s="7">
        <f t="shared" si="56"/>
        <v>0</v>
      </c>
      <c r="I279" s="8">
        <v>2411</v>
      </c>
      <c r="J279" s="9"/>
      <c r="K279" s="8">
        <f t="shared" si="57"/>
        <v>28932</v>
      </c>
      <c r="L279" s="7">
        <f t="shared" si="58"/>
        <v>0</v>
      </c>
      <c r="M279" s="10">
        <f t="shared" si="59"/>
        <v>1</v>
      </c>
      <c r="N279" s="11">
        <f t="shared" si="60"/>
        <v>0.222418083782661</v>
      </c>
      <c r="O279" s="8">
        <f t="shared" si="61"/>
        <v>12869.9999999999</v>
      </c>
      <c r="P279" s="12">
        <f t="shared" si="62"/>
        <v>0</v>
      </c>
    </row>
    <row r="280" spans="1:16">
      <c r="A280" s="2">
        <v>46115</v>
      </c>
      <c r="B280" s="3">
        <f>Data_Entry!P370</f>
        <v>9119.99999999989</v>
      </c>
      <c r="C280" s="4">
        <f>Data_Entry!V370</f>
        <v>2.65</v>
      </c>
      <c r="D280" s="5">
        <f t="shared" si="54"/>
        <v>0.157610949813354</v>
      </c>
      <c r="E280" s="6">
        <v>0</v>
      </c>
      <c r="F280" s="6">
        <v>0</v>
      </c>
      <c r="G280" s="7">
        <f t="shared" si="55"/>
        <v>0</v>
      </c>
      <c r="H280" s="7">
        <f t="shared" si="56"/>
        <v>0</v>
      </c>
      <c r="I280" s="8">
        <v>2411</v>
      </c>
      <c r="J280" s="9"/>
      <c r="K280" s="8">
        <f t="shared" si="57"/>
        <v>28932</v>
      </c>
      <c r="L280" s="7">
        <f t="shared" si="58"/>
        <v>0</v>
      </c>
      <c r="M280" s="10">
        <f t="shared" si="59"/>
        <v>1</v>
      </c>
      <c r="N280" s="11">
        <f t="shared" si="60"/>
        <v>0.157610949813354</v>
      </c>
      <c r="O280" s="8">
        <f t="shared" si="61"/>
        <v>9119.99999999989</v>
      </c>
      <c r="P280" s="12">
        <f t="shared" si="62"/>
        <v>0</v>
      </c>
    </row>
    <row r="281" spans="1:16">
      <c r="A281" s="2">
        <v>46116</v>
      </c>
      <c r="B281" s="3">
        <f>Data_Entry!P371</f>
        <v>14160.0000000001</v>
      </c>
      <c r="C281" s="4">
        <f>Data_Entry!V371</f>
        <v>5.33</v>
      </c>
      <c r="D281" s="5">
        <f t="shared" si="54"/>
        <v>0.244711737868106</v>
      </c>
      <c r="E281" s="6">
        <v>0</v>
      </c>
      <c r="F281" s="6">
        <v>0</v>
      </c>
      <c r="G281" s="7">
        <f t="shared" si="55"/>
        <v>0</v>
      </c>
      <c r="H281" s="7">
        <f t="shared" si="56"/>
        <v>0</v>
      </c>
      <c r="I281" s="8">
        <v>2411</v>
      </c>
      <c r="J281" s="9"/>
      <c r="K281" s="8">
        <f t="shared" si="57"/>
        <v>28932</v>
      </c>
      <c r="L281" s="7">
        <f t="shared" si="58"/>
        <v>0</v>
      </c>
      <c r="M281" s="10">
        <f t="shared" si="59"/>
        <v>1</v>
      </c>
      <c r="N281" s="11">
        <f t="shared" si="60"/>
        <v>0.244711737868106</v>
      </c>
      <c r="O281" s="8">
        <f t="shared" si="61"/>
        <v>14160.0000000001</v>
      </c>
      <c r="P281" s="12">
        <f t="shared" si="62"/>
        <v>0</v>
      </c>
    </row>
    <row r="282" spans="1:16">
      <c r="A282" s="2">
        <v>46117</v>
      </c>
      <c r="B282" s="3">
        <f>Data_Entry!P372</f>
        <v>13620.0000000006</v>
      </c>
      <c r="C282" s="4">
        <f>Data_Entry!V372</f>
        <v>5.33</v>
      </c>
      <c r="D282" s="5">
        <f t="shared" si="54"/>
        <v>0.235379510576534</v>
      </c>
      <c r="E282" s="6">
        <v>0</v>
      </c>
      <c r="F282" s="6">
        <v>0</v>
      </c>
      <c r="G282" s="7">
        <f t="shared" si="55"/>
        <v>0</v>
      </c>
      <c r="H282" s="7">
        <f t="shared" si="56"/>
        <v>0</v>
      </c>
      <c r="I282" s="8">
        <v>2411</v>
      </c>
      <c r="J282" s="9"/>
      <c r="K282" s="8">
        <f t="shared" si="57"/>
        <v>28932</v>
      </c>
      <c r="L282" s="7">
        <f t="shared" si="58"/>
        <v>0</v>
      </c>
      <c r="M282" s="10">
        <f t="shared" si="59"/>
        <v>1</v>
      </c>
      <c r="N282" s="11">
        <f t="shared" si="60"/>
        <v>0.235379510576534</v>
      </c>
      <c r="O282" s="8">
        <f t="shared" si="61"/>
        <v>13620.0000000006</v>
      </c>
      <c r="P282" s="12">
        <f t="shared" si="62"/>
        <v>0</v>
      </c>
    </row>
    <row r="283" spans="1:16">
      <c r="A283" s="2">
        <v>46118</v>
      </c>
      <c r="B283" s="3">
        <f>Data_Entry!P373</f>
        <v>14129.9999999994</v>
      </c>
      <c r="C283" s="4">
        <f>Data_Entry!V373</f>
        <v>5.25</v>
      </c>
      <c r="D283" s="5">
        <f t="shared" si="54"/>
        <v>0.24419328079634</v>
      </c>
      <c r="E283" s="6">
        <v>0</v>
      </c>
      <c r="F283" s="6">
        <v>0</v>
      </c>
      <c r="G283" s="7">
        <f t="shared" si="55"/>
        <v>0</v>
      </c>
      <c r="H283" s="7">
        <f t="shared" si="56"/>
        <v>0</v>
      </c>
      <c r="I283" s="8">
        <v>2411</v>
      </c>
      <c r="J283" s="9"/>
      <c r="K283" s="8">
        <f t="shared" si="57"/>
        <v>28932</v>
      </c>
      <c r="L283" s="7">
        <f t="shared" si="58"/>
        <v>0</v>
      </c>
      <c r="M283" s="10">
        <f t="shared" si="59"/>
        <v>1</v>
      </c>
      <c r="N283" s="11">
        <f t="shared" si="60"/>
        <v>0.24419328079634</v>
      </c>
      <c r="O283" s="8">
        <f t="shared" si="61"/>
        <v>14129.9999999994</v>
      </c>
      <c r="P283" s="12">
        <f t="shared" si="62"/>
        <v>0</v>
      </c>
    </row>
    <row r="284" spans="1:16">
      <c r="A284" s="2">
        <v>46119</v>
      </c>
      <c r="B284" s="3">
        <f>Data_Entry!P374</f>
        <v>13440.0000000001</v>
      </c>
      <c r="C284" s="4">
        <f>Data_Entry!V374</f>
        <v>4.82</v>
      </c>
      <c r="D284" s="5">
        <f t="shared" si="54"/>
        <v>0.232268768145998</v>
      </c>
      <c r="E284" s="6">
        <v>0</v>
      </c>
      <c r="F284" s="6">
        <v>0</v>
      </c>
      <c r="G284" s="7">
        <f t="shared" si="55"/>
        <v>0</v>
      </c>
      <c r="H284" s="7">
        <f t="shared" si="56"/>
        <v>0</v>
      </c>
      <c r="I284" s="8">
        <v>2411</v>
      </c>
      <c r="J284" s="9"/>
      <c r="K284" s="8">
        <f t="shared" si="57"/>
        <v>28932</v>
      </c>
      <c r="L284" s="7">
        <f t="shared" si="58"/>
        <v>0</v>
      </c>
      <c r="M284" s="10">
        <f t="shared" si="59"/>
        <v>1</v>
      </c>
      <c r="N284" s="11">
        <f t="shared" si="60"/>
        <v>0.232268768145998</v>
      </c>
      <c r="O284" s="8">
        <f t="shared" si="61"/>
        <v>13440.0000000001</v>
      </c>
      <c r="P284" s="12">
        <f t="shared" si="62"/>
        <v>0</v>
      </c>
    </row>
    <row r="285" spans="1:16">
      <c r="A285" s="2">
        <v>46120</v>
      </c>
      <c r="B285" s="3">
        <f>Data_Entry!P375</f>
        <v>13830.0000000004</v>
      </c>
      <c r="C285" s="4">
        <f>Data_Entry!V375</f>
        <v>5.28</v>
      </c>
      <c r="D285" s="5">
        <f t="shared" si="54"/>
        <v>0.239008710078812</v>
      </c>
      <c r="E285" s="6">
        <v>0</v>
      </c>
      <c r="F285" s="6">
        <v>0</v>
      </c>
      <c r="G285" s="7">
        <f t="shared" si="55"/>
        <v>0</v>
      </c>
      <c r="H285" s="7">
        <f t="shared" si="56"/>
        <v>0</v>
      </c>
      <c r="I285" s="8">
        <v>2411</v>
      </c>
      <c r="J285" s="9"/>
      <c r="K285" s="8">
        <f t="shared" si="57"/>
        <v>28932</v>
      </c>
      <c r="L285" s="7">
        <f t="shared" si="58"/>
        <v>0</v>
      </c>
      <c r="M285" s="10">
        <f t="shared" si="59"/>
        <v>1</v>
      </c>
      <c r="N285" s="11">
        <f t="shared" si="60"/>
        <v>0.239008710078812</v>
      </c>
      <c r="O285" s="8">
        <f t="shared" si="61"/>
        <v>13830.0000000004</v>
      </c>
      <c r="P285" s="12">
        <f t="shared" si="62"/>
        <v>0</v>
      </c>
    </row>
    <row r="286" spans="1:16">
      <c r="A286" s="2">
        <v>46121</v>
      </c>
      <c r="B286" s="3">
        <f>Data_Entry!P376</f>
        <v>14100.0000000001</v>
      </c>
      <c r="C286" s="4">
        <f>Data_Entry!V376</f>
        <v>4.8</v>
      </c>
      <c r="D286" s="5">
        <f t="shared" si="54"/>
        <v>0.243674823724598</v>
      </c>
      <c r="E286" s="6">
        <v>0</v>
      </c>
      <c r="F286" s="6">
        <v>0</v>
      </c>
      <c r="G286" s="7">
        <f t="shared" si="55"/>
        <v>0</v>
      </c>
      <c r="H286" s="7">
        <f t="shared" si="56"/>
        <v>0</v>
      </c>
      <c r="I286" s="8">
        <v>2411</v>
      </c>
      <c r="J286" s="9"/>
      <c r="K286" s="8">
        <f t="shared" si="57"/>
        <v>28932</v>
      </c>
      <c r="L286" s="7">
        <f t="shared" si="58"/>
        <v>0</v>
      </c>
      <c r="M286" s="10">
        <f t="shared" si="59"/>
        <v>1</v>
      </c>
      <c r="N286" s="11">
        <f t="shared" si="60"/>
        <v>0.243674823724598</v>
      </c>
      <c r="O286" s="8">
        <f t="shared" si="61"/>
        <v>14100.0000000001</v>
      </c>
      <c r="P286" s="12">
        <f t="shared" si="62"/>
        <v>0</v>
      </c>
    </row>
    <row r="287" spans="1:16">
      <c r="A287" s="2">
        <v>46122</v>
      </c>
      <c r="B287" s="3">
        <f>Data_Entry!P377</f>
        <v>14009.9999999995</v>
      </c>
      <c r="C287" s="4">
        <f>Data_Entry!V377</f>
        <v>5.15</v>
      </c>
      <c r="D287" s="5">
        <f t="shared" si="54"/>
        <v>0.242119452509324</v>
      </c>
      <c r="E287" s="6">
        <v>0</v>
      </c>
      <c r="F287" s="6">
        <v>0</v>
      </c>
      <c r="G287" s="7">
        <f t="shared" si="55"/>
        <v>0</v>
      </c>
      <c r="H287" s="7">
        <f t="shared" si="56"/>
        <v>0</v>
      </c>
      <c r="I287" s="8">
        <v>2411</v>
      </c>
      <c r="J287" s="9"/>
      <c r="K287" s="8">
        <f t="shared" si="57"/>
        <v>28932</v>
      </c>
      <c r="L287" s="7">
        <f t="shared" si="58"/>
        <v>0</v>
      </c>
      <c r="M287" s="10">
        <f t="shared" si="59"/>
        <v>1</v>
      </c>
      <c r="N287" s="11">
        <f t="shared" si="60"/>
        <v>0.242119452509324</v>
      </c>
      <c r="O287" s="8">
        <f t="shared" si="61"/>
        <v>14009.9999999995</v>
      </c>
      <c r="P287" s="12">
        <f t="shared" si="62"/>
        <v>0</v>
      </c>
    </row>
    <row r="288" spans="1:16">
      <c r="A288" s="2">
        <v>46123</v>
      </c>
      <c r="B288" s="3">
        <f>Data_Entry!P378</f>
        <v>13890.0000000003</v>
      </c>
      <c r="C288" s="4">
        <f>Data_Entry!V378</f>
        <v>5.25</v>
      </c>
      <c r="D288" s="5">
        <f t="shared" si="54"/>
        <v>0.24004562422232</v>
      </c>
      <c r="E288" s="6">
        <v>0</v>
      </c>
      <c r="F288" s="6">
        <v>0</v>
      </c>
      <c r="G288" s="7">
        <f t="shared" si="55"/>
        <v>0</v>
      </c>
      <c r="H288" s="7">
        <f t="shared" si="56"/>
        <v>0</v>
      </c>
      <c r="I288" s="8">
        <v>2411</v>
      </c>
      <c r="J288" s="9"/>
      <c r="K288" s="8">
        <f t="shared" si="57"/>
        <v>28932</v>
      </c>
      <c r="L288" s="7">
        <f t="shared" si="58"/>
        <v>0</v>
      </c>
      <c r="M288" s="10">
        <f t="shared" si="59"/>
        <v>1</v>
      </c>
      <c r="N288" s="11">
        <f t="shared" si="60"/>
        <v>0.24004562422232</v>
      </c>
      <c r="O288" s="8">
        <f t="shared" si="61"/>
        <v>13890.0000000003</v>
      </c>
      <c r="P288" s="12">
        <f t="shared" si="62"/>
        <v>0</v>
      </c>
    </row>
    <row r="289" spans="1:16">
      <c r="A289" s="2">
        <v>46124</v>
      </c>
      <c r="B289" s="3">
        <f>Data_Entry!P379</f>
        <v>14009.9999999995</v>
      </c>
      <c r="C289" s="4">
        <f>Data_Entry!V379</f>
        <v>5.19</v>
      </c>
      <c r="D289" s="5">
        <f t="shared" si="54"/>
        <v>0.242119452509324</v>
      </c>
      <c r="E289" s="6">
        <v>0</v>
      </c>
      <c r="F289" s="6">
        <v>0</v>
      </c>
      <c r="G289" s="7">
        <f t="shared" si="55"/>
        <v>0</v>
      </c>
      <c r="H289" s="7">
        <f t="shared" si="56"/>
        <v>0</v>
      </c>
      <c r="I289" s="8">
        <v>2411</v>
      </c>
      <c r="J289" s="9"/>
      <c r="K289" s="8">
        <f t="shared" si="57"/>
        <v>28932</v>
      </c>
      <c r="L289" s="7">
        <f t="shared" si="58"/>
        <v>0</v>
      </c>
      <c r="M289" s="10">
        <f t="shared" si="59"/>
        <v>1</v>
      </c>
      <c r="N289" s="11">
        <f t="shared" si="60"/>
        <v>0.242119452509324</v>
      </c>
      <c r="O289" s="8">
        <f t="shared" si="61"/>
        <v>14009.9999999995</v>
      </c>
      <c r="P289" s="12">
        <f t="shared" si="62"/>
        <v>0</v>
      </c>
    </row>
    <row r="290" spans="1:16">
      <c r="A290" s="2">
        <v>46125</v>
      </c>
      <c r="B290" s="3">
        <f>Data_Entry!P380</f>
        <v>14010.0000000002</v>
      </c>
      <c r="C290" s="4">
        <f>Data_Entry!V380</f>
        <v>5.38</v>
      </c>
      <c r="D290" s="5">
        <f t="shared" si="54"/>
        <v>0.242119452509336</v>
      </c>
      <c r="E290" s="6">
        <v>0</v>
      </c>
      <c r="F290" s="6">
        <v>0</v>
      </c>
      <c r="G290" s="7">
        <f t="shared" si="55"/>
        <v>0</v>
      </c>
      <c r="H290" s="7">
        <f t="shared" si="56"/>
        <v>0</v>
      </c>
      <c r="I290" s="8">
        <v>2411</v>
      </c>
      <c r="J290" s="9"/>
      <c r="K290" s="8">
        <f t="shared" si="57"/>
        <v>28932</v>
      </c>
      <c r="L290" s="7">
        <f t="shared" si="58"/>
        <v>0</v>
      </c>
      <c r="M290" s="10">
        <f t="shared" si="59"/>
        <v>1</v>
      </c>
      <c r="N290" s="11">
        <f t="shared" si="60"/>
        <v>0.242119452509336</v>
      </c>
      <c r="O290" s="8">
        <f t="shared" si="61"/>
        <v>14010.0000000002</v>
      </c>
      <c r="P290" s="12">
        <f t="shared" si="62"/>
        <v>0</v>
      </c>
    </row>
    <row r="291" spans="1:16">
      <c r="A291" s="2">
        <v>46126</v>
      </c>
      <c r="B291" s="3">
        <f>Data_Entry!P381</f>
        <v>14880.0000000001</v>
      </c>
      <c r="C291" s="4">
        <f>Data_Entry!V381</f>
        <v>5.38</v>
      </c>
      <c r="D291" s="5">
        <f t="shared" si="54"/>
        <v>0.257154707590213</v>
      </c>
      <c r="E291" s="6">
        <v>0</v>
      </c>
      <c r="F291" s="6">
        <v>0</v>
      </c>
      <c r="G291" s="7">
        <f t="shared" si="55"/>
        <v>0</v>
      </c>
      <c r="H291" s="7">
        <f t="shared" si="56"/>
        <v>0</v>
      </c>
      <c r="I291" s="8">
        <v>2411</v>
      </c>
      <c r="J291" s="9"/>
      <c r="K291" s="8">
        <f t="shared" si="57"/>
        <v>28932</v>
      </c>
      <c r="L291" s="7">
        <f t="shared" si="58"/>
        <v>0</v>
      </c>
      <c r="M291" s="10">
        <f t="shared" si="59"/>
        <v>1</v>
      </c>
      <c r="N291" s="11">
        <f t="shared" si="60"/>
        <v>0.257154707590213</v>
      </c>
      <c r="O291" s="8">
        <f t="shared" si="61"/>
        <v>14880.0000000001</v>
      </c>
      <c r="P291" s="12">
        <f t="shared" si="62"/>
        <v>0</v>
      </c>
    </row>
    <row r="292" spans="1:16">
      <c r="A292" s="2">
        <v>46127</v>
      </c>
      <c r="B292" s="3">
        <f>Data_Entry!P382</f>
        <v>15119.9999999999</v>
      </c>
      <c r="C292" s="4">
        <f>Data_Entry!V382</f>
        <v>5.63</v>
      </c>
      <c r="D292" s="5">
        <f t="shared" si="54"/>
        <v>0.261302364164245</v>
      </c>
      <c r="E292" s="6">
        <v>0</v>
      </c>
      <c r="F292" s="6">
        <v>0</v>
      </c>
      <c r="G292" s="7">
        <f t="shared" si="55"/>
        <v>0</v>
      </c>
      <c r="H292" s="7">
        <f t="shared" si="56"/>
        <v>0</v>
      </c>
      <c r="I292" s="8">
        <v>2411</v>
      </c>
      <c r="J292" s="9"/>
      <c r="K292" s="8">
        <f t="shared" si="57"/>
        <v>28932</v>
      </c>
      <c r="L292" s="7">
        <f t="shared" si="58"/>
        <v>0</v>
      </c>
      <c r="M292" s="10">
        <f t="shared" si="59"/>
        <v>1</v>
      </c>
      <c r="N292" s="11">
        <f t="shared" si="60"/>
        <v>0.261302364164245</v>
      </c>
      <c r="O292" s="8">
        <f t="shared" si="61"/>
        <v>15119.9999999999</v>
      </c>
      <c r="P292" s="12">
        <f t="shared" si="62"/>
        <v>0</v>
      </c>
    </row>
    <row r="293" spans="1:16">
      <c r="A293" s="2">
        <v>46128</v>
      </c>
      <c r="B293" s="3">
        <f>Data_Entry!P383</f>
        <v>14580.0000000004</v>
      </c>
      <c r="C293" s="4">
        <f>Data_Entry!V383</f>
        <v>5.55</v>
      </c>
      <c r="D293" s="5">
        <f t="shared" si="54"/>
        <v>0.251970136872674</v>
      </c>
      <c r="E293" s="6">
        <v>0</v>
      </c>
      <c r="F293" s="6">
        <v>0</v>
      </c>
      <c r="G293" s="7">
        <f t="shared" si="55"/>
        <v>0</v>
      </c>
      <c r="H293" s="7">
        <f t="shared" si="56"/>
        <v>0</v>
      </c>
      <c r="I293" s="8">
        <v>2411</v>
      </c>
      <c r="J293" s="9"/>
      <c r="K293" s="8">
        <f t="shared" si="57"/>
        <v>28932</v>
      </c>
      <c r="L293" s="7">
        <f t="shared" si="58"/>
        <v>0</v>
      </c>
      <c r="M293" s="10">
        <f t="shared" si="59"/>
        <v>1</v>
      </c>
      <c r="N293" s="11">
        <f t="shared" si="60"/>
        <v>0.251970136872674</v>
      </c>
      <c r="O293" s="8">
        <f t="shared" si="61"/>
        <v>14580.0000000004</v>
      </c>
      <c r="P293" s="12">
        <f t="shared" si="62"/>
        <v>0</v>
      </c>
    </row>
    <row r="294" spans="1:16">
      <c r="A294" s="2">
        <v>46129</v>
      </c>
      <c r="B294" s="3">
        <f>Data_Entry!P384</f>
        <v>13709.9999999998</v>
      </c>
      <c r="C294" s="4">
        <f>Data_Entry!V384</f>
        <v>5.63</v>
      </c>
      <c r="D294" s="5">
        <f t="shared" si="54"/>
        <v>0.236934881791784</v>
      </c>
      <c r="E294" s="6">
        <v>0</v>
      </c>
      <c r="F294" s="6">
        <v>0</v>
      </c>
      <c r="G294" s="7">
        <f t="shared" si="55"/>
        <v>0</v>
      </c>
      <c r="H294" s="7">
        <f t="shared" si="56"/>
        <v>0</v>
      </c>
      <c r="I294" s="8">
        <v>2411</v>
      </c>
      <c r="J294" s="9"/>
      <c r="K294" s="8">
        <f t="shared" si="57"/>
        <v>28932</v>
      </c>
      <c r="L294" s="7">
        <f t="shared" si="58"/>
        <v>0</v>
      </c>
      <c r="M294" s="10">
        <f t="shared" si="59"/>
        <v>1</v>
      </c>
      <c r="N294" s="11">
        <f t="shared" si="60"/>
        <v>0.236934881791784</v>
      </c>
      <c r="O294" s="8">
        <f t="shared" si="61"/>
        <v>13709.9999999998</v>
      </c>
      <c r="P294" s="12">
        <f t="shared" si="62"/>
        <v>0</v>
      </c>
    </row>
    <row r="295" spans="1:16">
      <c r="A295" s="2">
        <v>46130</v>
      </c>
      <c r="B295" s="3">
        <f>Data_Entry!P385</f>
        <v>14250</v>
      </c>
      <c r="C295" s="4">
        <f>Data_Entry!V385</f>
        <v>5.41</v>
      </c>
      <c r="D295" s="5">
        <f t="shared" si="54"/>
        <v>0.246267109083368</v>
      </c>
      <c r="E295" s="6">
        <v>0</v>
      </c>
      <c r="F295" s="6">
        <v>0</v>
      </c>
      <c r="G295" s="7">
        <f t="shared" si="55"/>
        <v>0</v>
      </c>
      <c r="H295" s="7">
        <f t="shared" si="56"/>
        <v>0</v>
      </c>
      <c r="I295" s="8">
        <v>2411</v>
      </c>
      <c r="J295" s="9"/>
      <c r="K295" s="8">
        <f t="shared" si="57"/>
        <v>28932</v>
      </c>
      <c r="L295" s="7">
        <f t="shared" si="58"/>
        <v>0</v>
      </c>
      <c r="M295" s="10">
        <f t="shared" si="59"/>
        <v>1</v>
      </c>
      <c r="N295" s="11">
        <f t="shared" si="60"/>
        <v>0.246267109083368</v>
      </c>
      <c r="O295" s="8">
        <f t="shared" si="61"/>
        <v>14250</v>
      </c>
      <c r="P295" s="12">
        <f t="shared" si="62"/>
        <v>0</v>
      </c>
    </row>
    <row r="296" spans="1:16">
      <c r="A296" s="2">
        <v>46131</v>
      </c>
      <c r="B296" s="3">
        <f>Data_Entry!P386</f>
        <v>14160.0000000001</v>
      </c>
      <c r="C296" s="4">
        <f>Data_Entry!V386</f>
        <v>5.23</v>
      </c>
      <c r="D296" s="5">
        <f t="shared" si="54"/>
        <v>0.244711737868106</v>
      </c>
      <c r="E296" s="6">
        <v>0</v>
      </c>
      <c r="F296" s="6">
        <v>0</v>
      </c>
      <c r="G296" s="7">
        <f t="shared" si="55"/>
        <v>0</v>
      </c>
      <c r="H296" s="7">
        <f t="shared" si="56"/>
        <v>0</v>
      </c>
      <c r="I296" s="8">
        <v>2411</v>
      </c>
      <c r="J296" s="9"/>
      <c r="K296" s="8">
        <f t="shared" si="57"/>
        <v>28932</v>
      </c>
      <c r="L296" s="7">
        <f t="shared" si="58"/>
        <v>0</v>
      </c>
      <c r="M296" s="10">
        <f t="shared" si="59"/>
        <v>1</v>
      </c>
      <c r="N296" s="11">
        <f t="shared" si="60"/>
        <v>0.244711737868106</v>
      </c>
      <c r="O296" s="8">
        <f t="shared" si="61"/>
        <v>14160.0000000001</v>
      </c>
      <c r="P296" s="12">
        <f t="shared" si="62"/>
        <v>0</v>
      </c>
    </row>
    <row r="297" spans="1:16">
      <c r="A297" s="2">
        <v>46132</v>
      </c>
      <c r="B297" s="3">
        <f>Data_Entry!P387</f>
        <v>14459.9999999998</v>
      </c>
      <c r="C297" s="4">
        <f>Data_Entry!V387</f>
        <v>5.46</v>
      </c>
      <c r="D297" s="5">
        <f t="shared" si="54"/>
        <v>0.249896308585646</v>
      </c>
      <c r="E297" s="6">
        <v>0</v>
      </c>
      <c r="F297" s="6">
        <v>0</v>
      </c>
      <c r="G297" s="7">
        <f t="shared" si="55"/>
        <v>0</v>
      </c>
      <c r="H297" s="7">
        <f t="shared" si="56"/>
        <v>0</v>
      </c>
      <c r="I297" s="8">
        <v>2411</v>
      </c>
      <c r="J297" s="9"/>
      <c r="K297" s="8">
        <f t="shared" si="57"/>
        <v>28932</v>
      </c>
      <c r="L297" s="7">
        <f t="shared" si="58"/>
        <v>0</v>
      </c>
      <c r="M297" s="10">
        <f t="shared" si="59"/>
        <v>1</v>
      </c>
      <c r="N297" s="11">
        <f t="shared" si="60"/>
        <v>0.249896308585646</v>
      </c>
      <c r="O297" s="8">
        <f t="shared" si="61"/>
        <v>14459.9999999998</v>
      </c>
      <c r="P297" s="12">
        <f t="shared" si="62"/>
        <v>0</v>
      </c>
    </row>
    <row r="298" spans="1:16">
      <c r="A298" s="2">
        <v>46133</v>
      </c>
      <c r="B298" s="3">
        <f>Data_Entry!P388</f>
        <v>14579.9999999997</v>
      </c>
      <c r="C298" s="4">
        <f>Data_Entry!V388</f>
        <v>5.47</v>
      </c>
      <c r="D298" s="5">
        <f t="shared" si="54"/>
        <v>0.251970136872662</v>
      </c>
      <c r="E298" s="6">
        <v>0</v>
      </c>
      <c r="F298" s="6">
        <v>0</v>
      </c>
      <c r="G298" s="7">
        <f t="shared" si="55"/>
        <v>0</v>
      </c>
      <c r="H298" s="7">
        <f t="shared" si="56"/>
        <v>0</v>
      </c>
      <c r="I298" s="8">
        <v>2411</v>
      </c>
      <c r="J298" s="9"/>
      <c r="K298" s="8">
        <f t="shared" si="57"/>
        <v>28932</v>
      </c>
      <c r="L298" s="7">
        <f t="shared" si="58"/>
        <v>0</v>
      </c>
      <c r="M298" s="10">
        <f t="shared" si="59"/>
        <v>1</v>
      </c>
      <c r="N298" s="11">
        <f t="shared" si="60"/>
        <v>0.251970136872662</v>
      </c>
      <c r="O298" s="8">
        <f t="shared" si="61"/>
        <v>14579.9999999997</v>
      </c>
      <c r="P298" s="12">
        <f t="shared" si="62"/>
        <v>0</v>
      </c>
    </row>
    <row r="299" spans="1:16">
      <c r="A299" s="2">
        <v>46134</v>
      </c>
      <c r="B299" s="3">
        <f>Data_Entry!P389</f>
        <v>14700.0000000003</v>
      </c>
      <c r="C299" s="4">
        <f>Data_Entry!V389</f>
        <v>5.52</v>
      </c>
      <c r="D299" s="5">
        <f t="shared" si="54"/>
        <v>0.254043965159689</v>
      </c>
      <c r="E299" s="6">
        <v>0</v>
      </c>
      <c r="F299" s="6">
        <v>0</v>
      </c>
      <c r="G299" s="7">
        <f t="shared" si="55"/>
        <v>0</v>
      </c>
      <c r="H299" s="7">
        <f t="shared" si="56"/>
        <v>0</v>
      </c>
      <c r="I299" s="8">
        <v>2411</v>
      </c>
      <c r="J299" s="9"/>
      <c r="K299" s="8">
        <f t="shared" si="57"/>
        <v>28932</v>
      </c>
      <c r="L299" s="7">
        <f t="shared" si="58"/>
        <v>0</v>
      </c>
      <c r="M299" s="10">
        <f t="shared" si="59"/>
        <v>1</v>
      </c>
      <c r="N299" s="11">
        <f t="shared" si="60"/>
        <v>0.254043965159689</v>
      </c>
      <c r="O299" s="8">
        <f t="shared" si="61"/>
        <v>14700.0000000003</v>
      </c>
      <c r="P299" s="12">
        <f t="shared" si="62"/>
        <v>0</v>
      </c>
    </row>
    <row r="300" spans="1:16">
      <c r="A300" s="2">
        <v>46135</v>
      </c>
      <c r="B300" s="3">
        <f>Data_Entry!P390</f>
        <v>14369.9999999999</v>
      </c>
      <c r="C300" s="4">
        <f>Data_Entry!V390</f>
        <v>5.38</v>
      </c>
      <c r="D300" s="5">
        <f t="shared" si="54"/>
        <v>0.248340937370384</v>
      </c>
      <c r="E300" s="6">
        <v>0</v>
      </c>
      <c r="F300" s="6">
        <v>0</v>
      </c>
      <c r="G300" s="7">
        <f t="shared" si="55"/>
        <v>0</v>
      </c>
      <c r="H300" s="7">
        <f t="shared" si="56"/>
        <v>0</v>
      </c>
      <c r="I300" s="8">
        <v>2411</v>
      </c>
      <c r="J300" s="9"/>
      <c r="K300" s="8">
        <f t="shared" si="57"/>
        <v>28932</v>
      </c>
      <c r="L300" s="7">
        <f t="shared" si="58"/>
        <v>0</v>
      </c>
      <c r="M300" s="10">
        <f t="shared" si="59"/>
        <v>1</v>
      </c>
      <c r="N300" s="11">
        <f t="shared" si="60"/>
        <v>0.248340937370384</v>
      </c>
      <c r="O300" s="8">
        <f t="shared" si="61"/>
        <v>14369.9999999999</v>
      </c>
      <c r="P300" s="12">
        <f t="shared" si="62"/>
        <v>0</v>
      </c>
    </row>
    <row r="301" spans="1:16">
      <c r="A301" s="2">
        <v>46136</v>
      </c>
      <c r="B301" s="3">
        <f>Data_Entry!P391</f>
        <v>14730.0000000002</v>
      </c>
      <c r="C301" s="4">
        <f>Data_Entry!V391</f>
        <v>5.51</v>
      </c>
      <c r="D301" s="5">
        <f t="shared" si="54"/>
        <v>0.254562422231443</v>
      </c>
      <c r="E301" s="6">
        <v>0</v>
      </c>
      <c r="F301" s="6">
        <v>0</v>
      </c>
      <c r="G301" s="7">
        <f t="shared" si="55"/>
        <v>0</v>
      </c>
      <c r="H301" s="7">
        <f t="shared" si="56"/>
        <v>0</v>
      </c>
      <c r="I301" s="8">
        <v>2411</v>
      </c>
      <c r="J301" s="9"/>
      <c r="K301" s="8">
        <f t="shared" si="57"/>
        <v>28932</v>
      </c>
      <c r="L301" s="7">
        <f t="shared" si="58"/>
        <v>0</v>
      </c>
      <c r="M301" s="10">
        <f t="shared" si="59"/>
        <v>1</v>
      </c>
      <c r="N301" s="11">
        <f t="shared" si="60"/>
        <v>0.254562422231443</v>
      </c>
      <c r="O301" s="8">
        <f t="shared" si="61"/>
        <v>14730.0000000002</v>
      </c>
      <c r="P301" s="12">
        <f t="shared" si="62"/>
        <v>0</v>
      </c>
    </row>
    <row r="302" spans="1:16">
      <c r="A302" s="2">
        <v>46137</v>
      </c>
      <c r="B302" s="3">
        <f>Data_Entry!P392</f>
        <v>14339.9999999999</v>
      </c>
      <c r="C302" s="4">
        <f>Data_Entry!V392</f>
        <v>5.37</v>
      </c>
      <c r="D302" s="5">
        <f t="shared" si="54"/>
        <v>0.24782248029863</v>
      </c>
      <c r="E302" s="6">
        <v>0</v>
      </c>
      <c r="F302" s="6">
        <v>0</v>
      </c>
      <c r="G302" s="7">
        <f t="shared" si="55"/>
        <v>0</v>
      </c>
      <c r="H302" s="7">
        <f t="shared" si="56"/>
        <v>0</v>
      </c>
      <c r="I302" s="8">
        <v>2411</v>
      </c>
      <c r="J302" s="9"/>
      <c r="K302" s="8">
        <f t="shared" si="57"/>
        <v>28932</v>
      </c>
      <c r="L302" s="7">
        <f t="shared" si="58"/>
        <v>0</v>
      </c>
      <c r="M302" s="10">
        <f t="shared" si="59"/>
        <v>1</v>
      </c>
      <c r="N302" s="11">
        <f t="shared" si="60"/>
        <v>0.24782248029863</v>
      </c>
      <c r="O302" s="8">
        <f t="shared" si="61"/>
        <v>14339.9999999999</v>
      </c>
      <c r="P302" s="12">
        <f t="shared" si="62"/>
        <v>0</v>
      </c>
    </row>
    <row r="303" spans="1:16">
      <c r="A303" s="2">
        <v>46138</v>
      </c>
      <c r="B303" s="3">
        <f>Data_Entry!P393</f>
        <v>13470</v>
      </c>
      <c r="C303" s="4">
        <f>Data_Entry!V393</f>
        <v>5.27</v>
      </c>
      <c r="D303" s="5">
        <f t="shared" si="54"/>
        <v>0.232787225217752</v>
      </c>
      <c r="E303" s="6">
        <v>0</v>
      </c>
      <c r="F303" s="6">
        <v>0</v>
      </c>
      <c r="G303" s="7">
        <f t="shared" si="55"/>
        <v>0</v>
      </c>
      <c r="H303" s="7">
        <f t="shared" si="56"/>
        <v>0</v>
      </c>
      <c r="I303" s="8">
        <v>2411</v>
      </c>
      <c r="J303" s="9"/>
      <c r="K303" s="8">
        <f t="shared" si="57"/>
        <v>28932</v>
      </c>
      <c r="L303" s="7">
        <f t="shared" si="58"/>
        <v>0</v>
      </c>
      <c r="M303" s="10">
        <f t="shared" si="59"/>
        <v>1</v>
      </c>
      <c r="N303" s="11">
        <f t="shared" si="60"/>
        <v>0.232787225217752</v>
      </c>
      <c r="O303" s="8">
        <f t="shared" si="61"/>
        <v>13470</v>
      </c>
      <c r="P303" s="12">
        <f t="shared" si="62"/>
        <v>0</v>
      </c>
    </row>
    <row r="304" spans="1:16">
      <c r="A304" s="2">
        <v>46139</v>
      </c>
      <c r="B304" s="3">
        <f>Data_Entry!P394</f>
        <v>13859.9999999997</v>
      </c>
      <c r="C304" s="4">
        <f>Data_Entry!V394</f>
        <v>5.34</v>
      </c>
      <c r="D304" s="5">
        <f t="shared" si="54"/>
        <v>0.239527167150554</v>
      </c>
      <c r="E304" s="6">
        <v>0</v>
      </c>
      <c r="F304" s="6">
        <v>0</v>
      </c>
      <c r="G304" s="7">
        <f t="shared" si="55"/>
        <v>0</v>
      </c>
      <c r="H304" s="7">
        <f t="shared" si="56"/>
        <v>0</v>
      </c>
      <c r="I304" s="8">
        <v>2411</v>
      </c>
      <c r="J304" s="9"/>
      <c r="K304" s="8">
        <f t="shared" si="57"/>
        <v>28932</v>
      </c>
      <c r="L304" s="7">
        <f t="shared" si="58"/>
        <v>0</v>
      </c>
      <c r="M304" s="10">
        <f t="shared" si="59"/>
        <v>1</v>
      </c>
      <c r="N304" s="11">
        <f t="shared" si="60"/>
        <v>0.239527167150554</v>
      </c>
      <c r="O304" s="8">
        <f t="shared" si="61"/>
        <v>13859.9999999997</v>
      </c>
      <c r="P304" s="12">
        <f t="shared" si="62"/>
        <v>0</v>
      </c>
    </row>
    <row r="305" spans="1:16">
      <c r="A305" s="2">
        <v>46140</v>
      </c>
      <c r="B305" s="3">
        <f>Data_Entry!P395</f>
        <v>14730.0000000002</v>
      </c>
      <c r="C305" s="4">
        <f>Data_Entry!V395</f>
        <v>5.63</v>
      </c>
      <c r="D305" s="5">
        <f t="shared" si="54"/>
        <v>0.254562422231443</v>
      </c>
      <c r="E305" s="6">
        <v>0</v>
      </c>
      <c r="F305" s="6">
        <v>0</v>
      </c>
      <c r="G305" s="7">
        <f t="shared" si="55"/>
        <v>0</v>
      </c>
      <c r="H305" s="7">
        <f t="shared" si="56"/>
        <v>0</v>
      </c>
      <c r="I305" s="8">
        <v>2411</v>
      </c>
      <c r="J305" s="9"/>
      <c r="K305" s="8">
        <f t="shared" si="57"/>
        <v>28932</v>
      </c>
      <c r="L305" s="7">
        <f t="shared" si="58"/>
        <v>0</v>
      </c>
      <c r="M305" s="10">
        <f t="shared" si="59"/>
        <v>1</v>
      </c>
      <c r="N305" s="11">
        <f t="shared" si="60"/>
        <v>0.254562422231443</v>
      </c>
      <c r="O305" s="8">
        <f t="shared" si="61"/>
        <v>14730.0000000002</v>
      </c>
      <c r="P305" s="12">
        <f t="shared" si="62"/>
        <v>0</v>
      </c>
    </row>
    <row r="306" spans="1:16">
      <c r="A306" s="2">
        <v>46141</v>
      </c>
      <c r="B306" s="3">
        <f>Data_Entry!P396</f>
        <v>14519.9999999998</v>
      </c>
      <c r="C306" s="4">
        <f>Data_Entry!V396</f>
        <v>5.6</v>
      </c>
      <c r="D306" s="5">
        <f t="shared" si="54"/>
        <v>0.250933222729154</v>
      </c>
      <c r="E306" s="6">
        <v>0</v>
      </c>
      <c r="F306" s="6">
        <v>0</v>
      </c>
      <c r="G306" s="7">
        <f t="shared" si="55"/>
        <v>0</v>
      </c>
      <c r="H306" s="7">
        <f t="shared" si="56"/>
        <v>0</v>
      </c>
      <c r="I306" s="8">
        <v>2411</v>
      </c>
      <c r="J306" s="9"/>
      <c r="K306" s="8">
        <f t="shared" si="57"/>
        <v>28932</v>
      </c>
      <c r="L306" s="7">
        <f t="shared" si="58"/>
        <v>0</v>
      </c>
      <c r="M306" s="10">
        <f t="shared" si="59"/>
        <v>1</v>
      </c>
      <c r="N306" s="11">
        <f t="shared" si="60"/>
        <v>0.250933222729154</v>
      </c>
      <c r="O306" s="8">
        <f t="shared" si="61"/>
        <v>14519.9999999998</v>
      </c>
      <c r="P306" s="12">
        <f t="shared" si="62"/>
        <v>0</v>
      </c>
    </row>
    <row r="307" spans="1:16">
      <c r="A307" s="2">
        <v>46142</v>
      </c>
      <c r="B307" s="3">
        <f>Data_Entry!P397</f>
        <v>14430</v>
      </c>
      <c r="C307" s="4">
        <f>Data_Entry!V397</f>
        <v>5.55</v>
      </c>
      <c r="D307" s="5">
        <f t="shared" ref="D307:D327" si="63">B307/(24*I307)</f>
        <v>0.249377851513895</v>
      </c>
      <c r="E307" s="6">
        <v>0</v>
      </c>
      <c r="F307" s="6">
        <v>0</v>
      </c>
      <c r="G307" s="7">
        <f t="shared" ref="G307:G327" si="64">(F307-E307)*24*60</f>
        <v>0</v>
      </c>
      <c r="H307" s="7">
        <f t="shared" ref="H307:H327" si="65">G307/60</f>
        <v>0</v>
      </c>
      <c r="I307" s="8">
        <v>2411</v>
      </c>
      <c r="J307" s="9"/>
      <c r="K307" s="8">
        <f t="shared" ref="K307:K327" si="66">I307*12</f>
        <v>28932</v>
      </c>
      <c r="L307" s="7">
        <f t="shared" ref="L307:L327" si="67">J307*H307</f>
        <v>0</v>
      </c>
      <c r="M307" s="10">
        <f t="shared" ref="M307:M327" si="68">(K307-L307)/K307</f>
        <v>1</v>
      </c>
      <c r="N307" s="11">
        <f t="shared" ref="N307:N327" si="69">D307/M307</f>
        <v>0.249377851513895</v>
      </c>
      <c r="O307" s="8">
        <f t="shared" ref="O307:O327" si="70">N307*I307*24</f>
        <v>14430</v>
      </c>
      <c r="P307" s="12">
        <f t="shared" ref="P307:P327" si="71">O307-B307</f>
        <v>0</v>
      </c>
    </row>
    <row r="308" spans="1:16">
      <c r="A308" s="2">
        <v>46143</v>
      </c>
      <c r="B308" s="3">
        <f>Data_Entry!P398</f>
        <v>14309.9999999999</v>
      </c>
      <c r="C308" s="4">
        <f>Data_Entry!V398</f>
        <v>5.48</v>
      </c>
      <c r="D308" s="5">
        <f t="shared" si="63"/>
        <v>0.247304023226875</v>
      </c>
      <c r="E308" s="6">
        <v>0</v>
      </c>
      <c r="F308" s="6">
        <v>0</v>
      </c>
      <c r="G308" s="7">
        <f t="shared" si="64"/>
        <v>0</v>
      </c>
      <c r="H308" s="7">
        <f t="shared" si="65"/>
        <v>0</v>
      </c>
      <c r="I308" s="8">
        <v>2411</v>
      </c>
      <c r="J308" s="9"/>
      <c r="K308" s="8">
        <f t="shared" si="66"/>
        <v>28932</v>
      </c>
      <c r="L308" s="7">
        <f t="shared" si="67"/>
        <v>0</v>
      </c>
      <c r="M308" s="10">
        <f t="shared" si="68"/>
        <v>1</v>
      </c>
      <c r="N308" s="11">
        <f t="shared" si="69"/>
        <v>0.247304023226875</v>
      </c>
      <c r="O308" s="8">
        <f t="shared" si="70"/>
        <v>14309.9999999999</v>
      </c>
      <c r="P308" s="12">
        <f t="shared" si="71"/>
        <v>0</v>
      </c>
    </row>
    <row r="309" spans="1:16">
      <c r="A309" s="2">
        <v>46144</v>
      </c>
      <c r="B309" s="3">
        <f>Data_Entry!P399</f>
        <v>14579.9999999997</v>
      </c>
      <c r="C309" s="4">
        <f>Data_Entry!V399</f>
        <v>5.54</v>
      </c>
      <c r="D309" s="5">
        <f t="shared" si="63"/>
        <v>0.251970136872662</v>
      </c>
      <c r="E309" s="6">
        <v>0</v>
      </c>
      <c r="F309" s="6">
        <v>0</v>
      </c>
      <c r="G309" s="7">
        <f t="shared" si="64"/>
        <v>0</v>
      </c>
      <c r="H309" s="7">
        <f t="shared" si="65"/>
        <v>0</v>
      </c>
      <c r="I309" s="8">
        <v>2411</v>
      </c>
      <c r="J309" s="9"/>
      <c r="K309" s="8">
        <f t="shared" si="66"/>
        <v>28932</v>
      </c>
      <c r="L309" s="7">
        <f t="shared" si="67"/>
        <v>0</v>
      </c>
      <c r="M309" s="10">
        <f t="shared" si="68"/>
        <v>1</v>
      </c>
      <c r="N309" s="11">
        <f t="shared" si="69"/>
        <v>0.251970136872662</v>
      </c>
      <c r="O309" s="8">
        <f t="shared" si="70"/>
        <v>14579.9999999997</v>
      </c>
      <c r="P309" s="12">
        <f t="shared" si="71"/>
        <v>0</v>
      </c>
    </row>
    <row r="310" spans="1:16">
      <c r="A310" s="2">
        <v>46145</v>
      </c>
      <c r="B310" s="3">
        <f>Data_Entry!P400</f>
        <v>14670.0000000003</v>
      </c>
      <c r="C310" s="4">
        <f>Data_Entry!V400</f>
        <v>5.55</v>
      </c>
      <c r="D310" s="5">
        <f t="shared" si="63"/>
        <v>0.253525508087936</v>
      </c>
      <c r="E310" s="6">
        <v>0</v>
      </c>
      <c r="F310" s="6">
        <v>0</v>
      </c>
      <c r="G310" s="7">
        <f t="shared" si="64"/>
        <v>0</v>
      </c>
      <c r="H310" s="7">
        <f t="shared" si="65"/>
        <v>0</v>
      </c>
      <c r="I310" s="8">
        <v>2411</v>
      </c>
      <c r="J310" s="9"/>
      <c r="K310" s="8">
        <f t="shared" si="66"/>
        <v>28932</v>
      </c>
      <c r="L310" s="7">
        <f t="shared" si="67"/>
        <v>0</v>
      </c>
      <c r="M310" s="10">
        <f t="shared" si="68"/>
        <v>1</v>
      </c>
      <c r="N310" s="11">
        <f t="shared" si="69"/>
        <v>0.253525508087936</v>
      </c>
      <c r="O310" s="8">
        <f t="shared" si="70"/>
        <v>14670.0000000003</v>
      </c>
      <c r="P310" s="12">
        <f t="shared" si="71"/>
        <v>0</v>
      </c>
    </row>
    <row r="311" spans="1:16">
      <c r="A311" s="2">
        <v>46146</v>
      </c>
      <c r="B311" s="3">
        <f>Data_Entry!P401</f>
        <v>14280</v>
      </c>
      <c r="C311" s="4">
        <f>Data_Entry!V401</f>
        <v>5.53</v>
      </c>
      <c r="D311" s="5">
        <f t="shared" si="63"/>
        <v>0.246785566155122</v>
      </c>
      <c r="E311" s="6">
        <v>0</v>
      </c>
      <c r="F311" s="6">
        <v>0</v>
      </c>
      <c r="G311" s="7">
        <f t="shared" si="64"/>
        <v>0</v>
      </c>
      <c r="H311" s="7">
        <f t="shared" si="65"/>
        <v>0</v>
      </c>
      <c r="I311" s="8">
        <v>2411</v>
      </c>
      <c r="J311" s="9"/>
      <c r="K311" s="8">
        <f t="shared" si="66"/>
        <v>28932</v>
      </c>
      <c r="L311" s="7">
        <f t="shared" si="67"/>
        <v>0</v>
      </c>
      <c r="M311" s="10">
        <f t="shared" si="68"/>
        <v>1</v>
      </c>
      <c r="N311" s="11">
        <f t="shared" si="69"/>
        <v>0.246785566155122</v>
      </c>
      <c r="O311" s="8">
        <f t="shared" si="70"/>
        <v>14280</v>
      </c>
      <c r="P311" s="12">
        <f t="shared" si="71"/>
        <v>0</v>
      </c>
    </row>
    <row r="312" spans="1:16">
      <c r="A312" s="2">
        <v>46147</v>
      </c>
      <c r="B312" s="3">
        <f>Data_Entry!P402</f>
        <v>14039.9999999995</v>
      </c>
      <c r="C312" s="4">
        <f>Data_Entry!V402</f>
        <v>5.38</v>
      </c>
      <c r="D312" s="5">
        <f t="shared" si="63"/>
        <v>0.242637909581078</v>
      </c>
      <c r="E312" s="6">
        <v>0</v>
      </c>
      <c r="F312" s="6">
        <v>0</v>
      </c>
      <c r="G312" s="7">
        <f t="shared" si="64"/>
        <v>0</v>
      </c>
      <c r="H312" s="7">
        <f t="shared" si="65"/>
        <v>0</v>
      </c>
      <c r="I312" s="8">
        <v>2411</v>
      </c>
      <c r="J312" s="9"/>
      <c r="K312" s="8">
        <f t="shared" si="66"/>
        <v>28932</v>
      </c>
      <c r="L312" s="7">
        <f t="shared" si="67"/>
        <v>0</v>
      </c>
      <c r="M312" s="10">
        <f t="shared" si="68"/>
        <v>1</v>
      </c>
      <c r="N312" s="11">
        <f t="shared" si="69"/>
        <v>0.242637909581078</v>
      </c>
      <c r="O312" s="8">
        <f t="shared" si="70"/>
        <v>14039.9999999995</v>
      </c>
      <c r="P312" s="12">
        <f t="shared" si="71"/>
        <v>0</v>
      </c>
    </row>
    <row r="313" spans="1:16">
      <c r="A313" s="2">
        <v>46148</v>
      </c>
      <c r="B313" s="3">
        <f>Data_Entry!P403</f>
        <v>13860.0000000004</v>
      </c>
      <c r="C313" s="4">
        <f>Data_Entry!V403</f>
        <v>5.66</v>
      </c>
      <c r="D313" s="5">
        <f t="shared" si="63"/>
        <v>0.239527167150566</v>
      </c>
      <c r="E313" s="6">
        <v>0</v>
      </c>
      <c r="F313" s="6">
        <v>0</v>
      </c>
      <c r="G313" s="7">
        <f t="shared" si="64"/>
        <v>0</v>
      </c>
      <c r="H313" s="7">
        <f t="shared" si="65"/>
        <v>0</v>
      </c>
      <c r="I313" s="8">
        <v>2411</v>
      </c>
      <c r="J313" s="9"/>
      <c r="K313" s="8">
        <f t="shared" si="66"/>
        <v>28932</v>
      </c>
      <c r="L313" s="7">
        <f t="shared" si="67"/>
        <v>0</v>
      </c>
      <c r="M313" s="10">
        <f t="shared" si="68"/>
        <v>1</v>
      </c>
      <c r="N313" s="11">
        <f t="shared" si="69"/>
        <v>0.239527167150566</v>
      </c>
      <c r="O313" s="8">
        <f t="shared" si="70"/>
        <v>13860.0000000004</v>
      </c>
      <c r="P313" s="12">
        <f t="shared" si="71"/>
        <v>0</v>
      </c>
    </row>
    <row r="314" spans="1:16">
      <c r="A314" s="2">
        <v>46149</v>
      </c>
      <c r="B314" s="3">
        <f>Data_Entry!P404</f>
        <v>13950.0000000003</v>
      </c>
      <c r="C314" s="4">
        <f>Data_Entry!V404</f>
        <v>5.62</v>
      </c>
      <c r="D314" s="5">
        <f t="shared" si="63"/>
        <v>0.241082538365828</v>
      </c>
      <c r="E314" s="6">
        <v>0</v>
      </c>
      <c r="F314" s="6">
        <v>0</v>
      </c>
      <c r="G314" s="7">
        <f t="shared" si="64"/>
        <v>0</v>
      </c>
      <c r="H314" s="7">
        <f t="shared" si="65"/>
        <v>0</v>
      </c>
      <c r="I314" s="8">
        <v>2411</v>
      </c>
      <c r="J314" s="9"/>
      <c r="K314" s="8">
        <f t="shared" si="66"/>
        <v>28932</v>
      </c>
      <c r="L314" s="7">
        <f t="shared" si="67"/>
        <v>0</v>
      </c>
      <c r="M314" s="10">
        <f t="shared" si="68"/>
        <v>1</v>
      </c>
      <c r="N314" s="11">
        <f t="shared" si="69"/>
        <v>0.241082538365828</v>
      </c>
      <c r="O314" s="8">
        <f t="shared" si="70"/>
        <v>13950.0000000003</v>
      </c>
      <c r="P314" s="12">
        <f t="shared" si="71"/>
        <v>0</v>
      </c>
    </row>
    <row r="315" spans="1:16">
      <c r="A315" s="2">
        <v>46150</v>
      </c>
      <c r="B315" s="3">
        <f>Data_Entry!P405</f>
        <v>14309.9999999999</v>
      </c>
      <c r="C315" s="4">
        <f>Data_Entry!V405</f>
        <v>5.84</v>
      </c>
      <c r="D315" s="5">
        <f t="shared" si="63"/>
        <v>0.247304023226876</v>
      </c>
      <c r="E315" s="6">
        <v>0</v>
      </c>
      <c r="F315" s="6">
        <v>0</v>
      </c>
      <c r="G315" s="7">
        <f t="shared" si="64"/>
        <v>0</v>
      </c>
      <c r="H315" s="7">
        <f t="shared" si="65"/>
        <v>0</v>
      </c>
      <c r="I315" s="8">
        <v>2411</v>
      </c>
      <c r="J315" s="9"/>
      <c r="K315" s="8">
        <f t="shared" si="66"/>
        <v>28932</v>
      </c>
      <c r="L315" s="7">
        <f t="shared" si="67"/>
        <v>0</v>
      </c>
      <c r="M315" s="10">
        <f t="shared" si="68"/>
        <v>1</v>
      </c>
      <c r="N315" s="11">
        <f t="shared" si="69"/>
        <v>0.247304023226876</v>
      </c>
      <c r="O315" s="8">
        <f t="shared" si="70"/>
        <v>14309.9999999999</v>
      </c>
      <c r="P315" s="12">
        <f t="shared" si="71"/>
        <v>0</v>
      </c>
    </row>
    <row r="316" spans="1:16">
      <c r="A316" s="2">
        <v>46151</v>
      </c>
      <c r="B316" s="3">
        <f>Data_Entry!P406</f>
        <v>14099.9999999995</v>
      </c>
      <c r="C316" s="4">
        <f>Data_Entry!V406</f>
        <v>5.61</v>
      </c>
      <c r="D316" s="5">
        <f t="shared" si="63"/>
        <v>0.243674823724586</v>
      </c>
      <c r="E316" s="6">
        <v>0</v>
      </c>
      <c r="F316" s="6">
        <v>0</v>
      </c>
      <c r="G316" s="7">
        <f t="shared" si="64"/>
        <v>0</v>
      </c>
      <c r="H316" s="7">
        <f t="shared" si="65"/>
        <v>0</v>
      </c>
      <c r="I316" s="8">
        <v>2411</v>
      </c>
      <c r="J316" s="9"/>
      <c r="K316" s="8">
        <f t="shared" si="66"/>
        <v>28932</v>
      </c>
      <c r="L316" s="7">
        <f t="shared" si="67"/>
        <v>0</v>
      </c>
      <c r="M316" s="10">
        <f t="shared" si="68"/>
        <v>1</v>
      </c>
      <c r="N316" s="11">
        <f t="shared" si="69"/>
        <v>0.243674823724586</v>
      </c>
      <c r="O316" s="8">
        <f t="shared" si="70"/>
        <v>14099.9999999995</v>
      </c>
      <c r="P316" s="12">
        <f t="shared" si="71"/>
        <v>0</v>
      </c>
    </row>
    <row r="317" spans="1:16">
      <c r="A317" s="2">
        <v>46152</v>
      </c>
      <c r="B317" s="3">
        <f>Data_Entry!P407</f>
        <v>14309.9999999999</v>
      </c>
      <c r="C317" s="4">
        <f>Data_Entry!V407</f>
        <v>5.62</v>
      </c>
      <c r="D317" s="5">
        <f t="shared" si="63"/>
        <v>0.247304023226876</v>
      </c>
      <c r="E317" s="6">
        <v>0</v>
      </c>
      <c r="F317" s="6">
        <v>0</v>
      </c>
      <c r="G317" s="7">
        <f t="shared" si="64"/>
        <v>0</v>
      </c>
      <c r="H317" s="7">
        <f t="shared" si="65"/>
        <v>0</v>
      </c>
      <c r="I317" s="8">
        <v>2411</v>
      </c>
      <c r="J317" s="9"/>
      <c r="K317" s="8">
        <f t="shared" si="66"/>
        <v>28932</v>
      </c>
      <c r="L317" s="7">
        <f t="shared" si="67"/>
        <v>0</v>
      </c>
      <c r="M317" s="10">
        <f t="shared" si="68"/>
        <v>1</v>
      </c>
      <c r="N317" s="11">
        <f t="shared" si="69"/>
        <v>0.247304023226876</v>
      </c>
      <c r="O317" s="8">
        <f t="shared" si="70"/>
        <v>14309.9999999999</v>
      </c>
      <c r="P317" s="12">
        <f t="shared" si="71"/>
        <v>0</v>
      </c>
    </row>
    <row r="318" spans="1:16">
      <c r="A318" s="2">
        <v>46153</v>
      </c>
      <c r="B318" s="3">
        <f>Data_Entry!P408</f>
        <v>14160.0000000001</v>
      </c>
      <c r="C318" s="4">
        <f>Data_Entry!V408</f>
        <v>5.56</v>
      </c>
      <c r="D318" s="5">
        <f t="shared" si="63"/>
        <v>0.244711737868106</v>
      </c>
      <c r="E318" s="6">
        <v>0</v>
      </c>
      <c r="F318" s="6">
        <v>0</v>
      </c>
      <c r="G318" s="7">
        <f t="shared" si="64"/>
        <v>0</v>
      </c>
      <c r="H318" s="7">
        <f t="shared" si="65"/>
        <v>0</v>
      </c>
      <c r="I318" s="8">
        <v>2411</v>
      </c>
      <c r="J318" s="9"/>
      <c r="K318" s="8">
        <f t="shared" si="66"/>
        <v>28932</v>
      </c>
      <c r="L318" s="7">
        <f t="shared" si="67"/>
        <v>0</v>
      </c>
      <c r="M318" s="10">
        <f t="shared" si="68"/>
        <v>1</v>
      </c>
      <c r="N318" s="11">
        <f t="shared" si="69"/>
        <v>0.244711737868106</v>
      </c>
      <c r="O318" s="8">
        <f t="shared" si="70"/>
        <v>14160.0000000001</v>
      </c>
      <c r="P318" s="12">
        <f t="shared" si="71"/>
        <v>0</v>
      </c>
    </row>
    <row r="319" spans="1:16">
      <c r="A319" s="2">
        <v>46154</v>
      </c>
      <c r="B319" s="3">
        <f>Data_Entry!P409</f>
        <v>13890.0000000003</v>
      </c>
      <c r="C319" s="4">
        <f>Data_Entry!V409</f>
        <v>5.56</v>
      </c>
      <c r="D319" s="5">
        <f t="shared" si="63"/>
        <v>0.24004562422232</v>
      </c>
      <c r="E319" s="6">
        <v>0</v>
      </c>
      <c r="F319" s="6">
        <v>0</v>
      </c>
      <c r="G319" s="7">
        <f t="shared" si="64"/>
        <v>0</v>
      </c>
      <c r="H319" s="7">
        <f t="shared" si="65"/>
        <v>0</v>
      </c>
      <c r="I319" s="8">
        <v>2411</v>
      </c>
      <c r="J319" s="9"/>
      <c r="K319" s="8">
        <f t="shared" si="66"/>
        <v>28932</v>
      </c>
      <c r="L319" s="7">
        <f t="shared" si="67"/>
        <v>0</v>
      </c>
      <c r="M319" s="10">
        <f t="shared" si="68"/>
        <v>1</v>
      </c>
      <c r="N319" s="11">
        <f t="shared" si="69"/>
        <v>0.24004562422232</v>
      </c>
      <c r="O319" s="8">
        <f t="shared" si="70"/>
        <v>13890.0000000003</v>
      </c>
      <c r="P319" s="12">
        <f t="shared" si="71"/>
        <v>0</v>
      </c>
    </row>
    <row r="320" spans="1:16">
      <c r="A320" s="2">
        <v>46155</v>
      </c>
      <c r="B320" s="3">
        <f>Data_Entry!P410</f>
        <v>13799.9999999997</v>
      </c>
      <c r="C320" s="4">
        <f>Data_Entry!V410</f>
        <v>5.45</v>
      </c>
      <c r="D320" s="5">
        <f t="shared" si="63"/>
        <v>0.238490253007046</v>
      </c>
      <c r="E320" s="6">
        <v>0</v>
      </c>
      <c r="F320" s="6">
        <v>0</v>
      </c>
      <c r="G320" s="7">
        <f t="shared" si="64"/>
        <v>0</v>
      </c>
      <c r="H320" s="7">
        <f t="shared" si="65"/>
        <v>0</v>
      </c>
      <c r="I320" s="8">
        <v>2411</v>
      </c>
      <c r="J320" s="9"/>
      <c r="K320" s="8">
        <f t="shared" si="66"/>
        <v>28932</v>
      </c>
      <c r="L320" s="7">
        <f t="shared" si="67"/>
        <v>0</v>
      </c>
      <c r="M320" s="10">
        <f t="shared" si="68"/>
        <v>1</v>
      </c>
      <c r="N320" s="11">
        <f t="shared" si="69"/>
        <v>0.238490253007046</v>
      </c>
      <c r="O320" s="8">
        <f t="shared" si="70"/>
        <v>13799.9999999997</v>
      </c>
      <c r="P320" s="12">
        <f t="shared" si="71"/>
        <v>0</v>
      </c>
    </row>
    <row r="321" spans="1:16">
      <c r="A321" s="2">
        <v>46156</v>
      </c>
      <c r="B321" s="3">
        <f>Data_Entry!P411</f>
        <v>14160.0000000001</v>
      </c>
      <c r="C321" s="4">
        <f>Data_Entry!V411</f>
        <v>5.62</v>
      </c>
      <c r="D321" s="5">
        <f t="shared" si="63"/>
        <v>0.244711737868106</v>
      </c>
      <c r="E321" s="6">
        <v>0</v>
      </c>
      <c r="F321" s="6">
        <v>0</v>
      </c>
      <c r="G321" s="7">
        <f t="shared" si="64"/>
        <v>0</v>
      </c>
      <c r="H321" s="7">
        <f t="shared" si="65"/>
        <v>0</v>
      </c>
      <c r="I321" s="8">
        <v>2411</v>
      </c>
      <c r="J321" s="9"/>
      <c r="K321" s="8">
        <f t="shared" si="66"/>
        <v>28932</v>
      </c>
      <c r="L321" s="7">
        <f t="shared" si="67"/>
        <v>0</v>
      </c>
      <c r="M321" s="10">
        <f t="shared" si="68"/>
        <v>1</v>
      </c>
      <c r="N321" s="11">
        <f t="shared" si="69"/>
        <v>0.244711737868106</v>
      </c>
      <c r="O321" s="8">
        <f t="shared" si="70"/>
        <v>14160.0000000001</v>
      </c>
      <c r="P321" s="12">
        <f t="shared" si="71"/>
        <v>0</v>
      </c>
    </row>
    <row r="322" spans="1:16">
      <c r="A322" s="2">
        <v>46157</v>
      </c>
      <c r="B322" s="3">
        <f>Data_Entry!P412</f>
        <v>14100.0000000001</v>
      </c>
      <c r="C322" s="4">
        <f>Data_Entry!V412</f>
        <v>5.79</v>
      </c>
      <c r="D322" s="5">
        <f t="shared" si="63"/>
        <v>0.243674823724597</v>
      </c>
      <c r="E322" s="6">
        <v>0</v>
      </c>
      <c r="F322" s="6">
        <v>0</v>
      </c>
      <c r="G322" s="7">
        <f t="shared" si="64"/>
        <v>0</v>
      </c>
      <c r="H322" s="7">
        <f t="shared" si="65"/>
        <v>0</v>
      </c>
      <c r="I322" s="8">
        <v>2411</v>
      </c>
      <c r="J322" s="9"/>
      <c r="K322" s="8">
        <f t="shared" si="66"/>
        <v>28932</v>
      </c>
      <c r="L322" s="7">
        <f t="shared" si="67"/>
        <v>0</v>
      </c>
      <c r="M322" s="10">
        <f t="shared" si="68"/>
        <v>1</v>
      </c>
      <c r="N322" s="11">
        <f t="shared" si="69"/>
        <v>0.243674823724597</v>
      </c>
      <c r="O322" s="8">
        <f t="shared" si="70"/>
        <v>14100.0000000001</v>
      </c>
      <c r="P322" s="12">
        <f t="shared" si="71"/>
        <v>0</v>
      </c>
    </row>
    <row r="323" spans="1:16">
      <c r="A323" s="2">
        <v>46158</v>
      </c>
      <c r="B323" s="3">
        <f>Data_Entry!P413</f>
        <v>14280</v>
      </c>
      <c r="C323" s="4">
        <f>Data_Entry!V413</f>
        <v>5.72</v>
      </c>
      <c r="D323" s="5">
        <f t="shared" si="63"/>
        <v>0.246785566155122</v>
      </c>
      <c r="E323" s="6">
        <v>0</v>
      </c>
      <c r="F323" s="6">
        <v>0</v>
      </c>
      <c r="G323" s="7">
        <f t="shared" si="64"/>
        <v>0</v>
      </c>
      <c r="H323" s="7">
        <f t="shared" si="65"/>
        <v>0</v>
      </c>
      <c r="I323" s="8">
        <v>2411</v>
      </c>
      <c r="J323" s="9"/>
      <c r="K323" s="8">
        <f t="shared" si="66"/>
        <v>28932</v>
      </c>
      <c r="L323" s="7">
        <f t="shared" si="67"/>
        <v>0</v>
      </c>
      <c r="M323" s="10">
        <f t="shared" si="68"/>
        <v>1</v>
      </c>
      <c r="N323" s="11">
        <f t="shared" si="69"/>
        <v>0.246785566155122</v>
      </c>
      <c r="O323" s="8">
        <f t="shared" si="70"/>
        <v>14280</v>
      </c>
      <c r="P323" s="12">
        <f t="shared" si="71"/>
        <v>0</v>
      </c>
    </row>
    <row r="324" spans="1:16">
      <c r="A324" s="2">
        <v>46159</v>
      </c>
      <c r="B324" s="3">
        <f>Data_Entry!P414</f>
        <v>12390.0000000003</v>
      </c>
      <c r="C324" s="4">
        <f>Data_Entry!V414</f>
        <v>5.2</v>
      </c>
      <c r="D324" s="5">
        <f t="shared" si="63"/>
        <v>0.214122770634597</v>
      </c>
      <c r="E324" s="6">
        <v>0.571527777777778</v>
      </c>
      <c r="F324" s="6">
        <v>0.613194444444444</v>
      </c>
      <c r="G324" s="7">
        <f t="shared" si="64"/>
        <v>59.9999999999991</v>
      </c>
      <c r="H324" s="7">
        <f t="shared" si="65"/>
        <v>0.999999999999986</v>
      </c>
      <c r="I324" s="8">
        <v>2411</v>
      </c>
      <c r="J324" s="9">
        <v>2411</v>
      </c>
      <c r="K324" s="8">
        <f t="shared" si="66"/>
        <v>28932</v>
      </c>
      <c r="L324" s="7">
        <f t="shared" si="67"/>
        <v>2410.99999999997</v>
      </c>
      <c r="M324" s="10">
        <f t="shared" si="68"/>
        <v>0.916666666666668</v>
      </c>
      <c r="N324" s="11">
        <f t="shared" si="69"/>
        <v>0.233588477055923</v>
      </c>
      <c r="O324" s="8">
        <f t="shared" si="70"/>
        <v>13516.3636363639</v>
      </c>
      <c r="P324" s="12">
        <f t="shared" si="71"/>
        <v>1126.36363636365</v>
      </c>
    </row>
    <row r="325" spans="1:16">
      <c r="A325" s="2">
        <v>46160</v>
      </c>
      <c r="B325" s="3">
        <f>Data_Entry!P415</f>
        <v>13769.9999999998</v>
      </c>
      <c r="C325" s="4">
        <f>Data_Entry!V415</f>
        <v>5.51</v>
      </c>
      <c r="D325" s="5">
        <f t="shared" si="63"/>
        <v>0.237971795935293</v>
      </c>
      <c r="E325" s="6">
        <v>0</v>
      </c>
      <c r="F325" s="6">
        <v>0</v>
      </c>
      <c r="G325" s="7">
        <f t="shared" si="64"/>
        <v>0</v>
      </c>
      <c r="H325" s="7">
        <f t="shared" si="65"/>
        <v>0</v>
      </c>
      <c r="I325" s="8">
        <v>2411</v>
      </c>
      <c r="J325" s="9"/>
      <c r="K325" s="8">
        <f t="shared" si="66"/>
        <v>28932</v>
      </c>
      <c r="L325" s="7">
        <f t="shared" si="67"/>
        <v>0</v>
      </c>
      <c r="M325" s="10">
        <f t="shared" si="68"/>
        <v>1</v>
      </c>
      <c r="N325" s="11">
        <f t="shared" si="69"/>
        <v>0.237971795935293</v>
      </c>
      <c r="O325" s="8">
        <f t="shared" si="70"/>
        <v>13769.9999999998</v>
      </c>
      <c r="P325" s="12">
        <f t="shared" si="71"/>
        <v>0</v>
      </c>
    </row>
    <row r="326" spans="1:16">
      <c r="A326" s="2">
        <v>46161</v>
      </c>
      <c r="B326" s="3">
        <f>Data_Entry!P416</f>
        <v>14220</v>
      </c>
      <c r="C326" s="4">
        <f>Data_Entry!V416</f>
        <v>2.95</v>
      </c>
      <c r="D326" s="5">
        <f t="shared" si="63"/>
        <v>0.245748652011613</v>
      </c>
      <c r="E326" s="6">
        <v>0</v>
      </c>
      <c r="F326" s="6">
        <v>0</v>
      </c>
      <c r="G326" s="7">
        <f t="shared" si="64"/>
        <v>0</v>
      </c>
      <c r="H326" s="7">
        <f t="shared" si="65"/>
        <v>0</v>
      </c>
      <c r="I326" s="8">
        <v>2411</v>
      </c>
      <c r="J326" s="9"/>
      <c r="K326" s="8">
        <f t="shared" si="66"/>
        <v>28932</v>
      </c>
      <c r="L326" s="7">
        <f t="shared" si="67"/>
        <v>0</v>
      </c>
      <c r="M326" s="10">
        <f t="shared" si="68"/>
        <v>1</v>
      </c>
      <c r="N326" s="11">
        <f t="shared" si="69"/>
        <v>0.245748652011613</v>
      </c>
      <c r="O326" s="8">
        <f t="shared" si="70"/>
        <v>14220</v>
      </c>
      <c r="P326" s="12">
        <f t="shared" si="71"/>
        <v>0</v>
      </c>
    </row>
    <row r="327" spans="1:16">
      <c r="A327" s="2">
        <v>46162</v>
      </c>
      <c r="B327" s="3">
        <f>Data_Entry!P417</f>
        <v>13799.9999999997</v>
      </c>
      <c r="C327" s="4">
        <f>Data_Entry!V417</f>
        <v>5.83</v>
      </c>
      <c r="D327" s="5">
        <f t="shared" si="63"/>
        <v>0.238490253007046</v>
      </c>
      <c r="E327" s="6">
        <v>0</v>
      </c>
      <c r="F327" s="6">
        <v>0</v>
      </c>
      <c r="G327" s="7">
        <f t="shared" si="64"/>
        <v>0</v>
      </c>
      <c r="H327" s="7">
        <f t="shared" si="65"/>
        <v>0</v>
      </c>
      <c r="I327" s="8">
        <v>2411</v>
      </c>
      <c r="J327" s="9"/>
      <c r="K327" s="8">
        <f t="shared" si="66"/>
        <v>28932</v>
      </c>
      <c r="L327" s="7">
        <f t="shared" si="67"/>
        <v>0</v>
      </c>
      <c r="M327" s="10">
        <f t="shared" si="68"/>
        <v>1</v>
      </c>
      <c r="N327" s="11">
        <f t="shared" si="69"/>
        <v>0.238490253007046</v>
      </c>
      <c r="O327" s="8">
        <f t="shared" si="70"/>
        <v>13799.9999999997</v>
      </c>
      <c r="P327" s="12">
        <f t="shared" si="71"/>
        <v>0</v>
      </c>
    </row>
    <row r="328" spans="1:16">
      <c r="A328" s="2">
        <v>46163</v>
      </c>
      <c r="B328" s="3">
        <f>Data_Entry!P418</f>
        <v>13230.0000000002</v>
      </c>
      <c r="C328" s="4">
        <f>Data_Entry!V418</f>
        <v>5.68</v>
      </c>
      <c r="D328" s="5">
        <f t="shared" ref="D328:D375" si="72">B328/(24*I328)</f>
        <v>0.22863956864372</v>
      </c>
      <c r="E328" s="6">
        <v>0</v>
      </c>
      <c r="F328" s="6">
        <v>0</v>
      </c>
      <c r="G328" s="7">
        <f t="shared" ref="G328:G375" si="73">(F328-E328)*24*60</f>
        <v>0</v>
      </c>
      <c r="H328" s="7">
        <f t="shared" ref="H328:H375" si="74">G328/60</f>
        <v>0</v>
      </c>
      <c r="I328" s="8">
        <v>2411</v>
      </c>
      <c r="J328" s="9"/>
      <c r="K328" s="8">
        <f t="shared" ref="K328:K375" si="75">I328*12</f>
        <v>28932</v>
      </c>
      <c r="L328" s="7">
        <f t="shared" ref="L328:L375" si="76">J328*H328</f>
        <v>0</v>
      </c>
      <c r="M328" s="10">
        <f t="shared" ref="M328:M375" si="77">(K328-L328)/K328</f>
        <v>1</v>
      </c>
      <c r="N328" s="11">
        <f t="shared" ref="N328:N375" si="78">D328/M328</f>
        <v>0.22863956864372</v>
      </c>
      <c r="O328" s="8">
        <f t="shared" ref="O328:O375" si="79">N328*I328*24</f>
        <v>13230.0000000002</v>
      </c>
      <c r="P328" s="12">
        <f t="shared" ref="P328:P375" si="80">O328-B328</f>
        <v>0</v>
      </c>
    </row>
    <row r="329" spans="1:16">
      <c r="A329" s="2">
        <v>46164</v>
      </c>
      <c r="B329" s="3">
        <f>Data_Entry!P419</f>
        <v>1049.99999999973</v>
      </c>
      <c r="C329" s="4">
        <f>Data_Entry!V419</f>
        <v>0.67</v>
      </c>
      <c r="D329" s="5">
        <f t="shared" si="72"/>
        <v>0.0181459975114013</v>
      </c>
      <c r="E329" s="6">
        <v>0.291666666666667</v>
      </c>
      <c r="F329" s="6">
        <v>0.6875</v>
      </c>
      <c r="G329" s="7">
        <f t="shared" si="73"/>
        <v>570</v>
      </c>
      <c r="H329" s="7">
        <f t="shared" si="74"/>
        <v>9.5</v>
      </c>
      <c r="I329" s="8">
        <v>2411</v>
      </c>
      <c r="J329" s="9">
        <v>2411</v>
      </c>
      <c r="K329" s="8">
        <f t="shared" si="75"/>
        <v>28932</v>
      </c>
      <c r="L329" s="7">
        <f t="shared" si="76"/>
        <v>22904.5</v>
      </c>
      <c r="M329" s="10">
        <f t="shared" si="77"/>
        <v>0.208333333333333</v>
      </c>
      <c r="N329" s="11">
        <f t="shared" si="78"/>
        <v>0.0871007880547266</v>
      </c>
      <c r="O329" s="8">
        <f t="shared" si="79"/>
        <v>5039.9999999987</v>
      </c>
      <c r="P329" s="12">
        <f t="shared" si="80"/>
        <v>3989.99999999897</v>
      </c>
    </row>
    <row r="330" spans="1:16">
      <c r="A330" s="2">
        <v>46165</v>
      </c>
      <c r="B330" s="3">
        <f>Data_Entry!P420</f>
        <v>12930.0000000005</v>
      </c>
      <c r="C330" s="4">
        <f>Data_Entry!V420</f>
        <v>5.83</v>
      </c>
      <c r="D330" s="5">
        <f t="shared" si="72"/>
        <v>0.223454997926181</v>
      </c>
      <c r="E330" s="6">
        <v>0</v>
      </c>
      <c r="F330" s="6">
        <v>0</v>
      </c>
      <c r="G330" s="7">
        <f t="shared" si="73"/>
        <v>0</v>
      </c>
      <c r="H330" s="7">
        <f t="shared" si="74"/>
        <v>0</v>
      </c>
      <c r="I330" s="8">
        <v>2411</v>
      </c>
      <c r="J330" s="9"/>
      <c r="K330" s="8">
        <f t="shared" si="75"/>
        <v>28932</v>
      </c>
      <c r="L330" s="7">
        <f t="shared" si="76"/>
        <v>0</v>
      </c>
      <c r="M330" s="10">
        <f t="shared" si="77"/>
        <v>1</v>
      </c>
      <c r="N330" s="11">
        <f t="shared" si="78"/>
        <v>0.223454997926181</v>
      </c>
      <c r="O330" s="8">
        <f t="shared" si="79"/>
        <v>12930.0000000005</v>
      </c>
      <c r="P330" s="12">
        <f t="shared" si="80"/>
        <v>0</v>
      </c>
    </row>
    <row r="331" spans="1:16">
      <c r="A331" s="2">
        <v>46166</v>
      </c>
      <c r="B331" s="3">
        <f>Data_Entry!P421</f>
        <v>11489.9999999998</v>
      </c>
      <c r="C331" s="4">
        <f>Data_Entry!V421</f>
        <v>5.1</v>
      </c>
      <c r="D331" s="5">
        <f t="shared" si="72"/>
        <v>0.198569058481954</v>
      </c>
      <c r="E331" s="6">
        <v>0</v>
      </c>
      <c r="F331" s="6">
        <v>0</v>
      </c>
      <c r="G331" s="7">
        <f t="shared" si="73"/>
        <v>0</v>
      </c>
      <c r="H331" s="7">
        <f t="shared" si="74"/>
        <v>0</v>
      </c>
      <c r="I331" s="8">
        <v>2411</v>
      </c>
      <c r="J331" s="9"/>
      <c r="K331" s="8">
        <f t="shared" si="75"/>
        <v>28932</v>
      </c>
      <c r="L331" s="7">
        <f t="shared" si="76"/>
        <v>0</v>
      </c>
      <c r="M331" s="10">
        <f t="shared" si="77"/>
        <v>1</v>
      </c>
      <c r="N331" s="11">
        <f t="shared" si="78"/>
        <v>0.198569058481954</v>
      </c>
      <c r="O331" s="8">
        <f t="shared" si="79"/>
        <v>11489.9999999998</v>
      </c>
      <c r="P331" s="12">
        <f t="shared" si="80"/>
        <v>0</v>
      </c>
    </row>
    <row r="332" spans="1:16">
      <c r="A332" s="2">
        <v>46167</v>
      </c>
      <c r="B332" s="3">
        <f>Data_Entry!P422</f>
        <v>13260.0000000002</v>
      </c>
      <c r="C332" s="4">
        <f>Data_Entry!V422</f>
        <v>4.78</v>
      </c>
      <c r="D332" s="5">
        <f t="shared" si="72"/>
        <v>0.229158025715475</v>
      </c>
      <c r="E332" s="6">
        <v>0</v>
      </c>
      <c r="F332" s="6">
        <v>0</v>
      </c>
      <c r="G332" s="7">
        <f t="shared" si="73"/>
        <v>0</v>
      </c>
      <c r="H332" s="7">
        <f t="shared" si="74"/>
        <v>0</v>
      </c>
      <c r="I332" s="8">
        <v>2411</v>
      </c>
      <c r="J332" s="9"/>
      <c r="K332" s="8">
        <f t="shared" si="75"/>
        <v>28932</v>
      </c>
      <c r="L332" s="7">
        <f t="shared" si="76"/>
        <v>0</v>
      </c>
      <c r="M332" s="10">
        <f t="shared" si="77"/>
        <v>1</v>
      </c>
      <c r="N332" s="11">
        <f t="shared" si="78"/>
        <v>0.229158025715475</v>
      </c>
      <c r="O332" s="8">
        <f t="shared" si="79"/>
        <v>13260.0000000002</v>
      </c>
      <c r="P332" s="12">
        <f t="shared" si="80"/>
        <v>0</v>
      </c>
    </row>
    <row r="333" spans="1:16">
      <c r="A333" s="2">
        <v>46168</v>
      </c>
      <c r="B333" s="3">
        <f>Data_Entry!P423</f>
        <v>13319.9999999995</v>
      </c>
      <c r="C333" s="4">
        <f>Data_Entry!V423</f>
        <v>5.74</v>
      </c>
      <c r="D333" s="5">
        <f t="shared" si="72"/>
        <v>0.230194939858971</v>
      </c>
      <c r="E333" s="6">
        <v>0</v>
      </c>
      <c r="F333" s="6">
        <v>0</v>
      </c>
      <c r="G333" s="7">
        <f t="shared" si="73"/>
        <v>0</v>
      </c>
      <c r="H333" s="7">
        <f t="shared" si="74"/>
        <v>0</v>
      </c>
      <c r="I333" s="8">
        <v>2411</v>
      </c>
      <c r="J333" s="9"/>
      <c r="K333" s="8">
        <f t="shared" si="75"/>
        <v>28932</v>
      </c>
      <c r="L333" s="7">
        <f t="shared" si="76"/>
        <v>0</v>
      </c>
      <c r="M333" s="10">
        <f t="shared" si="77"/>
        <v>1</v>
      </c>
      <c r="N333" s="11">
        <f t="shared" si="78"/>
        <v>0.230194939858971</v>
      </c>
      <c r="O333" s="8">
        <f t="shared" si="79"/>
        <v>13319.9999999995</v>
      </c>
      <c r="P333" s="12">
        <f t="shared" si="80"/>
        <v>0</v>
      </c>
    </row>
    <row r="334" spans="1:16">
      <c r="A334" s="2">
        <v>46169</v>
      </c>
      <c r="B334" s="3">
        <f>Data_Entry!P424</f>
        <v>13200.0000000003</v>
      </c>
      <c r="C334" s="4">
        <f>Data_Entry!V424</f>
        <v>5.74</v>
      </c>
      <c r="D334" s="5">
        <f t="shared" si="72"/>
        <v>0.228121111571967</v>
      </c>
      <c r="E334" s="6">
        <v>0</v>
      </c>
      <c r="F334" s="6">
        <v>0</v>
      </c>
      <c r="G334" s="7">
        <f t="shared" si="73"/>
        <v>0</v>
      </c>
      <c r="H334" s="7">
        <f t="shared" si="74"/>
        <v>0</v>
      </c>
      <c r="I334" s="8">
        <v>2411</v>
      </c>
      <c r="J334" s="9"/>
      <c r="K334" s="8">
        <f t="shared" si="75"/>
        <v>28932</v>
      </c>
      <c r="L334" s="7">
        <f t="shared" si="76"/>
        <v>0</v>
      </c>
      <c r="M334" s="10">
        <f t="shared" si="77"/>
        <v>1</v>
      </c>
      <c r="N334" s="11">
        <f t="shared" si="78"/>
        <v>0.228121111571967</v>
      </c>
      <c r="O334" s="8">
        <f t="shared" si="79"/>
        <v>13200.0000000003</v>
      </c>
      <c r="P334" s="12">
        <f t="shared" si="80"/>
        <v>0</v>
      </c>
    </row>
    <row r="335" spans="1:16">
      <c r="A335" s="2">
        <v>46170</v>
      </c>
      <c r="B335" s="3">
        <f>Data_Entry!P425</f>
        <v>13380.0000000001</v>
      </c>
      <c r="C335" s="4">
        <f>Data_Entry!V425</f>
        <v>5.79</v>
      </c>
      <c r="D335" s="5">
        <f t="shared" si="72"/>
        <v>0.23123185400249</v>
      </c>
      <c r="E335" s="6">
        <v>0</v>
      </c>
      <c r="F335" s="6">
        <v>0</v>
      </c>
      <c r="G335" s="7">
        <f t="shared" si="73"/>
        <v>0</v>
      </c>
      <c r="H335" s="7">
        <f t="shared" si="74"/>
        <v>0</v>
      </c>
      <c r="I335" s="8">
        <v>2411</v>
      </c>
      <c r="J335" s="9"/>
      <c r="K335" s="8">
        <f t="shared" si="75"/>
        <v>28932</v>
      </c>
      <c r="L335" s="7">
        <f t="shared" si="76"/>
        <v>0</v>
      </c>
      <c r="M335" s="10">
        <f t="shared" si="77"/>
        <v>1</v>
      </c>
      <c r="N335" s="11">
        <f t="shared" si="78"/>
        <v>0.23123185400249</v>
      </c>
      <c r="O335" s="8">
        <f t="shared" si="79"/>
        <v>13380.0000000001</v>
      </c>
      <c r="P335" s="12">
        <f t="shared" si="80"/>
        <v>0</v>
      </c>
    </row>
    <row r="336" spans="1:16">
      <c r="A336" s="2">
        <v>46171</v>
      </c>
      <c r="B336" s="3">
        <f>Data_Entry!P426</f>
        <v>13019.9999999998</v>
      </c>
      <c r="C336" s="4">
        <f>Data_Entry!V426</f>
        <v>5.17</v>
      </c>
      <c r="D336" s="5">
        <f t="shared" si="72"/>
        <v>0.225010369141431</v>
      </c>
      <c r="E336" s="6">
        <v>0</v>
      </c>
      <c r="F336" s="6">
        <v>0</v>
      </c>
      <c r="G336" s="7">
        <f t="shared" si="73"/>
        <v>0</v>
      </c>
      <c r="H336" s="7">
        <f t="shared" si="74"/>
        <v>0</v>
      </c>
      <c r="I336" s="8">
        <v>2411</v>
      </c>
      <c r="J336" s="9"/>
      <c r="K336" s="8">
        <f t="shared" si="75"/>
        <v>28932</v>
      </c>
      <c r="L336" s="7">
        <f t="shared" si="76"/>
        <v>0</v>
      </c>
      <c r="M336" s="10">
        <f t="shared" si="77"/>
        <v>1</v>
      </c>
      <c r="N336" s="11">
        <f t="shared" si="78"/>
        <v>0.225010369141431</v>
      </c>
      <c r="O336" s="8">
        <f t="shared" si="79"/>
        <v>13019.9999999998</v>
      </c>
      <c r="P336" s="12">
        <f t="shared" si="80"/>
        <v>0</v>
      </c>
    </row>
    <row r="337" spans="1:16">
      <c r="A337" s="2">
        <v>46172</v>
      </c>
      <c r="B337" s="3">
        <f>Data_Entry!P427</f>
        <v>13110.0000000004</v>
      </c>
      <c r="C337" s="4">
        <f>Data_Entry!V427</f>
        <v>4.81</v>
      </c>
      <c r="D337" s="5">
        <f t="shared" si="72"/>
        <v>0.226565740356705</v>
      </c>
      <c r="E337" s="6">
        <v>0</v>
      </c>
      <c r="F337" s="6">
        <v>0</v>
      </c>
      <c r="G337" s="7">
        <f t="shared" si="73"/>
        <v>0</v>
      </c>
      <c r="H337" s="7">
        <f t="shared" si="74"/>
        <v>0</v>
      </c>
      <c r="I337" s="8">
        <v>2411</v>
      </c>
      <c r="J337" s="9"/>
      <c r="K337" s="8">
        <f t="shared" si="75"/>
        <v>28932</v>
      </c>
      <c r="L337" s="7">
        <f t="shared" si="76"/>
        <v>0</v>
      </c>
      <c r="M337" s="10">
        <f t="shared" si="77"/>
        <v>1</v>
      </c>
      <c r="N337" s="11">
        <f t="shared" si="78"/>
        <v>0.226565740356705</v>
      </c>
      <c r="O337" s="8">
        <f t="shared" si="79"/>
        <v>13110.0000000004</v>
      </c>
      <c r="P337" s="12">
        <f t="shared" si="80"/>
        <v>0</v>
      </c>
    </row>
    <row r="338" spans="1:16">
      <c r="A338" s="2">
        <v>46173</v>
      </c>
      <c r="B338" s="3">
        <f>Data_Entry!P428</f>
        <v>11009.9999999995</v>
      </c>
      <c r="C338" s="4">
        <f>Data_Entry!V428</f>
        <v>4.86</v>
      </c>
      <c r="D338" s="5">
        <f t="shared" si="72"/>
        <v>0.190273745333878</v>
      </c>
      <c r="E338" s="6">
        <v>0</v>
      </c>
      <c r="F338" s="6">
        <v>0</v>
      </c>
      <c r="G338" s="7">
        <f t="shared" si="73"/>
        <v>0</v>
      </c>
      <c r="H338" s="7">
        <f t="shared" si="74"/>
        <v>0</v>
      </c>
      <c r="I338" s="8">
        <v>2411</v>
      </c>
      <c r="J338" s="9"/>
      <c r="K338" s="8">
        <f t="shared" si="75"/>
        <v>28932</v>
      </c>
      <c r="L338" s="7">
        <f t="shared" si="76"/>
        <v>0</v>
      </c>
      <c r="M338" s="10">
        <f t="shared" si="77"/>
        <v>1</v>
      </c>
      <c r="N338" s="11">
        <f t="shared" si="78"/>
        <v>0.190273745333878</v>
      </c>
      <c r="O338" s="8">
        <f t="shared" si="79"/>
        <v>11009.9999999995</v>
      </c>
      <c r="P338" s="12">
        <f t="shared" si="80"/>
        <v>0</v>
      </c>
    </row>
    <row r="339" spans="1:16">
      <c r="A339" s="2">
        <v>46174</v>
      </c>
      <c r="B339" s="3">
        <f>Data_Entry!P429</f>
        <v>12059.9999999999</v>
      </c>
      <c r="C339" s="4">
        <f>Data_Entry!V429</f>
        <v>4.64</v>
      </c>
      <c r="D339" s="5">
        <f t="shared" si="72"/>
        <v>0.208419742845291</v>
      </c>
      <c r="E339" s="6">
        <v>0</v>
      </c>
      <c r="F339" s="6">
        <v>0</v>
      </c>
      <c r="G339" s="7">
        <f t="shared" si="73"/>
        <v>0</v>
      </c>
      <c r="H339" s="7">
        <f t="shared" si="74"/>
        <v>0</v>
      </c>
      <c r="I339" s="8">
        <v>2411</v>
      </c>
      <c r="J339" s="9"/>
      <c r="K339" s="8">
        <f t="shared" si="75"/>
        <v>28932</v>
      </c>
      <c r="L339" s="7">
        <f t="shared" si="76"/>
        <v>0</v>
      </c>
      <c r="M339" s="10">
        <f t="shared" si="77"/>
        <v>1</v>
      </c>
      <c r="N339" s="11">
        <f t="shared" si="78"/>
        <v>0.208419742845291</v>
      </c>
      <c r="O339" s="8">
        <f t="shared" si="79"/>
        <v>12059.9999999999</v>
      </c>
      <c r="P339" s="12">
        <f t="shared" si="80"/>
        <v>0</v>
      </c>
    </row>
    <row r="340" spans="1:16">
      <c r="A340" s="2">
        <v>46175</v>
      </c>
      <c r="B340" s="3">
        <f>Data_Entry!P430</f>
        <v>9390.00000000033</v>
      </c>
      <c r="C340" s="4">
        <f>Data_Entry!V430</f>
        <v>4.42</v>
      </c>
      <c r="D340" s="5">
        <f t="shared" si="72"/>
        <v>0.162277063459151</v>
      </c>
      <c r="E340" s="6">
        <v>0</v>
      </c>
      <c r="F340" s="6">
        <v>0</v>
      </c>
      <c r="G340" s="7">
        <f t="shared" si="73"/>
        <v>0</v>
      </c>
      <c r="H340" s="7">
        <f t="shared" si="74"/>
        <v>0</v>
      </c>
      <c r="I340" s="8">
        <v>2411</v>
      </c>
      <c r="J340" s="9"/>
      <c r="K340" s="8">
        <f t="shared" si="75"/>
        <v>28932</v>
      </c>
      <c r="L340" s="7">
        <f t="shared" si="76"/>
        <v>0</v>
      </c>
      <c r="M340" s="10">
        <f t="shared" si="77"/>
        <v>1</v>
      </c>
      <c r="N340" s="11">
        <f t="shared" si="78"/>
        <v>0.162277063459151</v>
      </c>
      <c r="O340" s="8">
        <f t="shared" si="79"/>
        <v>9390.00000000033</v>
      </c>
      <c r="P340" s="12">
        <f t="shared" si="80"/>
        <v>0</v>
      </c>
    </row>
    <row r="341" spans="1:16">
      <c r="A341" s="2">
        <v>46176</v>
      </c>
      <c r="B341" s="3">
        <f>Data_Entry!P431</f>
        <v>12059.9999999999</v>
      </c>
      <c r="C341" s="4">
        <f>Data_Entry!V431</f>
        <v>5.34</v>
      </c>
      <c r="D341" s="5">
        <f t="shared" si="72"/>
        <v>0.208419742845291</v>
      </c>
      <c r="E341" s="6">
        <v>0</v>
      </c>
      <c r="F341" s="6">
        <v>0</v>
      </c>
      <c r="G341" s="7">
        <f t="shared" si="73"/>
        <v>0</v>
      </c>
      <c r="H341" s="7">
        <f t="shared" si="74"/>
        <v>0</v>
      </c>
      <c r="I341" s="8">
        <v>2411</v>
      </c>
      <c r="J341" s="9"/>
      <c r="K341" s="8">
        <f t="shared" si="75"/>
        <v>28932</v>
      </c>
      <c r="L341" s="7">
        <f t="shared" si="76"/>
        <v>0</v>
      </c>
      <c r="M341" s="10">
        <f t="shared" si="77"/>
        <v>1</v>
      </c>
      <c r="N341" s="11">
        <f t="shared" si="78"/>
        <v>0.208419742845291</v>
      </c>
      <c r="O341" s="8">
        <f t="shared" si="79"/>
        <v>12059.9999999999</v>
      </c>
      <c r="P341" s="12">
        <f t="shared" si="80"/>
        <v>0</v>
      </c>
    </row>
    <row r="342" spans="1:16">
      <c r="A342" s="2">
        <v>46177</v>
      </c>
      <c r="B342" s="3">
        <f>Data_Entry!P432</f>
        <v>11070.0000000002</v>
      </c>
      <c r="C342" s="4">
        <f>Data_Entry!V432</f>
        <v>4.7</v>
      </c>
      <c r="D342" s="5">
        <f t="shared" si="72"/>
        <v>0.191310659477398</v>
      </c>
      <c r="E342" s="6">
        <v>0</v>
      </c>
      <c r="F342" s="6">
        <v>0</v>
      </c>
      <c r="G342" s="7">
        <f t="shared" si="73"/>
        <v>0</v>
      </c>
      <c r="H342" s="7">
        <f t="shared" si="74"/>
        <v>0</v>
      </c>
      <c r="I342" s="8">
        <v>2411</v>
      </c>
      <c r="J342" s="9"/>
      <c r="K342" s="8">
        <f t="shared" si="75"/>
        <v>28932</v>
      </c>
      <c r="L342" s="7">
        <f t="shared" si="76"/>
        <v>0</v>
      </c>
      <c r="M342" s="10">
        <f t="shared" si="77"/>
        <v>1</v>
      </c>
      <c r="N342" s="11">
        <f t="shared" si="78"/>
        <v>0.191310659477398</v>
      </c>
      <c r="O342" s="8">
        <f t="shared" si="79"/>
        <v>11070.0000000002</v>
      </c>
      <c r="P342" s="12">
        <f t="shared" si="80"/>
        <v>0</v>
      </c>
    </row>
    <row r="343" spans="1:16">
      <c r="A343" s="2">
        <v>46178</v>
      </c>
      <c r="B343" s="3">
        <f>Data_Entry!P433</f>
        <v>13289.9999999995</v>
      </c>
      <c r="C343" s="4">
        <f>Data_Entry!V433</f>
        <v>4.64</v>
      </c>
      <c r="D343" s="5">
        <f t="shared" si="72"/>
        <v>0.229676482787217</v>
      </c>
      <c r="E343" s="6">
        <v>0</v>
      </c>
      <c r="F343" s="6">
        <v>0</v>
      </c>
      <c r="G343" s="7">
        <f t="shared" si="73"/>
        <v>0</v>
      </c>
      <c r="H343" s="7">
        <f t="shared" si="74"/>
        <v>0</v>
      </c>
      <c r="I343" s="8">
        <v>2411</v>
      </c>
      <c r="J343" s="9"/>
      <c r="K343" s="8">
        <f t="shared" si="75"/>
        <v>28932</v>
      </c>
      <c r="L343" s="7">
        <f t="shared" si="76"/>
        <v>0</v>
      </c>
      <c r="M343" s="10">
        <f t="shared" si="77"/>
        <v>1</v>
      </c>
      <c r="N343" s="11">
        <f t="shared" si="78"/>
        <v>0.229676482787217</v>
      </c>
      <c r="O343" s="8">
        <f t="shared" si="79"/>
        <v>13289.9999999995</v>
      </c>
      <c r="P343" s="12">
        <f t="shared" si="80"/>
        <v>0</v>
      </c>
    </row>
    <row r="344" spans="1:16">
      <c r="A344" s="2">
        <v>46179</v>
      </c>
      <c r="B344" s="3">
        <f>Data_Entry!P434</f>
        <v>11430.0000000005</v>
      </c>
      <c r="C344" s="4">
        <f>Data_Entry!V434</f>
        <v>4.68</v>
      </c>
      <c r="D344" s="5">
        <f t="shared" si="72"/>
        <v>0.197532144338458</v>
      </c>
      <c r="E344" s="6">
        <v>0</v>
      </c>
      <c r="F344" s="6">
        <v>0</v>
      </c>
      <c r="G344" s="7">
        <f t="shared" si="73"/>
        <v>0</v>
      </c>
      <c r="H344" s="7">
        <f t="shared" si="74"/>
        <v>0</v>
      </c>
      <c r="I344" s="8">
        <v>2411</v>
      </c>
      <c r="J344" s="9"/>
      <c r="K344" s="8">
        <f t="shared" si="75"/>
        <v>28932</v>
      </c>
      <c r="L344" s="7">
        <f t="shared" si="76"/>
        <v>0</v>
      </c>
      <c r="M344" s="10">
        <f t="shared" si="77"/>
        <v>1</v>
      </c>
      <c r="N344" s="11">
        <f t="shared" si="78"/>
        <v>0.197532144338458</v>
      </c>
      <c r="O344" s="8">
        <f t="shared" si="79"/>
        <v>11430.0000000005</v>
      </c>
      <c r="P344" s="12">
        <f t="shared" si="80"/>
        <v>0</v>
      </c>
    </row>
    <row r="345" spans="1:16">
      <c r="A345" s="2">
        <v>46180</v>
      </c>
      <c r="B345" s="3">
        <f>Data_Entry!P435</f>
        <v>12989.9999999998</v>
      </c>
      <c r="C345" s="4">
        <f>Data_Entry!V435</f>
        <v>5.17</v>
      </c>
      <c r="D345" s="5">
        <f t="shared" si="72"/>
        <v>0.224491912069677</v>
      </c>
      <c r="E345" s="6">
        <v>0</v>
      </c>
      <c r="F345" s="6">
        <v>0</v>
      </c>
      <c r="G345" s="7">
        <f t="shared" si="73"/>
        <v>0</v>
      </c>
      <c r="H345" s="7">
        <f t="shared" si="74"/>
        <v>0</v>
      </c>
      <c r="I345" s="8">
        <v>2411</v>
      </c>
      <c r="J345" s="9"/>
      <c r="K345" s="8">
        <f t="shared" si="75"/>
        <v>28932</v>
      </c>
      <c r="L345" s="7">
        <f t="shared" si="76"/>
        <v>0</v>
      </c>
      <c r="M345" s="10">
        <f t="shared" si="77"/>
        <v>1</v>
      </c>
      <c r="N345" s="11">
        <f t="shared" si="78"/>
        <v>0.224491912069677</v>
      </c>
      <c r="O345" s="8">
        <f t="shared" si="79"/>
        <v>12989.9999999998</v>
      </c>
      <c r="P345" s="12">
        <f t="shared" si="80"/>
        <v>0</v>
      </c>
    </row>
    <row r="346" spans="1:16">
      <c r="A346" s="2">
        <v>46181</v>
      </c>
      <c r="B346" s="3">
        <f>Data_Entry!P436</f>
        <v>12989.9999999998</v>
      </c>
      <c r="C346" s="4">
        <f>Data_Entry!V436</f>
        <v>4.36</v>
      </c>
      <c r="D346" s="5">
        <f t="shared" si="72"/>
        <v>0.224491912069677</v>
      </c>
      <c r="E346" s="6">
        <v>0</v>
      </c>
      <c r="F346" s="6">
        <v>0</v>
      </c>
      <c r="G346" s="7">
        <f t="shared" si="73"/>
        <v>0</v>
      </c>
      <c r="H346" s="7">
        <f t="shared" si="74"/>
        <v>0</v>
      </c>
      <c r="I346" s="8">
        <v>2411</v>
      </c>
      <c r="J346" s="9"/>
      <c r="K346" s="8">
        <f t="shared" si="75"/>
        <v>28932</v>
      </c>
      <c r="L346" s="7">
        <f t="shared" si="76"/>
        <v>0</v>
      </c>
      <c r="M346" s="10">
        <f t="shared" si="77"/>
        <v>1</v>
      </c>
      <c r="N346" s="11">
        <f t="shared" si="78"/>
        <v>0.224491912069677</v>
      </c>
      <c r="O346" s="8">
        <f t="shared" si="79"/>
        <v>12989.9999999998</v>
      </c>
      <c r="P346" s="12">
        <f t="shared" si="80"/>
        <v>0</v>
      </c>
    </row>
    <row r="347" spans="1:16">
      <c r="A347" s="2">
        <v>46182</v>
      </c>
      <c r="B347" s="3">
        <f>Data_Entry!P437</f>
        <v>0</v>
      </c>
      <c r="C347" s="4">
        <f>Data_Entry!V437</f>
        <v>0</v>
      </c>
      <c r="D347" s="5">
        <f t="shared" si="72"/>
        <v>0</v>
      </c>
      <c r="E347" s="6">
        <v>0</v>
      </c>
      <c r="F347" s="6">
        <v>0</v>
      </c>
      <c r="G347" s="7">
        <f t="shared" si="73"/>
        <v>0</v>
      </c>
      <c r="H347" s="7">
        <f t="shared" si="74"/>
        <v>0</v>
      </c>
      <c r="I347" s="8">
        <v>2411</v>
      </c>
      <c r="J347" s="9"/>
      <c r="K347" s="8">
        <f t="shared" si="75"/>
        <v>28932</v>
      </c>
      <c r="L347" s="7">
        <f t="shared" si="76"/>
        <v>0</v>
      </c>
      <c r="M347" s="10">
        <f t="shared" si="77"/>
        <v>1</v>
      </c>
      <c r="N347" s="11">
        <f t="shared" si="78"/>
        <v>0</v>
      </c>
      <c r="O347" s="8">
        <f t="shared" si="79"/>
        <v>0</v>
      </c>
      <c r="P347" s="12">
        <f t="shared" si="80"/>
        <v>0</v>
      </c>
    </row>
    <row r="348" spans="1:16">
      <c r="A348" s="2">
        <v>46183</v>
      </c>
      <c r="B348" s="3">
        <f>Data_Entry!P438</f>
        <v>0</v>
      </c>
      <c r="C348" s="4">
        <f>Data_Entry!V438</f>
        <v>0</v>
      </c>
      <c r="D348" s="5">
        <f t="shared" si="72"/>
        <v>0</v>
      </c>
      <c r="E348" s="6">
        <v>0</v>
      </c>
      <c r="F348" s="6">
        <v>0</v>
      </c>
      <c r="G348" s="7">
        <f t="shared" si="73"/>
        <v>0</v>
      </c>
      <c r="H348" s="7">
        <f t="shared" si="74"/>
        <v>0</v>
      </c>
      <c r="I348" s="8">
        <v>2411</v>
      </c>
      <c r="J348" s="9"/>
      <c r="K348" s="8">
        <f t="shared" si="75"/>
        <v>28932</v>
      </c>
      <c r="L348" s="7">
        <f t="shared" si="76"/>
        <v>0</v>
      </c>
      <c r="M348" s="10">
        <f t="shared" si="77"/>
        <v>1</v>
      </c>
      <c r="N348" s="11">
        <f t="shared" si="78"/>
        <v>0</v>
      </c>
      <c r="O348" s="8">
        <f t="shared" si="79"/>
        <v>0</v>
      </c>
      <c r="P348" s="12">
        <f t="shared" si="80"/>
        <v>0</v>
      </c>
    </row>
    <row r="349" spans="1:16">
      <c r="A349" s="2">
        <v>46184</v>
      </c>
      <c r="B349" s="3">
        <f>Data_Entry!P439</f>
        <v>0</v>
      </c>
      <c r="C349" s="4">
        <f>Data_Entry!V439</f>
        <v>0</v>
      </c>
      <c r="D349" s="5">
        <f t="shared" si="72"/>
        <v>0</v>
      </c>
      <c r="E349" s="6">
        <v>0</v>
      </c>
      <c r="F349" s="6">
        <v>0</v>
      </c>
      <c r="G349" s="7">
        <f t="shared" si="73"/>
        <v>0</v>
      </c>
      <c r="H349" s="7">
        <f t="shared" si="74"/>
        <v>0</v>
      </c>
      <c r="I349" s="8">
        <v>2411</v>
      </c>
      <c r="J349" s="9"/>
      <c r="K349" s="8">
        <f t="shared" si="75"/>
        <v>28932</v>
      </c>
      <c r="L349" s="7">
        <f t="shared" si="76"/>
        <v>0</v>
      </c>
      <c r="M349" s="10">
        <f t="shared" si="77"/>
        <v>1</v>
      </c>
      <c r="N349" s="11">
        <f t="shared" si="78"/>
        <v>0</v>
      </c>
      <c r="O349" s="8">
        <f t="shared" si="79"/>
        <v>0</v>
      </c>
      <c r="P349" s="12">
        <f t="shared" si="80"/>
        <v>0</v>
      </c>
    </row>
    <row r="350" spans="1:16">
      <c r="A350" s="2">
        <v>46185</v>
      </c>
      <c r="B350" s="3">
        <f>Data_Entry!P440</f>
        <v>0</v>
      </c>
      <c r="C350" s="4">
        <f>Data_Entry!V440</f>
        <v>0</v>
      </c>
      <c r="D350" s="5">
        <f t="shared" si="72"/>
        <v>0</v>
      </c>
      <c r="E350" s="6">
        <v>0</v>
      </c>
      <c r="F350" s="6">
        <v>0</v>
      </c>
      <c r="G350" s="7">
        <f t="shared" si="73"/>
        <v>0</v>
      </c>
      <c r="H350" s="7">
        <f t="shared" si="74"/>
        <v>0</v>
      </c>
      <c r="I350" s="8">
        <v>2411</v>
      </c>
      <c r="J350" s="9"/>
      <c r="K350" s="8">
        <f t="shared" si="75"/>
        <v>28932</v>
      </c>
      <c r="L350" s="7">
        <f t="shared" si="76"/>
        <v>0</v>
      </c>
      <c r="M350" s="10">
        <f t="shared" si="77"/>
        <v>1</v>
      </c>
      <c r="N350" s="11">
        <f t="shared" si="78"/>
        <v>0</v>
      </c>
      <c r="O350" s="8">
        <f t="shared" si="79"/>
        <v>0</v>
      </c>
      <c r="P350" s="12">
        <f t="shared" si="80"/>
        <v>0</v>
      </c>
    </row>
    <row r="351" spans="1:16">
      <c r="A351" s="2">
        <v>46186</v>
      </c>
      <c r="B351" s="3">
        <f>Data_Entry!P441</f>
        <v>0</v>
      </c>
      <c r="C351" s="4">
        <f>Data_Entry!V441</f>
        <v>0</v>
      </c>
      <c r="D351" s="5">
        <f t="shared" si="72"/>
        <v>0</v>
      </c>
      <c r="E351" s="6">
        <v>0</v>
      </c>
      <c r="F351" s="6">
        <v>0</v>
      </c>
      <c r="G351" s="7">
        <f t="shared" si="73"/>
        <v>0</v>
      </c>
      <c r="H351" s="7">
        <f t="shared" si="74"/>
        <v>0</v>
      </c>
      <c r="I351" s="8">
        <v>2411</v>
      </c>
      <c r="J351" s="9"/>
      <c r="K351" s="8">
        <f t="shared" si="75"/>
        <v>28932</v>
      </c>
      <c r="L351" s="7">
        <f t="shared" si="76"/>
        <v>0</v>
      </c>
      <c r="M351" s="10">
        <f t="shared" si="77"/>
        <v>1</v>
      </c>
      <c r="N351" s="11">
        <f t="shared" si="78"/>
        <v>0</v>
      </c>
      <c r="O351" s="8">
        <f t="shared" si="79"/>
        <v>0</v>
      </c>
      <c r="P351" s="12">
        <f t="shared" si="80"/>
        <v>0</v>
      </c>
    </row>
    <row r="352" spans="1:16">
      <c r="A352" s="2">
        <v>46187</v>
      </c>
      <c r="B352" s="3">
        <f>Data_Entry!P442</f>
        <v>0</v>
      </c>
      <c r="C352" s="4">
        <f>Data_Entry!V442</f>
        <v>0</v>
      </c>
      <c r="D352" s="5">
        <f t="shared" si="72"/>
        <v>0</v>
      </c>
      <c r="E352" s="6">
        <v>0</v>
      </c>
      <c r="F352" s="6">
        <v>0</v>
      </c>
      <c r="G352" s="7">
        <f t="shared" si="73"/>
        <v>0</v>
      </c>
      <c r="H352" s="7">
        <f t="shared" si="74"/>
        <v>0</v>
      </c>
      <c r="I352" s="8">
        <v>2411</v>
      </c>
      <c r="J352" s="9"/>
      <c r="K352" s="8">
        <f t="shared" si="75"/>
        <v>28932</v>
      </c>
      <c r="L352" s="7">
        <f t="shared" si="76"/>
        <v>0</v>
      </c>
      <c r="M352" s="10">
        <f t="shared" si="77"/>
        <v>1</v>
      </c>
      <c r="N352" s="11">
        <f t="shared" si="78"/>
        <v>0</v>
      </c>
      <c r="O352" s="8">
        <f t="shared" si="79"/>
        <v>0</v>
      </c>
      <c r="P352" s="12">
        <f t="shared" si="80"/>
        <v>0</v>
      </c>
    </row>
    <row r="353" spans="1:16">
      <c r="A353" s="2">
        <v>46188</v>
      </c>
      <c r="B353" s="3">
        <f>Data_Entry!P443</f>
        <v>0</v>
      </c>
      <c r="C353" s="4">
        <f>Data_Entry!V443</f>
        <v>0</v>
      </c>
      <c r="D353" s="5">
        <f t="shared" si="72"/>
        <v>0</v>
      </c>
      <c r="E353" s="6">
        <v>0</v>
      </c>
      <c r="F353" s="6">
        <v>0</v>
      </c>
      <c r="G353" s="7">
        <f t="shared" si="73"/>
        <v>0</v>
      </c>
      <c r="H353" s="7">
        <f t="shared" si="74"/>
        <v>0</v>
      </c>
      <c r="I353" s="8">
        <v>2411</v>
      </c>
      <c r="J353" s="9"/>
      <c r="K353" s="8">
        <f t="shared" si="75"/>
        <v>28932</v>
      </c>
      <c r="L353" s="7">
        <f t="shared" si="76"/>
        <v>0</v>
      </c>
      <c r="M353" s="10">
        <f t="shared" si="77"/>
        <v>1</v>
      </c>
      <c r="N353" s="11">
        <f t="shared" si="78"/>
        <v>0</v>
      </c>
      <c r="O353" s="8">
        <f t="shared" si="79"/>
        <v>0</v>
      </c>
      <c r="P353" s="12">
        <f t="shared" si="80"/>
        <v>0</v>
      </c>
    </row>
    <row r="354" spans="1:16">
      <c r="A354" s="2">
        <v>46189</v>
      </c>
      <c r="B354" s="3">
        <f>Data_Entry!P444</f>
        <v>0</v>
      </c>
      <c r="C354" s="4">
        <f>Data_Entry!V444</f>
        <v>0</v>
      </c>
      <c r="D354" s="5">
        <f t="shared" si="72"/>
        <v>0</v>
      </c>
      <c r="E354" s="6">
        <v>0</v>
      </c>
      <c r="F354" s="6">
        <v>0</v>
      </c>
      <c r="G354" s="7">
        <f t="shared" si="73"/>
        <v>0</v>
      </c>
      <c r="H354" s="7">
        <f t="shared" si="74"/>
        <v>0</v>
      </c>
      <c r="I354" s="8">
        <v>2411</v>
      </c>
      <c r="J354" s="9"/>
      <c r="K354" s="8">
        <f t="shared" si="75"/>
        <v>28932</v>
      </c>
      <c r="L354" s="7">
        <f t="shared" si="76"/>
        <v>0</v>
      </c>
      <c r="M354" s="10">
        <f t="shared" si="77"/>
        <v>1</v>
      </c>
      <c r="N354" s="11">
        <f t="shared" si="78"/>
        <v>0</v>
      </c>
      <c r="O354" s="8">
        <f t="shared" si="79"/>
        <v>0</v>
      </c>
      <c r="P354" s="12">
        <f t="shared" si="80"/>
        <v>0</v>
      </c>
    </row>
    <row r="355" spans="1:16">
      <c r="A355" s="2">
        <v>46190</v>
      </c>
      <c r="B355" s="3">
        <f>Data_Entry!P445</f>
        <v>0</v>
      </c>
      <c r="C355" s="4">
        <f>Data_Entry!V445</f>
        <v>0</v>
      </c>
      <c r="D355" s="5">
        <f t="shared" si="72"/>
        <v>0</v>
      </c>
      <c r="E355" s="6">
        <v>0</v>
      </c>
      <c r="F355" s="6">
        <v>0</v>
      </c>
      <c r="G355" s="7">
        <f t="shared" si="73"/>
        <v>0</v>
      </c>
      <c r="H355" s="7">
        <f t="shared" si="74"/>
        <v>0</v>
      </c>
      <c r="I355" s="8">
        <v>2411</v>
      </c>
      <c r="J355" s="9"/>
      <c r="K355" s="8">
        <f t="shared" si="75"/>
        <v>28932</v>
      </c>
      <c r="L355" s="7">
        <f t="shared" si="76"/>
        <v>0</v>
      </c>
      <c r="M355" s="10">
        <f t="shared" si="77"/>
        <v>1</v>
      </c>
      <c r="N355" s="11">
        <f t="shared" si="78"/>
        <v>0</v>
      </c>
      <c r="O355" s="8">
        <f t="shared" si="79"/>
        <v>0</v>
      </c>
      <c r="P355" s="12">
        <f t="shared" si="80"/>
        <v>0</v>
      </c>
    </row>
    <row r="356" spans="1:16">
      <c r="A356" s="2">
        <v>46191</v>
      </c>
      <c r="B356" s="3">
        <f>Data_Entry!P446</f>
        <v>0</v>
      </c>
      <c r="C356" s="4">
        <f>Data_Entry!V446</f>
        <v>0</v>
      </c>
      <c r="D356" s="5">
        <f t="shared" si="72"/>
        <v>0</v>
      </c>
      <c r="E356" s="6">
        <v>0</v>
      </c>
      <c r="F356" s="6">
        <v>0</v>
      </c>
      <c r="G356" s="7">
        <f t="shared" si="73"/>
        <v>0</v>
      </c>
      <c r="H356" s="7">
        <f t="shared" si="74"/>
        <v>0</v>
      </c>
      <c r="I356" s="8">
        <v>2411</v>
      </c>
      <c r="J356" s="9"/>
      <c r="K356" s="8">
        <f t="shared" si="75"/>
        <v>28932</v>
      </c>
      <c r="L356" s="7">
        <f t="shared" si="76"/>
        <v>0</v>
      </c>
      <c r="M356" s="10">
        <f t="shared" si="77"/>
        <v>1</v>
      </c>
      <c r="N356" s="11">
        <f t="shared" si="78"/>
        <v>0</v>
      </c>
      <c r="O356" s="8">
        <f t="shared" si="79"/>
        <v>0</v>
      </c>
      <c r="P356" s="12">
        <f t="shared" si="80"/>
        <v>0</v>
      </c>
    </row>
    <row r="357" spans="1:16">
      <c r="A357" s="2">
        <v>46192</v>
      </c>
      <c r="B357" s="3">
        <f>Data_Entry!P447</f>
        <v>0</v>
      </c>
      <c r="C357" s="4">
        <f>Data_Entry!V447</f>
        <v>0</v>
      </c>
      <c r="D357" s="5">
        <f t="shared" si="72"/>
        <v>0</v>
      </c>
      <c r="E357" s="6">
        <v>0</v>
      </c>
      <c r="F357" s="6">
        <v>0</v>
      </c>
      <c r="G357" s="7">
        <f t="shared" si="73"/>
        <v>0</v>
      </c>
      <c r="H357" s="7">
        <f t="shared" si="74"/>
        <v>0</v>
      </c>
      <c r="I357" s="8">
        <v>2411</v>
      </c>
      <c r="J357" s="9"/>
      <c r="K357" s="8">
        <f t="shared" si="75"/>
        <v>28932</v>
      </c>
      <c r="L357" s="7">
        <f t="shared" si="76"/>
        <v>0</v>
      </c>
      <c r="M357" s="10">
        <f t="shared" si="77"/>
        <v>1</v>
      </c>
      <c r="N357" s="11">
        <f t="shared" si="78"/>
        <v>0</v>
      </c>
      <c r="O357" s="8">
        <f t="shared" si="79"/>
        <v>0</v>
      </c>
      <c r="P357" s="12">
        <f t="shared" si="80"/>
        <v>0</v>
      </c>
    </row>
    <row r="358" spans="1:16">
      <c r="A358" s="2">
        <v>46193</v>
      </c>
      <c r="B358" s="3">
        <f>Data_Entry!P448</f>
        <v>0</v>
      </c>
      <c r="C358" s="4">
        <f>Data_Entry!V448</f>
        <v>0</v>
      </c>
      <c r="D358" s="5">
        <f t="shared" si="72"/>
        <v>0</v>
      </c>
      <c r="E358" s="6">
        <v>0</v>
      </c>
      <c r="F358" s="6">
        <v>0</v>
      </c>
      <c r="G358" s="7">
        <f t="shared" si="73"/>
        <v>0</v>
      </c>
      <c r="H358" s="7">
        <f t="shared" si="74"/>
        <v>0</v>
      </c>
      <c r="I358" s="8">
        <v>2411</v>
      </c>
      <c r="J358" s="9"/>
      <c r="K358" s="8">
        <f t="shared" si="75"/>
        <v>28932</v>
      </c>
      <c r="L358" s="7">
        <f t="shared" si="76"/>
        <v>0</v>
      </c>
      <c r="M358" s="10">
        <f t="shared" si="77"/>
        <v>1</v>
      </c>
      <c r="N358" s="11">
        <f t="shared" si="78"/>
        <v>0</v>
      </c>
      <c r="O358" s="8">
        <f t="shared" si="79"/>
        <v>0</v>
      </c>
      <c r="P358" s="12">
        <f t="shared" si="80"/>
        <v>0</v>
      </c>
    </row>
    <row r="359" spans="1:16">
      <c r="A359" s="2">
        <v>46194</v>
      </c>
      <c r="B359" s="3">
        <f>Data_Entry!P449</f>
        <v>0</v>
      </c>
      <c r="C359" s="4">
        <f>Data_Entry!V449</f>
        <v>0</v>
      </c>
      <c r="D359" s="5">
        <f t="shared" si="72"/>
        <v>0</v>
      </c>
      <c r="E359" s="6">
        <v>0</v>
      </c>
      <c r="F359" s="6">
        <v>0</v>
      </c>
      <c r="G359" s="7">
        <f t="shared" si="73"/>
        <v>0</v>
      </c>
      <c r="H359" s="7">
        <f t="shared" si="74"/>
        <v>0</v>
      </c>
      <c r="I359" s="8">
        <v>2411</v>
      </c>
      <c r="J359" s="9"/>
      <c r="K359" s="8">
        <f t="shared" si="75"/>
        <v>28932</v>
      </c>
      <c r="L359" s="7">
        <f t="shared" si="76"/>
        <v>0</v>
      </c>
      <c r="M359" s="10">
        <f t="shared" si="77"/>
        <v>1</v>
      </c>
      <c r="N359" s="11">
        <f t="shared" si="78"/>
        <v>0</v>
      </c>
      <c r="O359" s="8">
        <f t="shared" si="79"/>
        <v>0</v>
      </c>
      <c r="P359" s="12">
        <f t="shared" si="80"/>
        <v>0</v>
      </c>
    </row>
    <row r="360" spans="1:16">
      <c r="A360" s="2">
        <v>46195</v>
      </c>
      <c r="B360" s="3">
        <f>Data_Entry!P450</f>
        <v>0</v>
      </c>
      <c r="C360" s="4">
        <f>Data_Entry!V450</f>
        <v>0</v>
      </c>
      <c r="D360" s="5">
        <f t="shared" si="72"/>
        <v>0</v>
      </c>
      <c r="E360" s="6">
        <v>0</v>
      </c>
      <c r="F360" s="6">
        <v>0</v>
      </c>
      <c r="G360" s="7">
        <f t="shared" si="73"/>
        <v>0</v>
      </c>
      <c r="H360" s="7">
        <f t="shared" si="74"/>
        <v>0</v>
      </c>
      <c r="I360" s="8">
        <v>2411</v>
      </c>
      <c r="J360" s="9"/>
      <c r="K360" s="8">
        <f t="shared" si="75"/>
        <v>28932</v>
      </c>
      <c r="L360" s="7">
        <f t="shared" si="76"/>
        <v>0</v>
      </c>
      <c r="M360" s="10">
        <f t="shared" si="77"/>
        <v>1</v>
      </c>
      <c r="N360" s="11">
        <f t="shared" si="78"/>
        <v>0</v>
      </c>
      <c r="O360" s="8">
        <f t="shared" si="79"/>
        <v>0</v>
      </c>
      <c r="P360" s="12">
        <f t="shared" si="80"/>
        <v>0</v>
      </c>
    </row>
    <row r="361" spans="1:16">
      <c r="A361" s="2">
        <v>46196</v>
      </c>
      <c r="B361" s="3">
        <f>Data_Entry!P451</f>
        <v>0</v>
      </c>
      <c r="C361" s="4">
        <f>Data_Entry!V451</f>
        <v>0</v>
      </c>
      <c r="D361" s="5">
        <f t="shared" si="72"/>
        <v>0</v>
      </c>
      <c r="E361" s="6">
        <v>0</v>
      </c>
      <c r="F361" s="6">
        <v>0</v>
      </c>
      <c r="G361" s="7">
        <f t="shared" si="73"/>
        <v>0</v>
      </c>
      <c r="H361" s="7">
        <f t="shared" si="74"/>
        <v>0</v>
      </c>
      <c r="I361" s="8">
        <v>2411</v>
      </c>
      <c r="J361" s="9"/>
      <c r="K361" s="8">
        <f t="shared" si="75"/>
        <v>28932</v>
      </c>
      <c r="L361" s="7">
        <f t="shared" si="76"/>
        <v>0</v>
      </c>
      <c r="M361" s="10">
        <f t="shared" si="77"/>
        <v>1</v>
      </c>
      <c r="N361" s="11">
        <f t="shared" si="78"/>
        <v>0</v>
      </c>
      <c r="O361" s="8">
        <f t="shared" si="79"/>
        <v>0</v>
      </c>
      <c r="P361" s="12">
        <f t="shared" si="80"/>
        <v>0</v>
      </c>
    </row>
    <row r="362" spans="1:16">
      <c r="A362" s="2">
        <v>46197</v>
      </c>
      <c r="B362" s="3">
        <f>Data_Entry!P452</f>
        <v>0</v>
      </c>
      <c r="C362" s="4">
        <f>Data_Entry!V452</f>
        <v>0</v>
      </c>
      <c r="D362" s="5">
        <f t="shared" si="72"/>
        <v>0</v>
      </c>
      <c r="E362" s="6">
        <v>0</v>
      </c>
      <c r="F362" s="6">
        <v>0</v>
      </c>
      <c r="G362" s="7">
        <f t="shared" si="73"/>
        <v>0</v>
      </c>
      <c r="H362" s="7">
        <f t="shared" si="74"/>
        <v>0</v>
      </c>
      <c r="I362" s="8">
        <v>2411</v>
      </c>
      <c r="J362" s="9"/>
      <c r="K362" s="8">
        <f t="shared" si="75"/>
        <v>28932</v>
      </c>
      <c r="L362" s="7">
        <f t="shared" si="76"/>
        <v>0</v>
      </c>
      <c r="M362" s="10">
        <f t="shared" si="77"/>
        <v>1</v>
      </c>
      <c r="N362" s="11">
        <f t="shared" si="78"/>
        <v>0</v>
      </c>
      <c r="O362" s="8">
        <f t="shared" si="79"/>
        <v>0</v>
      </c>
      <c r="P362" s="12">
        <f t="shared" si="80"/>
        <v>0</v>
      </c>
    </row>
    <row r="363" spans="1:16">
      <c r="A363" s="2">
        <v>46198</v>
      </c>
      <c r="B363" s="3">
        <f>Data_Entry!P453</f>
        <v>0</v>
      </c>
      <c r="C363" s="4">
        <f>Data_Entry!V453</f>
        <v>0</v>
      </c>
      <c r="D363" s="5">
        <f t="shared" si="72"/>
        <v>0</v>
      </c>
      <c r="E363" s="6">
        <v>0</v>
      </c>
      <c r="F363" s="6">
        <v>0</v>
      </c>
      <c r="G363" s="7">
        <f t="shared" si="73"/>
        <v>0</v>
      </c>
      <c r="H363" s="7">
        <f t="shared" si="74"/>
        <v>0</v>
      </c>
      <c r="I363" s="8">
        <v>2411</v>
      </c>
      <c r="J363" s="9"/>
      <c r="K363" s="8">
        <f t="shared" si="75"/>
        <v>28932</v>
      </c>
      <c r="L363" s="7">
        <f t="shared" si="76"/>
        <v>0</v>
      </c>
      <c r="M363" s="10">
        <f t="shared" si="77"/>
        <v>1</v>
      </c>
      <c r="N363" s="11">
        <f t="shared" si="78"/>
        <v>0</v>
      </c>
      <c r="O363" s="8">
        <f t="shared" si="79"/>
        <v>0</v>
      </c>
      <c r="P363" s="12">
        <f t="shared" si="80"/>
        <v>0</v>
      </c>
    </row>
    <row r="364" spans="1:16">
      <c r="A364" s="2">
        <v>46199</v>
      </c>
      <c r="B364" s="3">
        <f>Data_Entry!P454</f>
        <v>0</v>
      </c>
      <c r="C364" s="4">
        <f>Data_Entry!V454</f>
        <v>0</v>
      </c>
      <c r="D364" s="5">
        <f t="shared" si="72"/>
        <v>0</v>
      </c>
      <c r="E364" s="6">
        <v>0</v>
      </c>
      <c r="F364" s="6">
        <v>0</v>
      </c>
      <c r="G364" s="7">
        <f t="shared" si="73"/>
        <v>0</v>
      </c>
      <c r="H364" s="7">
        <f t="shared" si="74"/>
        <v>0</v>
      </c>
      <c r="I364" s="8">
        <v>2411</v>
      </c>
      <c r="J364" s="9"/>
      <c r="K364" s="8">
        <f t="shared" si="75"/>
        <v>28932</v>
      </c>
      <c r="L364" s="7">
        <f t="shared" si="76"/>
        <v>0</v>
      </c>
      <c r="M364" s="10">
        <f t="shared" si="77"/>
        <v>1</v>
      </c>
      <c r="N364" s="11">
        <f t="shared" si="78"/>
        <v>0</v>
      </c>
      <c r="O364" s="8">
        <f t="shared" si="79"/>
        <v>0</v>
      </c>
      <c r="P364" s="12">
        <f t="shared" si="80"/>
        <v>0</v>
      </c>
    </row>
    <row r="365" spans="1:16">
      <c r="A365" s="2">
        <v>46200</v>
      </c>
      <c r="B365" s="3">
        <f>Data_Entry!P455</f>
        <v>0</v>
      </c>
      <c r="C365" s="4">
        <f>Data_Entry!V455</f>
        <v>0</v>
      </c>
      <c r="D365" s="5">
        <f t="shared" si="72"/>
        <v>0</v>
      </c>
      <c r="E365" s="6">
        <v>0</v>
      </c>
      <c r="F365" s="6">
        <v>0</v>
      </c>
      <c r="G365" s="7">
        <f t="shared" si="73"/>
        <v>0</v>
      </c>
      <c r="H365" s="7">
        <f t="shared" si="74"/>
        <v>0</v>
      </c>
      <c r="I365" s="8">
        <v>2411</v>
      </c>
      <c r="J365" s="9"/>
      <c r="K365" s="8">
        <f t="shared" si="75"/>
        <v>28932</v>
      </c>
      <c r="L365" s="7">
        <f t="shared" si="76"/>
        <v>0</v>
      </c>
      <c r="M365" s="10">
        <f t="shared" si="77"/>
        <v>1</v>
      </c>
      <c r="N365" s="11">
        <f t="shared" si="78"/>
        <v>0</v>
      </c>
      <c r="O365" s="8">
        <f t="shared" si="79"/>
        <v>0</v>
      </c>
      <c r="P365" s="12">
        <f t="shared" si="80"/>
        <v>0</v>
      </c>
    </row>
    <row r="366" spans="1:16">
      <c r="A366" s="2">
        <v>46201</v>
      </c>
      <c r="B366" s="3">
        <f>Data_Entry!P456</f>
        <v>0</v>
      </c>
      <c r="C366" s="4">
        <f>Data_Entry!V456</f>
        <v>0</v>
      </c>
      <c r="D366" s="5">
        <f t="shared" si="72"/>
        <v>0</v>
      </c>
      <c r="E366" s="6">
        <v>0</v>
      </c>
      <c r="F366" s="6">
        <v>0</v>
      </c>
      <c r="G366" s="7">
        <f t="shared" si="73"/>
        <v>0</v>
      </c>
      <c r="H366" s="7">
        <f t="shared" si="74"/>
        <v>0</v>
      </c>
      <c r="I366" s="8">
        <v>2411</v>
      </c>
      <c r="J366" s="9"/>
      <c r="K366" s="8">
        <f t="shared" si="75"/>
        <v>28932</v>
      </c>
      <c r="L366" s="7">
        <f t="shared" si="76"/>
        <v>0</v>
      </c>
      <c r="M366" s="10">
        <f t="shared" si="77"/>
        <v>1</v>
      </c>
      <c r="N366" s="11">
        <f t="shared" si="78"/>
        <v>0</v>
      </c>
      <c r="O366" s="8">
        <f t="shared" si="79"/>
        <v>0</v>
      </c>
      <c r="P366" s="12">
        <f t="shared" si="80"/>
        <v>0</v>
      </c>
    </row>
    <row r="367" spans="1:16">
      <c r="A367" s="2">
        <v>46202</v>
      </c>
      <c r="B367" s="3">
        <f>Data_Entry!P457</f>
        <v>0</v>
      </c>
      <c r="C367" s="4">
        <f>Data_Entry!V457</f>
        <v>0</v>
      </c>
      <c r="D367" s="5">
        <f t="shared" si="72"/>
        <v>0</v>
      </c>
      <c r="E367" s="6">
        <v>0</v>
      </c>
      <c r="F367" s="6">
        <v>0</v>
      </c>
      <c r="G367" s="7">
        <f t="shared" si="73"/>
        <v>0</v>
      </c>
      <c r="H367" s="7">
        <f t="shared" si="74"/>
        <v>0</v>
      </c>
      <c r="I367" s="8">
        <v>2411</v>
      </c>
      <c r="J367" s="9"/>
      <c r="K367" s="8">
        <f t="shared" si="75"/>
        <v>28932</v>
      </c>
      <c r="L367" s="7">
        <f t="shared" si="76"/>
        <v>0</v>
      </c>
      <c r="M367" s="10">
        <f t="shared" si="77"/>
        <v>1</v>
      </c>
      <c r="N367" s="11">
        <f t="shared" si="78"/>
        <v>0</v>
      </c>
      <c r="O367" s="8">
        <f t="shared" si="79"/>
        <v>0</v>
      </c>
      <c r="P367" s="12">
        <f t="shared" si="80"/>
        <v>0</v>
      </c>
    </row>
    <row r="368" spans="1:16">
      <c r="A368" s="2">
        <v>46203</v>
      </c>
      <c r="B368" s="3">
        <f>Data_Entry!P458</f>
        <v>0</v>
      </c>
      <c r="C368" s="4">
        <f>Data_Entry!V458</f>
        <v>0</v>
      </c>
      <c r="D368" s="5">
        <f t="shared" si="72"/>
        <v>0</v>
      </c>
      <c r="E368" s="6">
        <v>0</v>
      </c>
      <c r="F368" s="6">
        <v>0</v>
      </c>
      <c r="G368" s="7">
        <f t="shared" si="73"/>
        <v>0</v>
      </c>
      <c r="H368" s="7">
        <f t="shared" si="74"/>
        <v>0</v>
      </c>
      <c r="I368" s="8">
        <v>2411</v>
      </c>
      <c r="J368" s="9"/>
      <c r="K368" s="8">
        <f t="shared" si="75"/>
        <v>28932</v>
      </c>
      <c r="L368" s="7">
        <f t="shared" si="76"/>
        <v>0</v>
      </c>
      <c r="M368" s="10">
        <f t="shared" si="77"/>
        <v>1</v>
      </c>
      <c r="N368" s="11">
        <f t="shared" si="78"/>
        <v>0</v>
      </c>
      <c r="O368" s="8">
        <f t="shared" si="79"/>
        <v>0</v>
      </c>
      <c r="P368" s="12">
        <f t="shared" si="80"/>
        <v>0</v>
      </c>
    </row>
    <row r="369" spans="1:1">
      <c r="A369" s="2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12" master="" otherUserPermission="visible">
    <arrUserId title="Range1" rangeCreator="" othersAccessPermission="edit"/>
  </rangeList>
  <rangeList sheetStid="8" master="" otherUserPermission="visible"/>
  <rangeList sheetStid="9" master="" otherUserPermission="visible"/>
  <rangeList sheetStid="15" master="" otherUserPermission="visible"/>
  <rangeList sheetStid="14" master="" otherUserPermission="visible"/>
  <rangeList sheetStid="4" master="" otherUserPermission="visible"/>
  <rangeList sheetStid="3" master="" otherUserPermission="visible"/>
  <rangeList sheetStid="7" master="" otherUserPermission="visible"/>
  <rangeList sheetStid="5" master="" otherUserPermission="visible"/>
  <rangeList sheetStid="13" master="" otherUserPermission="visible"/>
  <rangeList sheetStid="16" master="" otherUserPermission="visible"/>
  <rangeList sheetStid="1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Budgeted_Data</vt:lpstr>
      <vt:lpstr>E-Mail_Copy</vt:lpstr>
      <vt:lpstr>DGR</vt:lpstr>
      <vt:lpstr>Data_Entry</vt:lpstr>
      <vt:lpstr>Inverter_PR</vt:lpstr>
      <vt:lpstr>Invt_Analysis_Gen_Per_KW &amp;_PR</vt:lpstr>
      <vt:lpstr>Basic_Data</vt:lpstr>
      <vt:lpstr>Plant_Down_Time Details</vt:lpstr>
      <vt:lpstr>Plant_Grid_Down_Time_Details</vt:lpstr>
      <vt:lpstr>WMS</vt:lpstr>
      <vt:lpstr>Module_Cleaning</vt:lpstr>
      <vt:lpstr>Plant  Availiblity</vt:lpstr>
      <vt:lpstr>Grid Availiblity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 g45 5G</dc:creator>
  <cp:lastModifiedBy>Admin</cp:lastModifiedBy>
  <dcterms:created xsi:type="dcterms:W3CDTF">2025-03-18T05:55:00Z</dcterms:created>
  <dcterms:modified xsi:type="dcterms:W3CDTF">2026-06-08T14:09:59Z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5e0b00c7a440410a90880836e8d7be32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