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945" firstSheet="1" activeTab="5"/>
  </bookViews>
  <sheets>
    <sheet name="Budgeted_data" sheetId="9" r:id="rId1"/>
    <sheet name="E-Mail_Copy" sheetId="10" r:id="rId2"/>
    <sheet name="DGR" sheetId="11" r:id="rId3"/>
    <sheet name="Data_Entry" sheetId="8" r:id="rId4"/>
    <sheet name="Basic_Data" sheetId="4" r:id="rId5"/>
    <sheet name="Module_Cleaning" sheetId="6" r:id="rId6"/>
    <sheet name="WMS" sheetId="5" r:id="rId7"/>
    <sheet name="Plant_Down_Time Details" sheetId="3" r:id="rId8"/>
    <sheet name="Plant_Grid_Down_Time_Details" sheetId="7" r:id="rId9"/>
    <sheet name="Plant Aviliblity" sheetId="12" r:id="rId10"/>
    <sheet name="Grid Availiblity" sheetId="13" r:id="rId11"/>
    <sheet name="Sheet1" sheetId="14" r:id="rId12"/>
    <sheet name="Sheet2" sheetId="15" r:id="rId13"/>
    <sheet name="Sheet3" sheetId="16" r:id="rId14"/>
    <sheet name="Sheet4" sheetId="17" r:id="rId15"/>
    <sheet name="Sheet5" sheetId="18" r:id="rId16"/>
  </sheets>
  <externalReferences>
    <externalReference r:id="rId18"/>
    <externalReference r:id="rId19"/>
  </externalReferences>
  <definedNames>
    <definedName name="_xlnm._FilterDatabase" localSheetId="5" hidden="1">Module_Cleaning!$B$393:$B$487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  <author>Admin</author>
  </authors>
  <commentList>
    <comment ref="AD18" authorId="0">
      <text>
        <r>
          <rPr>
            <b/>
            <sz val="9"/>
            <rFont val="Tahoma"/>
            <charset val="134"/>
          </rPr>
          <t>admin:</t>
        </r>
        <r>
          <rPr>
            <sz val="9"/>
            <rFont val="Tahoma"/>
            <charset val="134"/>
          </rPr>
          <t xml:space="preserve">
TODAY IS SHUTDOWN FROM GETCO SITE SO NOT UPDATE DATA
</t>
        </r>
      </text>
    </comment>
    <comment ref="AD28" authorId="0">
      <text>
        <r>
          <rPr>
            <b/>
            <sz val="9"/>
            <rFont val="Tahoma"/>
            <charset val="134"/>
          </rPr>
          <t>admin:</t>
        </r>
        <r>
          <rPr>
            <sz val="9"/>
            <rFont val="Tahoma"/>
            <charset val="134"/>
          </rPr>
          <t xml:space="preserve">
 not data update
</t>
        </r>
      </text>
    </comment>
    <comment ref="D60" authorId="0">
      <text>
        <r>
          <rPr>
            <b/>
            <sz val="9"/>
            <rFont val="Tahoma"/>
            <charset val="134"/>
          </rPr>
          <t>admin:</t>
        </r>
        <r>
          <rPr>
            <sz val="9"/>
            <rFont val="Tahoma"/>
            <charset val="134"/>
          </rPr>
          <t xml:space="preserve">
NOT UP DATE
</t>
        </r>
      </text>
    </comment>
    <comment ref="AD60" authorId="0">
      <text>
        <r>
          <rPr>
            <b/>
            <sz val="9"/>
            <rFont val="Tahoma"/>
            <charset val="134"/>
          </rPr>
          <t>admin:</t>
        </r>
        <r>
          <rPr>
            <sz val="9"/>
            <rFont val="Tahoma"/>
            <charset val="134"/>
          </rPr>
          <t xml:space="preserve">
RTU DATA NOT UPDATE
</t>
        </r>
      </text>
    </comment>
    <comment ref="J171" authorId="0">
      <text>
        <r>
          <rPr>
            <b/>
            <sz val="9"/>
            <rFont val="Tahoma"/>
            <charset val="1"/>
          </rPr>
          <t>admin:</t>
        </r>
        <r>
          <rPr>
            <sz val="9"/>
            <rFont val="Tahoma"/>
            <charset val="1"/>
          </rPr>
          <t xml:space="preserve">
USB NOT SUPPORTED
</t>
        </r>
      </text>
    </comment>
    <comment ref="N171" authorId="0">
      <text>
        <r>
          <rPr>
            <b/>
            <sz val="9"/>
            <rFont val="Tahoma"/>
            <charset val="1"/>
          </rPr>
          <t>admin:</t>
        </r>
        <r>
          <rPr>
            <sz val="9"/>
            <rFont val="Tahoma"/>
            <charset val="1"/>
          </rPr>
          <t xml:space="preserve">
INV-B1-1-FIRE</t>
        </r>
      </text>
    </comment>
    <comment ref="O171" authorId="0">
      <text>
        <r>
          <rPr>
            <b/>
            <sz val="9"/>
            <rFont val="Tahoma"/>
            <charset val="1"/>
          </rPr>
          <t>admin:</t>
        </r>
        <r>
          <rPr>
            <sz val="9"/>
            <rFont val="Tahoma"/>
            <charset val="1"/>
          </rPr>
          <t xml:space="preserve">
USB NOT SUPPORTED
</t>
        </r>
      </text>
    </comment>
    <comment ref="P171" authorId="0">
      <text>
        <r>
          <rPr>
            <b/>
            <sz val="9"/>
            <rFont val="Tahoma"/>
            <charset val="1"/>
          </rPr>
          <t>admin:</t>
        </r>
        <r>
          <rPr>
            <sz val="9"/>
            <rFont val="Tahoma"/>
            <charset val="1"/>
          </rPr>
          <t xml:space="preserve">
INV-B1-3
-FIRE</t>
        </r>
      </text>
    </comment>
    <comment ref="T171" authorId="0">
      <text>
        <r>
          <rPr>
            <b/>
            <sz val="9"/>
            <rFont val="Tahoma"/>
            <charset val="1"/>
          </rPr>
          <t>admin:</t>
        </r>
        <r>
          <rPr>
            <sz val="9"/>
            <rFont val="Tahoma"/>
            <charset val="1"/>
          </rPr>
          <t xml:space="preserve">
INV-B1-7
-FIRE</t>
        </r>
      </text>
    </comment>
    <comment ref="J172" authorId="0">
      <text>
        <r>
          <rPr>
            <b/>
            <sz val="9"/>
            <rFont val="Tahoma"/>
            <charset val="1"/>
          </rPr>
          <t>admin:</t>
        </r>
        <r>
          <rPr>
            <sz val="9"/>
            <rFont val="Tahoma"/>
            <charset val="1"/>
          </rPr>
          <t xml:space="preserve">
USB NOT SUPPORTED
</t>
        </r>
      </text>
    </comment>
    <comment ref="N172" authorId="0">
      <text>
        <r>
          <rPr>
            <b/>
            <sz val="9"/>
            <rFont val="Tahoma"/>
            <charset val="1"/>
          </rPr>
          <t>admin:</t>
        </r>
        <r>
          <rPr>
            <sz val="9"/>
            <rFont val="Tahoma"/>
            <charset val="1"/>
          </rPr>
          <t xml:space="preserve">
INV-B1-1-FIRE</t>
        </r>
      </text>
    </comment>
    <comment ref="O172" authorId="0">
      <text>
        <r>
          <rPr>
            <b/>
            <sz val="9"/>
            <rFont val="Tahoma"/>
            <charset val="1"/>
          </rPr>
          <t>admin:</t>
        </r>
        <r>
          <rPr>
            <sz val="9"/>
            <rFont val="Tahoma"/>
            <charset val="1"/>
          </rPr>
          <t xml:space="preserve">
USB NOT SUPPORTED
</t>
        </r>
      </text>
    </comment>
    <comment ref="P172" authorId="0">
      <text>
        <r>
          <rPr>
            <b/>
            <sz val="9"/>
            <rFont val="Tahoma"/>
            <charset val="1"/>
          </rPr>
          <t>admin:</t>
        </r>
        <r>
          <rPr>
            <sz val="9"/>
            <rFont val="Tahoma"/>
            <charset val="1"/>
          </rPr>
          <t xml:space="preserve">
INV-B1-3
-FIRE</t>
        </r>
      </text>
    </comment>
    <comment ref="T172" authorId="0">
      <text>
        <r>
          <rPr>
            <b/>
            <sz val="9"/>
            <rFont val="Tahoma"/>
            <charset val="1"/>
          </rPr>
          <t>admin:</t>
        </r>
        <r>
          <rPr>
            <sz val="9"/>
            <rFont val="Tahoma"/>
            <charset val="1"/>
          </rPr>
          <t xml:space="preserve">
INV-B1-7
-FIRE</t>
        </r>
      </text>
    </comment>
    <comment ref="N173" authorId="0">
      <text>
        <r>
          <rPr>
            <b/>
            <sz val="9"/>
            <rFont val="Tahoma"/>
            <charset val="1"/>
          </rPr>
          <t>admin:</t>
        </r>
        <r>
          <rPr>
            <sz val="9"/>
            <rFont val="Tahoma"/>
            <charset val="1"/>
          </rPr>
          <t xml:space="preserve">
INV-B1-1-FIRE</t>
        </r>
      </text>
    </comment>
    <comment ref="T173" authorId="0">
      <text>
        <r>
          <rPr>
            <b/>
            <sz val="9"/>
            <rFont val="Tahoma"/>
            <charset val="1"/>
          </rPr>
          <t>admin:</t>
        </r>
        <r>
          <rPr>
            <sz val="9"/>
            <rFont val="Tahoma"/>
            <charset val="1"/>
          </rPr>
          <t xml:space="preserve">
INV-B1-7
-FIRE</t>
        </r>
      </text>
    </comment>
    <comment ref="J174" authorId="0">
      <text>
        <r>
          <rPr>
            <b/>
            <sz val="9"/>
            <rFont val="Tahoma"/>
            <charset val="1"/>
          </rPr>
          <t>admin:</t>
        </r>
        <r>
          <rPr>
            <sz val="9"/>
            <rFont val="Tahoma"/>
            <charset val="1"/>
          </rPr>
          <t xml:space="preserve">
USB NOT SUPPORTED
</t>
        </r>
      </text>
    </comment>
    <comment ref="O174" authorId="0">
      <text>
        <r>
          <rPr>
            <b/>
            <sz val="9"/>
            <rFont val="Tahoma"/>
            <charset val="1"/>
          </rPr>
          <t>admin:</t>
        </r>
        <r>
          <rPr>
            <sz val="9"/>
            <rFont val="Tahoma"/>
            <charset val="1"/>
          </rPr>
          <t xml:space="preserve">
USB NOT SUPPORTED
</t>
        </r>
      </text>
    </comment>
    <comment ref="P174" authorId="0">
      <text>
        <r>
          <rPr>
            <b/>
            <sz val="9"/>
            <rFont val="Tahoma"/>
            <charset val="1"/>
          </rPr>
          <t>admin:</t>
        </r>
        <r>
          <rPr>
            <sz val="9"/>
            <rFont val="Tahoma"/>
            <charset val="1"/>
          </rPr>
          <t xml:space="preserve">
INV-B1-3
-FIRE</t>
        </r>
      </text>
    </comment>
    <comment ref="J175" authorId="0">
      <text>
        <r>
          <rPr>
            <b/>
            <sz val="9"/>
            <rFont val="Tahoma"/>
            <charset val="1"/>
          </rPr>
          <t>admin:</t>
        </r>
        <r>
          <rPr>
            <sz val="9"/>
            <rFont val="Tahoma"/>
            <charset val="1"/>
          </rPr>
          <t xml:space="preserve">
USB NOT SUPPORTED
</t>
        </r>
      </text>
    </comment>
    <comment ref="O175" authorId="0">
      <text>
        <r>
          <rPr>
            <b/>
            <sz val="9"/>
            <rFont val="Tahoma"/>
            <charset val="1"/>
          </rPr>
          <t>admin:</t>
        </r>
        <r>
          <rPr>
            <sz val="9"/>
            <rFont val="Tahoma"/>
            <charset val="1"/>
          </rPr>
          <t xml:space="preserve">
USB NOT SUPPORTED
</t>
        </r>
      </text>
    </comment>
    <comment ref="F395" authorId="0">
      <text>
        <r>
          <rPr>
            <b/>
            <sz val="9"/>
            <rFont val="Tahoma"/>
            <charset val="1"/>
          </rPr>
          <t>admin:</t>
        </r>
        <r>
          <rPr>
            <sz val="9"/>
            <rFont val="Tahoma"/>
            <charset val="1"/>
          </rPr>
          <t xml:space="preserve">
curtelment
</t>
        </r>
      </text>
    </comment>
    <comment ref="H395" authorId="0">
      <text>
        <r>
          <rPr>
            <b/>
            <sz val="9"/>
            <rFont val="Tahoma"/>
            <charset val="1"/>
          </rPr>
          <t>admin:</t>
        </r>
        <r>
          <rPr>
            <sz val="9"/>
            <rFont val="Tahoma"/>
            <charset val="1"/>
          </rPr>
          <t xml:space="preserve">
curtelment
</t>
        </r>
      </text>
    </comment>
    <comment ref="H400" authorId="1">
      <text>
        <r>
          <rPr>
            <b/>
            <sz val="9"/>
            <rFont val="Times New Roman"/>
            <charset val="0"/>
          </rPr>
          <t>Admin:</t>
        </r>
        <r>
          <rPr>
            <sz val="9"/>
            <rFont val="Times New Roman"/>
            <charset val="0"/>
          </rPr>
          <t xml:space="preserve">
curtailment
</t>
        </r>
      </text>
    </comment>
  </commentList>
</comments>
</file>

<file path=xl/sharedStrings.xml><?xml version="1.0" encoding="utf-8"?>
<sst xmlns="http://schemas.openxmlformats.org/spreadsheetml/2006/main" count="1669" uniqueCount="260">
  <si>
    <t>Plant Name</t>
  </si>
  <si>
    <t>Date</t>
  </si>
  <si>
    <t>Month</t>
  </si>
  <si>
    <t>Daily_Gen</t>
  </si>
  <si>
    <t>Daily_GTI</t>
  </si>
  <si>
    <t>Daily_GHI</t>
  </si>
  <si>
    <t>Ambt_Temp</t>
  </si>
  <si>
    <t>PR_%</t>
  </si>
  <si>
    <t>CUF_%</t>
  </si>
  <si>
    <t>TArray</t>
  </si>
  <si>
    <t>TArrWtd</t>
  </si>
  <si>
    <t>Connected_DC</t>
  </si>
  <si>
    <t>Kanja</t>
  </si>
  <si>
    <r>
      <rPr>
        <b/>
        <sz val="18"/>
        <color theme="1"/>
        <rFont val="Book Antiqua"/>
        <charset val="134"/>
      </rPr>
      <t>Plant_Performance_of_</t>
    </r>
    <r>
      <rPr>
        <sz val="18"/>
        <color theme="1"/>
        <rFont val="Book Antiqua"/>
        <charset val="134"/>
      </rPr>
      <t>Kanja</t>
    </r>
    <r>
      <rPr>
        <b/>
        <sz val="18"/>
        <color theme="1"/>
        <rFont val="Book Antiqua"/>
        <charset val="134"/>
      </rPr>
      <t>_GJ</t>
    </r>
  </si>
  <si>
    <t>25-26</t>
  </si>
  <si>
    <t>AC Capacity:</t>
  </si>
  <si>
    <t>DC Capacity:</t>
  </si>
  <si>
    <t>D.O.C.:</t>
  </si>
  <si>
    <t>Daily</t>
  </si>
  <si>
    <t>MTD</t>
  </si>
  <si>
    <t>YTD</t>
  </si>
  <si>
    <t>Budgeted</t>
  </si>
  <si>
    <t>Actual</t>
  </si>
  <si>
    <t>Variation(%)</t>
  </si>
  <si>
    <t>Generation_MW</t>
  </si>
  <si>
    <r>
      <rPr>
        <sz val="12"/>
        <color theme="1"/>
        <rFont val="Arial"/>
        <charset val="134"/>
        <scheme val="minor"/>
      </rPr>
      <t>GTI (Kwh/m</t>
    </r>
    <r>
      <rPr>
        <vertAlign val="superscript"/>
        <sz val="12"/>
        <color theme="1"/>
        <rFont val="Arial"/>
        <charset val="134"/>
        <scheme val="minor"/>
      </rPr>
      <t>2</t>
    </r>
    <r>
      <rPr>
        <sz val="12"/>
        <color theme="1"/>
        <rFont val="Arial"/>
        <charset val="134"/>
        <scheme val="minor"/>
      </rPr>
      <t>)</t>
    </r>
  </si>
  <si>
    <r>
      <rPr>
        <sz val="12"/>
        <color theme="1"/>
        <rFont val="Arial"/>
        <charset val="134"/>
        <scheme val="minor"/>
      </rPr>
      <t>GHI (Kwh/m</t>
    </r>
    <r>
      <rPr>
        <vertAlign val="superscript"/>
        <sz val="12"/>
        <color theme="1"/>
        <rFont val="Arial"/>
        <charset val="134"/>
        <scheme val="minor"/>
      </rPr>
      <t>2</t>
    </r>
    <r>
      <rPr>
        <sz val="12"/>
        <color theme="1"/>
        <rFont val="Arial"/>
        <charset val="134"/>
        <scheme val="minor"/>
      </rPr>
      <t>)</t>
    </r>
  </si>
  <si>
    <t>PR_(%)</t>
  </si>
  <si>
    <t>CUF_(%)</t>
  </si>
  <si>
    <t>Wtd_Module_Temp</t>
  </si>
  <si>
    <r>
      <rPr>
        <sz val="12"/>
        <color theme="1"/>
        <rFont val="Arial"/>
        <charset val="134"/>
        <scheme val="minor"/>
      </rPr>
      <t>Ambt._Temp_(</t>
    </r>
    <r>
      <rPr>
        <vertAlign val="superscript"/>
        <sz val="12"/>
        <color theme="1"/>
        <rFont val="Arial"/>
        <charset val="134"/>
        <scheme val="minor"/>
      </rPr>
      <t>0</t>
    </r>
    <r>
      <rPr>
        <sz val="12"/>
        <color theme="1"/>
        <rFont val="Arial"/>
        <charset val="134"/>
        <scheme val="minor"/>
      </rPr>
      <t>C)</t>
    </r>
  </si>
  <si>
    <t xml:space="preserve"> </t>
  </si>
  <si>
    <t>Daily_Generation_&amp;_Performance_Report</t>
  </si>
  <si>
    <t>Inverter_No.</t>
  </si>
  <si>
    <t>Total/Avg..</t>
  </si>
  <si>
    <t>Inv_1</t>
  </si>
  <si>
    <t>Inv_2</t>
  </si>
  <si>
    <t>Inv_3</t>
  </si>
  <si>
    <t>Inv_4</t>
  </si>
  <si>
    <t>Inv_5</t>
  </si>
  <si>
    <t>Inv_6</t>
  </si>
  <si>
    <t>Inv_7</t>
  </si>
  <si>
    <t>Inv_8</t>
  </si>
  <si>
    <t>Inv_9</t>
  </si>
  <si>
    <t>Inv_10</t>
  </si>
  <si>
    <t>Inv_11</t>
  </si>
  <si>
    <t>Inv_12</t>
  </si>
  <si>
    <t>Inv_13</t>
  </si>
  <si>
    <t>Inv_14</t>
  </si>
  <si>
    <t>Inv_15</t>
  </si>
  <si>
    <t>Total_Inverter_(kWh)</t>
  </si>
  <si>
    <t>Total_ABT_Meter_Export_(kWh)</t>
  </si>
  <si>
    <t>Total_ABT_Meter_Import_(kWh)</t>
  </si>
  <si>
    <t>Total_ABT_Meter_Net_(kWh)</t>
  </si>
  <si>
    <t>GTI</t>
  </si>
  <si>
    <t>GHI</t>
  </si>
  <si>
    <t>Module_Temp.</t>
  </si>
  <si>
    <t>Ambt._Temp.</t>
  </si>
  <si>
    <t>Performance_Ratio_(%)</t>
  </si>
  <si>
    <t>Capacity_Utilization_Factor_(%)</t>
  </si>
  <si>
    <t>Aux_Consumption_Line_Loss_(%)</t>
  </si>
  <si>
    <t>Plant_Up_Time</t>
  </si>
  <si>
    <t>Plant_Down_Time</t>
  </si>
  <si>
    <t>Total Inv Gen kWh</t>
  </si>
  <si>
    <t>ABT_Initial_Export</t>
  </si>
  <si>
    <t>ABT_Final_Export</t>
  </si>
  <si>
    <t>Total_Export</t>
  </si>
  <si>
    <t>ABT_Initial_Import</t>
  </si>
  <si>
    <t>ABT_Final_Import</t>
  </si>
  <si>
    <t>Total_Import</t>
  </si>
  <si>
    <t>Net_Gen_kWh</t>
  </si>
  <si>
    <r>
      <rPr>
        <b/>
        <sz val="11"/>
        <color theme="1"/>
        <rFont val="Calibri"/>
        <charset val="134"/>
      </rPr>
      <t>GHI (kwh/m</t>
    </r>
    <r>
      <rPr>
        <b/>
        <vertAlign val="superscript"/>
        <sz val="11"/>
        <color theme="1"/>
        <rFont val="Arial"/>
        <charset val="134"/>
        <scheme val="minor"/>
      </rPr>
      <t>2</t>
    </r>
    <r>
      <rPr>
        <b/>
        <sz val="11"/>
        <color theme="1"/>
        <rFont val="Arial"/>
        <charset val="134"/>
        <scheme val="minor"/>
      </rPr>
      <t>)</t>
    </r>
  </si>
  <si>
    <r>
      <rPr>
        <b/>
        <sz val="11"/>
        <color theme="1"/>
        <rFont val="Calibri"/>
        <charset val="134"/>
      </rPr>
      <t>GTI (kwh/m</t>
    </r>
    <r>
      <rPr>
        <b/>
        <vertAlign val="superscript"/>
        <sz val="11"/>
        <color theme="1"/>
        <rFont val="Arial"/>
        <charset val="134"/>
        <scheme val="minor"/>
      </rPr>
      <t>2</t>
    </r>
    <r>
      <rPr>
        <b/>
        <sz val="11"/>
        <color theme="1"/>
        <rFont val="Arial"/>
        <charset val="134"/>
        <scheme val="minor"/>
      </rPr>
      <t>)</t>
    </r>
  </si>
  <si>
    <t>Ambt_Temp_Avg</t>
  </si>
  <si>
    <t>Module_Temp_Avg</t>
  </si>
  <si>
    <t>Wind Speed</t>
  </si>
  <si>
    <t>Rain_Gaug_MM</t>
  </si>
  <si>
    <t>Weather_Condition</t>
  </si>
  <si>
    <t>cloudy</t>
  </si>
  <si>
    <t>rainy</t>
  </si>
  <si>
    <t>PLANT MANULLY STOPPED FOR HAVEY RAIN (PLANT WATER LEVEL INCREASE)</t>
  </si>
  <si>
    <t>PLANT  CONTINUE UNDER BREAK DOWN FOR  THE WATTER LEVEL INCREASE IN  PLANT</t>
  </si>
  <si>
    <t>11 KV  LINE  TRIPPED  FROM  GETCO S/S SITE  IN  EARTH FAULT</t>
  </si>
  <si>
    <t>CONTINUE PLANT UNDER BREAK DOWN  FOR  Our 11 KV UNDER GROUND  CABLE FAULT</t>
  </si>
  <si>
    <t>FIRE</t>
  </si>
  <si>
    <t>Sunny</t>
  </si>
  <si>
    <t xml:space="preserve">                                                                                </t>
  </si>
  <si>
    <t>sunny</t>
  </si>
  <si>
    <t>1452,58</t>
  </si>
  <si>
    <t>-</t>
  </si>
  <si>
    <t>Details_of_Plant</t>
  </si>
  <si>
    <t>Values</t>
  </si>
  <si>
    <t>Inverter_Name</t>
  </si>
  <si>
    <t>AC_Capacity_MW</t>
  </si>
  <si>
    <t>Connected_DC_MW</t>
  </si>
  <si>
    <t>D.O.C(DD-MMM-YYY)</t>
  </si>
  <si>
    <t>Inv-1</t>
  </si>
  <si>
    <t>Plant_Name</t>
  </si>
  <si>
    <t>Inv-2</t>
  </si>
  <si>
    <t>Longitude_Of_Site</t>
  </si>
  <si>
    <t>21.62 °N</t>
  </si>
  <si>
    <t>Inv-3</t>
  </si>
  <si>
    <t>Latitude_Of_Site</t>
  </si>
  <si>
    <t>70.69 °E</t>
  </si>
  <si>
    <t>Inv-4</t>
  </si>
  <si>
    <t>DC_Capacity_(kWh)</t>
  </si>
  <si>
    <t>Inv-5</t>
  </si>
  <si>
    <t>AC_Capacity_(kWh)</t>
  </si>
  <si>
    <t>Inv-6</t>
  </si>
  <si>
    <t>Connected_DC_Capacity</t>
  </si>
  <si>
    <t>Inv-7</t>
  </si>
  <si>
    <t>Multiplying_Factor_(MF)</t>
  </si>
  <si>
    <t>Inv-8</t>
  </si>
  <si>
    <t>No._of_Power_Trafo.</t>
  </si>
  <si>
    <t>Gujrat_Trafo</t>
  </si>
  <si>
    <t>Inv-9</t>
  </si>
  <si>
    <t>Power_Trafo._Make</t>
  </si>
  <si>
    <t>Inv-10</t>
  </si>
  <si>
    <t>Inverter_Make</t>
  </si>
  <si>
    <t>Watt_power</t>
  </si>
  <si>
    <t>Inv-11</t>
  </si>
  <si>
    <t>Inverter_Capacity</t>
  </si>
  <si>
    <t>Inv-12</t>
  </si>
  <si>
    <t>No._of_Inverter</t>
  </si>
  <si>
    <t>Inv-13</t>
  </si>
  <si>
    <t>Module_Make</t>
  </si>
  <si>
    <t>EMMVEE</t>
  </si>
  <si>
    <t>Inv-14</t>
  </si>
  <si>
    <t>Module_Rating</t>
  </si>
  <si>
    <t>Inv-15</t>
  </si>
  <si>
    <t>No._of_Strings/Table</t>
  </si>
  <si>
    <t>Total</t>
  </si>
  <si>
    <t>No._Of_Module_In_Table</t>
  </si>
  <si>
    <t>28 for Bifacial</t>
  </si>
  <si>
    <t>Total_Module</t>
  </si>
  <si>
    <t>Switch_Yard_Make_Vendors</t>
  </si>
  <si>
    <t>ABB</t>
  </si>
  <si>
    <t>Table_Configuration</t>
  </si>
  <si>
    <t>2X28</t>
  </si>
  <si>
    <t>ABT Meter Make</t>
  </si>
  <si>
    <t>Water Consumption</t>
  </si>
  <si>
    <t>Months</t>
  </si>
  <si>
    <t>Tanker Qty</t>
  </si>
  <si>
    <t>Consumption (Capacity(Ltr)* Tanker)</t>
  </si>
  <si>
    <t>TDS (PPM)</t>
  </si>
  <si>
    <t>Cycle No.</t>
  </si>
  <si>
    <t>Invt. No</t>
  </si>
  <si>
    <t>Module</t>
  </si>
  <si>
    <t>Cleaned</t>
  </si>
  <si>
    <t>Before Cleaning PR%</t>
  </si>
  <si>
    <t>After Cleaning PR%</t>
  </si>
  <si>
    <t>Balance</t>
  </si>
  <si>
    <t>Remarks</t>
  </si>
  <si>
    <t>wet cleaning</t>
  </si>
  <si>
    <t>No cleaning</t>
  </si>
  <si>
    <t>All module cleaned by rain</t>
  </si>
  <si>
    <t>robat cleanig</t>
  </si>
  <si>
    <t>no  cleaing</t>
  </si>
  <si>
    <t>robat faulty condition</t>
  </si>
  <si>
    <t>wet cleaning night time</t>
  </si>
  <si>
    <t>Module_Temp</t>
  </si>
  <si>
    <t>Amb_Temp</t>
  </si>
  <si>
    <t>Derect_Irr</t>
  </si>
  <si>
    <t>Diffused_Irr</t>
  </si>
  <si>
    <t>Wind_Speed</t>
  </si>
  <si>
    <t>Wind_derection</t>
  </si>
  <si>
    <t>Rain Gauge</t>
  </si>
  <si>
    <t xml:space="preserve"> KANZA Plant_Down_Time Details</t>
  </si>
  <si>
    <t>Power Trafo</t>
  </si>
  <si>
    <t>Down_Time_Start</t>
  </si>
  <si>
    <t>Down_Time_Stop</t>
  </si>
  <si>
    <t>Total_Down_Time</t>
  </si>
  <si>
    <t>Affected DC Capacity (in KW)</t>
  </si>
  <si>
    <t>Component Name</t>
  </si>
  <si>
    <t>Fault Description</t>
  </si>
  <si>
    <t>Reason_Of_Down</t>
  </si>
  <si>
    <t>Purposed Action Plan</t>
  </si>
  <si>
    <t>Corrective_Action_Taken_By_Site_Team</t>
  </si>
  <si>
    <t>Earth fault</t>
  </si>
  <si>
    <t>Do wire burinig</t>
  </si>
  <si>
    <t>Replace Do wire</t>
  </si>
  <si>
    <t>over current</t>
  </si>
  <si>
    <t>complited work done by site team</t>
  </si>
  <si>
    <t>15/07/25</t>
  </si>
  <si>
    <t>R phase jumper burinig</t>
  </si>
  <si>
    <t>New jumper</t>
  </si>
  <si>
    <t>getco s/s site new DO work done</t>
  </si>
  <si>
    <t>15/07/26</t>
  </si>
  <si>
    <t>11KV CT/PT</t>
  </si>
  <si>
    <t>R phase ct/pt lug burinig</t>
  </si>
  <si>
    <t>replace lug</t>
  </si>
  <si>
    <t>over/undar voltage</t>
  </si>
  <si>
    <t xml:space="preserve"> gird voltage high in s/s side</t>
  </si>
  <si>
    <t>R Phase jumpar</t>
  </si>
  <si>
    <t>over voltage</t>
  </si>
  <si>
    <t>15/08/25</t>
  </si>
  <si>
    <t xml:space="preserve">CT/PT LUGS </t>
  </si>
  <si>
    <t xml:space="preserve"> lugs burinig</t>
  </si>
  <si>
    <t>29/09/25</t>
  </si>
  <si>
    <t>GETCO S/S IN DARK</t>
  </si>
  <si>
    <t xml:space="preserve">again plant manully stopped for havey rain </t>
  </si>
  <si>
    <t>11 kv bus maintance in GETCO SS SITE</t>
  </si>
  <si>
    <t>15/11/2025</t>
  </si>
  <si>
    <t>no fault</t>
  </si>
  <si>
    <t>GETCO S/S SITE PLANNED OUTAGE</t>
  </si>
  <si>
    <t>Plant_Grid_Down_Time_Details</t>
  </si>
  <si>
    <t>Transformer_No. (T-1)</t>
  </si>
  <si>
    <t>Comm. Insolation of the Period</t>
  </si>
  <si>
    <t>Module Temp of the Period</t>
  </si>
  <si>
    <t>Insolation*Capacity</t>
  </si>
  <si>
    <t>Generation Loss</t>
  </si>
  <si>
    <t>Revenue</t>
  </si>
  <si>
    <t>17/06/25</t>
  </si>
  <si>
    <t>4/10//25</t>
  </si>
  <si>
    <t xml:space="preserve"> plant manully stopped for GETCO ss site 11kv bus maintance</t>
  </si>
  <si>
    <t xml:space="preserve"> plant manully stopped for GETCO ss site  work getco team,</t>
  </si>
  <si>
    <t>29/11/2025</t>
  </si>
  <si>
    <t>plant  undar brackdown from getco ss site tripped in over voltage</t>
  </si>
  <si>
    <t>LINE VVOLTAGE  high  in ss</t>
  </si>
  <si>
    <t>from getco site gried drop</t>
  </si>
  <si>
    <t>getco site grid voltage hige</t>
  </si>
  <si>
    <t>16/01/2026</t>
  </si>
  <si>
    <t>s/s site grid voltage low</t>
  </si>
  <si>
    <t>24/01/2026</t>
  </si>
  <si>
    <t>s/s site grid voltage  high</t>
  </si>
  <si>
    <t>plant site Y pashe jumper burned</t>
  </si>
  <si>
    <t>s/s site Y pashe B pashe  jumper burned</t>
  </si>
  <si>
    <t xml:space="preserve">inverter 8 under breakdown 1 string foulty </t>
  </si>
  <si>
    <t xml:space="preserve">s/s site B pashe jumper burenin </t>
  </si>
  <si>
    <t xml:space="preserve">plant load shedding inv no 1 stop </t>
  </si>
  <si>
    <t xml:space="preserve">8 number inveter 1 string fualty remove </t>
  </si>
  <si>
    <t>substation site planned outage</t>
  </si>
  <si>
    <t>s/s site r phase  jumper lugs  burned</t>
  </si>
  <si>
    <t xml:space="preserve"> both  site r phase  jumper lugs  burned</t>
  </si>
  <si>
    <t>ABT Export Gen</t>
  </si>
  <si>
    <t>Total inevrter off</t>
  </si>
  <si>
    <t xml:space="preserve">GHI </t>
  </si>
  <si>
    <t>CUF%</t>
  </si>
  <si>
    <t xml:space="preserve">Out </t>
  </si>
  <si>
    <t>In</t>
  </si>
  <si>
    <t>Total Minute</t>
  </si>
  <si>
    <t>Outage Hrs.</t>
  </si>
  <si>
    <t xml:space="preserve">Plant Capacity </t>
  </si>
  <si>
    <t xml:space="preserve">Outage Capacity </t>
  </si>
  <si>
    <t>Plant Capacity Ratio</t>
  </si>
  <si>
    <t>Outage Ratio</t>
  </si>
  <si>
    <t>Plant  Availiblity</t>
  </si>
  <si>
    <t>PA.C CUF</t>
  </si>
  <si>
    <t>total curtailment</t>
  </si>
  <si>
    <t xml:space="preserve">P.A.C Generation </t>
  </si>
  <si>
    <t>PA Unit Lose</t>
  </si>
  <si>
    <t xml:space="preserve"> curtailment</t>
  </si>
  <si>
    <t>ineverter number:1</t>
  </si>
  <si>
    <t>ineverter number:3 ,10 nos string off</t>
  </si>
  <si>
    <t>ineverter number:3 ,</t>
  </si>
  <si>
    <t>jumper buruned</t>
  </si>
  <si>
    <t>Grid Availiblity</t>
  </si>
  <si>
    <t>G.C CUF</t>
  </si>
  <si>
    <t xml:space="preserve">G.C Generation </t>
  </si>
  <si>
    <t>Grid Unit Lose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</si>
</sst>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[$-409]d/mmm/yy;@"/>
    <numFmt numFmtId="181" formatCode="[h]:mm:ss;@"/>
    <numFmt numFmtId="182" formatCode="0.0%"/>
    <numFmt numFmtId="183" formatCode="dd/mmm"/>
    <numFmt numFmtId="184" formatCode="dd/mm/yyyy"/>
    <numFmt numFmtId="185" formatCode="h:mm"/>
    <numFmt numFmtId="186" formatCode="mmm/yy"/>
    <numFmt numFmtId="187" formatCode="dd/mmm/yy"/>
    <numFmt numFmtId="188" formatCode="0.0"/>
    <numFmt numFmtId="189" formatCode="0.00_ "/>
  </numFmts>
  <fonts count="53">
    <font>
      <sz val="11"/>
      <color rgb="FF000000"/>
      <name val="Arial"/>
      <charset val="134"/>
    </font>
    <font>
      <b/>
      <sz val="10"/>
      <color theme="1"/>
      <name val="Arial"/>
      <charset val="134"/>
      <scheme val="minor"/>
    </font>
    <font>
      <sz val="10"/>
      <color theme="1"/>
      <name val="Arial"/>
      <charset val="134"/>
    </font>
    <font>
      <sz val="10"/>
      <color theme="1"/>
      <name val="Arial"/>
      <charset val="134"/>
      <scheme val="minor"/>
    </font>
    <font>
      <b/>
      <sz val="18"/>
      <name val="Calibri"/>
      <charset val="134"/>
    </font>
    <font>
      <b/>
      <sz val="11"/>
      <name val="Calibri"/>
      <charset val="134"/>
    </font>
    <font>
      <sz val="11"/>
      <name val="Calibri"/>
      <charset val="134"/>
    </font>
    <font>
      <sz val="9"/>
      <color theme="1"/>
      <name val="Arial"/>
      <charset val="134"/>
      <scheme val="minor"/>
    </font>
    <font>
      <sz val="11"/>
      <color rgb="FFFF0000"/>
      <name val="Arial"/>
      <charset val="134"/>
    </font>
    <font>
      <sz val="11"/>
      <name val="Arial"/>
      <charset val="134"/>
    </font>
    <font>
      <sz val="9"/>
      <name val="Calibri"/>
      <charset val="134"/>
    </font>
    <font>
      <b/>
      <sz val="11"/>
      <color theme="1"/>
      <name val="Calibri"/>
      <charset val="134"/>
    </font>
    <font>
      <b/>
      <sz val="12"/>
      <name val="Calibri"/>
      <charset val="134"/>
    </font>
    <font>
      <b/>
      <sz val="14"/>
      <name val="Calibri"/>
      <charset val="134"/>
    </font>
    <font>
      <b/>
      <sz val="18"/>
      <color theme="1"/>
      <name val="Book Antiqua"/>
      <charset val="134"/>
    </font>
    <font>
      <sz val="11"/>
      <name val="Arial"/>
      <charset val="134"/>
      <scheme val="minor"/>
    </font>
    <font>
      <sz val="11"/>
      <color theme="0"/>
      <name val="Arial"/>
      <charset val="134"/>
      <scheme val="minor"/>
    </font>
    <font>
      <b/>
      <sz val="12"/>
      <color theme="1"/>
      <name val="Arial"/>
      <charset val="134"/>
      <scheme val="minor"/>
    </font>
    <font>
      <sz val="12"/>
      <color theme="1"/>
      <name val="Arial"/>
      <charset val="134"/>
      <scheme val="minor"/>
    </font>
    <font>
      <sz val="12"/>
      <name val="Arial"/>
      <charset val="134"/>
      <scheme val="minor"/>
    </font>
    <font>
      <b/>
      <i/>
      <sz val="11"/>
      <color theme="1"/>
      <name val="Calibri"/>
      <charset val="134"/>
    </font>
    <font>
      <b/>
      <sz val="12"/>
      <color theme="1"/>
      <name val="Times New Roman"/>
      <charset val="134"/>
    </font>
    <font>
      <sz val="12"/>
      <color theme="1"/>
      <name val="Times New Roman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vertAlign val="superscript"/>
      <sz val="12"/>
      <color theme="1"/>
      <name val="Arial"/>
      <charset val="134"/>
      <scheme val="minor"/>
    </font>
    <font>
      <b/>
      <vertAlign val="superscript"/>
      <sz val="11"/>
      <color theme="1"/>
      <name val="Arial"/>
      <charset val="134"/>
      <scheme val="minor"/>
    </font>
    <font>
      <b/>
      <sz val="11"/>
      <color theme="1"/>
      <name val="Arial"/>
      <charset val="134"/>
      <scheme val="minor"/>
    </font>
    <font>
      <sz val="18"/>
      <color theme="1"/>
      <name val="Book Antiqua"/>
      <charset val="134"/>
    </font>
    <font>
      <sz val="9"/>
      <name val="Tahoma"/>
      <charset val="134"/>
    </font>
    <font>
      <b/>
      <sz val="9"/>
      <name val="Tahoma"/>
      <charset val="134"/>
    </font>
    <font>
      <b/>
      <sz val="9"/>
      <name val="Tahoma"/>
      <charset val="1"/>
    </font>
    <font>
      <sz val="9"/>
      <name val="Times New Roman"/>
      <charset val="0"/>
    </font>
    <font>
      <sz val="9"/>
      <name val="Tahoma"/>
      <charset val="1"/>
    </font>
    <font>
      <b/>
      <sz val="9"/>
      <name val="Times New Roman"/>
      <charset val="0"/>
    </font>
  </fonts>
  <fills count="42">
    <fill>
      <patternFill patternType="none"/>
    </fill>
    <fill>
      <patternFill patternType="gray125"/>
    </fill>
    <fill>
      <patternFill patternType="solid">
        <fgColor theme="4" tint="0.79995117038483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6DCE4"/>
        <bgColor rgb="FFD6DCE4"/>
      </patternFill>
    </fill>
    <fill>
      <patternFill patternType="solid">
        <fgColor theme="3" tint="0.799951170384838"/>
        <bgColor indexed="64"/>
      </patternFill>
    </fill>
    <fill>
      <patternFill patternType="solid">
        <fgColor theme="3" tint="0.79989013336588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hair">
        <color auto="1"/>
      </bottom>
      <diagonal/>
    </border>
    <border>
      <left/>
      <right style="double">
        <color auto="1"/>
      </right>
      <top style="double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double">
        <color auto="1"/>
      </top>
      <bottom style="hair">
        <color auto="1"/>
      </bottom>
      <diagonal/>
    </border>
    <border>
      <left/>
      <right style="hair">
        <color auto="1"/>
      </right>
      <top style="double">
        <color auto="1"/>
      </top>
      <bottom style="hair">
        <color auto="1"/>
      </bottom>
      <diagonal/>
    </border>
    <border>
      <left style="double">
        <color auto="1"/>
      </left>
      <right/>
      <top style="hair">
        <color auto="1"/>
      </top>
      <bottom style="hair">
        <color auto="1"/>
      </bottom>
      <diagonal/>
    </border>
    <border>
      <left/>
      <right style="double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/>
      <top style="hair">
        <color auto="1"/>
      </top>
      <bottom style="double">
        <color auto="1"/>
      </bottom>
      <diagonal/>
    </border>
    <border>
      <left/>
      <right style="double">
        <color auto="1"/>
      </right>
      <top style="hair">
        <color auto="1"/>
      </top>
      <bottom style="double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double">
        <color auto="1"/>
      </bottom>
      <diagonal/>
    </border>
    <border>
      <left/>
      <right style="hair">
        <color auto="1"/>
      </right>
      <top style="hair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8" fontId="23" fillId="0" borderId="0" applyFont="0" applyFill="0" applyBorder="0" applyAlignment="0" applyProtection="0">
      <alignment vertical="center"/>
    </xf>
    <xf numFmtId="179" fontId="23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3" fillId="12" borderId="63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64" applyNumberFormat="0" applyFill="0" applyAlignment="0" applyProtection="0">
      <alignment vertical="center"/>
    </xf>
    <xf numFmtId="0" fontId="30" fillId="0" borderId="64" applyNumberFormat="0" applyFill="0" applyAlignment="0" applyProtection="0">
      <alignment vertical="center"/>
    </xf>
    <xf numFmtId="0" fontId="31" fillId="0" borderId="65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13" borderId="66" applyNumberFormat="0" applyAlignment="0" applyProtection="0">
      <alignment vertical="center"/>
    </xf>
    <xf numFmtId="0" fontId="33" fillId="14" borderId="67" applyNumberFormat="0" applyAlignment="0" applyProtection="0">
      <alignment vertical="center"/>
    </xf>
    <xf numFmtId="0" fontId="34" fillId="14" borderId="66" applyNumberFormat="0" applyAlignment="0" applyProtection="0">
      <alignment vertical="center"/>
    </xf>
    <xf numFmtId="0" fontId="35" fillId="15" borderId="68" applyNumberFormat="0" applyAlignment="0" applyProtection="0">
      <alignment vertical="center"/>
    </xf>
    <xf numFmtId="0" fontId="36" fillId="0" borderId="69" applyNumberFormat="0" applyFill="0" applyAlignment="0" applyProtection="0">
      <alignment vertical="center"/>
    </xf>
    <xf numFmtId="0" fontId="37" fillId="0" borderId="70" applyNumberFormat="0" applyFill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2" fillId="35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1" fillId="37" borderId="0" applyNumberFormat="0" applyBorder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0" fontId="42" fillId="39" borderId="0" applyNumberFormat="0" applyBorder="0" applyAlignment="0" applyProtection="0">
      <alignment vertical="center"/>
    </xf>
    <xf numFmtId="0" fontId="42" fillId="40" borderId="0" applyNumberFormat="0" applyBorder="0" applyAlignment="0" applyProtection="0">
      <alignment vertical="center"/>
    </xf>
    <xf numFmtId="0" fontId="41" fillId="41" borderId="0" applyNumberFormat="0" applyBorder="0" applyAlignment="0" applyProtection="0">
      <alignment vertical="center"/>
    </xf>
  </cellStyleXfs>
  <cellXfs count="220">
    <xf numFmtId="0" fontId="0" fillId="0" borderId="0" xfId="0"/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180" fontId="0" fillId="0" borderId="0" xfId="0" applyNumberFormat="1" applyAlignment="1">
      <alignment vertical="center"/>
    </xf>
    <xf numFmtId="0" fontId="2" fillId="0" borderId="1" xfId="0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10" fontId="0" fillId="0" borderId="1" xfId="3" applyNumberFormat="1" applyFont="1" applyBorder="1"/>
    <xf numFmtId="181" fontId="0" fillId="0" borderId="1" xfId="0" applyNumberFormat="1" applyBorder="1" applyAlignment="1">
      <alignment horizontal="center"/>
    </xf>
    <xf numFmtId="2" fontId="3" fillId="0" borderId="1" xfId="0" applyNumberFormat="1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10" fontId="3" fillId="0" borderId="1" xfId="3" applyNumberFormat="1" applyFont="1" applyBorder="1" applyAlignment="1">
      <alignment horizontal="center"/>
    </xf>
    <xf numFmtId="182" fontId="3" fillId="0" borderId="1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 vertical="center"/>
    </xf>
    <xf numFmtId="180" fontId="0" fillId="0" borderId="0" xfId="0" applyNumberFormat="1"/>
    <xf numFmtId="182" fontId="3" fillId="3" borderId="1" xfId="0" applyNumberFormat="1" applyFont="1" applyFill="1" applyBorder="1" applyAlignment="1">
      <alignment horizontal="center"/>
    </xf>
    <xf numFmtId="0" fontId="4" fillId="4" borderId="1" xfId="0" applyFont="1" applyFill="1" applyBorder="1" applyAlignment="1">
      <alignment vertical="center"/>
    </xf>
    <xf numFmtId="0" fontId="0" fillId="0" borderId="1" xfId="0" applyBorder="1"/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183" fontId="6" fillId="0" borderId="1" xfId="0" applyNumberFormat="1" applyFont="1" applyBorder="1"/>
    <xf numFmtId="0" fontId="6" fillId="0" borderId="1" xfId="0" applyFont="1" applyBorder="1"/>
    <xf numFmtId="20" fontId="6" fillId="0" borderId="1" xfId="0" applyNumberFormat="1" applyFont="1" applyBorder="1"/>
    <xf numFmtId="184" fontId="6" fillId="0" borderId="1" xfId="0" applyNumberFormat="1" applyFont="1" applyBorder="1"/>
    <xf numFmtId="0" fontId="0" fillId="0" borderId="1" xfId="0" applyBorder="1" applyAlignment="1">
      <alignment horizontal="center"/>
    </xf>
    <xf numFmtId="184" fontId="0" fillId="0" borderId="1" xfId="0" applyNumberFormat="1" applyBorder="1"/>
    <xf numFmtId="20" fontId="0" fillId="0" borderId="1" xfId="0" applyNumberFormat="1" applyBorder="1"/>
    <xf numFmtId="185" fontId="0" fillId="0" borderId="1" xfId="0" applyNumberFormat="1" applyBorder="1"/>
    <xf numFmtId="0" fontId="4" fillId="0" borderId="2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 wrapText="1"/>
    </xf>
    <xf numFmtId="183" fontId="0" fillId="0" borderId="1" xfId="0" applyNumberFormat="1" applyBorder="1"/>
    <xf numFmtId="180" fontId="0" fillId="0" borderId="1" xfId="0" applyNumberFormat="1" applyBorder="1" applyAlignment="1">
      <alignment horizontal="center"/>
    </xf>
    <xf numFmtId="2" fontId="0" fillId="0" borderId="1" xfId="0" applyNumberFormat="1" applyBorder="1"/>
    <xf numFmtId="184" fontId="0" fillId="0" borderId="1" xfId="0" applyNumberFormat="1" applyBorder="1" applyAlignment="1">
      <alignment horizontal="center"/>
    </xf>
    <xf numFmtId="0" fontId="0" fillId="0" borderId="1" xfId="0" applyFill="1" applyBorder="1"/>
    <xf numFmtId="20" fontId="0" fillId="0" borderId="1" xfId="0" applyNumberFormat="1" applyFill="1" applyBorder="1"/>
    <xf numFmtId="0" fontId="6" fillId="0" borderId="4" xfId="0" applyFont="1" applyBorder="1"/>
    <xf numFmtId="0" fontId="0" fillId="0" borderId="0" xfId="0" applyAlignment="1">
      <alignment vertical="center" wrapText="1"/>
    </xf>
    <xf numFmtId="0" fontId="0" fillId="3" borderId="0" xfId="0" applyFill="1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vertical="center" wrapText="1"/>
    </xf>
    <xf numFmtId="1" fontId="0" fillId="5" borderId="1" xfId="0" applyNumberFormat="1" applyFill="1" applyBorder="1" applyAlignment="1" applyProtection="1">
      <alignment horizontal="center" vertical="center" wrapText="1"/>
      <protection locked="0"/>
    </xf>
    <xf numFmtId="0" fontId="7" fillId="6" borderId="1" xfId="0" applyFont="1" applyFill="1" applyBorder="1" applyAlignment="1" applyProtection="1">
      <alignment horizontal="center" vertical="center" wrapText="1"/>
      <protection locked="0"/>
    </xf>
    <xf numFmtId="0" fontId="7" fillId="6" borderId="5" xfId="0" applyFont="1" applyFill="1" applyBorder="1" applyAlignment="1" applyProtection="1">
      <alignment horizontal="center" vertical="center" wrapText="1"/>
      <protection locked="0"/>
    </xf>
    <xf numFmtId="186" fontId="6" fillId="0" borderId="1" xfId="0" applyNumberFormat="1" applyFont="1" applyBorder="1" applyAlignment="1">
      <alignment vertical="center"/>
    </xf>
    <xf numFmtId="187" fontId="6" fillId="0" borderId="1" xfId="0" applyNumberFormat="1" applyFont="1" applyBorder="1" applyAlignment="1">
      <alignment vertical="center"/>
    </xf>
    <xf numFmtId="0" fontId="0" fillId="0" borderId="1" xfId="0" applyBorder="1" applyAlignment="1">
      <alignment vertical="center"/>
    </xf>
    <xf numFmtId="9" fontId="8" fillId="0" borderId="1" xfId="3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186" fontId="6" fillId="0" borderId="5" xfId="0" applyNumberFormat="1" applyFont="1" applyBorder="1" applyAlignment="1">
      <alignment horizontal="center" vertical="center"/>
    </xf>
    <xf numFmtId="187" fontId="6" fillId="0" borderId="5" xfId="0" applyNumberFormat="1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86" fontId="6" fillId="0" borderId="6" xfId="0" applyNumberFormat="1" applyFont="1" applyBorder="1" applyAlignment="1">
      <alignment horizontal="center" vertical="center"/>
    </xf>
    <xf numFmtId="187" fontId="6" fillId="0" borderId="6" xfId="0" applyNumberFormat="1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86" fontId="6" fillId="0" borderId="7" xfId="0" applyNumberFormat="1" applyFont="1" applyBorder="1" applyAlignment="1">
      <alignment horizontal="center" vertical="center"/>
    </xf>
    <xf numFmtId="187" fontId="6" fillId="0" borderId="7" xfId="0" applyNumberFormat="1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1" xfId="0" applyFill="1" applyBorder="1" applyAlignment="1">
      <alignment vertical="center"/>
    </xf>
    <xf numFmtId="9" fontId="8" fillId="7" borderId="1" xfId="3" applyFont="1" applyFill="1" applyBorder="1" applyAlignment="1">
      <alignment vertical="center"/>
    </xf>
    <xf numFmtId="0" fontId="0" fillId="7" borderId="7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vertical="center"/>
    </xf>
    <xf numFmtId="9" fontId="8" fillId="8" borderId="1" xfId="3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9" fontId="8" fillId="3" borderId="1" xfId="3" applyFont="1" applyFill="1" applyBorder="1" applyAlignment="1">
      <alignment vertical="center"/>
    </xf>
    <xf numFmtId="186" fontId="6" fillId="3" borderId="1" xfId="0" applyNumberFormat="1" applyFont="1" applyFill="1" applyBorder="1" applyAlignment="1">
      <alignment vertical="center"/>
    </xf>
    <xf numFmtId="187" fontId="6" fillId="3" borderId="1" xfId="0" applyNumberFormat="1" applyFont="1" applyFill="1" applyBorder="1" applyAlignment="1">
      <alignment vertical="center"/>
    </xf>
    <xf numFmtId="9" fontId="8" fillId="0" borderId="1" xfId="3" applyNumberFormat="1" applyFont="1" applyBorder="1" applyAlignment="1">
      <alignment vertical="center"/>
    </xf>
    <xf numFmtId="0" fontId="6" fillId="0" borderId="1" xfId="0" applyNumberFormat="1" applyFont="1" applyBorder="1" applyAlignment="1">
      <alignment vertical="center"/>
    </xf>
    <xf numFmtId="0" fontId="5" fillId="0" borderId="8" xfId="0" applyFont="1" applyBorder="1" applyAlignment="1">
      <alignment horizontal="center" vertical="center" wrapText="1"/>
    </xf>
    <xf numFmtId="0" fontId="9" fillId="0" borderId="0" xfId="0" applyFont="1"/>
    <xf numFmtId="0" fontId="6" fillId="0" borderId="8" xfId="0" applyFont="1" applyBorder="1" applyAlignment="1">
      <alignment horizontal="center" vertical="center"/>
    </xf>
    <xf numFmtId="184" fontId="10" fillId="0" borderId="8" xfId="0" applyNumberFormat="1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2" fontId="6" fillId="0" borderId="8" xfId="0" applyNumberFormat="1" applyFont="1" applyBorder="1" applyAlignment="1">
      <alignment horizontal="center" vertical="center"/>
    </xf>
    <xf numFmtId="1" fontId="6" fillId="0" borderId="8" xfId="0" applyNumberFormat="1" applyFont="1" applyBorder="1" applyAlignment="1">
      <alignment horizontal="center" vertical="center"/>
    </xf>
    <xf numFmtId="188" fontId="6" fillId="0" borderId="8" xfId="0" applyNumberFormat="1" applyFont="1" applyBorder="1" applyAlignment="1">
      <alignment horizontal="center" vertical="center"/>
    </xf>
    <xf numFmtId="187" fontId="6" fillId="0" borderId="8" xfId="0" applyNumberFormat="1" applyFont="1" applyBorder="1" applyAlignment="1">
      <alignment horizontal="center" vertical="center"/>
    </xf>
    <xf numFmtId="0" fontId="6" fillId="3" borderId="0" xfId="0" applyFont="1" applyFill="1" applyAlignment="1">
      <alignment vertical="center"/>
    </xf>
    <xf numFmtId="0" fontId="6" fillId="0" borderId="0" xfId="0" applyFont="1" applyAlignment="1">
      <alignment vertical="center"/>
    </xf>
    <xf numFmtId="0" fontId="6" fillId="0" borderId="9" xfId="0" applyFont="1" applyBorder="1" applyAlignment="1">
      <alignment vertical="center"/>
    </xf>
    <xf numFmtId="0" fontId="6" fillId="0" borderId="10" xfId="0" applyFont="1" applyBorder="1" applyAlignment="1">
      <alignment vertical="center"/>
    </xf>
    <xf numFmtId="0" fontId="11" fillId="5" borderId="11" xfId="0" applyFont="1" applyFill="1" applyBorder="1" applyAlignment="1" applyProtection="1">
      <alignment horizontal="center" vertical="center"/>
      <protection locked="0"/>
    </xf>
    <xf numFmtId="0" fontId="11" fillId="5" borderId="12" xfId="0" applyFont="1" applyFill="1" applyBorder="1" applyAlignment="1" applyProtection="1">
      <alignment horizontal="center" vertical="center"/>
      <protection locked="0"/>
    </xf>
    <xf numFmtId="0" fontId="11" fillId="5" borderId="13" xfId="0" applyFont="1" applyFill="1" applyBorder="1" applyAlignment="1" applyProtection="1">
      <alignment horizontal="center" vertical="center"/>
      <protection locked="0"/>
    </xf>
    <xf numFmtId="0" fontId="11" fillId="5" borderId="14" xfId="0" applyFont="1" applyFill="1" applyBorder="1" applyAlignment="1" applyProtection="1">
      <alignment horizontal="center" vertical="center"/>
      <protection locked="0"/>
    </xf>
    <xf numFmtId="186" fontId="6" fillId="0" borderId="15" xfId="0" applyNumberFormat="1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6" fillId="0" borderId="16" xfId="0" applyFont="1" applyBorder="1" applyAlignment="1">
      <alignment vertical="center"/>
    </xf>
    <xf numFmtId="2" fontId="6" fillId="0" borderId="1" xfId="0" applyNumberFormat="1" applyFont="1" applyBorder="1" applyAlignment="1">
      <alignment vertical="center"/>
    </xf>
    <xf numFmtId="2" fontId="6" fillId="0" borderId="16" xfId="0" applyNumberFormat="1" applyFont="1" applyBorder="1" applyAlignment="1">
      <alignment vertical="center"/>
    </xf>
    <xf numFmtId="0" fontId="6" fillId="0" borderId="17" xfId="0" applyFont="1" applyBorder="1" applyAlignment="1">
      <alignment vertical="center"/>
    </xf>
    <xf numFmtId="0" fontId="6" fillId="0" borderId="18" xfId="0" applyFont="1" applyBorder="1" applyAlignment="1">
      <alignment vertical="center"/>
    </xf>
    <xf numFmtId="188" fontId="6" fillId="0" borderId="1" xfId="0" applyNumberFormat="1" applyFont="1" applyBorder="1" applyAlignment="1">
      <alignment vertical="center"/>
    </xf>
    <xf numFmtId="0" fontId="9" fillId="0" borderId="1" xfId="0" applyFont="1" applyBorder="1"/>
    <xf numFmtId="2" fontId="6" fillId="0" borderId="17" xfId="0" applyNumberFormat="1" applyFont="1" applyBorder="1" applyAlignment="1">
      <alignment vertical="center"/>
    </xf>
    <xf numFmtId="0" fontId="6" fillId="8" borderId="1" xfId="0" applyFont="1" applyFill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15" xfId="0" applyFont="1" applyBorder="1" applyAlignment="1">
      <alignment vertical="center"/>
    </xf>
    <xf numFmtId="20" fontId="6" fillId="0" borderId="1" xfId="0" applyNumberFormat="1" applyFont="1" applyBorder="1" applyAlignment="1">
      <alignment vertical="center"/>
    </xf>
    <xf numFmtId="20" fontId="6" fillId="0" borderId="18" xfId="0" applyNumberFormat="1" applyFont="1" applyBorder="1" applyAlignment="1">
      <alignment vertical="center"/>
    </xf>
    <xf numFmtId="0" fontId="6" fillId="3" borderId="1" xfId="0" applyFont="1" applyFill="1" applyBorder="1" applyAlignment="1">
      <alignment vertical="center"/>
    </xf>
    <xf numFmtId="0" fontId="6" fillId="3" borderId="18" xfId="0" applyFont="1" applyFill="1" applyBorder="1" applyAlignment="1">
      <alignment vertical="center"/>
    </xf>
    <xf numFmtId="186" fontId="6" fillId="3" borderId="15" xfId="0" applyNumberFormat="1" applyFont="1" applyFill="1" applyBorder="1" applyAlignment="1">
      <alignment vertical="center"/>
    </xf>
    <xf numFmtId="2" fontId="6" fillId="3" borderId="17" xfId="0" applyNumberFormat="1" applyFont="1" applyFill="1" applyBorder="1" applyAlignment="1">
      <alignment vertical="center"/>
    </xf>
    <xf numFmtId="0" fontId="12" fillId="3" borderId="1" xfId="0" applyFont="1" applyFill="1" applyBorder="1" applyAlignment="1">
      <alignment vertical="center"/>
    </xf>
    <xf numFmtId="0" fontId="12" fillId="3" borderId="16" xfId="0" applyFont="1" applyFill="1" applyBorder="1" applyAlignment="1">
      <alignment vertical="center"/>
    </xf>
    <xf numFmtId="0" fontId="6" fillId="3" borderId="16" xfId="0" applyFont="1" applyFill="1" applyBorder="1" applyAlignment="1">
      <alignment vertical="center"/>
    </xf>
    <xf numFmtId="2" fontId="6" fillId="3" borderId="1" xfId="0" applyNumberFormat="1" applyFont="1" applyFill="1" applyBorder="1" applyAlignment="1">
      <alignment vertical="center"/>
    </xf>
    <xf numFmtId="0" fontId="6" fillId="3" borderId="15" xfId="0" applyFont="1" applyFill="1" applyBorder="1" applyAlignment="1">
      <alignment vertical="center"/>
    </xf>
    <xf numFmtId="0" fontId="6" fillId="3" borderId="17" xfId="0" applyFont="1" applyFill="1" applyBorder="1" applyAlignment="1">
      <alignment vertical="center"/>
    </xf>
    <xf numFmtId="0" fontId="6" fillId="9" borderId="1" xfId="0" applyFont="1" applyFill="1" applyBorder="1" applyAlignment="1">
      <alignment vertical="center"/>
    </xf>
    <xf numFmtId="0" fontId="6" fillId="9" borderId="18" xfId="0" applyFont="1" applyFill="1" applyBorder="1" applyAlignment="1">
      <alignment vertical="center"/>
    </xf>
    <xf numFmtId="2" fontId="6" fillId="9" borderId="17" xfId="0" applyNumberFormat="1" applyFont="1" applyFill="1" applyBorder="1" applyAlignment="1">
      <alignment vertical="center"/>
    </xf>
    <xf numFmtId="0" fontId="6" fillId="9" borderId="16" xfId="0" applyFont="1" applyFill="1" applyBorder="1" applyAlignment="1">
      <alignment vertical="center"/>
    </xf>
    <xf numFmtId="2" fontId="6" fillId="9" borderId="1" xfId="0" applyNumberFormat="1" applyFont="1" applyFill="1" applyBorder="1" applyAlignment="1">
      <alignment vertical="center"/>
    </xf>
    <xf numFmtId="0" fontId="6" fillId="9" borderId="15" xfId="0" applyFont="1" applyFill="1" applyBorder="1" applyAlignment="1">
      <alignment vertical="center"/>
    </xf>
    <xf numFmtId="0" fontId="6" fillId="9" borderId="17" xfId="0" applyFont="1" applyFill="1" applyBorder="1" applyAlignment="1">
      <alignment vertical="center"/>
    </xf>
    <xf numFmtId="0" fontId="5" fillId="9" borderId="19" xfId="0" applyFont="1" applyFill="1" applyBorder="1" applyAlignment="1">
      <alignment horizontal="center" vertical="center"/>
    </xf>
    <xf numFmtId="0" fontId="5" fillId="9" borderId="20" xfId="0" applyFont="1" applyFill="1" applyBorder="1" applyAlignment="1">
      <alignment horizontal="center" vertical="center"/>
    </xf>
    <xf numFmtId="0" fontId="5" fillId="9" borderId="21" xfId="0" applyFont="1" applyFill="1" applyBorder="1" applyAlignment="1">
      <alignment horizontal="center" vertical="center"/>
    </xf>
    <xf numFmtId="0" fontId="5" fillId="9" borderId="22" xfId="0" applyFont="1" applyFill="1" applyBorder="1" applyAlignment="1">
      <alignment horizontal="center" vertical="center"/>
    </xf>
    <xf numFmtId="0" fontId="5" fillId="9" borderId="0" xfId="0" applyFont="1" applyFill="1" applyBorder="1" applyAlignment="1">
      <alignment horizontal="center" vertical="center"/>
    </xf>
    <xf numFmtId="0" fontId="5" fillId="9" borderId="23" xfId="0" applyFont="1" applyFill="1" applyBorder="1" applyAlignment="1">
      <alignment horizontal="center" vertical="center"/>
    </xf>
    <xf numFmtId="0" fontId="5" fillId="9" borderId="24" xfId="0" applyFont="1" applyFill="1" applyBorder="1" applyAlignment="1">
      <alignment horizontal="center" vertical="center"/>
    </xf>
    <xf numFmtId="0" fontId="5" fillId="9" borderId="25" xfId="0" applyFont="1" applyFill="1" applyBorder="1" applyAlignment="1">
      <alignment horizontal="center" vertical="center"/>
    </xf>
    <xf numFmtId="0" fontId="5" fillId="9" borderId="26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vertical="center"/>
    </xf>
    <xf numFmtId="0" fontId="13" fillId="9" borderId="16" xfId="0" applyFont="1" applyFill="1" applyBorder="1" applyAlignment="1">
      <alignment horizontal="center" vertical="center"/>
    </xf>
    <xf numFmtId="0" fontId="13" fillId="9" borderId="27" xfId="0" applyFont="1" applyFill="1" applyBorder="1" applyAlignment="1">
      <alignment horizontal="center" vertical="center"/>
    </xf>
    <xf numFmtId="0" fontId="13" fillId="9" borderId="17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vertical="center"/>
    </xf>
    <xf numFmtId="0" fontId="6" fillId="10" borderId="16" xfId="0" applyFont="1" applyFill="1" applyBorder="1" applyAlignment="1">
      <alignment vertical="center"/>
    </xf>
    <xf numFmtId="189" fontId="6" fillId="0" borderId="1" xfId="0" applyNumberFormat="1" applyFont="1" applyBorder="1" applyAlignment="1">
      <alignment vertical="center"/>
    </xf>
    <xf numFmtId="189" fontId="6" fillId="0" borderId="16" xfId="0" applyNumberFormat="1" applyFont="1" applyBorder="1" applyAlignment="1">
      <alignment vertical="center"/>
    </xf>
    <xf numFmtId="20" fontId="6" fillId="0" borderId="0" xfId="0" applyNumberFormat="1" applyFont="1" applyAlignment="1">
      <alignment vertical="center"/>
    </xf>
    <xf numFmtId="186" fontId="6" fillId="0" borderId="28" xfId="0" applyNumberFormat="1" applyFont="1" applyBorder="1" applyAlignment="1">
      <alignment vertical="center"/>
    </xf>
    <xf numFmtId="187" fontId="6" fillId="0" borderId="29" xfId="0" applyNumberFormat="1" applyFont="1" applyBorder="1" applyAlignment="1">
      <alignment vertical="center"/>
    </xf>
    <xf numFmtId="0" fontId="6" fillId="0" borderId="29" xfId="0" applyFont="1" applyBorder="1" applyAlignment="1">
      <alignment vertical="center"/>
    </xf>
    <xf numFmtId="189" fontId="6" fillId="0" borderId="29" xfId="0" applyNumberFormat="1" applyFont="1" applyBorder="1" applyAlignment="1">
      <alignment vertical="center"/>
    </xf>
    <xf numFmtId="0" fontId="6" fillId="0" borderId="19" xfId="0" applyFont="1" applyBorder="1" applyAlignment="1">
      <alignment vertical="center"/>
    </xf>
    <xf numFmtId="189" fontId="6" fillId="0" borderId="19" xfId="0" applyNumberFormat="1" applyFont="1" applyBorder="1" applyAlignment="1">
      <alignment vertical="center"/>
    </xf>
    <xf numFmtId="0" fontId="6" fillId="0" borderId="30" xfId="0" applyFont="1" applyBorder="1" applyAlignment="1">
      <alignment vertical="center"/>
    </xf>
    <xf numFmtId="0" fontId="6" fillId="0" borderId="31" xfId="0" applyFont="1" applyBorder="1" applyAlignment="1">
      <alignment vertical="center"/>
    </xf>
    <xf numFmtId="20" fontId="6" fillId="0" borderId="29" xfId="0" applyNumberFormat="1" applyFont="1" applyBorder="1" applyAlignment="1">
      <alignment vertical="center"/>
    </xf>
    <xf numFmtId="0" fontId="6" fillId="3" borderId="29" xfId="0" applyFont="1" applyFill="1" applyBorder="1" applyAlignment="1">
      <alignment vertical="center"/>
    </xf>
    <xf numFmtId="185" fontId="6" fillId="0" borderId="29" xfId="0" applyNumberFormat="1" applyFont="1" applyBorder="1" applyAlignment="1">
      <alignment vertical="center"/>
    </xf>
    <xf numFmtId="0" fontId="11" fillId="0" borderId="0" xfId="0" applyFont="1" applyAlignment="1">
      <alignment vertical="center"/>
    </xf>
    <xf numFmtId="0" fontId="11" fillId="11" borderId="32" xfId="0" applyFont="1" applyFill="1" applyBorder="1" applyAlignment="1">
      <alignment horizontal="center" vertical="center"/>
    </xf>
    <xf numFmtId="183" fontId="6" fillId="11" borderId="0" xfId="0" applyNumberFormat="1" applyFont="1" applyFill="1" applyAlignment="1">
      <alignment vertical="center"/>
    </xf>
    <xf numFmtId="0" fontId="6" fillId="0" borderId="0" xfId="0" applyFont="1" applyAlignment="1">
      <alignment horizontal="center" vertical="center"/>
    </xf>
    <xf numFmtId="1" fontId="6" fillId="0" borderId="0" xfId="0" applyNumberFormat="1" applyFont="1" applyAlignment="1">
      <alignment vertical="center"/>
    </xf>
    <xf numFmtId="0" fontId="11" fillId="0" borderId="32" xfId="0" applyFont="1" applyBorder="1" applyAlignment="1">
      <alignment horizontal="center" vertical="center"/>
    </xf>
    <xf numFmtId="188" fontId="6" fillId="0" borderId="0" xfId="0" applyNumberFormat="1" applyFont="1" applyAlignment="1">
      <alignment vertical="center"/>
    </xf>
    <xf numFmtId="182" fontId="6" fillId="0" borderId="0" xfId="3" applyNumberFormat="1" applyFont="1" applyAlignment="1">
      <alignment vertical="center"/>
    </xf>
    <xf numFmtId="0" fontId="14" fillId="11" borderId="33" xfId="0" applyFont="1" applyFill="1" applyBorder="1" applyAlignment="1">
      <alignment horizontal="center" vertical="center" wrapText="1"/>
    </xf>
    <xf numFmtId="0" fontId="14" fillId="11" borderId="34" xfId="0" applyFont="1" applyFill="1" applyBorder="1" applyAlignment="1">
      <alignment horizontal="center" vertical="center" wrapText="1"/>
    </xf>
    <xf numFmtId="0" fontId="14" fillId="11" borderId="35" xfId="0" applyFont="1" applyFill="1" applyBorder="1" applyAlignment="1">
      <alignment horizontal="center" vertical="center" wrapText="1"/>
    </xf>
    <xf numFmtId="0" fontId="14" fillId="11" borderId="36" xfId="0" applyFont="1" applyFill="1" applyBorder="1" applyAlignment="1">
      <alignment horizontal="center" vertical="center" wrapText="1"/>
    </xf>
    <xf numFmtId="0" fontId="14" fillId="11" borderId="37" xfId="0" applyFont="1" applyFill="1" applyBorder="1" applyAlignment="1">
      <alignment horizontal="center" vertical="center" wrapText="1"/>
    </xf>
    <xf numFmtId="0" fontId="14" fillId="11" borderId="38" xfId="0" applyFont="1" applyFill="1" applyBorder="1" applyAlignment="1">
      <alignment horizontal="center" vertical="center" wrapText="1"/>
    </xf>
    <xf numFmtId="0" fontId="15" fillId="0" borderId="0" xfId="0" applyFont="1"/>
    <xf numFmtId="184" fontId="16" fillId="0" borderId="0" xfId="0" applyNumberFormat="1" applyFont="1" applyAlignment="1">
      <alignment horizontal="center" vertical="center"/>
    </xf>
    <xf numFmtId="187" fontId="16" fillId="0" borderId="0" xfId="0" applyNumberFormat="1" applyFont="1"/>
    <xf numFmtId="0" fontId="15" fillId="0" borderId="0" xfId="0" applyFont="1" applyAlignment="1">
      <alignment horizontal="right" vertical="center"/>
    </xf>
    <xf numFmtId="0" fontId="16" fillId="0" borderId="0" xfId="0" applyFont="1"/>
    <xf numFmtId="0" fontId="17" fillId="11" borderId="39" xfId="0" applyFont="1" applyFill="1" applyBorder="1" applyAlignment="1">
      <alignment horizontal="right" vertical="center"/>
    </xf>
    <xf numFmtId="187" fontId="18" fillId="0" borderId="39" xfId="0" applyNumberFormat="1" applyFont="1" applyBorder="1" applyAlignment="1" applyProtection="1">
      <alignment horizontal="center" vertical="center"/>
      <protection locked="0"/>
    </xf>
    <xf numFmtId="0" fontId="17" fillId="11" borderId="40" xfId="0" applyFont="1" applyFill="1" applyBorder="1" applyAlignment="1">
      <alignment horizontal="right" vertical="center"/>
    </xf>
    <xf numFmtId="0" fontId="17" fillId="11" borderId="41" xfId="0" applyFont="1" applyFill="1" applyBorder="1" applyAlignment="1">
      <alignment horizontal="right" vertical="center"/>
    </xf>
    <xf numFmtId="2" fontId="18" fillId="0" borderId="39" xfId="0" applyNumberFormat="1" applyFont="1" applyBorder="1" applyAlignment="1">
      <alignment horizontal="center" vertical="center"/>
    </xf>
    <xf numFmtId="2" fontId="19" fillId="7" borderId="39" xfId="0" applyNumberFormat="1" applyFont="1" applyFill="1" applyBorder="1" applyAlignment="1">
      <alignment horizontal="center" vertical="center"/>
    </xf>
    <xf numFmtId="187" fontId="18" fillId="0" borderId="39" xfId="0" applyNumberFormat="1" applyFont="1" applyBorder="1" applyAlignment="1">
      <alignment horizontal="center" vertical="center"/>
    </xf>
    <xf numFmtId="0" fontId="17" fillId="11" borderId="42" xfId="0" applyFont="1" applyFill="1" applyBorder="1" applyAlignment="1">
      <alignment horizontal="center" vertical="center"/>
    </xf>
    <xf numFmtId="0" fontId="17" fillId="11" borderId="39" xfId="0" applyFont="1" applyFill="1" applyBorder="1" applyAlignment="1">
      <alignment horizontal="center" vertical="center"/>
    </xf>
    <xf numFmtId="0" fontId="17" fillId="11" borderId="43" xfId="0" applyFont="1" applyFill="1" applyBorder="1" applyAlignment="1">
      <alignment horizontal="center" vertical="center"/>
    </xf>
    <xf numFmtId="0" fontId="18" fillId="0" borderId="44" xfId="0" applyFont="1" applyBorder="1" applyAlignment="1">
      <alignment horizontal="center"/>
    </xf>
    <xf numFmtId="0" fontId="18" fillId="0" borderId="45" xfId="0" applyFont="1" applyBorder="1" applyAlignment="1">
      <alignment horizontal="center"/>
    </xf>
    <xf numFmtId="188" fontId="18" fillId="0" borderId="46" xfId="0" applyNumberFormat="1" applyFont="1" applyBorder="1" applyAlignment="1">
      <alignment horizontal="center"/>
    </xf>
    <xf numFmtId="2" fontId="18" fillId="0" borderId="47" xfId="0" applyNumberFormat="1" applyFont="1" applyBorder="1" applyAlignment="1">
      <alignment horizontal="center"/>
    </xf>
    <xf numFmtId="182" fontId="18" fillId="0" borderId="48" xfId="0" applyNumberFormat="1" applyFont="1" applyBorder="1" applyAlignment="1">
      <alignment horizontal="center"/>
    </xf>
    <xf numFmtId="188" fontId="18" fillId="0" borderId="49" xfId="0" applyNumberFormat="1" applyFont="1" applyBorder="1" applyAlignment="1">
      <alignment horizontal="center"/>
    </xf>
    <xf numFmtId="0" fontId="18" fillId="0" borderId="50" xfId="0" applyFont="1" applyBorder="1" applyAlignment="1">
      <alignment horizontal="center"/>
    </xf>
    <xf numFmtId="0" fontId="18" fillId="0" borderId="51" xfId="0" applyFont="1" applyBorder="1" applyAlignment="1">
      <alignment horizontal="center"/>
    </xf>
    <xf numFmtId="2" fontId="18" fillId="0" borderId="52" xfId="0" applyNumberFormat="1" applyFont="1" applyBorder="1" applyAlignment="1">
      <alignment horizontal="center"/>
    </xf>
    <xf numFmtId="2" fontId="18" fillId="0" borderId="32" xfId="0" applyNumberFormat="1" applyFont="1" applyBorder="1" applyAlignment="1">
      <alignment horizontal="center"/>
    </xf>
    <xf numFmtId="182" fontId="18" fillId="0" borderId="53" xfId="0" applyNumberFormat="1" applyFont="1" applyBorder="1" applyAlignment="1">
      <alignment horizontal="center"/>
    </xf>
    <xf numFmtId="2" fontId="18" fillId="0" borderId="54" xfId="0" applyNumberFormat="1" applyFont="1" applyBorder="1" applyAlignment="1">
      <alignment horizontal="center"/>
    </xf>
    <xf numFmtId="182" fontId="18" fillId="0" borderId="52" xfId="0" applyNumberFormat="1" applyFont="1" applyBorder="1" applyAlignment="1">
      <alignment horizontal="center"/>
    </xf>
    <xf numFmtId="182" fontId="18" fillId="0" borderId="54" xfId="0" applyNumberFormat="1" applyFont="1" applyBorder="1" applyAlignment="1">
      <alignment horizontal="center"/>
    </xf>
    <xf numFmtId="182" fontId="18" fillId="0" borderId="32" xfId="0" applyNumberFormat="1" applyFont="1" applyBorder="1" applyAlignment="1">
      <alignment horizontal="center"/>
    </xf>
    <xf numFmtId="0" fontId="18" fillId="0" borderId="55" xfId="0" applyFont="1" applyBorder="1" applyAlignment="1">
      <alignment horizontal="center"/>
    </xf>
    <xf numFmtId="0" fontId="18" fillId="0" borderId="56" xfId="0" applyFont="1" applyBorder="1" applyAlignment="1">
      <alignment horizontal="center"/>
    </xf>
    <xf numFmtId="2" fontId="18" fillId="0" borderId="57" xfId="0" applyNumberFormat="1" applyFont="1" applyBorder="1" applyAlignment="1">
      <alignment horizontal="center"/>
    </xf>
    <xf numFmtId="2" fontId="18" fillId="0" borderId="58" xfId="0" applyNumberFormat="1" applyFont="1" applyBorder="1" applyAlignment="1">
      <alignment horizontal="center"/>
    </xf>
    <xf numFmtId="182" fontId="18" fillId="0" borderId="59" xfId="0" applyNumberFormat="1" applyFont="1" applyBorder="1" applyAlignment="1">
      <alignment horizontal="center"/>
    </xf>
    <xf numFmtId="2" fontId="18" fillId="0" borderId="60" xfId="0" applyNumberFormat="1" applyFont="1" applyBorder="1" applyAlignment="1">
      <alignment horizontal="center"/>
    </xf>
    <xf numFmtId="0" fontId="0" fillId="0" borderId="0" xfId="0" applyAlignment="1">
      <alignment wrapText="1"/>
    </xf>
    <xf numFmtId="0" fontId="20" fillId="0" borderId="11" xfId="0" applyFont="1" applyBorder="1" applyAlignment="1">
      <alignment horizontal="center" vertical="center"/>
    </xf>
    <xf numFmtId="184" fontId="20" fillId="0" borderId="61" xfId="0" applyNumberFormat="1" applyFont="1" applyBorder="1" applyAlignment="1">
      <alignment horizontal="center" vertical="center"/>
    </xf>
    <xf numFmtId="0" fontId="20" fillId="0" borderId="6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0" fillId="0" borderId="62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187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2" fontId="22" fillId="0" borderId="1" xfId="0" applyNumberFormat="1" applyFont="1" applyBorder="1" applyAlignment="1">
      <alignment horizontal="center" vertical="center"/>
    </xf>
    <xf numFmtId="10" fontId="6" fillId="0" borderId="1" xfId="3" applyNumberFormat="1" applyFont="1" applyBorder="1" applyAlignment="1">
      <alignment horizontal="center" vertical="center"/>
    </xf>
    <xf numFmtId="182" fontId="6" fillId="0" borderId="1" xfId="3" applyNumberFormat="1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10" fontId="6" fillId="0" borderId="29" xfId="0" applyNumberFormat="1" applyFont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2" Type="http://schemas.openxmlformats.org/officeDocument/2006/relationships/styles" Target="styles.xml"/><Relationship Id="rId21" Type="http://schemas.openxmlformats.org/officeDocument/2006/relationships/sharedStrings" Target="sharedStrings.xml"/><Relationship Id="rId20" Type="http://schemas.openxmlformats.org/officeDocument/2006/relationships/theme" Target="theme/theme1.xml"/><Relationship Id="rId2" Type="http://schemas.openxmlformats.org/officeDocument/2006/relationships/worksheet" Target="worksheets/sheet2.xml"/><Relationship Id="rId19" Type="http://schemas.openxmlformats.org/officeDocument/2006/relationships/externalLink" Target="externalLinks/externalLink2.xml"/><Relationship Id="rId18" Type="http://schemas.openxmlformats.org/officeDocument/2006/relationships/externalLink" Target="externalLinks/externalLink1.xml"/><Relationship Id="rId17" Type="http://schemas.openxmlformats.org/officeDocument/2006/relationships/customXml" Target="../customXml/item1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Admin\Downloads\DGR_Devki_Galol_FY25_26%20(1)%20(2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Admin\Downloads\DGR_Devki_Galol_FY25_26%20(1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Budgeted_Data"/>
      <sheetName val="E-Mail_Copy"/>
      <sheetName val="DGR"/>
      <sheetName val="Data_Entry"/>
      <sheetName val="Inverter_PR"/>
      <sheetName val="Invt_Analysis_Gen_Per_KW &amp;_PR"/>
      <sheetName val="Basic_Data"/>
      <sheetName val="Plant_Down_Time Details"/>
      <sheetName val="Plant_Grid_Down_Time_Details"/>
      <sheetName val="WMS"/>
      <sheetName val="Module_Cleaning"/>
      <sheetName val="Plant  Availiblity"/>
      <sheetName val="Grid Availiblity"/>
    </sheetNames>
    <sheetDataSet>
      <sheetData sheetId="0"/>
      <sheetData sheetId="1"/>
      <sheetData sheetId="2"/>
      <sheetData sheetId="3">
        <row r="1">
          <cell r="C1" t="str">
            <v>Date</v>
          </cell>
          <cell r="D1" t="str">
            <v>Plant_Up_Time</v>
          </cell>
          <cell r="E1" t="str">
            <v>Plant_Down_Time</v>
          </cell>
          <cell r="F1" t="str">
            <v>Inv_1</v>
          </cell>
          <cell r="G1" t="str">
            <v>Inv_2</v>
          </cell>
          <cell r="H1" t="str">
            <v>Inv_3</v>
          </cell>
          <cell r="I1" t="str">
            <v>Inv_4</v>
          </cell>
          <cell r="J1" t="str">
            <v>Inv_5</v>
          </cell>
          <cell r="K1" t="str">
            <v>Inv_6</v>
          </cell>
          <cell r="L1" t="str">
            <v>Inv_7</v>
          </cell>
          <cell r="M1" t="str">
            <v>Total Inv Gen kWh</v>
          </cell>
          <cell r="N1" t="str">
            <v>ABT_Initial_Export</v>
          </cell>
          <cell r="O1" t="str">
            <v>ABT_Final_Export</v>
          </cell>
          <cell r="P1" t="str">
            <v>Total_Export</v>
          </cell>
          <cell r="Q1" t="str">
            <v>ABT_Initial_Import</v>
          </cell>
          <cell r="R1" t="str">
            <v>ABT_Final_Import</v>
          </cell>
          <cell r="S1" t="str">
            <v>Total_Import</v>
          </cell>
          <cell r="T1" t="str">
            <v>Net_Gen_kWh</v>
          </cell>
          <cell r="U1" t="str">
            <v>GHI (kwh/m2)</v>
          </cell>
          <cell r="V1" t="str">
            <v>GTI (kwh/m2)</v>
          </cell>
          <cell r="W1" t="str">
            <v>Ambt_Temp_Avg</v>
          </cell>
          <cell r="X1" t="str">
            <v>Module_Temp_Avg</v>
          </cell>
          <cell r="Y1" t="str">
            <v>Wtd_Module_Temp</v>
          </cell>
          <cell r="Z1" t="str">
            <v>Wind Speed</v>
          </cell>
          <cell r="AA1" t="str">
            <v>Rain_Gaug_MM</v>
          </cell>
          <cell r="AB1" t="str">
            <v>Weather_Condition</v>
          </cell>
        </row>
        <row r="2">
          <cell r="C2">
            <v>45747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  <cell r="Z2">
            <v>0</v>
          </cell>
          <cell r="AA2">
            <v>0</v>
          </cell>
          <cell r="AB2">
            <v>0</v>
          </cell>
        </row>
        <row r="3">
          <cell r="C3">
            <v>45748</v>
          </cell>
          <cell r="D3">
            <v>0</v>
          </cell>
          <cell r="E3">
            <v>0</v>
          </cell>
          <cell r="F3">
            <v>1835.13</v>
          </cell>
          <cell r="G3">
            <v>1870.19</v>
          </cell>
          <cell r="H3">
            <v>1924.81</v>
          </cell>
          <cell r="I3">
            <v>2024.97</v>
          </cell>
          <cell r="J3">
            <v>2015.38</v>
          </cell>
          <cell r="K3">
            <v>1981.68</v>
          </cell>
          <cell r="L3">
            <v>1940.1</v>
          </cell>
          <cell r="M3">
            <v>13592.26</v>
          </cell>
          <cell r="N3">
            <v>115.74</v>
          </cell>
          <cell r="O3">
            <v>120.23</v>
          </cell>
          <cell r="P3">
            <v>13470</v>
          </cell>
          <cell r="Q3">
            <v>2.22</v>
          </cell>
          <cell r="R3">
            <v>2.23</v>
          </cell>
          <cell r="S3">
            <v>29.9999999999994</v>
          </cell>
          <cell r="T3">
            <v>13440</v>
          </cell>
          <cell r="U3">
            <v>0</v>
          </cell>
          <cell r="V3">
            <v>5.62675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>
            <v>0</v>
          </cell>
        </row>
        <row r="4">
          <cell r="C4">
            <v>45749</v>
          </cell>
          <cell r="D4">
            <v>0</v>
          </cell>
          <cell r="E4">
            <v>0</v>
          </cell>
          <cell r="F4">
            <v>2030.21</v>
          </cell>
          <cell r="G4">
            <v>2070.38</v>
          </cell>
          <cell r="H4">
            <v>2050.23</v>
          </cell>
          <cell r="I4">
            <v>2090.84</v>
          </cell>
          <cell r="J4">
            <v>1976.97</v>
          </cell>
          <cell r="K4">
            <v>1954.77</v>
          </cell>
          <cell r="L4">
            <v>1964.11</v>
          </cell>
          <cell r="M4">
            <v>14137.51</v>
          </cell>
          <cell r="N4">
            <v>120.23</v>
          </cell>
          <cell r="O4">
            <v>124.9</v>
          </cell>
          <cell r="P4">
            <v>14010</v>
          </cell>
          <cell r="Q4">
            <v>2.23</v>
          </cell>
          <cell r="R4">
            <v>2.24</v>
          </cell>
          <cell r="S4">
            <v>30.0000000000007</v>
          </cell>
          <cell r="T4">
            <v>13980</v>
          </cell>
          <cell r="U4">
            <v>0</v>
          </cell>
          <cell r="V4">
            <v>5.84225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</row>
        <row r="5">
          <cell r="C5">
            <v>45750</v>
          </cell>
          <cell r="D5">
            <v>0</v>
          </cell>
          <cell r="E5">
            <v>0</v>
          </cell>
          <cell r="F5">
            <v>1839.07</v>
          </cell>
          <cell r="G5">
            <v>1835.52</v>
          </cell>
          <cell r="H5">
            <v>1842.65</v>
          </cell>
          <cell r="I5">
            <v>1952.53</v>
          </cell>
          <cell r="J5">
            <v>1926.93</v>
          </cell>
          <cell r="K5">
            <v>1892.93</v>
          </cell>
          <cell r="L5">
            <v>1877.62</v>
          </cell>
          <cell r="M5">
            <v>13167.25</v>
          </cell>
          <cell r="N5">
            <v>124.9</v>
          </cell>
          <cell r="O5">
            <v>129.26</v>
          </cell>
          <cell r="P5">
            <v>13080</v>
          </cell>
          <cell r="Q5">
            <v>2.24</v>
          </cell>
          <cell r="R5">
            <v>2.25</v>
          </cell>
          <cell r="S5">
            <v>29.9999999999994</v>
          </cell>
          <cell r="T5">
            <v>13050</v>
          </cell>
          <cell r="U5">
            <v>0</v>
          </cell>
          <cell r="V5">
            <v>5.57625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</row>
        <row r="6">
          <cell r="C6">
            <v>45751</v>
          </cell>
          <cell r="D6">
            <v>0</v>
          </cell>
          <cell r="E6">
            <v>0</v>
          </cell>
          <cell r="F6">
            <v>1204.78</v>
          </cell>
          <cell r="G6">
            <v>1204.82</v>
          </cell>
          <cell r="H6">
            <v>1209.34</v>
          </cell>
          <cell r="I6">
            <v>1280.18</v>
          </cell>
          <cell r="J6">
            <v>1263.44</v>
          </cell>
          <cell r="K6">
            <v>1261.51</v>
          </cell>
          <cell r="L6">
            <v>1215.94</v>
          </cell>
          <cell r="M6">
            <v>8640.01</v>
          </cell>
          <cell r="N6">
            <v>129.26</v>
          </cell>
          <cell r="O6">
            <v>132.13</v>
          </cell>
          <cell r="P6">
            <v>8610.00000000001</v>
          </cell>
          <cell r="Q6">
            <v>2.25</v>
          </cell>
          <cell r="R6">
            <v>2.26</v>
          </cell>
          <cell r="S6">
            <v>29.9999999999994</v>
          </cell>
          <cell r="T6">
            <v>8580.00000000001</v>
          </cell>
          <cell r="U6">
            <v>0</v>
          </cell>
          <cell r="V6">
            <v>3.7295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</row>
        <row r="7">
          <cell r="C7">
            <v>45752</v>
          </cell>
          <cell r="D7">
            <v>0</v>
          </cell>
          <cell r="E7">
            <v>0</v>
          </cell>
          <cell r="F7">
            <v>1901.4</v>
          </cell>
          <cell r="G7">
            <v>1902.92</v>
          </cell>
          <cell r="H7">
            <v>1912.27</v>
          </cell>
          <cell r="I7">
            <v>2020.94</v>
          </cell>
          <cell r="J7">
            <v>2001.33</v>
          </cell>
          <cell r="K7">
            <v>2001.08</v>
          </cell>
          <cell r="L7">
            <v>1996.49</v>
          </cell>
          <cell r="M7">
            <v>13736.43</v>
          </cell>
          <cell r="N7">
            <v>132.13</v>
          </cell>
          <cell r="O7">
            <v>136.67</v>
          </cell>
          <cell r="P7">
            <v>13620</v>
          </cell>
          <cell r="Q7">
            <v>2.26</v>
          </cell>
          <cell r="R7">
            <v>2.27</v>
          </cell>
          <cell r="S7">
            <v>30.0000000000007</v>
          </cell>
          <cell r="T7">
            <v>13590</v>
          </cell>
          <cell r="U7">
            <v>0</v>
          </cell>
          <cell r="V7">
            <v>5.72925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</row>
        <row r="8">
          <cell r="C8">
            <v>45753</v>
          </cell>
          <cell r="D8">
            <v>0</v>
          </cell>
          <cell r="E8">
            <v>0</v>
          </cell>
          <cell r="F8">
            <v>1512.52</v>
          </cell>
          <cell r="G8">
            <v>1506.96</v>
          </cell>
          <cell r="H8">
            <v>1516.89</v>
          </cell>
          <cell r="I8">
            <v>1599.98</v>
          </cell>
          <cell r="J8">
            <v>1580.61</v>
          </cell>
          <cell r="K8">
            <v>1529.11</v>
          </cell>
          <cell r="L8">
            <v>1521.58</v>
          </cell>
          <cell r="M8">
            <v>10767.65</v>
          </cell>
          <cell r="N8">
            <v>136.67</v>
          </cell>
          <cell r="O8">
            <v>140.24</v>
          </cell>
          <cell r="P8">
            <v>10710.0000000001</v>
          </cell>
          <cell r="Q8">
            <v>2.27</v>
          </cell>
          <cell r="R8">
            <v>2.28</v>
          </cell>
          <cell r="S8">
            <v>29.9999999999994</v>
          </cell>
          <cell r="T8">
            <v>10680.0000000001</v>
          </cell>
          <cell r="U8">
            <v>0</v>
          </cell>
          <cell r="V8">
            <v>4.59325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</row>
        <row r="9">
          <cell r="C9">
            <v>45754</v>
          </cell>
          <cell r="D9">
            <v>0</v>
          </cell>
          <cell r="E9">
            <v>0</v>
          </cell>
          <cell r="F9">
            <v>1924.03</v>
          </cell>
          <cell r="G9">
            <v>1913.17</v>
          </cell>
          <cell r="H9">
            <v>1908.55</v>
          </cell>
          <cell r="I9">
            <v>2018.33</v>
          </cell>
          <cell r="J9">
            <v>1998.44</v>
          </cell>
          <cell r="K9">
            <v>1967.54</v>
          </cell>
          <cell r="L9">
            <v>1961.47</v>
          </cell>
          <cell r="M9">
            <v>13691.53</v>
          </cell>
          <cell r="N9">
            <v>140.24</v>
          </cell>
          <cell r="O9">
            <v>144.77</v>
          </cell>
          <cell r="P9">
            <v>13590</v>
          </cell>
          <cell r="Q9">
            <v>2.28</v>
          </cell>
          <cell r="R9">
            <v>2.29</v>
          </cell>
          <cell r="S9">
            <v>30.0000000000007</v>
          </cell>
          <cell r="T9">
            <v>13560</v>
          </cell>
          <cell r="U9">
            <v>0</v>
          </cell>
          <cell r="V9">
            <v>5.81075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</row>
        <row r="10">
          <cell r="C10">
            <v>45755</v>
          </cell>
          <cell r="D10">
            <v>0</v>
          </cell>
          <cell r="E10">
            <v>0</v>
          </cell>
          <cell r="F10">
            <v>1848.32</v>
          </cell>
          <cell r="G10">
            <v>1867.75</v>
          </cell>
          <cell r="H10">
            <v>1875.25</v>
          </cell>
          <cell r="I10">
            <v>1959.29</v>
          </cell>
          <cell r="J10">
            <v>1935.92</v>
          </cell>
          <cell r="K10">
            <v>1903.02</v>
          </cell>
          <cell r="L10">
            <v>1896.16</v>
          </cell>
          <cell r="M10">
            <v>13285.71</v>
          </cell>
          <cell r="N10">
            <v>144.77</v>
          </cell>
          <cell r="O10">
            <v>149.18</v>
          </cell>
          <cell r="P10">
            <v>13230</v>
          </cell>
          <cell r="Q10">
            <v>2.29</v>
          </cell>
          <cell r="R10">
            <v>2.3</v>
          </cell>
          <cell r="S10">
            <v>29.9999999999994</v>
          </cell>
          <cell r="T10">
            <v>13200</v>
          </cell>
          <cell r="U10">
            <v>0</v>
          </cell>
          <cell r="V10">
            <v>5.62575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</row>
        <row r="11">
          <cell r="C11">
            <v>45756</v>
          </cell>
          <cell r="D11">
            <v>0</v>
          </cell>
          <cell r="E11">
            <v>0</v>
          </cell>
          <cell r="F11">
            <v>1821.74</v>
          </cell>
          <cell r="G11">
            <v>1815.37</v>
          </cell>
          <cell r="H11">
            <v>1854.46</v>
          </cell>
          <cell r="I11">
            <v>1962.77</v>
          </cell>
          <cell r="J11">
            <v>1919.49</v>
          </cell>
          <cell r="K11">
            <v>1822.93</v>
          </cell>
          <cell r="L11">
            <v>1816.06</v>
          </cell>
          <cell r="M11">
            <v>13012.82</v>
          </cell>
          <cell r="N11">
            <v>149.18</v>
          </cell>
          <cell r="O11">
            <v>153.49</v>
          </cell>
          <cell r="P11">
            <v>12930</v>
          </cell>
          <cell r="Q11">
            <v>2.3</v>
          </cell>
          <cell r="R11">
            <v>2.31</v>
          </cell>
          <cell r="S11">
            <v>30.0000000000007</v>
          </cell>
          <cell r="T11">
            <v>12900</v>
          </cell>
          <cell r="U11">
            <v>0</v>
          </cell>
          <cell r="V11">
            <v>5.58175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</row>
        <row r="12">
          <cell r="C12">
            <v>45757</v>
          </cell>
          <cell r="D12">
            <v>0</v>
          </cell>
          <cell r="E12">
            <v>0</v>
          </cell>
          <cell r="F12">
            <v>1842.03</v>
          </cell>
          <cell r="G12">
            <v>1834.36</v>
          </cell>
          <cell r="H12">
            <v>1847.15</v>
          </cell>
          <cell r="I12">
            <v>1960.9</v>
          </cell>
          <cell r="J12">
            <v>1944.94</v>
          </cell>
          <cell r="K12">
            <v>1833.69</v>
          </cell>
          <cell r="L12">
            <v>1833.3</v>
          </cell>
          <cell r="M12">
            <v>13096.37</v>
          </cell>
          <cell r="N12">
            <v>153.49</v>
          </cell>
          <cell r="O12">
            <v>157.83</v>
          </cell>
          <cell r="P12">
            <v>13020</v>
          </cell>
          <cell r="Q12">
            <v>2.31</v>
          </cell>
          <cell r="R12">
            <v>2.32</v>
          </cell>
          <cell r="S12">
            <v>29.9999999999994</v>
          </cell>
          <cell r="T12">
            <v>12990</v>
          </cell>
          <cell r="U12">
            <v>0</v>
          </cell>
          <cell r="V12">
            <v>5.5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 t="str">
            <v>sunny</v>
          </cell>
        </row>
        <row r="13">
          <cell r="C13">
            <v>45758</v>
          </cell>
          <cell r="D13">
            <v>0</v>
          </cell>
          <cell r="E13">
            <v>0</v>
          </cell>
          <cell r="F13">
            <v>1963.34</v>
          </cell>
          <cell r="G13">
            <v>1954.17</v>
          </cell>
          <cell r="H13">
            <v>1964.66</v>
          </cell>
          <cell r="I13">
            <v>2086.81</v>
          </cell>
          <cell r="J13">
            <v>2068.93</v>
          </cell>
          <cell r="K13">
            <v>1968.66</v>
          </cell>
          <cell r="L13">
            <v>1945.98</v>
          </cell>
          <cell r="M13">
            <v>13952.55</v>
          </cell>
          <cell r="N13">
            <v>157.83</v>
          </cell>
          <cell r="O13">
            <v>162.47</v>
          </cell>
          <cell r="P13">
            <v>13920</v>
          </cell>
          <cell r="Q13">
            <v>2.32</v>
          </cell>
          <cell r="R13">
            <v>2.33</v>
          </cell>
          <cell r="S13">
            <v>30.0000000000007</v>
          </cell>
          <cell r="T13">
            <v>13890</v>
          </cell>
          <cell r="U13">
            <v>0</v>
          </cell>
          <cell r="V13">
            <v>5.84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</row>
        <row r="14">
          <cell r="C14">
            <v>45759</v>
          </cell>
          <cell r="D14">
            <v>0</v>
          </cell>
          <cell r="E14">
            <v>0</v>
          </cell>
          <cell r="F14">
            <v>1842.4</v>
          </cell>
          <cell r="G14">
            <v>1918.81</v>
          </cell>
          <cell r="H14">
            <v>1928.86</v>
          </cell>
          <cell r="I14">
            <v>2067.29</v>
          </cell>
          <cell r="J14">
            <v>2060.71</v>
          </cell>
          <cell r="K14">
            <v>1961.26</v>
          </cell>
          <cell r="L14">
            <v>1889.97</v>
          </cell>
          <cell r="M14">
            <v>13669.3</v>
          </cell>
          <cell r="N14">
            <v>162.47</v>
          </cell>
          <cell r="O14">
            <v>167</v>
          </cell>
          <cell r="P14">
            <v>13590</v>
          </cell>
          <cell r="Q14">
            <v>2.33</v>
          </cell>
          <cell r="R14">
            <v>2.34</v>
          </cell>
          <cell r="S14">
            <v>29.9999999999994</v>
          </cell>
          <cell r="T14">
            <v>13560</v>
          </cell>
          <cell r="U14">
            <v>0</v>
          </cell>
          <cell r="V14">
            <v>5.8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 t="str">
            <v>sunny</v>
          </cell>
        </row>
        <row r="15">
          <cell r="C15">
            <v>45760</v>
          </cell>
          <cell r="D15">
            <v>0</v>
          </cell>
          <cell r="E15">
            <v>0</v>
          </cell>
          <cell r="F15">
            <v>1673.29</v>
          </cell>
          <cell r="G15">
            <v>1672.24</v>
          </cell>
          <cell r="H15">
            <v>1680.55</v>
          </cell>
          <cell r="I15">
            <v>1774.79</v>
          </cell>
          <cell r="J15">
            <v>1766.34</v>
          </cell>
          <cell r="K15">
            <v>1756.63</v>
          </cell>
          <cell r="L15">
            <v>1707.53</v>
          </cell>
          <cell r="M15">
            <v>12031.37</v>
          </cell>
          <cell r="N15">
            <v>167</v>
          </cell>
          <cell r="O15">
            <v>171</v>
          </cell>
          <cell r="P15">
            <v>12000</v>
          </cell>
          <cell r="Q15">
            <v>2.34</v>
          </cell>
          <cell r="R15">
            <v>2.35</v>
          </cell>
          <cell r="S15">
            <v>30.0000000000007</v>
          </cell>
          <cell r="T15">
            <v>11970</v>
          </cell>
          <cell r="U15">
            <v>0</v>
          </cell>
          <cell r="V15">
            <v>5.18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 t="str">
            <v>sunny</v>
          </cell>
        </row>
        <row r="16">
          <cell r="C16">
            <v>45761</v>
          </cell>
          <cell r="D16">
            <v>0</v>
          </cell>
          <cell r="E16">
            <v>0</v>
          </cell>
          <cell r="F16">
            <v>1952.59</v>
          </cell>
          <cell r="G16">
            <v>1988.01</v>
          </cell>
          <cell r="H16">
            <v>2002.92</v>
          </cell>
          <cell r="I16">
            <v>2108.16</v>
          </cell>
          <cell r="J16">
            <v>2100.86</v>
          </cell>
          <cell r="K16">
            <v>2029.73</v>
          </cell>
          <cell r="L16">
            <v>1974.38</v>
          </cell>
          <cell r="M16">
            <v>14156.65</v>
          </cell>
          <cell r="N16">
            <v>171</v>
          </cell>
          <cell r="O16">
            <v>175.69</v>
          </cell>
          <cell r="P16">
            <v>14070</v>
          </cell>
          <cell r="Q16">
            <v>2.35</v>
          </cell>
          <cell r="R16">
            <v>2.36</v>
          </cell>
          <cell r="S16">
            <v>29.9999999999994</v>
          </cell>
          <cell r="T16">
            <v>14040</v>
          </cell>
          <cell r="U16">
            <v>0</v>
          </cell>
          <cell r="V16">
            <v>6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 t="str">
            <v>sunny</v>
          </cell>
        </row>
        <row r="17">
          <cell r="C17">
            <v>45762</v>
          </cell>
          <cell r="D17">
            <v>0</v>
          </cell>
          <cell r="E17">
            <v>0</v>
          </cell>
          <cell r="F17">
            <v>1974.76</v>
          </cell>
          <cell r="G17">
            <v>1993.71</v>
          </cell>
          <cell r="H17">
            <v>1977.81</v>
          </cell>
          <cell r="I17">
            <v>2076.65</v>
          </cell>
          <cell r="J17">
            <v>2065.61</v>
          </cell>
          <cell r="K17">
            <v>2004.68</v>
          </cell>
          <cell r="L17">
            <v>2001.35</v>
          </cell>
          <cell r="M17">
            <v>14094.57</v>
          </cell>
          <cell r="N17">
            <v>175.69</v>
          </cell>
          <cell r="O17">
            <v>180.36</v>
          </cell>
          <cell r="P17">
            <v>14010</v>
          </cell>
          <cell r="Q17">
            <v>2.36</v>
          </cell>
          <cell r="R17">
            <v>2.37</v>
          </cell>
          <cell r="S17">
            <v>30.0000000000007</v>
          </cell>
          <cell r="T17">
            <v>13980</v>
          </cell>
          <cell r="U17">
            <v>0</v>
          </cell>
          <cell r="V17">
            <v>5.85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 t="str">
            <v>sunny</v>
          </cell>
        </row>
        <row r="18">
          <cell r="C18">
            <v>45763</v>
          </cell>
          <cell r="D18">
            <v>0</v>
          </cell>
          <cell r="E18">
            <v>0</v>
          </cell>
          <cell r="F18">
            <v>788.49</v>
          </cell>
          <cell r="G18">
            <v>785.73</v>
          </cell>
          <cell r="H18">
            <v>787.52</v>
          </cell>
          <cell r="I18">
            <v>828.68</v>
          </cell>
          <cell r="J18">
            <v>830.1</v>
          </cell>
          <cell r="K18">
            <v>827.23</v>
          </cell>
          <cell r="L18">
            <v>811.94</v>
          </cell>
          <cell r="M18">
            <v>5659.69</v>
          </cell>
          <cell r="N18">
            <v>180.36</v>
          </cell>
          <cell r="O18">
            <v>182.25</v>
          </cell>
          <cell r="P18">
            <v>5669.99999999996</v>
          </cell>
          <cell r="Q18">
            <v>2.37</v>
          </cell>
          <cell r="R18">
            <v>2.38</v>
          </cell>
          <cell r="S18">
            <v>29.9999999999994</v>
          </cell>
          <cell r="T18">
            <v>5639.99999999996</v>
          </cell>
          <cell r="U18">
            <v>0</v>
          </cell>
          <cell r="V18">
            <v>2.29</v>
          </cell>
          <cell r="W18">
            <v>35.67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 t="str">
            <v>sunny</v>
          </cell>
        </row>
        <row r="19">
          <cell r="C19">
            <v>45764</v>
          </cell>
          <cell r="D19">
            <v>0</v>
          </cell>
          <cell r="E19">
            <v>0</v>
          </cell>
          <cell r="F19">
            <v>1977.99</v>
          </cell>
          <cell r="G19">
            <v>2035.23</v>
          </cell>
          <cell r="H19">
            <v>2039.84</v>
          </cell>
          <cell r="I19">
            <v>2145.76</v>
          </cell>
          <cell r="J19">
            <v>2143.04</v>
          </cell>
          <cell r="K19">
            <v>2103.82</v>
          </cell>
          <cell r="L19">
            <v>2056.41</v>
          </cell>
          <cell r="M19">
            <v>14502.09</v>
          </cell>
          <cell r="N19">
            <v>182.25</v>
          </cell>
          <cell r="O19">
            <v>187.05</v>
          </cell>
          <cell r="P19">
            <v>14400</v>
          </cell>
          <cell r="Q19">
            <v>2.38</v>
          </cell>
          <cell r="R19">
            <v>2.39</v>
          </cell>
          <cell r="S19">
            <v>30.0000000000007</v>
          </cell>
          <cell r="T19">
            <v>14370</v>
          </cell>
          <cell r="U19">
            <v>0</v>
          </cell>
          <cell r="V19">
            <v>6.08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 t="str">
            <v>sunny</v>
          </cell>
        </row>
        <row r="20">
          <cell r="C20">
            <v>45765</v>
          </cell>
          <cell r="D20">
            <v>0</v>
          </cell>
          <cell r="E20">
            <v>0</v>
          </cell>
          <cell r="F20">
            <v>2025.69</v>
          </cell>
          <cell r="G20">
            <v>2028.78</v>
          </cell>
          <cell r="H20">
            <v>2034.75</v>
          </cell>
          <cell r="I20">
            <v>2034.88</v>
          </cell>
          <cell r="J20">
            <v>2139.47</v>
          </cell>
          <cell r="K20">
            <v>2088.99</v>
          </cell>
          <cell r="L20">
            <v>2045.64</v>
          </cell>
          <cell r="M20">
            <v>14398.2</v>
          </cell>
          <cell r="N20">
            <v>187.05</v>
          </cell>
          <cell r="O20">
            <v>191.86</v>
          </cell>
          <cell r="P20">
            <v>14430</v>
          </cell>
          <cell r="Q20">
            <v>2.39</v>
          </cell>
          <cell r="R20">
            <v>2.4</v>
          </cell>
          <cell r="S20">
            <v>29.9999999999994</v>
          </cell>
          <cell r="T20">
            <v>14400</v>
          </cell>
          <cell r="U20">
            <v>0</v>
          </cell>
          <cell r="V20">
            <v>6.08</v>
          </cell>
          <cell r="W20">
            <v>35.57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 t="str">
            <v>sunny</v>
          </cell>
        </row>
        <row r="21">
          <cell r="C21">
            <v>45766</v>
          </cell>
          <cell r="D21">
            <v>0</v>
          </cell>
          <cell r="E21">
            <v>0</v>
          </cell>
          <cell r="F21">
            <v>1951.34</v>
          </cell>
          <cell r="G21">
            <v>2008.08</v>
          </cell>
          <cell r="H21">
            <v>2010.19</v>
          </cell>
          <cell r="I21">
            <v>2138.15</v>
          </cell>
          <cell r="J21">
            <v>2148.49</v>
          </cell>
          <cell r="K21">
            <v>2018.81</v>
          </cell>
          <cell r="L21">
            <v>1290.67</v>
          </cell>
          <cell r="M21">
            <v>13565.73</v>
          </cell>
          <cell r="N21">
            <v>191.86</v>
          </cell>
          <cell r="O21">
            <v>196.36</v>
          </cell>
          <cell r="P21">
            <v>13500</v>
          </cell>
          <cell r="Q21">
            <v>2.4</v>
          </cell>
          <cell r="R21">
            <v>2.41</v>
          </cell>
          <cell r="S21">
            <v>30.0000000000007</v>
          </cell>
          <cell r="T21">
            <v>13470</v>
          </cell>
          <cell r="U21">
            <v>0</v>
          </cell>
          <cell r="V21">
            <v>6.04</v>
          </cell>
          <cell r="W21">
            <v>33.8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 t="str">
            <v>sunny</v>
          </cell>
        </row>
        <row r="22">
          <cell r="C22">
            <v>45767</v>
          </cell>
          <cell r="D22">
            <v>0</v>
          </cell>
          <cell r="E22">
            <v>0</v>
          </cell>
          <cell r="F22">
            <v>1975.37</v>
          </cell>
          <cell r="G22">
            <v>2007.14</v>
          </cell>
          <cell r="H22">
            <v>2040.76</v>
          </cell>
          <cell r="I22">
            <v>2160.72</v>
          </cell>
          <cell r="J22">
            <v>2156.02</v>
          </cell>
          <cell r="K22">
            <v>2057.98</v>
          </cell>
          <cell r="L22">
            <v>1189.68</v>
          </cell>
          <cell r="M22">
            <v>13587.67</v>
          </cell>
          <cell r="N22">
            <v>196.36</v>
          </cell>
          <cell r="O22">
            <v>200.87</v>
          </cell>
          <cell r="P22">
            <v>13530</v>
          </cell>
          <cell r="Q22">
            <v>2.41</v>
          </cell>
          <cell r="R22">
            <v>2.42</v>
          </cell>
          <cell r="S22">
            <v>29.9999999999994</v>
          </cell>
          <cell r="T22">
            <v>13500</v>
          </cell>
          <cell r="U22">
            <v>0</v>
          </cell>
          <cell r="V22">
            <v>6.13</v>
          </cell>
          <cell r="W22">
            <v>34.14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 t="str">
            <v>sunny</v>
          </cell>
        </row>
        <row r="23">
          <cell r="C23">
            <v>45768</v>
          </cell>
          <cell r="D23">
            <v>0</v>
          </cell>
          <cell r="E23">
            <v>0</v>
          </cell>
          <cell r="F23">
            <v>1788.16</v>
          </cell>
          <cell r="G23">
            <v>1896.38</v>
          </cell>
          <cell r="H23">
            <v>1951.13</v>
          </cell>
          <cell r="I23">
            <v>2079.83</v>
          </cell>
          <cell r="J23">
            <v>2062.5</v>
          </cell>
          <cell r="K23">
            <v>1839.86</v>
          </cell>
          <cell r="L23">
            <v>1795.23</v>
          </cell>
          <cell r="M23">
            <v>13413.09</v>
          </cell>
          <cell r="N23">
            <v>200.87</v>
          </cell>
          <cell r="O23">
            <v>205.32</v>
          </cell>
          <cell r="P23">
            <v>13350</v>
          </cell>
          <cell r="Q23">
            <v>2.42</v>
          </cell>
          <cell r="R23">
            <v>2.43</v>
          </cell>
          <cell r="S23">
            <v>30.0000000000007</v>
          </cell>
          <cell r="T23">
            <v>13320</v>
          </cell>
          <cell r="U23">
            <v>0</v>
          </cell>
          <cell r="V23">
            <v>6.1</v>
          </cell>
          <cell r="W23">
            <v>34.98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 t="str">
            <v>sunny</v>
          </cell>
        </row>
        <row r="24">
          <cell r="C24">
            <v>45769</v>
          </cell>
          <cell r="D24">
            <v>0</v>
          </cell>
          <cell r="E24">
            <v>0</v>
          </cell>
          <cell r="F24">
            <v>1901.85</v>
          </cell>
          <cell r="G24">
            <v>1985.07</v>
          </cell>
          <cell r="H24">
            <v>2029.06</v>
          </cell>
          <cell r="I24">
            <v>2114.2</v>
          </cell>
          <cell r="J24">
            <v>2117.29</v>
          </cell>
          <cell r="K24">
            <v>2022.86</v>
          </cell>
          <cell r="L24">
            <v>1985.33</v>
          </cell>
          <cell r="M24">
            <v>14155.66</v>
          </cell>
          <cell r="N24">
            <v>205.32</v>
          </cell>
          <cell r="O24">
            <v>210</v>
          </cell>
          <cell r="P24">
            <v>14040</v>
          </cell>
          <cell r="Q24">
            <v>2.43</v>
          </cell>
          <cell r="R24">
            <v>2.44</v>
          </cell>
          <cell r="S24">
            <v>29.9999999999994</v>
          </cell>
          <cell r="T24">
            <v>14010</v>
          </cell>
          <cell r="U24">
            <v>0</v>
          </cell>
          <cell r="V24">
            <v>6.18</v>
          </cell>
          <cell r="W24">
            <v>36.39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 t="str">
            <v>sunny</v>
          </cell>
        </row>
        <row r="25">
          <cell r="C25">
            <v>45770</v>
          </cell>
          <cell r="D25">
            <v>0</v>
          </cell>
          <cell r="E25">
            <v>0</v>
          </cell>
          <cell r="F25">
            <v>1878.4</v>
          </cell>
          <cell r="G25">
            <v>1882.51</v>
          </cell>
          <cell r="H25">
            <v>1884.98</v>
          </cell>
          <cell r="I25">
            <v>1996.83</v>
          </cell>
          <cell r="J25">
            <v>1975.88</v>
          </cell>
          <cell r="K25">
            <v>1966.1</v>
          </cell>
          <cell r="L25">
            <v>1934.02</v>
          </cell>
          <cell r="M25">
            <v>13518.72</v>
          </cell>
          <cell r="N25">
            <v>210</v>
          </cell>
          <cell r="O25">
            <v>214.47</v>
          </cell>
          <cell r="P25">
            <v>13410</v>
          </cell>
          <cell r="Q25">
            <v>2.44</v>
          </cell>
          <cell r="R25">
            <v>2.45</v>
          </cell>
          <cell r="S25">
            <v>30.0000000000007</v>
          </cell>
          <cell r="T25">
            <v>13380</v>
          </cell>
          <cell r="U25">
            <v>0</v>
          </cell>
          <cell r="V25">
            <v>6</v>
          </cell>
          <cell r="W25">
            <v>36.39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 t="str">
            <v>sunny</v>
          </cell>
        </row>
        <row r="26">
          <cell r="C26">
            <v>45771</v>
          </cell>
          <cell r="D26">
            <v>0</v>
          </cell>
          <cell r="E26">
            <v>0</v>
          </cell>
          <cell r="F26">
            <v>1995.4</v>
          </cell>
          <cell r="G26">
            <v>1987.48</v>
          </cell>
          <cell r="H26">
            <v>1989.32</v>
          </cell>
          <cell r="I26">
            <v>2083.5</v>
          </cell>
          <cell r="J26">
            <v>2094.35</v>
          </cell>
          <cell r="K26">
            <v>2090.27</v>
          </cell>
          <cell r="L26">
            <v>2077.18</v>
          </cell>
          <cell r="M26">
            <v>14317.5</v>
          </cell>
          <cell r="N26">
            <v>214.47</v>
          </cell>
          <cell r="O26">
            <v>219.22</v>
          </cell>
          <cell r="P26">
            <v>14250</v>
          </cell>
          <cell r="Q26">
            <v>2.45</v>
          </cell>
          <cell r="R26">
            <v>2.46</v>
          </cell>
          <cell r="S26">
            <v>29.9999999999994</v>
          </cell>
          <cell r="T26">
            <v>14220</v>
          </cell>
          <cell r="U26">
            <v>0</v>
          </cell>
          <cell r="V26">
            <v>6.14</v>
          </cell>
          <cell r="W26">
            <v>35.07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 t="str">
            <v>sunny</v>
          </cell>
        </row>
        <row r="27">
          <cell r="C27">
            <v>45772</v>
          </cell>
          <cell r="D27">
            <v>0</v>
          </cell>
          <cell r="E27">
            <v>0</v>
          </cell>
          <cell r="F27">
            <v>2028.14</v>
          </cell>
          <cell r="G27">
            <v>2036.48</v>
          </cell>
          <cell r="H27">
            <v>2041.13</v>
          </cell>
          <cell r="I27">
            <v>2130.61</v>
          </cell>
          <cell r="J27">
            <v>2116.63</v>
          </cell>
          <cell r="K27">
            <v>2114.42</v>
          </cell>
          <cell r="L27">
            <v>2089.69</v>
          </cell>
          <cell r="M27">
            <v>14557.1</v>
          </cell>
          <cell r="N27">
            <v>219.22</v>
          </cell>
          <cell r="O27">
            <v>224.05</v>
          </cell>
          <cell r="P27">
            <v>14490</v>
          </cell>
          <cell r="Q27">
            <v>2.46</v>
          </cell>
          <cell r="R27">
            <v>2.47</v>
          </cell>
          <cell r="S27">
            <v>30.0000000000007</v>
          </cell>
          <cell r="T27">
            <v>14460</v>
          </cell>
          <cell r="U27">
            <v>0</v>
          </cell>
          <cell r="V27">
            <v>6.26</v>
          </cell>
          <cell r="W27">
            <v>34.21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 t="str">
            <v>sunny</v>
          </cell>
        </row>
        <row r="28">
          <cell r="C28">
            <v>45773</v>
          </cell>
          <cell r="D28">
            <v>0</v>
          </cell>
          <cell r="E28">
            <v>0</v>
          </cell>
          <cell r="F28">
            <v>2029.62</v>
          </cell>
          <cell r="G28">
            <v>2024.87</v>
          </cell>
          <cell r="H28">
            <v>2030.4</v>
          </cell>
          <cell r="I28">
            <v>2126.02</v>
          </cell>
          <cell r="J28">
            <v>2110.91</v>
          </cell>
          <cell r="K28">
            <v>2111.38</v>
          </cell>
          <cell r="L28">
            <v>2085.91</v>
          </cell>
          <cell r="M28">
            <v>14519.11</v>
          </cell>
          <cell r="N28">
            <v>224.05</v>
          </cell>
          <cell r="O28">
            <v>228.86</v>
          </cell>
          <cell r="P28">
            <v>14430</v>
          </cell>
          <cell r="Q28">
            <v>2.47</v>
          </cell>
          <cell r="R28">
            <v>2.48</v>
          </cell>
          <cell r="S28">
            <v>29.9999999999994</v>
          </cell>
          <cell r="T28">
            <v>14400</v>
          </cell>
          <cell r="U28">
            <v>0</v>
          </cell>
          <cell r="V28">
            <v>4.79</v>
          </cell>
          <cell r="W28">
            <v>34.5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 t="str">
            <v>sunny</v>
          </cell>
        </row>
        <row r="29">
          <cell r="C29">
            <v>45774</v>
          </cell>
          <cell r="D29">
            <v>0</v>
          </cell>
          <cell r="E29">
            <v>0</v>
          </cell>
          <cell r="F29">
            <v>1994.33</v>
          </cell>
          <cell r="G29">
            <v>1989.53</v>
          </cell>
          <cell r="H29">
            <v>1995.49</v>
          </cell>
          <cell r="I29">
            <v>2088.54</v>
          </cell>
          <cell r="J29">
            <v>2074.3</v>
          </cell>
          <cell r="K29">
            <v>2077.1</v>
          </cell>
          <cell r="L29">
            <v>2048.8</v>
          </cell>
          <cell r="M29">
            <v>14268.09</v>
          </cell>
          <cell r="N29">
            <v>228.86</v>
          </cell>
          <cell r="O29">
            <v>233.6</v>
          </cell>
          <cell r="P29">
            <v>14219.9999999999</v>
          </cell>
          <cell r="Q29">
            <v>2.48</v>
          </cell>
          <cell r="R29">
            <v>2.49</v>
          </cell>
          <cell r="S29">
            <v>30.0000000000007</v>
          </cell>
          <cell r="T29">
            <v>14189.9999999999</v>
          </cell>
          <cell r="U29">
            <v>0</v>
          </cell>
          <cell r="V29">
            <v>5.39</v>
          </cell>
          <cell r="W29">
            <v>35.93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 t="str">
            <v>sunny</v>
          </cell>
        </row>
        <row r="30">
          <cell r="C30">
            <v>45775</v>
          </cell>
          <cell r="D30">
            <v>0.28125</v>
          </cell>
          <cell r="E30">
            <v>0.78125</v>
          </cell>
          <cell r="F30">
            <v>1996.71</v>
          </cell>
          <cell r="G30">
            <v>1984.21</v>
          </cell>
          <cell r="H30">
            <v>1988.57</v>
          </cell>
          <cell r="I30">
            <v>2088.69</v>
          </cell>
          <cell r="J30">
            <v>2073.65</v>
          </cell>
          <cell r="K30">
            <v>2076.25</v>
          </cell>
          <cell r="L30">
            <v>2045.55</v>
          </cell>
          <cell r="M30">
            <v>14253.63</v>
          </cell>
          <cell r="N30">
            <v>233.6</v>
          </cell>
          <cell r="O30">
            <v>238.33</v>
          </cell>
          <cell r="P30">
            <v>14190.0000000001</v>
          </cell>
          <cell r="Q30">
            <v>2.49</v>
          </cell>
          <cell r="R30">
            <v>2.5</v>
          </cell>
          <cell r="S30">
            <v>29.9999999999994</v>
          </cell>
          <cell r="T30">
            <v>14160.0000000001</v>
          </cell>
          <cell r="U30">
            <v>0</v>
          </cell>
          <cell r="V30">
            <v>6.19</v>
          </cell>
          <cell r="W30">
            <v>36.38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 t="str">
            <v>sunny</v>
          </cell>
        </row>
        <row r="31">
          <cell r="C31">
            <v>45776</v>
          </cell>
          <cell r="D31">
            <v>0.28125</v>
          </cell>
          <cell r="E31">
            <v>0.78125</v>
          </cell>
          <cell r="F31">
            <v>2044.76</v>
          </cell>
          <cell r="G31">
            <v>2019.81</v>
          </cell>
          <cell r="H31">
            <v>2026.65</v>
          </cell>
          <cell r="I31">
            <v>2130.06</v>
          </cell>
          <cell r="J31">
            <v>2115.2</v>
          </cell>
          <cell r="K31">
            <v>2112.2</v>
          </cell>
          <cell r="L31">
            <v>2083.24</v>
          </cell>
          <cell r="M31">
            <v>14531.92</v>
          </cell>
          <cell r="N31">
            <v>238.33</v>
          </cell>
          <cell r="O31">
            <v>243.15</v>
          </cell>
          <cell r="P31">
            <v>14460</v>
          </cell>
          <cell r="Q31">
            <v>2.5</v>
          </cell>
          <cell r="R31">
            <v>2.51</v>
          </cell>
          <cell r="S31">
            <v>29.9999999999994</v>
          </cell>
          <cell r="T31">
            <v>14430</v>
          </cell>
          <cell r="U31">
            <v>0</v>
          </cell>
          <cell r="V31">
            <v>6.29</v>
          </cell>
          <cell r="W31">
            <v>36.86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 t="str">
            <v>sunny</v>
          </cell>
        </row>
        <row r="32">
          <cell r="C32">
            <v>45777</v>
          </cell>
          <cell r="D32">
            <v>0.28125</v>
          </cell>
          <cell r="E32">
            <v>0.78125</v>
          </cell>
          <cell r="F32">
            <v>1996.33</v>
          </cell>
          <cell r="G32">
            <v>1970.12</v>
          </cell>
          <cell r="H32">
            <v>1975.8</v>
          </cell>
          <cell r="I32">
            <v>2077.24</v>
          </cell>
          <cell r="J32">
            <v>2057.78</v>
          </cell>
          <cell r="K32">
            <v>2054.03</v>
          </cell>
          <cell r="L32">
            <v>2030.39</v>
          </cell>
          <cell r="M32">
            <v>14161.69</v>
          </cell>
          <cell r="N32">
            <v>243.15</v>
          </cell>
          <cell r="O32">
            <v>247.85</v>
          </cell>
          <cell r="P32">
            <v>14100</v>
          </cell>
          <cell r="Q32">
            <v>2.51</v>
          </cell>
          <cell r="R32">
            <v>2.52</v>
          </cell>
          <cell r="S32">
            <v>30.0000000000007</v>
          </cell>
          <cell r="T32">
            <v>14070</v>
          </cell>
          <cell r="U32">
            <v>0</v>
          </cell>
          <cell r="V32">
            <v>6.11</v>
          </cell>
          <cell r="W32">
            <v>35.7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 t="str">
            <v>sunny</v>
          </cell>
        </row>
        <row r="33">
          <cell r="C33">
            <v>45778</v>
          </cell>
          <cell r="D33">
            <v>0.28125</v>
          </cell>
          <cell r="E33">
            <v>0.78125</v>
          </cell>
          <cell r="F33">
            <v>2026.21</v>
          </cell>
          <cell r="G33">
            <v>2013.32</v>
          </cell>
          <cell r="H33">
            <v>1985.18</v>
          </cell>
          <cell r="I33">
            <v>2083.83</v>
          </cell>
          <cell r="J33">
            <v>2062.34</v>
          </cell>
          <cell r="K33">
            <v>2062.25</v>
          </cell>
          <cell r="L33">
            <v>2033.98</v>
          </cell>
          <cell r="M33">
            <v>14267.11</v>
          </cell>
          <cell r="N33">
            <v>247.85</v>
          </cell>
          <cell r="O33">
            <v>252.57</v>
          </cell>
          <cell r="P33">
            <v>14160</v>
          </cell>
          <cell r="Q33">
            <v>2.52</v>
          </cell>
          <cell r="R33">
            <v>2.54</v>
          </cell>
          <cell r="S33">
            <v>60.0000000000001</v>
          </cell>
          <cell r="T33">
            <v>14100</v>
          </cell>
          <cell r="U33">
            <v>0</v>
          </cell>
          <cell r="V33">
            <v>6.15</v>
          </cell>
          <cell r="W33">
            <v>35.41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 t="str">
            <v>sunny</v>
          </cell>
        </row>
        <row r="34">
          <cell r="C34">
            <v>45779</v>
          </cell>
          <cell r="D34">
            <v>0.28125</v>
          </cell>
          <cell r="E34">
            <v>0.78125</v>
          </cell>
          <cell r="F34">
            <v>2090.6</v>
          </cell>
          <cell r="G34">
            <v>2100.55</v>
          </cell>
          <cell r="H34">
            <v>2084.02</v>
          </cell>
          <cell r="I34">
            <v>2136.4</v>
          </cell>
          <cell r="J34">
            <v>2108.4</v>
          </cell>
          <cell r="K34">
            <v>2077.87</v>
          </cell>
          <cell r="L34">
            <v>2059.08</v>
          </cell>
          <cell r="M34">
            <v>14656.92</v>
          </cell>
          <cell r="N34">
            <v>252.57</v>
          </cell>
          <cell r="O34">
            <v>257.43</v>
          </cell>
          <cell r="P34">
            <v>14580</v>
          </cell>
          <cell r="Q34">
            <v>2.54</v>
          </cell>
          <cell r="R34">
            <v>2.55</v>
          </cell>
          <cell r="S34">
            <v>29.9999999999994</v>
          </cell>
          <cell r="T34">
            <v>14550</v>
          </cell>
          <cell r="U34">
            <v>0</v>
          </cell>
          <cell r="V34">
            <v>6.37</v>
          </cell>
          <cell r="W34">
            <v>35.15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 t="str">
            <v>sunny</v>
          </cell>
        </row>
        <row r="35">
          <cell r="C35">
            <v>45780</v>
          </cell>
          <cell r="D35">
            <v>0.28125</v>
          </cell>
          <cell r="E35">
            <v>0.78125</v>
          </cell>
          <cell r="F35">
            <v>2017.9</v>
          </cell>
          <cell r="G35">
            <v>2001.08</v>
          </cell>
          <cell r="H35">
            <v>1998.29</v>
          </cell>
          <cell r="I35">
            <v>2107.24</v>
          </cell>
          <cell r="J35">
            <v>2090.08</v>
          </cell>
          <cell r="K35">
            <v>2072.24</v>
          </cell>
          <cell r="L35">
            <v>2064.53</v>
          </cell>
          <cell r="M35">
            <v>14351.36</v>
          </cell>
          <cell r="N35">
            <v>257.43</v>
          </cell>
          <cell r="O35">
            <v>262.19</v>
          </cell>
          <cell r="P35">
            <v>14280</v>
          </cell>
          <cell r="Q35">
            <v>2.55</v>
          </cell>
          <cell r="R35">
            <v>2.56</v>
          </cell>
          <cell r="S35">
            <v>30.0000000000007</v>
          </cell>
          <cell r="T35">
            <v>14250</v>
          </cell>
          <cell r="U35">
            <v>0</v>
          </cell>
          <cell r="V35">
            <v>6.04</v>
          </cell>
          <cell r="W35">
            <v>33.5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 t="str">
            <v>sunny</v>
          </cell>
        </row>
        <row r="36">
          <cell r="C36">
            <v>45781</v>
          </cell>
          <cell r="D36">
            <v>0.28125</v>
          </cell>
          <cell r="E36">
            <v>0.78125</v>
          </cell>
          <cell r="F36">
            <v>1834.03</v>
          </cell>
          <cell r="G36">
            <v>1817.55</v>
          </cell>
          <cell r="H36">
            <v>1818.25</v>
          </cell>
          <cell r="I36">
            <v>1922.44</v>
          </cell>
          <cell r="J36">
            <v>1908</v>
          </cell>
          <cell r="K36">
            <v>1891.53</v>
          </cell>
          <cell r="L36">
            <v>1895.28</v>
          </cell>
          <cell r="M36">
            <v>13087.08</v>
          </cell>
          <cell r="N36">
            <v>262.19</v>
          </cell>
          <cell r="O36">
            <v>266.54</v>
          </cell>
          <cell r="P36">
            <v>13050.0000000001</v>
          </cell>
          <cell r="Q36">
            <v>2.56</v>
          </cell>
          <cell r="R36">
            <v>2.57</v>
          </cell>
          <cell r="S36">
            <v>29.9999999999994</v>
          </cell>
          <cell r="T36">
            <v>13020.0000000001</v>
          </cell>
          <cell r="U36">
            <v>0</v>
          </cell>
          <cell r="V36">
            <v>5.46</v>
          </cell>
          <cell r="W36">
            <v>33.43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 t="str">
            <v>sunny</v>
          </cell>
        </row>
        <row r="37">
          <cell r="C37">
            <v>45782</v>
          </cell>
          <cell r="D37">
            <v>0.28125</v>
          </cell>
          <cell r="E37">
            <v>0.78125</v>
          </cell>
          <cell r="F37">
            <v>1806.97</v>
          </cell>
          <cell r="G37">
            <v>1791.49</v>
          </cell>
          <cell r="H37">
            <v>1791.72</v>
          </cell>
          <cell r="I37">
            <v>1888.35</v>
          </cell>
          <cell r="J37">
            <v>1876.54</v>
          </cell>
          <cell r="K37">
            <v>1858.44</v>
          </cell>
          <cell r="L37">
            <v>1859.93</v>
          </cell>
          <cell r="M37">
            <v>12873.44</v>
          </cell>
          <cell r="N37">
            <v>266.54</v>
          </cell>
          <cell r="O37">
            <v>270.82</v>
          </cell>
          <cell r="P37">
            <v>12839.9999999999</v>
          </cell>
          <cell r="Q37">
            <v>2.57</v>
          </cell>
          <cell r="R37">
            <v>2.58</v>
          </cell>
          <cell r="S37">
            <v>30.0000000000007</v>
          </cell>
          <cell r="T37">
            <v>12809.9999999999</v>
          </cell>
          <cell r="U37">
            <v>0</v>
          </cell>
          <cell r="V37">
            <v>5.35</v>
          </cell>
          <cell r="W37">
            <v>33.26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 t="str">
            <v>mostly cloudy</v>
          </cell>
        </row>
        <row r="38">
          <cell r="C38">
            <v>45783</v>
          </cell>
          <cell r="D38">
            <v>0.345833333333333</v>
          </cell>
          <cell r="E38">
            <v>0.6875</v>
          </cell>
          <cell r="F38">
            <v>1317.3</v>
          </cell>
          <cell r="G38">
            <v>1309.2</v>
          </cell>
          <cell r="H38">
            <v>1313.71</v>
          </cell>
          <cell r="I38">
            <v>1373.91</v>
          </cell>
          <cell r="J38">
            <v>1370.27</v>
          </cell>
          <cell r="K38">
            <v>1376.01</v>
          </cell>
          <cell r="L38">
            <v>1363.9</v>
          </cell>
          <cell r="M38">
            <v>9424.3</v>
          </cell>
          <cell r="N38">
            <v>270.82</v>
          </cell>
          <cell r="O38">
            <v>273.96</v>
          </cell>
          <cell r="P38">
            <v>9419.99999999996</v>
          </cell>
          <cell r="Q38">
            <v>2.58</v>
          </cell>
          <cell r="R38">
            <v>2.59</v>
          </cell>
          <cell r="S38">
            <v>29.9999999999994</v>
          </cell>
          <cell r="T38">
            <v>9389.99999999996</v>
          </cell>
          <cell r="U38">
            <v>0</v>
          </cell>
          <cell r="V38">
            <v>3.55</v>
          </cell>
          <cell r="W38">
            <v>31.94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 t="str">
            <v>cloudy</v>
          </cell>
        </row>
        <row r="39">
          <cell r="C39">
            <v>45784</v>
          </cell>
          <cell r="D39">
            <v>0.28125</v>
          </cell>
          <cell r="E39">
            <v>0.770833333333333</v>
          </cell>
          <cell r="F39">
            <v>929.05</v>
          </cell>
          <cell r="G39">
            <v>925.15</v>
          </cell>
          <cell r="H39">
            <v>927.51</v>
          </cell>
          <cell r="I39">
            <v>966.02</v>
          </cell>
          <cell r="J39">
            <v>956.79</v>
          </cell>
          <cell r="K39">
            <v>959.16</v>
          </cell>
          <cell r="L39">
            <v>951.02</v>
          </cell>
          <cell r="M39">
            <v>6614.7</v>
          </cell>
          <cell r="N39">
            <v>273.96</v>
          </cell>
          <cell r="O39">
            <v>276.14</v>
          </cell>
          <cell r="P39">
            <v>6540.00000000002</v>
          </cell>
          <cell r="Q39">
            <v>2.59</v>
          </cell>
          <cell r="R39">
            <v>2.6</v>
          </cell>
          <cell r="S39">
            <v>30.0000000000007</v>
          </cell>
          <cell r="T39">
            <v>6510.00000000002</v>
          </cell>
          <cell r="U39">
            <v>0</v>
          </cell>
          <cell r="V39">
            <v>3.33</v>
          </cell>
          <cell r="W39">
            <v>26.75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 t="str">
            <v>rainy</v>
          </cell>
        </row>
        <row r="40">
          <cell r="C40">
            <v>45785</v>
          </cell>
          <cell r="D40">
            <v>0.28125</v>
          </cell>
          <cell r="E40">
            <v>0.770833333333333</v>
          </cell>
          <cell r="F40">
            <v>1838.54</v>
          </cell>
          <cell r="G40">
            <v>1835.84</v>
          </cell>
          <cell r="H40">
            <v>1842.84</v>
          </cell>
          <cell r="I40">
            <v>1939.87</v>
          </cell>
          <cell r="J40">
            <v>1933.94</v>
          </cell>
          <cell r="K40">
            <v>1918.22</v>
          </cell>
          <cell r="L40">
            <v>1889.83</v>
          </cell>
          <cell r="M40">
            <v>13199.08</v>
          </cell>
          <cell r="N40">
            <v>276.14</v>
          </cell>
          <cell r="O40">
            <v>280.55</v>
          </cell>
          <cell r="P40">
            <v>13230.0000000001</v>
          </cell>
          <cell r="Q40">
            <v>2.6</v>
          </cell>
          <cell r="R40">
            <v>2.61</v>
          </cell>
          <cell r="S40">
            <v>29.9999999999994</v>
          </cell>
          <cell r="T40">
            <v>13200.0000000001</v>
          </cell>
          <cell r="U40">
            <v>0</v>
          </cell>
          <cell r="V40">
            <v>5.53</v>
          </cell>
          <cell r="W40">
            <v>31.24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 t="str">
            <v>cloudy</v>
          </cell>
        </row>
        <row r="41">
          <cell r="C41">
            <v>45786</v>
          </cell>
          <cell r="D41">
            <v>0.28125</v>
          </cell>
          <cell r="E41">
            <v>0.739583333333333</v>
          </cell>
          <cell r="F41">
            <v>1515.61</v>
          </cell>
          <cell r="G41">
            <v>1500.45</v>
          </cell>
          <cell r="H41">
            <v>1500.77</v>
          </cell>
          <cell r="I41">
            <v>1568.9</v>
          </cell>
          <cell r="J41">
            <v>1558.6</v>
          </cell>
          <cell r="K41">
            <v>1563.39</v>
          </cell>
          <cell r="L41">
            <v>1554.15</v>
          </cell>
          <cell r="M41">
            <v>10761.87</v>
          </cell>
          <cell r="N41">
            <v>280.55</v>
          </cell>
          <cell r="O41">
            <v>284.12</v>
          </cell>
          <cell r="P41">
            <v>10710</v>
          </cell>
          <cell r="Q41">
            <v>2.61</v>
          </cell>
          <cell r="R41">
            <v>2.62</v>
          </cell>
          <cell r="S41">
            <v>30.0000000000007</v>
          </cell>
          <cell r="T41">
            <v>10680</v>
          </cell>
          <cell r="U41">
            <v>0</v>
          </cell>
          <cell r="V41">
            <v>4.81</v>
          </cell>
          <cell r="W41">
            <v>31.95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 t="str">
            <v>cloudy</v>
          </cell>
        </row>
        <row r="42">
          <cell r="C42">
            <v>45787</v>
          </cell>
          <cell r="D42">
            <v>0.28125</v>
          </cell>
          <cell r="E42">
            <v>16.31</v>
          </cell>
          <cell r="F42">
            <v>1459.02</v>
          </cell>
          <cell r="G42">
            <v>1453.74</v>
          </cell>
          <cell r="H42">
            <v>1461.87</v>
          </cell>
          <cell r="I42">
            <v>1533.37</v>
          </cell>
          <cell r="J42">
            <v>1524.11</v>
          </cell>
          <cell r="K42">
            <v>1531.14</v>
          </cell>
          <cell r="L42">
            <v>1423.17</v>
          </cell>
          <cell r="M42">
            <v>10386.42</v>
          </cell>
          <cell r="N42">
            <v>284.12</v>
          </cell>
          <cell r="O42">
            <v>287.58</v>
          </cell>
          <cell r="P42">
            <v>10379.9999999999</v>
          </cell>
          <cell r="Q42">
            <v>2.62</v>
          </cell>
          <cell r="R42">
            <v>2.63</v>
          </cell>
          <cell r="S42">
            <v>29.9999999999994</v>
          </cell>
          <cell r="T42">
            <v>10349.9999999999</v>
          </cell>
          <cell r="U42">
            <v>0</v>
          </cell>
          <cell r="V42">
            <v>4.18</v>
          </cell>
          <cell r="W42">
            <v>32.25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 t="str">
            <v>rainy</v>
          </cell>
        </row>
        <row r="43">
          <cell r="C43">
            <v>45788</v>
          </cell>
          <cell r="D43">
            <v>0.28125</v>
          </cell>
          <cell r="E43">
            <v>0.770833333333333</v>
          </cell>
          <cell r="F43">
            <v>1386.08</v>
          </cell>
          <cell r="G43">
            <v>1378.79</v>
          </cell>
          <cell r="H43">
            <v>1386.43</v>
          </cell>
          <cell r="I43">
            <v>1451.17</v>
          </cell>
          <cell r="J43">
            <v>1444.8</v>
          </cell>
          <cell r="K43">
            <v>1440.44</v>
          </cell>
          <cell r="L43">
            <v>1431</v>
          </cell>
          <cell r="M43">
            <v>9918.71</v>
          </cell>
          <cell r="N43">
            <v>287.58</v>
          </cell>
          <cell r="O43">
            <v>290.87</v>
          </cell>
          <cell r="P43">
            <v>9870.00000000006</v>
          </cell>
          <cell r="Q43">
            <v>2.63</v>
          </cell>
          <cell r="R43">
            <v>2.65</v>
          </cell>
          <cell r="S43">
            <v>60.0000000000001</v>
          </cell>
          <cell r="T43">
            <v>9810.00000000006</v>
          </cell>
          <cell r="U43">
            <v>0</v>
          </cell>
          <cell r="V43">
            <v>4.33</v>
          </cell>
          <cell r="W43">
            <v>30.16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 t="str">
            <v>cloudy</v>
          </cell>
        </row>
        <row r="44">
          <cell r="C44">
            <v>45789</v>
          </cell>
          <cell r="D44">
            <v>0.28125</v>
          </cell>
          <cell r="E44">
            <v>0.78125</v>
          </cell>
          <cell r="F44">
            <v>1603.74</v>
          </cell>
          <cell r="G44">
            <v>1595.3</v>
          </cell>
          <cell r="H44">
            <v>1595.51</v>
          </cell>
          <cell r="I44">
            <v>1659.53</v>
          </cell>
          <cell r="J44">
            <v>1631.2</v>
          </cell>
          <cell r="K44">
            <v>1624.15</v>
          </cell>
          <cell r="L44">
            <v>1608.32</v>
          </cell>
          <cell r="M44">
            <v>11317.75</v>
          </cell>
          <cell r="N44">
            <v>290.87</v>
          </cell>
          <cell r="O44">
            <v>294.66</v>
          </cell>
          <cell r="P44">
            <v>11370.0000000001</v>
          </cell>
          <cell r="Q44">
            <v>2.65</v>
          </cell>
          <cell r="R44">
            <v>2.66</v>
          </cell>
          <cell r="S44">
            <v>30.0000000000007</v>
          </cell>
          <cell r="T44">
            <v>11340.0000000001</v>
          </cell>
          <cell r="U44">
            <v>0</v>
          </cell>
          <cell r="V44">
            <v>5.19</v>
          </cell>
          <cell r="W44">
            <v>31.2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 t="str">
            <v>cloudy</v>
          </cell>
        </row>
        <row r="45">
          <cell r="C45">
            <v>45790</v>
          </cell>
          <cell r="D45">
            <v>0.28125</v>
          </cell>
          <cell r="E45">
            <v>0.760416666666667</v>
          </cell>
          <cell r="F45">
            <v>1866.04</v>
          </cell>
          <cell r="G45">
            <v>1865.93</v>
          </cell>
          <cell r="H45">
            <v>1875.47</v>
          </cell>
          <cell r="I45">
            <v>1949.37</v>
          </cell>
          <cell r="J45">
            <v>1932.99</v>
          </cell>
          <cell r="K45">
            <v>1923.69</v>
          </cell>
          <cell r="L45">
            <v>1907.06</v>
          </cell>
          <cell r="M45">
            <v>13320.55</v>
          </cell>
          <cell r="N45">
            <v>294.66</v>
          </cell>
          <cell r="O45">
            <v>299.1</v>
          </cell>
          <cell r="P45">
            <v>13320</v>
          </cell>
          <cell r="Q45">
            <v>2.66</v>
          </cell>
          <cell r="R45">
            <v>2.67</v>
          </cell>
          <cell r="S45">
            <v>29.9999999999994</v>
          </cell>
          <cell r="T45">
            <v>13290</v>
          </cell>
          <cell r="U45">
            <v>0</v>
          </cell>
          <cell r="V45">
            <v>4.58</v>
          </cell>
          <cell r="W45">
            <v>30.36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 t="str">
            <v>cloudy</v>
          </cell>
        </row>
        <row r="46">
          <cell r="C46">
            <v>45791</v>
          </cell>
          <cell r="D46">
            <v>0.270833333333333</v>
          </cell>
          <cell r="E46">
            <v>0.78125</v>
          </cell>
          <cell r="F46">
            <v>1982.74</v>
          </cell>
          <cell r="G46">
            <v>1968.1</v>
          </cell>
          <cell r="H46">
            <v>1973.53</v>
          </cell>
          <cell r="I46">
            <v>2073.64</v>
          </cell>
          <cell r="J46">
            <v>2064.02</v>
          </cell>
          <cell r="K46">
            <v>2072.04</v>
          </cell>
          <cell r="L46">
            <v>2053.89</v>
          </cell>
          <cell r="M46">
            <v>14187.96</v>
          </cell>
          <cell r="N46">
            <v>299.1</v>
          </cell>
          <cell r="O46">
            <v>303.8</v>
          </cell>
          <cell r="P46">
            <v>14100</v>
          </cell>
          <cell r="Q46">
            <v>2.67</v>
          </cell>
          <cell r="R46">
            <v>2.68</v>
          </cell>
          <cell r="S46">
            <v>30.0000000000007</v>
          </cell>
          <cell r="T46">
            <v>14070</v>
          </cell>
          <cell r="U46">
            <v>0</v>
          </cell>
          <cell r="V46">
            <v>6.4</v>
          </cell>
          <cell r="W46">
            <v>33.67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 t="str">
            <v>sunny</v>
          </cell>
        </row>
        <row r="47">
          <cell r="C47">
            <v>45792</v>
          </cell>
          <cell r="D47">
            <v>0.28125</v>
          </cell>
          <cell r="E47">
            <v>0.791666666666667</v>
          </cell>
          <cell r="F47">
            <v>1947.04</v>
          </cell>
          <cell r="G47">
            <v>1930.7</v>
          </cell>
          <cell r="H47">
            <v>1929.67</v>
          </cell>
          <cell r="I47">
            <v>2024.32</v>
          </cell>
          <cell r="J47">
            <v>1999.12</v>
          </cell>
          <cell r="K47">
            <v>1988.86</v>
          </cell>
          <cell r="L47">
            <v>1972.18</v>
          </cell>
          <cell r="M47">
            <v>13791.89</v>
          </cell>
          <cell r="N47">
            <v>303.8</v>
          </cell>
          <cell r="O47">
            <v>308.41</v>
          </cell>
          <cell r="P47">
            <v>13830</v>
          </cell>
          <cell r="Q47">
            <v>2.68</v>
          </cell>
          <cell r="R47">
            <v>2.69</v>
          </cell>
          <cell r="S47">
            <v>29.9999999999994</v>
          </cell>
          <cell r="T47">
            <v>13800</v>
          </cell>
          <cell r="U47">
            <v>0</v>
          </cell>
          <cell r="V47">
            <v>6.56</v>
          </cell>
          <cell r="W47">
            <v>33.4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 t="str">
            <v>cloudy</v>
          </cell>
        </row>
        <row r="48">
          <cell r="C48">
            <v>45793</v>
          </cell>
          <cell r="D48">
            <v>0.270833333333333</v>
          </cell>
          <cell r="E48">
            <v>0.791666666666667</v>
          </cell>
          <cell r="F48">
            <v>2037.14</v>
          </cell>
          <cell r="G48">
            <v>2022.46</v>
          </cell>
          <cell r="H48">
            <v>2027.48</v>
          </cell>
          <cell r="I48">
            <v>2128.62</v>
          </cell>
          <cell r="J48">
            <v>2113.43</v>
          </cell>
          <cell r="K48">
            <v>2111.6</v>
          </cell>
          <cell r="L48">
            <v>2090.93</v>
          </cell>
          <cell r="M48">
            <v>14531.66</v>
          </cell>
          <cell r="N48">
            <v>308.41</v>
          </cell>
          <cell r="O48">
            <v>313.32</v>
          </cell>
          <cell r="P48">
            <v>14729.9999999999</v>
          </cell>
          <cell r="Q48">
            <v>2.69</v>
          </cell>
          <cell r="R48">
            <v>2.7</v>
          </cell>
          <cell r="S48">
            <v>30.0000000000007</v>
          </cell>
          <cell r="T48">
            <v>14699.9999999999</v>
          </cell>
          <cell r="U48">
            <v>0</v>
          </cell>
          <cell r="V48">
            <v>5.94</v>
          </cell>
          <cell r="W48">
            <v>33.45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 t="str">
            <v>cloudy</v>
          </cell>
        </row>
        <row r="49">
          <cell r="C49">
            <v>45794</v>
          </cell>
          <cell r="D49">
            <v>0.270833333333333</v>
          </cell>
          <cell r="E49">
            <v>0.78125</v>
          </cell>
          <cell r="F49">
            <v>1989.59</v>
          </cell>
          <cell r="G49">
            <v>1973.06</v>
          </cell>
          <cell r="H49">
            <v>1978.16</v>
          </cell>
          <cell r="I49">
            <v>2078.67</v>
          </cell>
          <cell r="J49">
            <v>2059.85</v>
          </cell>
          <cell r="K49">
            <v>2064.48</v>
          </cell>
          <cell r="L49">
            <v>2035.13</v>
          </cell>
          <cell r="M49">
            <v>14178.94</v>
          </cell>
          <cell r="N49">
            <v>313.32</v>
          </cell>
          <cell r="O49">
            <v>318.03</v>
          </cell>
          <cell r="P49">
            <v>14129.9999999999</v>
          </cell>
          <cell r="Q49">
            <v>2.7</v>
          </cell>
          <cell r="R49">
            <v>2.71</v>
          </cell>
          <cell r="S49">
            <v>29.9999999999994</v>
          </cell>
          <cell r="T49">
            <v>14099.9999999999</v>
          </cell>
          <cell r="U49">
            <v>0</v>
          </cell>
          <cell r="V49">
            <v>6.29</v>
          </cell>
          <cell r="W49">
            <v>33.83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 t="str">
            <v>sunny</v>
          </cell>
        </row>
        <row r="50">
          <cell r="C50">
            <v>45795</v>
          </cell>
          <cell r="D50">
            <v>0.28125</v>
          </cell>
          <cell r="E50">
            <v>0.78125</v>
          </cell>
          <cell r="F50">
            <v>1926.22</v>
          </cell>
          <cell r="G50">
            <v>1914.89</v>
          </cell>
          <cell r="H50">
            <v>1990.78</v>
          </cell>
          <cell r="I50">
            <v>2016.6</v>
          </cell>
          <cell r="J50">
            <v>2005.18</v>
          </cell>
          <cell r="K50">
            <v>2008.58</v>
          </cell>
          <cell r="L50">
            <v>1981.54</v>
          </cell>
          <cell r="M50">
            <v>13843.79</v>
          </cell>
          <cell r="N50">
            <v>318.03</v>
          </cell>
          <cell r="O50">
            <v>322.59</v>
          </cell>
          <cell r="P50">
            <v>13680</v>
          </cell>
          <cell r="Q50">
            <v>2.71</v>
          </cell>
          <cell r="R50">
            <v>2.72</v>
          </cell>
          <cell r="S50">
            <v>30.0000000000007</v>
          </cell>
          <cell r="T50">
            <v>13650</v>
          </cell>
          <cell r="U50">
            <v>0</v>
          </cell>
          <cell r="V50">
            <v>6.62</v>
          </cell>
          <cell r="W50">
            <v>34.55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 t="str">
            <v>sunny</v>
          </cell>
        </row>
        <row r="51">
          <cell r="C51">
            <v>45796</v>
          </cell>
          <cell r="D51">
            <v>0.28125</v>
          </cell>
          <cell r="E51">
            <v>0.78125</v>
          </cell>
          <cell r="F51">
            <v>1846.75</v>
          </cell>
          <cell r="G51">
            <v>1833.61</v>
          </cell>
          <cell r="H51">
            <v>1839.33</v>
          </cell>
          <cell r="I51">
            <v>1832.83</v>
          </cell>
          <cell r="J51">
            <v>1918.12</v>
          </cell>
          <cell r="K51">
            <v>1923.79</v>
          </cell>
          <cell r="L51">
            <v>1905.22</v>
          </cell>
          <cell r="M51">
            <v>13099.65</v>
          </cell>
          <cell r="N51">
            <v>322.59</v>
          </cell>
          <cell r="O51">
            <v>326.98</v>
          </cell>
          <cell r="P51">
            <v>13170.0000000001</v>
          </cell>
          <cell r="Q51">
            <v>2.72</v>
          </cell>
          <cell r="R51">
            <v>2.73</v>
          </cell>
          <cell r="S51">
            <v>29.9999999999994</v>
          </cell>
          <cell r="T51">
            <v>13140.0000000001</v>
          </cell>
          <cell r="U51">
            <v>0</v>
          </cell>
          <cell r="V51">
            <v>6.1</v>
          </cell>
          <cell r="W51">
            <v>34.43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 t="str">
            <v>sunny</v>
          </cell>
        </row>
        <row r="52">
          <cell r="C52">
            <v>45797</v>
          </cell>
          <cell r="D52">
            <v>0.28125</v>
          </cell>
          <cell r="E52">
            <v>0.791666666666667</v>
          </cell>
          <cell r="F52">
            <v>1875.46</v>
          </cell>
          <cell r="G52">
            <v>1861.61</v>
          </cell>
          <cell r="H52">
            <v>1865.23</v>
          </cell>
          <cell r="I52">
            <v>1957.85</v>
          </cell>
          <cell r="J52">
            <v>1942.67</v>
          </cell>
          <cell r="K52">
            <v>1946.29</v>
          </cell>
          <cell r="L52">
            <v>1925.48</v>
          </cell>
          <cell r="M52">
            <v>13374.59</v>
          </cell>
          <cell r="N52">
            <v>326.98</v>
          </cell>
          <cell r="O52">
            <v>331.44</v>
          </cell>
          <cell r="P52">
            <v>13379.9999999999</v>
          </cell>
          <cell r="Q52">
            <v>2.73</v>
          </cell>
          <cell r="R52">
            <v>2.74</v>
          </cell>
          <cell r="S52">
            <v>30.0000000000007</v>
          </cell>
          <cell r="T52">
            <v>13349.9999999999</v>
          </cell>
          <cell r="U52">
            <v>0</v>
          </cell>
          <cell r="V52">
            <v>5.95</v>
          </cell>
          <cell r="W52">
            <v>33.8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 t="str">
            <v>sunny</v>
          </cell>
        </row>
        <row r="53">
          <cell r="C53">
            <v>45798</v>
          </cell>
          <cell r="D53">
            <v>0.28125</v>
          </cell>
          <cell r="E53">
            <v>0.791666666666667</v>
          </cell>
          <cell r="F53">
            <v>1575.75</v>
          </cell>
          <cell r="G53">
            <v>1565.95</v>
          </cell>
          <cell r="H53">
            <v>1568.55</v>
          </cell>
          <cell r="I53">
            <v>1653.98</v>
          </cell>
          <cell r="J53">
            <v>1635.32</v>
          </cell>
          <cell r="K53">
            <v>1610.63</v>
          </cell>
          <cell r="L53">
            <v>1587.88</v>
          </cell>
          <cell r="M53">
            <v>11198.06</v>
          </cell>
          <cell r="N53">
            <v>331.44</v>
          </cell>
          <cell r="O53">
            <v>335.16</v>
          </cell>
          <cell r="P53">
            <v>11160.0000000001</v>
          </cell>
          <cell r="Q53">
            <v>2.74</v>
          </cell>
          <cell r="R53">
            <v>2.75</v>
          </cell>
          <cell r="S53">
            <v>29.9999999999994</v>
          </cell>
          <cell r="T53">
            <v>11130.0000000001</v>
          </cell>
          <cell r="U53">
            <v>0</v>
          </cell>
          <cell r="V53">
            <v>4.68</v>
          </cell>
          <cell r="W53">
            <v>31.92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 t="str">
            <v>cloudy</v>
          </cell>
        </row>
        <row r="54">
          <cell r="C54">
            <v>45799</v>
          </cell>
          <cell r="D54">
            <v>0.270833333333333</v>
          </cell>
          <cell r="E54">
            <v>0.729166666666667</v>
          </cell>
          <cell r="F54">
            <v>1495.03</v>
          </cell>
          <cell r="G54">
            <v>1481.56</v>
          </cell>
          <cell r="H54">
            <v>1491.79</v>
          </cell>
          <cell r="I54">
            <v>1559.33</v>
          </cell>
          <cell r="J54">
            <v>1542.98</v>
          </cell>
          <cell r="K54">
            <v>1546.14</v>
          </cell>
          <cell r="L54">
            <v>1540.24</v>
          </cell>
          <cell r="M54">
            <v>10657.07</v>
          </cell>
          <cell r="N54">
            <v>335.16</v>
          </cell>
          <cell r="O54">
            <v>338.69</v>
          </cell>
          <cell r="P54">
            <v>10589.9999999999</v>
          </cell>
          <cell r="Q54">
            <v>2.75</v>
          </cell>
          <cell r="R54">
            <v>2.76</v>
          </cell>
          <cell r="S54">
            <v>29.9999999999994</v>
          </cell>
          <cell r="T54">
            <v>10559.9999999999</v>
          </cell>
          <cell r="U54">
            <v>0</v>
          </cell>
          <cell r="V54">
            <v>5.61</v>
          </cell>
          <cell r="W54">
            <v>36.81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 t="str">
            <v>cloudy</v>
          </cell>
        </row>
        <row r="55">
          <cell r="C55">
            <v>45800</v>
          </cell>
          <cell r="D55">
            <v>0.270833333333333</v>
          </cell>
          <cell r="E55">
            <v>0.802083333333333</v>
          </cell>
          <cell r="F55">
            <v>1783.29</v>
          </cell>
          <cell r="G55">
            <v>1771.54</v>
          </cell>
          <cell r="H55">
            <v>1776.51</v>
          </cell>
          <cell r="I55">
            <v>1864.28</v>
          </cell>
          <cell r="J55">
            <v>1851.44</v>
          </cell>
          <cell r="K55">
            <v>1857.99</v>
          </cell>
          <cell r="L55">
            <v>1846.41</v>
          </cell>
          <cell r="M55">
            <v>12751.46</v>
          </cell>
          <cell r="N55">
            <v>338.69</v>
          </cell>
          <cell r="O55">
            <v>342.92</v>
          </cell>
          <cell r="P55">
            <v>12690.0000000001</v>
          </cell>
          <cell r="Q55">
            <v>2.76</v>
          </cell>
          <cell r="R55">
            <v>2.77</v>
          </cell>
          <cell r="S55">
            <v>30.0000000000007</v>
          </cell>
          <cell r="T55">
            <v>12660.0000000001</v>
          </cell>
          <cell r="U55">
            <v>0</v>
          </cell>
          <cell r="V55">
            <v>5.14</v>
          </cell>
          <cell r="W55">
            <v>33.67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 t="str">
            <v>cloudy</v>
          </cell>
        </row>
        <row r="56">
          <cell r="C56">
            <v>45801</v>
          </cell>
          <cell r="D56">
            <v>0.270833333333333</v>
          </cell>
          <cell r="E56">
            <v>0.791666666666667</v>
          </cell>
          <cell r="F56">
            <v>1888.82</v>
          </cell>
          <cell r="G56">
            <v>1871.69</v>
          </cell>
          <cell r="H56">
            <v>1873.1</v>
          </cell>
          <cell r="I56">
            <v>1963.62</v>
          </cell>
          <cell r="J56">
            <v>1944.34</v>
          </cell>
          <cell r="K56">
            <v>1946.61</v>
          </cell>
          <cell r="L56">
            <v>1931.25</v>
          </cell>
          <cell r="M56">
            <v>13419.43</v>
          </cell>
          <cell r="N56">
            <v>342.92</v>
          </cell>
          <cell r="O56">
            <v>347.41</v>
          </cell>
          <cell r="P56">
            <v>13470</v>
          </cell>
          <cell r="Q56">
            <v>2.77</v>
          </cell>
          <cell r="R56">
            <v>2.78</v>
          </cell>
          <cell r="S56">
            <v>29.9999999999994</v>
          </cell>
          <cell r="T56">
            <v>13440</v>
          </cell>
          <cell r="U56">
            <v>0</v>
          </cell>
          <cell r="V56">
            <v>5.5</v>
          </cell>
          <cell r="W56">
            <v>34.57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 t="str">
            <v>sunny</v>
          </cell>
        </row>
        <row r="57">
          <cell r="C57">
            <v>45802</v>
          </cell>
          <cell r="D57">
            <v>0.270833333333333</v>
          </cell>
          <cell r="E57">
            <v>0.791666666666667</v>
          </cell>
          <cell r="F57">
            <v>1897.61</v>
          </cell>
          <cell r="G57">
            <v>1878.67</v>
          </cell>
          <cell r="H57">
            <v>1888.47</v>
          </cell>
          <cell r="I57">
            <v>1979.66</v>
          </cell>
          <cell r="J57">
            <v>1964.68</v>
          </cell>
          <cell r="K57">
            <v>1965.3</v>
          </cell>
          <cell r="L57">
            <v>1947.18</v>
          </cell>
          <cell r="M57">
            <v>13521.57</v>
          </cell>
          <cell r="N57">
            <v>347.41</v>
          </cell>
          <cell r="O57">
            <v>351.94</v>
          </cell>
          <cell r="P57">
            <v>13589.9999999999</v>
          </cell>
          <cell r="Q57">
            <v>2.78</v>
          </cell>
          <cell r="R57">
            <v>2.79</v>
          </cell>
          <cell r="S57">
            <v>30.0000000000007</v>
          </cell>
          <cell r="T57">
            <v>13559.9999999999</v>
          </cell>
          <cell r="U57">
            <v>0</v>
          </cell>
          <cell r="V57">
            <v>5.86</v>
          </cell>
          <cell r="W57">
            <v>34.58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 t="str">
            <v>sunny</v>
          </cell>
        </row>
        <row r="58">
          <cell r="C58">
            <v>45803</v>
          </cell>
          <cell r="D58">
            <v>0.291666666666667</v>
          </cell>
          <cell r="E58">
            <v>0.791666666666667</v>
          </cell>
          <cell r="F58">
            <v>1515.48</v>
          </cell>
          <cell r="G58">
            <v>1503.39</v>
          </cell>
          <cell r="H58">
            <v>1507.91</v>
          </cell>
          <cell r="I58">
            <v>1583.75</v>
          </cell>
          <cell r="J58">
            <v>1571.3</v>
          </cell>
          <cell r="K58">
            <v>1577.24</v>
          </cell>
          <cell r="L58">
            <v>1561.45</v>
          </cell>
          <cell r="M58">
            <v>10820.52</v>
          </cell>
          <cell r="N58">
            <v>351.94</v>
          </cell>
          <cell r="O58">
            <v>355.56</v>
          </cell>
          <cell r="P58">
            <v>10860</v>
          </cell>
          <cell r="Q58">
            <v>2.79</v>
          </cell>
          <cell r="R58">
            <v>2.8</v>
          </cell>
          <cell r="S58">
            <v>29.9999999999994</v>
          </cell>
          <cell r="T58">
            <v>10830</v>
          </cell>
          <cell r="U58">
            <v>0</v>
          </cell>
          <cell r="V58">
            <v>4.5</v>
          </cell>
          <cell r="W58">
            <v>34.1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 t="str">
            <v>cloudy</v>
          </cell>
        </row>
        <row r="59">
          <cell r="C59">
            <v>45804</v>
          </cell>
          <cell r="D59">
            <v>0.270833333333333</v>
          </cell>
          <cell r="E59">
            <v>0.791666666666667</v>
          </cell>
          <cell r="F59">
            <v>827.84</v>
          </cell>
          <cell r="G59">
            <v>821.25</v>
          </cell>
          <cell r="H59">
            <v>825.93</v>
          </cell>
          <cell r="I59">
            <v>865.98</v>
          </cell>
          <cell r="J59">
            <v>856.99</v>
          </cell>
          <cell r="K59">
            <v>856.8</v>
          </cell>
          <cell r="L59">
            <v>848.15</v>
          </cell>
          <cell r="M59">
            <v>5902.94</v>
          </cell>
          <cell r="N59">
            <v>355.56</v>
          </cell>
          <cell r="O59">
            <v>357.56</v>
          </cell>
          <cell r="P59">
            <v>6000</v>
          </cell>
          <cell r="Q59">
            <v>2.8</v>
          </cell>
          <cell r="R59">
            <v>2.81</v>
          </cell>
          <cell r="S59">
            <v>30.0000000000007</v>
          </cell>
          <cell r="T59">
            <v>5970</v>
          </cell>
          <cell r="U59">
            <v>0</v>
          </cell>
          <cell r="V59">
            <v>2.35</v>
          </cell>
          <cell r="W59">
            <v>29.7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 t="str">
            <v>cloudy</v>
          </cell>
        </row>
        <row r="60">
          <cell r="C60">
            <v>45805</v>
          </cell>
          <cell r="D60">
            <v>0</v>
          </cell>
          <cell r="E60">
            <v>0</v>
          </cell>
          <cell r="F60">
            <v>1574.84</v>
          </cell>
          <cell r="G60">
            <v>1559.58</v>
          </cell>
          <cell r="H60">
            <v>1561.93</v>
          </cell>
          <cell r="I60">
            <v>1642.12</v>
          </cell>
          <cell r="J60">
            <v>1626.16</v>
          </cell>
          <cell r="K60">
            <v>1626.36</v>
          </cell>
          <cell r="L60">
            <v>1604.87</v>
          </cell>
          <cell r="M60">
            <v>11195.86</v>
          </cell>
          <cell r="N60">
            <v>357.56</v>
          </cell>
          <cell r="O60">
            <v>361.3</v>
          </cell>
          <cell r="P60">
            <v>11220</v>
          </cell>
          <cell r="Q60">
            <v>2.81</v>
          </cell>
          <cell r="R60">
            <v>2.82</v>
          </cell>
          <cell r="S60">
            <v>29.9999999999994</v>
          </cell>
          <cell r="T60">
            <v>11190</v>
          </cell>
          <cell r="U60">
            <v>0</v>
          </cell>
          <cell r="V60">
            <v>2.26</v>
          </cell>
          <cell r="W60">
            <v>34.42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 t="str">
            <v>cloudy</v>
          </cell>
        </row>
        <row r="61">
          <cell r="C61">
            <v>45806</v>
          </cell>
          <cell r="D61">
            <v>0.28125</v>
          </cell>
          <cell r="E61">
            <v>0.791666666666667</v>
          </cell>
          <cell r="F61">
            <v>1807.57</v>
          </cell>
          <cell r="G61">
            <v>1792.63</v>
          </cell>
          <cell r="H61">
            <v>1793.85</v>
          </cell>
          <cell r="I61">
            <v>1884.19</v>
          </cell>
          <cell r="J61">
            <v>1864.4</v>
          </cell>
          <cell r="K61">
            <v>1867.79</v>
          </cell>
          <cell r="L61">
            <v>1849.54</v>
          </cell>
          <cell r="M61">
            <v>12859.97</v>
          </cell>
          <cell r="N61">
            <v>361.3</v>
          </cell>
          <cell r="O61">
            <v>365.59</v>
          </cell>
          <cell r="P61">
            <v>12869.9999999999</v>
          </cell>
          <cell r="Q61">
            <v>2.82</v>
          </cell>
          <cell r="R61">
            <v>2.83</v>
          </cell>
          <cell r="S61">
            <v>30.0000000000007</v>
          </cell>
          <cell r="T61">
            <v>12839.9999999999</v>
          </cell>
          <cell r="U61">
            <v>0</v>
          </cell>
          <cell r="V61">
            <v>5.53</v>
          </cell>
          <cell r="W61">
            <v>33.5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 t="str">
            <v>cloudy</v>
          </cell>
        </row>
        <row r="62">
          <cell r="C62">
            <v>45807</v>
          </cell>
          <cell r="D62">
            <v>0.28125</v>
          </cell>
          <cell r="E62">
            <v>0.791666666666667</v>
          </cell>
          <cell r="F62">
            <v>1857.08</v>
          </cell>
          <cell r="G62">
            <v>1842.7</v>
          </cell>
          <cell r="H62">
            <v>1841.87</v>
          </cell>
          <cell r="I62">
            <v>1944.52</v>
          </cell>
          <cell r="J62">
            <v>1909.74</v>
          </cell>
          <cell r="K62">
            <v>1918.93</v>
          </cell>
          <cell r="L62">
            <v>1903.89</v>
          </cell>
          <cell r="M62">
            <v>13218.73</v>
          </cell>
          <cell r="N62">
            <v>365.59</v>
          </cell>
          <cell r="O62">
            <v>369.99</v>
          </cell>
          <cell r="P62">
            <v>13200.0000000001</v>
          </cell>
          <cell r="Q62">
            <v>2.83</v>
          </cell>
          <cell r="R62">
            <v>2.84</v>
          </cell>
          <cell r="S62">
            <v>29.9999999999994</v>
          </cell>
          <cell r="T62">
            <v>13170.0000000001</v>
          </cell>
          <cell r="U62">
            <v>0</v>
          </cell>
          <cell r="V62">
            <v>5.86</v>
          </cell>
          <cell r="W62">
            <v>33.58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 t="str">
            <v>sunny</v>
          </cell>
        </row>
        <row r="63">
          <cell r="C63">
            <v>45808</v>
          </cell>
          <cell r="D63">
            <v>0.270833333333333</v>
          </cell>
          <cell r="E63">
            <v>0.739583333333333</v>
          </cell>
          <cell r="F63">
            <v>1770</v>
          </cell>
          <cell r="G63">
            <v>1769.16</v>
          </cell>
          <cell r="H63">
            <v>1767.12</v>
          </cell>
          <cell r="I63">
            <v>1865.51</v>
          </cell>
          <cell r="J63">
            <v>1837.57</v>
          </cell>
          <cell r="K63">
            <v>1842.54</v>
          </cell>
          <cell r="L63">
            <v>1827.67</v>
          </cell>
          <cell r="M63">
            <v>12679.57</v>
          </cell>
          <cell r="N63">
            <v>369.99</v>
          </cell>
          <cell r="O63">
            <v>374.21</v>
          </cell>
          <cell r="P63">
            <v>12659.9999999999</v>
          </cell>
          <cell r="Q63">
            <v>2.84</v>
          </cell>
          <cell r="R63">
            <v>2.85</v>
          </cell>
          <cell r="S63">
            <v>30.0000000000007</v>
          </cell>
          <cell r="T63">
            <v>12629.9999999999</v>
          </cell>
          <cell r="U63">
            <v>0</v>
          </cell>
          <cell r="V63">
            <v>5.61</v>
          </cell>
          <cell r="W63">
            <v>33.52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 t="str">
            <v>sunny</v>
          </cell>
        </row>
        <row r="64">
          <cell r="C64">
            <v>45809</v>
          </cell>
          <cell r="D64">
            <v>0.270833333333333</v>
          </cell>
          <cell r="E64">
            <v>0.791666666666667</v>
          </cell>
          <cell r="F64">
            <v>1773.5</v>
          </cell>
          <cell r="G64">
            <v>1761.98</v>
          </cell>
          <cell r="H64">
            <v>1760.35</v>
          </cell>
          <cell r="I64">
            <v>1869.64</v>
          </cell>
          <cell r="J64">
            <v>1829.73</v>
          </cell>
          <cell r="K64">
            <v>1837.29</v>
          </cell>
          <cell r="L64">
            <v>1818.85</v>
          </cell>
          <cell r="M64">
            <v>12651.34</v>
          </cell>
          <cell r="N64">
            <v>374.21</v>
          </cell>
          <cell r="O64">
            <v>378.43</v>
          </cell>
          <cell r="P64">
            <v>12660.0000000001</v>
          </cell>
          <cell r="Q64">
            <v>2.85</v>
          </cell>
          <cell r="R64">
            <v>2.86</v>
          </cell>
          <cell r="S64">
            <v>29.9999999999994</v>
          </cell>
          <cell r="T64">
            <v>12630.0000000001</v>
          </cell>
          <cell r="U64">
            <v>0</v>
          </cell>
          <cell r="V64">
            <v>5.54</v>
          </cell>
          <cell r="W64">
            <v>33.07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 t="str">
            <v>sunny</v>
          </cell>
        </row>
        <row r="65">
          <cell r="C65">
            <v>45810</v>
          </cell>
          <cell r="D65">
            <v>0.270833333333333</v>
          </cell>
          <cell r="E65">
            <v>0.791666666666667</v>
          </cell>
          <cell r="F65">
            <v>1367.97</v>
          </cell>
          <cell r="G65">
            <v>1360.37</v>
          </cell>
          <cell r="H65">
            <v>1361</v>
          </cell>
          <cell r="I65">
            <v>1447.41</v>
          </cell>
          <cell r="J65">
            <v>1409.67</v>
          </cell>
          <cell r="K65">
            <v>1413.02</v>
          </cell>
          <cell r="L65">
            <v>1398.23</v>
          </cell>
          <cell r="M65">
            <v>9757.67</v>
          </cell>
          <cell r="N65">
            <v>378.43</v>
          </cell>
          <cell r="O65">
            <v>381.7</v>
          </cell>
          <cell r="P65">
            <v>9809.99999999995</v>
          </cell>
          <cell r="Q65">
            <v>2.86</v>
          </cell>
          <cell r="R65">
            <v>2.87</v>
          </cell>
          <cell r="S65">
            <v>30.0000000000007</v>
          </cell>
          <cell r="T65">
            <v>9779.99999999995</v>
          </cell>
          <cell r="U65">
            <v>0</v>
          </cell>
          <cell r="V65">
            <v>4.52</v>
          </cell>
          <cell r="W65">
            <v>32.8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 t="str">
            <v>cloudy</v>
          </cell>
        </row>
        <row r="66">
          <cell r="C66">
            <v>45811</v>
          </cell>
          <cell r="D66">
            <v>0.270833333333333</v>
          </cell>
          <cell r="E66">
            <v>0.791666666666667</v>
          </cell>
          <cell r="F66">
            <v>1552.72</v>
          </cell>
          <cell r="G66">
            <v>1540.87</v>
          </cell>
          <cell r="H66">
            <v>1541.72</v>
          </cell>
          <cell r="I66">
            <v>1638.23</v>
          </cell>
          <cell r="J66">
            <v>1597.22</v>
          </cell>
          <cell r="K66">
            <v>1601.28</v>
          </cell>
          <cell r="L66">
            <v>1581.09</v>
          </cell>
          <cell r="M66">
            <v>11053.13</v>
          </cell>
          <cell r="N66">
            <v>381.7</v>
          </cell>
          <cell r="O66">
            <v>385.39</v>
          </cell>
          <cell r="P66">
            <v>11070</v>
          </cell>
          <cell r="Q66">
            <v>2.87</v>
          </cell>
          <cell r="R66">
            <v>2.88</v>
          </cell>
          <cell r="S66">
            <v>29.9999999999994</v>
          </cell>
          <cell r="T66">
            <v>11040</v>
          </cell>
          <cell r="U66">
            <v>0</v>
          </cell>
          <cell r="V66">
            <v>5.16</v>
          </cell>
          <cell r="W66">
            <v>33.29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 t="str">
            <v>sunny</v>
          </cell>
        </row>
        <row r="67">
          <cell r="C67">
            <v>45812</v>
          </cell>
          <cell r="D67">
            <v>0.270833333333333</v>
          </cell>
          <cell r="E67">
            <v>0.791666666666667</v>
          </cell>
          <cell r="F67">
            <v>1709.77</v>
          </cell>
          <cell r="G67">
            <v>1680.12</v>
          </cell>
          <cell r="H67">
            <v>1676.06</v>
          </cell>
          <cell r="I67">
            <v>1781.82</v>
          </cell>
          <cell r="J67">
            <v>1736.74</v>
          </cell>
          <cell r="K67">
            <v>1744.86</v>
          </cell>
          <cell r="L67">
            <v>1724.58</v>
          </cell>
          <cell r="M67">
            <v>12053.95</v>
          </cell>
          <cell r="N67">
            <v>385.39</v>
          </cell>
          <cell r="O67">
            <v>389.41</v>
          </cell>
          <cell r="P67">
            <v>12060.0000000001</v>
          </cell>
          <cell r="Q67">
            <v>2.88</v>
          </cell>
          <cell r="R67">
            <v>2.89</v>
          </cell>
          <cell r="S67">
            <v>30.0000000000007</v>
          </cell>
          <cell r="T67">
            <v>12030.0000000001</v>
          </cell>
          <cell r="U67">
            <v>0</v>
          </cell>
          <cell r="V67">
            <v>5.56</v>
          </cell>
          <cell r="W67">
            <v>33.27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 t="str">
            <v>sunny</v>
          </cell>
        </row>
        <row r="68">
          <cell r="C68">
            <v>45813</v>
          </cell>
          <cell r="D68">
            <v>0.270833333333333</v>
          </cell>
          <cell r="E68">
            <v>0.770833333333333</v>
          </cell>
          <cell r="F68">
            <v>1817.04</v>
          </cell>
          <cell r="G68">
            <v>1802.13</v>
          </cell>
          <cell r="H68">
            <v>1785.68</v>
          </cell>
          <cell r="I68">
            <v>1857.58</v>
          </cell>
          <cell r="J68">
            <v>1863.28</v>
          </cell>
          <cell r="K68">
            <v>1852.36</v>
          </cell>
          <cell r="L68">
            <v>1849.01</v>
          </cell>
          <cell r="M68">
            <v>12827.08</v>
          </cell>
          <cell r="N68">
            <v>389.41</v>
          </cell>
          <cell r="O68">
            <v>393.47</v>
          </cell>
          <cell r="P68">
            <v>12180</v>
          </cell>
          <cell r="Q68">
            <v>2.89</v>
          </cell>
          <cell r="R68">
            <v>2.9</v>
          </cell>
          <cell r="S68">
            <v>29.9999999999994</v>
          </cell>
          <cell r="T68">
            <v>12150</v>
          </cell>
          <cell r="U68">
            <v>0</v>
          </cell>
          <cell r="V68">
            <v>5.51</v>
          </cell>
          <cell r="W68">
            <v>34.65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 t="str">
            <v>sunny</v>
          </cell>
        </row>
        <row r="69">
          <cell r="C69">
            <v>45814</v>
          </cell>
          <cell r="D69">
            <v>0.28125</v>
          </cell>
          <cell r="E69">
            <v>0.791666666666667</v>
          </cell>
          <cell r="F69">
            <v>1720.18</v>
          </cell>
          <cell r="G69">
            <v>1717.79</v>
          </cell>
          <cell r="H69">
            <v>1734.11</v>
          </cell>
          <cell r="I69">
            <v>1820.47</v>
          </cell>
          <cell r="J69">
            <v>1781.23</v>
          </cell>
          <cell r="K69">
            <v>1779.1</v>
          </cell>
          <cell r="L69">
            <v>1758.79</v>
          </cell>
          <cell r="M69">
            <v>12311.67</v>
          </cell>
          <cell r="N69">
            <v>393.47</v>
          </cell>
          <cell r="O69">
            <v>397.56</v>
          </cell>
          <cell r="P69">
            <v>12269.9999999999</v>
          </cell>
          <cell r="Q69">
            <v>2.9</v>
          </cell>
          <cell r="R69">
            <v>2.91</v>
          </cell>
          <cell r="S69">
            <v>30.0000000000007</v>
          </cell>
          <cell r="T69">
            <v>12239.9999999999</v>
          </cell>
          <cell r="U69">
            <v>0</v>
          </cell>
          <cell r="V69">
            <v>5.48</v>
          </cell>
          <cell r="W69">
            <v>33.93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 t="str">
            <v>sunny</v>
          </cell>
        </row>
        <row r="70">
          <cell r="C70">
            <v>45815</v>
          </cell>
          <cell r="D70">
            <v>0.28125</v>
          </cell>
          <cell r="E70">
            <v>0.802083333333333</v>
          </cell>
          <cell r="F70">
            <v>1735.11</v>
          </cell>
          <cell r="G70">
            <v>1728.55</v>
          </cell>
          <cell r="H70">
            <v>1735.17</v>
          </cell>
          <cell r="I70">
            <v>1822.7</v>
          </cell>
          <cell r="J70">
            <v>1807.37</v>
          </cell>
          <cell r="K70">
            <v>1820.5</v>
          </cell>
          <cell r="L70">
            <v>1804.01</v>
          </cell>
          <cell r="M70">
            <v>12453.41</v>
          </cell>
          <cell r="N70">
            <v>397.56</v>
          </cell>
          <cell r="O70">
            <v>401.69</v>
          </cell>
          <cell r="P70">
            <v>12390</v>
          </cell>
          <cell r="Q70">
            <v>2.91</v>
          </cell>
          <cell r="R70">
            <v>2.92</v>
          </cell>
          <cell r="S70">
            <v>29.9999999999994</v>
          </cell>
          <cell r="T70">
            <v>12360</v>
          </cell>
          <cell r="U70">
            <v>0</v>
          </cell>
          <cell r="V70">
            <v>5.62</v>
          </cell>
          <cell r="W70">
            <v>34.2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 t="str">
            <v>sunny</v>
          </cell>
        </row>
        <row r="71">
          <cell r="C71">
            <v>45816</v>
          </cell>
          <cell r="D71">
            <v>0.270833333333333</v>
          </cell>
          <cell r="E71">
            <v>0.791666666666667</v>
          </cell>
          <cell r="F71">
            <v>1765.45</v>
          </cell>
          <cell r="G71">
            <v>1755.82</v>
          </cell>
          <cell r="H71">
            <v>1768.66</v>
          </cell>
          <cell r="I71">
            <v>1865.19</v>
          </cell>
          <cell r="J71">
            <v>1849.68</v>
          </cell>
          <cell r="K71">
            <v>1866.61</v>
          </cell>
          <cell r="L71">
            <v>1850.79</v>
          </cell>
          <cell r="M71">
            <v>12722.2</v>
          </cell>
          <cell r="N71">
            <v>401.69</v>
          </cell>
          <cell r="O71">
            <v>405.93</v>
          </cell>
          <cell r="P71">
            <v>12720</v>
          </cell>
          <cell r="Q71">
            <v>2.92</v>
          </cell>
          <cell r="R71">
            <v>2.93</v>
          </cell>
          <cell r="S71">
            <v>30.0000000000007</v>
          </cell>
          <cell r="T71">
            <v>12690</v>
          </cell>
          <cell r="U71">
            <v>0</v>
          </cell>
          <cell r="V71">
            <v>5.5</v>
          </cell>
          <cell r="W71">
            <v>33.5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 t="str">
            <v>sunny</v>
          </cell>
        </row>
        <row r="72">
          <cell r="C72">
            <v>45817</v>
          </cell>
          <cell r="D72">
            <v>0.270833333333333</v>
          </cell>
          <cell r="E72">
            <v>0.791666666666667</v>
          </cell>
          <cell r="F72">
            <v>1883.11</v>
          </cell>
          <cell r="G72">
            <v>1868.94</v>
          </cell>
          <cell r="H72">
            <v>1874.49</v>
          </cell>
          <cell r="I72">
            <v>1970.16</v>
          </cell>
          <cell r="J72">
            <v>1951.11</v>
          </cell>
          <cell r="K72">
            <v>1955.21</v>
          </cell>
          <cell r="L72">
            <v>1945.17</v>
          </cell>
          <cell r="M72">
            <v>13448.19</v>
          </cell>
          <cell r="N72">
            <v>405.93</v>
          </cell>
          <cell r="O72">
            <v>410.4</v>
          </cell>
          <cell r="P72">
            <v>13409.9999999999</v>
          </cell>
          <cell r="Q72">
            <v>2.93</v>
          </cell>
          <cell r="R72">
            <v>2.94</v>
          </cell>
          <cell r="S72">
            <v>29.9999999999994</v>
          </cell>
          <cell r="T72">
            <v>13379.9999999999</v>
          </cell>
          <cell r="U72">
            <v>0</v>
          </cell>
          <cell r="V72">
            <v>5.91</v>
          </cell>
          <cell r="W72">
            <v>33.52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 t="str">
            <v>sunny</v>
          </cell>
        </row>
        <row r="73">
          <cell r="C73">
            <v>45818</v>
          </cell>
          <cell r="D73">
            <v>0.270833333333333</v>
          </cell>
          <cell r="E73">
            <v>0.791666666666667</v>
          </cell>
          <cell r="F73">
            <v>1613.71</v>
          </cell>
          <cell r="G73">
            <v>1606.88</v>
          </cell>
          <cell r="H73">
            <v>1611.43</v>
          </cell>
          <cell r="I73">
            <v>1692.93</v>
          </cell>
          <cell r="J73">
            <v>1678.92</v>
          </cell>
          <cell r="K73">
            <v>1684.34</v>
          </cell>
          <cell r="L73">
            <v>1686.64</v>
          </cell>
          <cell r="M73">
            <v>11574.85</v>
          </cell>
          <cell r="N73">
            <v>410.4</v>
          </cell>
          <cell r="O73">
            <v>414.27</v>
          </cell>
          <cell r="P73">
            <v>11610</v>
          </cell>
          <cell r="Q73">
            <v>2.94</v>
          </cell>
          <cell r="R73">
            <v>2.95</v>
          </cell>
          <cell r="S73">
            <v>30.0000000000007</v>
          </cell>
          <cell r="T73">
            <v>11580</v>
          </cell>
          <cell r="U73">
            <v>0</v>
          </cell>
          <cell r="V73">
            <v>5.34</v>
          </cell>
          <cell r="W73">
            <v>33.31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 t="str">
            <v>sunny</v>
          </cell>
        </row>
        <row r="74">
          <cell r="C74">
            <v>45819</v>
          </cell>
          <cell r="D74">
            <v>0.270833333333333</v>
          </cell>
          <cell r="E74">
            <v>0.770833333333333</v>
          </cell>
          <cell r="F74">
            <v>1567.28</v>
          </cell>
          <cell r="G74">
            <v>1559.73</v>
          </cell>
          <cell r="H74">
            <v>1567.69</v>
          </cell>
          <cell r="I74">
            <v>1654.54</v>
          </cell>
          <cell r="J74">
            <v>1642.82</v>
          </cell>
          <cell r="K74">
            <v>1650.59</v>
          </cell>
          <cell r="L74">
            <v>1645.56</v>
          </cell>
          <cell r="M74">
            <v>11288.21</v>
          </cell>
          <cell r="N74">
            <v>414.27</v>
          </cell>
          <cell r="O74">
            <v>418.05</v>
          </cell>
          <cell r="P74">
            <v>11340.0000000001</v>
          </cell>
          <cell r="Q74">
            <v>2.95</v>
          </cell>
          <cell r="R74">
            <v>2.96</v>
          </cell>
          <cell r="S74">
            <v>29.9999999999994</v>
          </cell>
          <cell r="T74">
            <v>11310.0000000001</v>
          </cell>
          <cell r="U74">
            <v>0</v>
          </cell>
          <cell r="V74">
            <v>4.9</v>
          </cell>
          <cell r="W74">
            <v>33.89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 t="str">
            <v>sunny</v>
          </cell>
        </row>
        <row r="75">
          <cell r="C75">
            <v>45820</v>
          </cell>
          <cell r="D75">
            <v>0.270833333333333</v>
          </cell>
          <cell r="E75">
            <v>0.770833333333333</v>
          </cell>
          <cell r="F75">
            <v>1692.46</v>
          </cell>
          <cell r="G75">
            <v>1696.08</v>
          </cell>
          <cell r="H75">
            <v>1697.14</v>
          </cell>
          <cell r="I75">
            <v>1784.1</v>
          </cell>
          <cell r="J75">
            <v>1761.97</v>
          </cell>
          <cell r="K75">
            <v>1765.52</v>
          </cell>
          <cell r="L75">
            <v>1752.27</v>
          </cell>
          <cell r="M75">
            <v>12149.54</v>
          </cell>
          <cell r="N75">
            <v>418.05</v>
          </cell>
          <cell r="O75">
            <v>422.09</v>
          </cell>
          <cell r="P75">
            <v>12119.9999999999</v>
          </cell>
          <cell r="Q75">
            <v>2.96</v>
          </cell>
          <cell r="R75">
            <v>2.97</v>
          </cell>
          <cell r="S75">
            <v>30.0000000000007</v>
          </cell>
          <cell r="T75">
            <v>12089.9999999999</v>
          </cell>
          <cell r="U75">
            <v>0</v>
          </cell>
          <cell r="V75">
            <v>5.15</v>
          </cell>
          <cell r="W75">
            <v>34.45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 t="str">
            <v>sunny</v>
          </cell>
        </row>
        <row r="76">
          <cell r="C76">
            <v>45821</v>
          </cell>
          <cell r="D76">
            <v>0.270833333333333</v>
          </cell>
          <cell r="E76">
            <v>0.791666666666667</v>
          </cell>
          <cell r="F76">
            <v>1000.12</v>
          </cell>
          <cell r="G76">
            <v>994.09</v>
          </cell>
          <cell r="H76">
            <v>992.98</v>
          </cell>
          <cell r="I76">
            <v>1043.72</v>
          </cell>
          <cell r="J76">
            <v>1030.77</v>
          </cell>
          <cell r="K76">
            <v>1033.74</v>
          </cell>
          <cell r="L76">
            <v>1025.32</v>
          </cell>
          <cell r="M76">
            <v>7120.74</v>
          </cell>
          <cell r="N76">
            <v>422.09</v>
          </cell>
          <cell r="O76">
            <v>424.47</v>
          </cell>
          <cell r="P76">
            <v>7140.00000000016</v>
          </cell>
          <cell r="Q76">
            <v>2.97</v>
          </cell>
          <cell r="R76">
            <v>2.98</v>
          </cell>
          <cell r="S76">
            <v>29.9999999999994</v>
          </cell>
          <cell r="T76">
            <v>7110.00000000016</v>
          </cell>
          <cell r="U76">
            <v>0</v>
          </cell>
          <cell r="V76">
            <v>2.98</v>
          </cell>
          <cell r="W76">
            <v>31.72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 t="str">
            <v>cloudy</v>
          </cell>
        </row>
        <row r="77">
          <cell r="C77">
            <v>45822</v>
          </cell>
          <cell r="D77">
            <v>0.28125</v>
          </cell>
          <cell r="E77">
            <v>0.8125</v>
          </cell>
          <cell r="F77">
            <v>1493.16</v>
          </cell>
          <cell r="G77">
            <v>1488.49</v>
          </cell>
          <cell r="H77">
            <v>1488.28</v>
          </cell>
          <cell r="I77">
            <v>1565.07</v>
          </cell>
          <cell r="J77">
            <v>1547.16</v>
          </cell>
          <cell r="K77">
            <v>1550.89</v>
          </cell>
          <cell r="L77">
            <v>1541.43</v>
          </cell>
          <cell r="M77">
            <v>10674.48</v>
          </cell>
          <cell r="N77">
            <v>424.47</v>
          </cell>
          <cell r="O77">
            <v>428.03</v>
          </cell>
          <cell r="P77">
            <v>10679.9999999998</v>
          </cell>
          <cell r="Q77">
            <v>2.98</v>
          </cell>
          <cell r="R77">
            <v>2.99</v>
          </cell>
          <cell r="S77">
            <v>30.0000000000007</v>
          </cell>
          <cell r="T77">
            <v>10649.9999999998</v>
          </cell>
          <cell r="U77">
            <v>0</v>
          </cell>
          <cell r="V77">
            <v>4.62</v>
          </cell>
          <cell r="W77">
            <v>34.65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 t="str">
            <v>cloudy</v>
          </cell>
        </row>
        <row r="78">
          <cell r="C78">
            <v>45823</v>
          </cell>
          <cell r="D78">
            <v>0.28125</v>
          </cell>
          <cell r="E78">
            <v>0.770833333333333</v>
          </cell>
          <cell r="F78">
            <v>1229.29</v>
          </cell>
          <cell r="G78">
            <v>1225.59</v>
          </cell>
          <cell r="H78">
            <v>1228.1</v>
          </cell>
          <cell r="I78">
            <v>1290.32</v>
          </cell>
          <cell r="J78">
            <v>1277.95</v>
          </cell>
          <cell r="K78">
            <v>1279.98</v>
          </cell>
          <cell r="L78">
            <v>1267.84</v>
          </cell>
          <cell r="M78">
            <v>8799.07</v>
          </cell>
          <cell r="N78">
            <v>428.03</v>
          </cell>
          <cell r="O78">
            <v>430.95</v>
          </cell>
          <cell r="P78">
            <v>8760.00000000005</v>
          </cell>
          <cell r="Q78">
            <v>2.99</v>
          </cell>
          <cell r="R78">
            <v>3</v>
          </cell>
          <cell r="S78">
            <v>29.9999999999994</v>
          </cell>
          <cell r="T78">
            <v>8730.00000000005</v>
          </cell>
          <cell r="U78">
            <v>0</v>
          </cell>
          <cell r="V78">
            <v>3.6</v>
          </cell>
          <cell r="W78">
            <v>31.7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 t="str">
            <v>rainy</v>
          </cell>
        </row>
        <row r="79">
          <cell r="C79">
            <v>45824</v>
          </cell>
          <cell r="D79">
            <v>0.302083333333333</v>
          </cell>
          <cell r="E79">
            <v>0.6875</v>
          </cell>
          <cell r="F79">
            <v>90.4</v>
          </cell>
          <cell r="G79">
            <v>88.68</v>
          </cell>
          <cell r="H79">
            <v>94.81</v>
          </cell>
          <cell r="I79">
            <v>96.5</v>
          </cell>
          <cell r="J79">
            <v>92.88</v>
          </cell>
          <cell r="K79">
            <v>92.07</v>
          </cell>
          <cell r="L79">
            <v>97.19</v>
          </cell>
          <cell r="M79">
            <v>652.53</v>
          </cell>
          <cell r="N79">
            <v>430.95</v>
          </cell>
          <cell r="O79">
            <v>431.15</v>
          </cell>
          <cell r="P79">
            <v>599.999999999966</v>
          </cell>
          <cell r="Q79">
            <v>3</v>
          </cell>
          <cell r="R79">
            <v>3.01</v>
          </cell>
          <cell r="S79">
            <v>29.9999999999994</v>
          </cell>
          <cell r="T79">
            <v>569.999999999967</v>
          </cell>
          <cell r="U79">
            <v>0</v>
          </cell>
          <cell r="V79">
            <v>0.1</v>
          </cell>
          <cell r="W79">
            <v>24.81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 t="str">
            <v>rainy</v>
          </cell>
        </row>
        <row r="80">
          <cell r="C80">
            <v>45825</v>
          </cell>
          <cell r="D80">
            <v>0.302083333333333</v>
          </cell>
          <cell r="E80">
            <v>0.760416666666667</v>
          </cell>
          <cell r="F80">
            <v>577.48</v>
          </cell>
          <cell r="G80">
            <v>575.48</v>
          </cell>
          <cell r="H80">
            <v>580.99</v>
          </cell>
          <cell r="I80">
            <v>610.19</v>
          </cell>
          <cell r="J80">
            <v>603.12</v>
          </cell>
          <cell r="K80">
            <v>603.41</v>
          </cell>
          <cell r="L80">
            <v>598.74</v>
          </cell>
          <cell r="M80">
            <v>4149.41</v>
          </cell>
          <cell r="N80">
            <v>431.15</v>
          </cell>
          <cell r="O80">
            <v>432.53</v>
          </cell>
          <cell r="P80">
            <v>4139.99999999999</v>
          </cell>
          <cell r="Q80">
            <v>3.01</v>
          </cell>
          <cell r="R80">
            <v>3.02</v>
          </cell>
          <cell r="S80">
            <v>30.0000000000007</v>
          </cell>
          <cell r="T80">
            <v>4109.99999999999</v>
          </cell>
          <cell r="U80">
            <v>0</v>
          </cell>
          <cell r="V80">
            <v>1.47</v>
          </cell>
          <cell r="W80">
            <v>26.66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 t="str">
            <v>rainy</v>
          </cell>
        </row>
        <row r="81">
          <cell r="C81">
            <v>45826</v>
          </cell>
          <cell r="D81">
            <v>0.302083333333333</v>
          </cell>
          <cell r="E81">
            <v>0.770833333333333</v>
          </cell>
          <cell r="F81">
            <v>488.06</v>
          </cell>
          <cell r="G81">
            <v>446.8</v>
          </cell>
          <cell r="H81">
            <v>451.49</v>
          </cell>
          <cell r="I81">
            <v>472.52</v>
          </cell>
          <cell r="J81">
            <v>466.04</v>
          </cell>
          <cell r="K81">
            <v>465.77</v>
          </cell>
          <cell r="L81">
            <v>462.89</v>
          </cell>
          <cell r="M81">
            <v>3253.57</v>
          </cell>
          <cell r="N81">
            <v>432.53</v>
          </cell>
          <cell r="O81">
            <v>433.6</v>
          </cell>
          <cell r="P81">
            <v>3210.00000000015</v>
          </cell>
          <cell r="Q81">
            <v>3.02</v>
          </cell>
          <cell r="R81">
            <v>3.03</v>
          </cell>
          <cell r="S81">
            <v>29.9999999999994</v>
          </cell>
          <cell r="T81">
            <v>3180.00000000015</v>
          </cell>
          <cell r="U81">
            <v>0</v>
          </cell>
          <cell r="V81">
            <v>1.02</v>
          </cell>
          <cell r="W81">
            <v>27.21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 t="str">
            <v>rainy</v>
          </cell>
        </row>
        <row r="82">
          <cell r="C82">
            <v>45827</v>
          </cell>
          <cell r="D82">
            <v>0.28125</v>
          </cell>
          <cell r="E82">
            <v>0.802083333333333</v>
          </cell>
          <cell r="F82">
            <v>1295.17</v>
          </cell>
          <cell r="G82">
            <v>1295.49</v>
          </cell>
          <cell r="H82">
            <v>1296.83</v>
          </cell>
          <cell r="I82">
            <v>1363.31</v>
          </cell>
          <cell r="J82">
            <v>1351.34</v>
          </cell>
          <cell r="K82">
            <v>1355.49</v>
          </cell>
          <cell r="L82">
            <v>1336.75</v>
          </cell>
          <cell r="M82">
            <v>9294.38</v>
          </cell>
          <cell r="N82">
            <v>433.6</v>
          </cell>
          <cell r="O82">
            <v>436.71</v>
          </cell>
          <cell r="P82">
            <v>9329.99999999987</v>
          </cell>
          <cell r="Q82">
            <v>3.03</v>
          </cell>
          <cell r="R82">
            <v>3.04</v>
          </cell>
          <cell r="S82">
            <v>30.0000000000007</v>
          </cell>
          <cell r="T82">
            <v>9299.99999999987</v>
          </cell>
          <cell r="U82">
            <v>0</v>
          </cell>
          <cell r="V82">
            <v>4.1</v>
          </cell>
          <cell r="W82">
            <v>29.58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 t="str">
            <v>cloudy</v>
          </cell>
        </row>
        <row r="83">
          <cell r="C83">
            <v>45828</v>
          </cell>
          <cell r="D83">
            <v>0.28125</v>
          </cell>
          <cell r="E83">
            <v>0.802083333333333</v>
          </cell>
          <cell r="F83">
            <v>1377.89</v>
          </cell>
          <cell r="G83">
            <v>1373.22</v>
          </cell>
          <cell r="H83">
            <v>1372.19</v>
          </cell>
          <cell r="I83">
            <v>1439.28</v>
          </cell>
          <cell r="J83">
            <v>1422.89</v>
          </cell>
          <cell r="K83">
            <v>1422.71</v>
          </cell>
          <cell r="L83">
            <v>1390.94</v>
          </cell>
          <cell r="M83">
            <v>9799.12</v>
          </cell>
          <cell r="N83">
            <v>436.71</v>
          </cell>
          <cell r="O83">
            <v>440</v>
          </cell>
          <cell r="P83">
            <v>9870.00000000006</v>
          </cell>
          <cell r="Q83">
            <v>3.04</v>
          </cell>
          <cell r="R83">
            <v>3.05</v>
          </cell>
          <cell r="S83">
            <v>29.9999999999994</v>
          </cell>
          <cell r="T83">
            <v>9840.00000000006</v>
          </cell>
          <cell r="U83">
            <v>0</v>
          </cell>
          <cell r="V83">
            <v>4.27</v>
          </cell>
          <cell r="W83">
            <v>30.31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 t="str">
            <v>cloudy</v>
          </cell>
        </row>
        <row r="84">
          <cell r="C84">
            <v>45829</v>
          </cell>
          <cell r="D84">
            <v>0.291666666666667</v>
          </cell>
          <cell r="E84">
            <v>0.78125</v>
          </cell>
          <cell r="F84">
            <v>1017.56</v>
          </cell>
          <cell r="G84">
            <v>1016.98</v>
          </cell>
          <cell r="H84">
            <v>1021.5</v>
          </cell>
          <cell r="I84">
            <v>1072.88</v>
          </cell>
          <cell r="J84">
            <v>1063.45</v>
          </cell>
          <cell r="K84">
            <v>1064.53</v>
          </cell>
          <cell r="L84">
            <v>1049.09</v>
          </cell>
          <cell r="M84">
            <v>7305.99</v>
          </cell>
          <cell r="N84">
            <v>440</v>
          </cell>
          <cell r="O84">
            <v>442.46</v>
          </cell>
          <cell r="P84">
            <v>7379.99999999994</v>
          </cell>
          <cell r="Q84">
            <v>3.05</v>
          </cell>
          <cell r="R84">
            <v>3.06</v>
          </cell>
          <cell r="S84">
            <v>30.0000000000007</v>
          </cell>
          <cell r="T84">
            <v>7349.99999999994</v>
          </cell>
          <cell r="U84">
            <v>0</v>
          </cell>
          <cell r="V84">
            <v>3.1</v>
          </cell>
          <cell r="W84">
            <v>29.58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 t="str">
            <v>cloudy</v>
          </cell>
        </row>
        <row r="85">
          <cell r="C85">
            <v>45830</v>
          </cell>
          <cell r="D85">
            <v>0.28125</v>
          </cell>
          <cell r="E85">
            <v>0.760416666666667</v>
          </cell>
          <cell r="F85">
            <v>691.17</v>
          </cell>
          <cell r="G85">
            <v>689.71</v>
          </cell>
          <cell r="H85">
            <v>693.68</v>
          </cell>
          <cell r="I85">
            <v>726.01</v>
          </cell>
          <cell r="J85">
            <v>717.85</v>
          </cell>
          <cell r="K85">
            <v>719.56</v>
          </cell>
          <cell r="L85">
            <v>712.41</v>
          </cell>
          <cell r="M85">
            <v>4950.39</v>
          </cell>
          <cell r="N85">
            <v>442.46</v>
          </cell>
          <cell r="O85">
            <v>444.1</v>
          </cell>
          <cell r="P85">
            <v>4920.00000000013</v>
          </cell>
          <cell r="Q85">
            <v>3.06</v>
          </cell>
          <cell r="R85">
            <v>3.07</v>
          </cell>
          <cell r="S85">
            <v>29.9999999999994</v>
          </cell>
          <cell r="T85">
            <v>4890.00000000013</v>
          </cell>
          <cell r="U85">
            <v>0</v>
          </cell>
          <cell r="V85">
            <v>1.86</v>
          </cell>
          <cell r="W85">
            <v>26.1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 t="str">
            <v>rainy</v>
          </cell>
        </row>
        <row r="86">
          <cell r="C86">
            <v>45831</v>
          </cell>
          <cell r="D86">
            <v>0.302083333333333</v>
          </cell>
          <cell r="E86">
            <v>0.739583333333333</v>
          </cell>
          <cell r="F86">
            <v>448.31</v>
          </cell>
          <cell r="G86">
            <v>446.87</v>
          </cell>
          <cell r="H86">
            <v>451.48</v>
          </cell>
          <cell r="I86">
            <v>472.46</v>
          </cell>
          <cell r="J86">
            <v>466.73</v>
          </cell>
          <cell r="K86">
            <v>466.47</v>
          </cell>
          <cell r="L86">
            <v>463.18</v>
          </cell>
          <cell r="M86">
            <v>3215.5</v>
          </cell>
          <cell r="N86">
            <v>444.1</v>
          </cell>
          <cell r="O86">
            <v>445.16</v>
          </cell>
          <cell r="P86">
            <v>3180.00000000001</v>
          </cell>
          <cell r="Q86">
            <v>3.07</v>
          </cell>
          <cell r="R86">
            <v>3.09</v>
          </cell>
          <cell r="S86">
            <v>60.0000000000001</v>
          </cell>
          <cell r="T86">
            <v>3120.00000000001</v>
          </cell>
          <cell r="U86">
            <v>0</v>
          </cell>
          <cell r="V86">
            <v>0.97</v>
          </cell>
          <cell r="W86">
            <v>26.8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 t="str">
            <v>rainy</v>
          </cell>
        </row>
        <row r="87">
          <cell r="C87">
            <v>45832</v>
          </cell>
          <cell r="D87">
            <v>0.302083333333333</v>
          </cell>
          <cell r="E87">
            <v>0.760416666666667</v>
          </cell>
          <cell r="F87">
            <v>799.04</v>
          </cell>
          <cell r="G87">
            <v>797.66</v>
          </cell>
          <cell r="H87">
            <v>801.04</v>
          </cell>
          <cell r="I87">
            <v>838.83</v>
          </cell>
          <cell r="J87">
            <v>830.52</v>
          </cell>
          <cell r="K87">
            <v>831.22</v>
          </cell>
          <cell r="L87">
            <v>818.45</v>
          </cell>
          <cell r="M87">
            <v>5716.76</v>
          </cell>
          <cell r="N87">
            <v>445.16</v>
          </cell>
          <cell r="O87">
            <v>447.06</v>
          </cell>
          <cell r="P87">
            <v>5699.99999999993</v>
          </cell>
          <cell r="Q87">
            <v>3.09</v>
          </cell>
          <cell r="R87">
            <v>3.1</v>
          </cell>
          <cell r="S87">
            <v>30.0000000000007</v>
          </cell>
          <cell r="T87">
            <v>5669.99999999993</v>
          </cell>
          <cell r="U87">
            <v>0</v>
          </cell>
          <cell r="V87">
            <v>2.13</v>
          </cell>
          <cell r="W87">
            <v>28.82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 t="str">
            <v>cloudy</v>
          </cell>
        </row>
        <row r="88">
          <cell r="C88">
            <v>45833</v>
          </cell>
          <cell r="D88">
            <v>0.302083333333333</v>
          </cell>
          <cell r="E88">
            <v>0.770833333333333</v>
          </cell>
          <cell r="F88">
            <v>484.33</v>
          </cell>
          <cell r="G88">
            <v>481.57</v>
          </cell>
          <cell r="H88">
            <v>486.4</v>
          </cell>
          <cell r="I88">
            <v>509.18</v>
          </cell>
          <cell r="J88">
            <v>502.69</v>
          </cell>
          <cell r="K88">
            <v>503.21</v>
          </cell>
          <cell r="L88">
            <v>500.02</v>
          </cell>
          <cell r="M88">
            <v>3467.4</v>
          </cell>
          <cell r="N88">
            <v>447.06</v>
          </cell>
          <cell r="O88">
            <v>448.21</v>
          </cell>
          <cell r="P88">
            <v>3449.99999999993</v>
          </cell>
          <cell r="Q88">
            <v>3.1</v>
          </cell>
          <cell r="R88">
            <v>3.11</v>
          </cell>
          <cell r="S88">
            <v>29.9999999999994</v>
          </cell>
          <cell r="T88">
            <v>3419.99999999993</v>
          </cell>
          <cell r="U88">
            <v>0</v>
          </cell>
          <cell r="V88">
            <v>1.23</v>
          </cell>
          <cell r="W88">
            <v>27.86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 t="str">
            <v>rainy</v>
          </cell>
        </row>
        <row r="89">
          <cell r="C89">
            <v>45834</v>
          </cell>
          <cell r="D89">
            <v>0.322916666666667</v>
          </cell>
          <cell r="E89">
            <v>0.791666666666667</v>
          </cell>
          <cell r="F89">
            <v>608.68</v>
          </cell>
          <cell r="G89">
            <v>606.64</v>
          </cell>
          <cell r="H89">
            <v>611.47</v>
          </cell>
          <cell r="I89">
            <v>641.06</v>
          </cell>
          <cell r="J89">
            <v>635.34</v>
          </cell>
          <cell r="K89">
            <v>635.97</v>
          </cell>
          <cell r="L89">
            <v>628.51</v>
          </cell>
          <cell r="M89">
            <v>4367.67</v>
          </cell>
          <cell r="N89">
            <v>448.21</v>
          </cell>
          <cell r="O89">
            <v>449.66</v>
          </cell>
          <cell r="P89">
            <v>4350.00000000014</v>
          </cell>
          <cell r="Q89">
            <v>3.11</v>
          </cell>
          <cell r="R89">
            <v>3.13</v>
          </cell>
          <cell r="S89">
            <v>60.0000000000001</v>
          </cell>
          <cell r="T89">
            <v>4290.00000000014</v>
          </cell>
          <cell r="U89">
            <v>0</v>
          </cell>
          <cell r="V89">
            <v>0.1</v>
          </cell>
          <cell r="W89">
            <v>26.31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 t="str">
            <v>rainy</v>
          </cell>
        </row>
        <row r="90">
          <cell r="C90">
            <v>45835</v>
          </cell>
          <cell r="D90">
            <v>0.322916666666667</v>
          </cell>
          <cell r="E90">
            <v>0.802083333333333</v>
          </cell>
          <cell r="F90">
            <v>553.38</v>
          </cell>
          <cell r="G90">
            <v>550.09</v>
          </cell>
          <cell r="H90">
            <v>553.85</v>
          </cell>
          <cell r="I90">
            <v>580.22</v>
          </cell>
          <cell r="J90">
            <v>573.41</v>
          </cell>
          <cell r="K90">
            <v>572.56</v>
          </cell>
          <cell r="L90">
            <v>565.72</v>
          </cell>
          <cell r="M90">
            <v>3949.23</v>
          </cell>
          <cell r="N90">
            <v>449.66</v>
          </cell>
          <cell r="O90">
            <v>450.99</v>
          </cell>
          <cell r="P90">
            <v>3989.99999999995</v>
          </cell>
          <cell r="Q90">
            <v>3.13</v>
          </cell>
          <cell r="R90">
            <v>3.15</v>
          </cell>
          <cell r="S90">
            <v>60.0000000000001</v>
          </cell>
          <cell r="T90">
            <v>3929.99999999995</v>
          </cell>
          <cell r="U90">
            <v>0</v>
          </cell>
          <cell r="V90">
            <v>0.35</v>
          </cell>
          <cell r="W90">
            <v>26.6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 t="str">
            <v>rainy</v>
          </cell>
        </row>
        <row r="91">
          <cell r="C91">
            <v>45836</v>
          </cell>
          <cell r="D91">
            <v>0.291666666666667</v>
          </cell>
          <cell r="E91">
            <v>0.770833333333333</v>
          </cell>
          <cell r="F91">
            <v>904.07</v>
          </cell>
          <cell r="G91">
            <v>899.66</v>
          </cell>
          <cell r="H91">
            <v>903.61</v>
          </cell>
          <cell r="I91">
            <v>945.72</v>
          </cell>
          <cell r="J91">
            <v>938.19</v>
          </cell>
          <cell r="K91">
            <v>940.54</v>
          </cell>
          <cell r="L91">
            <v>925.53</v>
          </cell>
          <cell r="M91">
            <v>6457.32</v>
          </cell>
          <cell r="N91">
            <v>450.99</v>
          </cell>
          <cell r="O91">
            <v>453.15</v>
          </cell>
          <cell r="P91">
            <v>6479.9999999999</v>
          </cell>
          <cell r="Q91">
            <v>3.15</v>
          </cell>
          <cell r="R91">
            <v>3.17</v>
          </cell>
          <cell r="S91">
            <v>60.0000000000001</v>
          </cell>
          <cell r="T91">
            <v>6419.9999999999</v>
          </cell>
          <cell r="U91">
            <v>0</v>
          </cell>
          <cell r="V91">
            <v>2.54</v>
          </cell>
          <cell r="W91">
            <v>26.91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 t="str">
            <v>cloudy</v>
          </cell>
        </row>
        <row r="92">
          <cell r="C92">
            <v>45837</v>
          </cell>
          <cell r="D92">
            <v>0.28125</v>
          </cell>
          <cell r="E92">
            <v>0.792361111111111</v>
          </cell>
          <cell r="F92">
            <v>1202.26</v>
          </cell>
          <cell r="G92">
            <v>1196.06</v>
          </cell>
          <cell r="H92">
            <v>1198.51</v>
          </cell>
          <cell r="I92">
            <v>1260.5</v>
          </cell>
          <cell r="J92">
            <v>1250.91</v>
          </cell>
          <cell r="K92">
            <v>1254.43</v>
          </cell>
          <cell r="L92">
            <v>1233.65</v>
          </cell>
          <cell r="M92">
            <v>8596.32</v>
          </cell>
          <cell r="N92">
            <v>453.15</v>
          </cell>
          <cell r="O92">
            <v>455.99</v>
          </cell>
          <cell r="P92">
            <v>8520.00000000009</v>
          </cell>
          <cell r="Q92">
            <v>3.17</v>
          </cell>
          <cell r="R92">
            <v>3.19</v>
          </cell>
          <cell r="S92">
            <v>60.0000000000001</v>
          </cell>
          <cell r="T92">
            <v>8460.00000000009</v>
          </cell>
          <cell r="U92">
            <v>0</v>
          </cell>
          <cell r="V92">
            <v>3.53</v>
          </cell>
          <cell r="W92">
            <v>29.02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 t="str">
            <v>cloudy</v>
          </cell>
        </row>
        <row r="93">
          <cell r="C93">
            <v>45838</v>
          </cell>
          <cell r="D93">
            <v>0.474305555555556</v>
          </cell>
          <cell r="E93">
            <v>0.739583333333333</v>
          </cell>
          <cell r="F93">
            <v>395.83</v>
          </cell>
          <cell r="G93">
            <v>393.97</v>
          </cell>
          <cell r="H93">
            <v>397.2</v>
          </cell>
          <cell r="I93">
            <v>414.68</v>
          </cell>
          <cell r="J93">
            <v>409.82</v>
          </cell>
          <cell r="K93">
            <v>410.15</v>
          </cell>
          <cell r="L93">
            <v>405.58</v>
          </cell>
          <cell r="M93">
            <v>2827.23</v>
          </cell>
          <cell r="N93">
            <v>455.99</v>
          </cell>
          <cell r="O93">
            <v>456.92</v>
          </cell>
          <cell r="P93">
            <v>2790.00000000002</v>
          </cell>
          <cell r="Q93">
            <v>3.19</v>
          </cell>
          <cell r="R93">
            <v>3.2</v>
          </cell>
          <cell r="S93">
            <v>30.0000000000007</v>
          </cell>
          <cell r="T93">
            <v>2760.00000000002</v>
          </cell>
          <cell r="U93">
            <v>0</v>
          </cell>
          <cell r="V93">
            <v>1.23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 t="str">
            <v>rainy</v>
          </cell>
        </row>
        <row r="94">
          <cell r="C94">
            <v>45839</v>
          </cell>
          <cell r="D94">
            <v>0.28125</v>
          </cell>
          <cell r="E94">
            <v>0.791666666666667</v>
          </cell>
          <cell r="F94">
            <v>1172.53</v>
          </cell>
          <cell r="G94">
            <v>1166.08</v>
          </cell>
          <cell r="H94">
            <v>1172.77</v>
          </cell>
          <cell r="I94">
            <v>1231.88</v>
          </cell>
          <cell r="J94">
            <v>1224.3</v>
          </cell>
          <cell r="K94">
            <v>1227.06</v>
          </cell>
          <cell r="L94">
            <v>1208.32</v>
          </cell>
          <cell r="M94">
            <v>8402.94</v>
          </cell>
          <cell r="N94">
            <v>456.92</v>
          </cell>
          <cell r="O94">
            <v>459.71</v>
          </cell>
          <cell r="P94">
            <v>8369.99999999989</v>
          </cell>
          <cell r="Q94">
            <v>3.2</v>
          </cell>
          <cell r="R94">
            <v>3.21</v>
          </cell>
          <cell r="S94">
            <v>29.9999999999994</v>
          </cell>
          <cell r="T94">
            <v>8339.99999999989</v>
          </cell>
          <cell r="U94">
            <v>0</v>
          </cell>
          <cell r="V94">
            <v>3.18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 t="str">
            <v>cloudy</v>
          </cell>
        </row>
        <row r="95">
          <cell r="C95">
            <v>45840</v>
          </cell>
          <cell r="D95">
            <v>0.3125</v>
          </cell>
          <cell r="E95">
            <v>0.760416666666667</v>
          </cell>
          <cell r="F95">
            <v>642.45</v>
          </cell>
          <cell r="G95">
            <v>647.84</v>
          </cell>
          <cell r="H95">
            <v>644.98</v>
          </cell>
          <cell r="I95">
            <v>650.15</v>
          </cell>
          <cell r="J95">
            <v>619.95</v>
          </cell>
          <cell r="K95">
            <v>613</v>
          </cell>
          <cell r="L95">
            <v>614.46</v>
          </cell>
          <cell r="M95">
            <v>4432.83</v>
          </cell>
          <cell r="N95">
            <v>459.71</v>
          </cell>
          <cell r="O95">
            <v>461.17</v>
          </cell>
          <cell r="P95">
            <v>4380.00000000011</v>
          </cell>
          <cell r="Q95">
            <v>3.21</v>
          </cell>
          <cell r="R95">
            <v>3.23</v>
          </cell>
          <cell r="S95">
            <v>60.0000000000001</v>
          </cell>
          <cell r="T95">
            <v>4320.00000000011</v>
          </cell>
          <cell r="U95">
            <v>0</v>
          </cell>
          <cell r="V95">
            <v>1.61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 t="str">
            <v>rainy</v>
          </cell>
        </row>
        <row r="96">
          <cell r="C96">
            <v>45841</v>
          </cell>
          <cell r="D96">
            <v>0.291666666666667</v>
          </cell>
          <cell r="E96">
            <v>0.770833333333333</v>
          </cell>
          <cell r="F96">
            <v>552.12</v>
          </cell>
          <cell r="G96">
            <v>548.44</v>
          </cell>
          <cell r="H96">
            <v>553.68</v>
          </cell>
          <cell r="I96">
            <v>578.56</v>
          </cell>
          <cell r="J96">
            <v>570.98</v>
          </cell>
          <cell r="K96">
            <v>570.54</v>
          </cell>
          <cell r="L96">
            <v>564.89</v>
          </cell>
          <cell r="M96">
            <v>3939.21</v>
          </cell>
          <cell r="N96">
            <v>461.17</v>
          </cell>
          <cell r="O96">
            <v>462.46</v>
          </cell>
          <cell r="P96">
            <v>3869.99999999989</v>
          </cell>
          <cell r="Q96">
            <v>3.23</v>
          </cell>
          <cell r="R96">
            <v>3.25</v>
          </cell>
          <cell r="S96">
            <v>60.0000000000001</v>
          </cell>
          <cell r="T96">
            <v>3809.99999999989</v>
          </cell>
          <cell r="U96">
            <v>0</v>
          </cell>
          <cell r="V96">
            <v>1.11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 t="str">
            <v>rainy</v>
          </cell>
        </row>
        <row r="97">
          <cell r="C97">
            <v>45842</v>
          </cell>
          <cell r="D97">
            <v>0.302083333333333</v>
          </cell>
          <cell r="E97">
            <v>0.729166666666667</v>
          </cell>
          <cell r="F97">
            <v>918.61</v>
          </cell>
          <cell r="G97">
            <v>914.07</v>
          </cell>
          <cell r="H97">
            <v>917.92</v>
          </cell>
          <cell r="I97">
            <v>960.93</v>
          </cell>
          <cell r="J97">
            <v>950.77</v>
          </cell>
          <cell r="K97">
            <v>954.17</v>
          </cell>
          <cell r="L97">
            <v>937.5</v>
          </cell>
          <cell r="M97">
            <v>6553.97</v>
          </cell>
          <cell r="N97">
            <v>462.46</v>
          </cell>
          <cell r="O97">
            <v>464.64</v>
          </cell>
          <cell r="P97">
            <v>6540.00000000002</v>
          </cell>
          <cell r="Q97">
            <v>3.25</v>
          </cell>
          <cell r="R97">
            <v>3.27</v>
          </cell>
          <cell r="S97">
            <v>60.0000000000001</v>
          </cell>
          <cell r="T97">
            <v>6480.00000000002</v>
          </cell>
          <cell r="U97">
            <v>0</v>
          </cell>
          <cell r="V97">
            <v>2.7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 t="str">
            <v>rainy</v>
          </cell>
        </row>
        <row r="98">
          <cell r="C98">
            <v>45843</v>
          </cell>
          <cell r="D98">
            <v>0.302083333333333</v>
          </cell>
          <cell r="E98">
            <v>0.78125</v>
          </cell>
          <cell r="F98">
            <v>555.97</v>
          </cell>
          <cell r="G98">
            <v>554.69</v>
          </cell>
          <cell r="H98">
            <v>560.31</v>
          </cell>
          <cell r="I98">
            <v>587.87</v>
          </cell>
          <cell r="J98">
            <v>583.18</v>
          </cell>
          <cell r="K98">
            <v>579.78</v>
          </cell>
          <cell r="L98">
            <v>578.86</v>
          </cell>
          <cell r="M98">
            <v>4000.66</v>
          </cell>
          <cell r="N98">
            <v>464.64</v>
          </cell>
          <cell r="O98">
            <v>465.97</v>
          </cell>
          <cell r="P98">
            <v>3990.00000000012</v>
          </cell>
          <cell r="Q98">
            <v>3.27</v>
          </cell>
          <cell r="R98">
            <v>3.29</v>
          </cell>
          <cell r="S98">
            <v>60.0000000000001</v>
          </cell>
          <cell r="T98">
            <v>3930.00000000012</v>
          </cell>
          <cell r="U98">
            <v>0</v>
          </cell>
          <cell r="V98">
            <v>1.3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 t="str">
            <v>cloudy</v>
          </cell>
        </row>
        <row r="99">
          <cell r="C99">
            <v>45844</v>
          </cell>
          <cell r="D99">
            <v>0.291666666666667</v>
          </cell>
          <cell r="E99">
            <v>0.78125</v>
          </cell>
          <cell r="F99">
            <v>869.04</v>
          </cell>
          <cell r="G99">
            <v>866.38</v>
          </cell>
          <cell r="H99">
            <v>871.16</v>
          </cell>
          <cell r="I99">
            <v>919.06</v>
          </cell>
          <cell r="J99">
            <v>907.1</v>
          </cell>
          <cell r="K99">
            <v>908.09</v>
          </cell>
          <cell r="L99">
            <v>892.9</v>
          </cell>
          <cell r="M99">
            <v>6233.73</v>
          </cell>
          <cell r="N99">
            <v>465.97</v>
          </cell>
          <cell r="O99">
            <v>468.05</v>
          </cell>
          <cell r="P99">
            <v>6239.99999999995</v>
          </cell>
          <cell r="Q99">
            <v>3.29</v>
          </cell>
          <cell r="R99">
            <v>3.31</v>
          </cell>
          <cell r="S99">
            <v>60.0000000000001</v>
          </cell>
          <cell r="T99">
            <v>6179.99999999995</v>
          </cell>
          <cell r="U99">
            <v>0</v>
          </cell>
          <cell r="V99">
            <v>2.44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 t="str">
            <v>cloudy</v>
          </cell>
        </row>
        <row r="100">
          <cell r="C100">
            <v>45845</v>
          </cell>
          <cell r="D100">
            <v>0.291666666666667</v>
          </cell>
          <cell r="E100">
            <v>0.78125</v>
          </cell>
          <cell r="F100">
            <v>673.82</v>
          </cell>
          <cell r="G100">
            <v>670.72</v>
          </cell>
          <cell r="H100">
            <v>675.36</v>
          </cell>
          <cell r="I100">
            <v>708.52</v>
          </cell>
          <cell r="J100">
            <v>702.16</v>
          </cell>
          <cell r="K100">
            <v>704.08</v>
          </cell>
          <cell r="L100">
            <v>695.59</v>
          </cell>
          <cell r="M100">
            <v>4830.25</v>
          </cell>
          <cell r="N100">
            <v>468.05</v>
          </cell>
          <cell r="O100">
            <v>469.67</v>
          </cell>
          <cell r="P100">
            <v>4860.00000000001</v>
          </cell>
          <cell r="Q100">
            <v>3.31</v>
          </cell>
          <cell r="R100">
            <v>3.33</v>
          </cell>
          <cell r="S100">
            <v>60.0000000000001</v>
          </cell>
          <cell r="T100">
            <v>4800.00000000001</v>
          </cell>
          <cell r="U100">
            <v>0</v>
          </cell>
          <cell r="V100">
            <v>1.82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 t="str">
            <v>rainy</v>
          </cell>
        </row>
        <row r="101">
          <cell r="C101">
            <v>45846</v>
          </cell>
          <cell r="D101">
            <v>0.291666666666667</v>
          </cell>
          <cell r="E101">
            <v>0.791666666666667</v>
          </cell>
          <cell r="F101">
            <v>1064.11</v>
          </cell>
          <cell r="G101">
            <v>1058.54</v>
          </cell>
          <cell r="H101">
            <v>1061.68</v>
          </cell>
          <cell r="I101">
            <v>1114.95</v>
          </cell>
          <cell r="J101">
            <v>1103.49</v>
          </cell>
          <cell r="K101">
            <v>1107.27</v>
          </cell>
          <cell r="L101">
            <v>1092.42</v>
          </cell>
          <cell r="M101">
            <v>7602.46</v>
          </cell>
          <cell r="N101">
            <v>469.67</v>
          </cell>
          <cell r="O101">
            <v>472.2</v>
          </cell>
          <cell r="P101">
            <v>7589.99999999992</v>
          </cell>
          <cell r="Q101">
            <v>3.33</v>
          </cell>
          <cell r="R101">
            <v>3.35</v>
          </cell>
          <cell r="S101">
            <v>60.0000000000001</v>
          </cell>
          <cell r="T101">
            <v>7529.99999999992</v>
          </cell>
          <cell r="U101">
            <v>0</v>
          </cell>
          <cell r="V101">
            <v>3.16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 t="str">
            <v>cloudy</v>
          </cell>
        </row>
        <row r="102">
          <cell r="C102">
            <v>45847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472.2</v>
          </cell>
          <cell r="O102">
            <v>0</v>
          </cell>
          <cell r="P102">
            <v>0</v>
          </cell>
          <cell r="Q102">
            <v>3.35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</row>
        <row r="103">
          <cell r="C103">
            <v>45848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</row>
        <row r="104">
          <cell r="C104">
            <v>45849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</row>
        <row r="105">
          <cell r="C105">
            <v>45850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</row>
        <row r="106">
          <cell r="C106">
            <v>45851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</row>
        <row r="107">
          <cell r="C107">
            <v>45852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</row>
        <row r="108">
          <cell r="C108">
            <v>45853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</row>
        <row r="109">
          <cell r="C109">
            <v>45854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</row>
        <row r="110">
          <cell r="C110">
            <v>45855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</row>
        <row r="111">
          <cell r="C111">
            <v>45856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</row>
        <row r="112">
          <cell r="C112">
            <v>45857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</row>
        <row r="113">
          <cell r="C113">
            <v>45858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</row>
        <row r="114">
          <cell r="C114">
            <v>45859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</row>
        <row r="115">
          <cell r="C115">
            <v>45860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</row>
        <row r="116">
          <cell r="C116">
            <v>45861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</row>
        <row r="117">
          <cell r="C117">
            <v>45862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</row>
        <row r="118">
          <cell r="C118">
            <v>45863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</row>
        <row r="119">
          <cell r="C119">
            <v>45864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</row>
        <row r="120">
          <cell r="C120">
            <v>45865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</row>
        <row r="121">
          <cell r="C121">
            <v>45866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</row>
        <row r="122">
          <cell r="C122">
            <v>45867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</row>
        <row r="123">
          <cell r="C123">
            <v>45868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</row>
        <row r="124">
          <cell r="C124">
            <v>45869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</row>
        <row r="125">
          <cell r="C125">
            <v>45870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</row>
        <row r="126">
          <cell r="C126">
            <v>45871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</row>
        <row r="127">
          <cell r="C127">
            <v>45872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</row>
        <row r="128">
          <cell r="C128">
            <v>45873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</row>
        <row r="129">
          <cell r="C129">
            <v>45874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</row>
        <row r="130">
          <cell r="C130">
            <v>45875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</row>
        <row r="131">
          <cell r="C131">
            <v>45876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</row>
        <row r="132">
          <cell r="C132">
            <v>45877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</row>
        <row r="133">
          <cell r="C133">
            <v>45878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</row>
        <row r="134">
          <cell r="C134">
            <v>45879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</row>
        <row r="135">
          <cell r="C135">
            <v>45880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</row>
        <row r="136">
          <cell r="C136">
            <v>45881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</row>
        <row r="137">
          <cell r="C137">
            <v>45882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</row>
        <row r="138">
          <cell r="C138">
            <v>45883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</row>
        <row r="139">
          <cell r="C139">
            <v>45884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</row>
        <row r="140">
          <cell r="C140">
            <v>45885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</row>
        <row r="141">
          <cell r="C141">
            <v>45886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</row>
        <row r="142">
          <cell r="C142">
            <v>45887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</row>
        <row r="143">
          <cell r="C143">
            <v>45888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</row>
        <row r="144">
          <cell r="C144">
            <v>45889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</row>
        <row r="145">
          <cell r="C145">
            <v>45890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</row>
        <row r="146">
          <cell r="C146">
            <v>45891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</row>
        <row r="147">
          <cell r="C147">
            <v>45892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</row>
        <row r="148">
          <cell r="C148">
            <v>45893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</row>
        <row r="149">
          <cell r="C149">
            <v>45894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</row>
        <row r="150">
          <cell r="C150">
            <v>45895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</row>
        <row r="151">
          <cell r="C151">
            <v>45896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</row>
        <row r="152">
          <cell r="C152">
            <v>45897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</row>
        <row r="153">
          <cell r="C153">
            <v>45898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</row>
        <row r="154">
          <cell r="C154">
            <v>45899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</row>
        <row r="155">
          <cell r="C155">
            <v>45900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</row>
        <row r="156">
          <cell r="C156">
            <v>45901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</row>
        <row r="157">
          <cell r="C157">
            <v>45902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</row>
        <row r="158">
          <cell r="C158">
            <v>45903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</row>
        <row r="159">
          <cell r="C159">
            <v>45904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</row>
        <row r="160">
          <cell r="C160">
            <v>45905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</row>
        <row r="161">
          <cell r="C161">
            <v>45906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</row>
        <row r="162">
          <cell r="C162">
            <v>45907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</row>
        <row r="163">
          <cell r="C163">
            <v>45908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</row>
        <row r="164">
          <cell r="C164">
            <v>45909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</row>
        <row r="165">
          <cell r="C165">
            <v>45910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</row>
        <row r="166">
          <cell r="C166">
            <v>45911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</row>
        <row r="167">
          <cell r="C167">
            <v>45912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</row>
        <row r="168">
          <cell r="C168">
            <v>45913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</row>
        <row r="169">
          <cell r="C169">
            <v>45914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</row>
        <row r="170">
          <cell r="C170">
            <v>45915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</row>
        <row r="171">
          <cell r="C171">
            <v>45916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</row>
        <row r="172">
          <cell r="C172">
            <v>45917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</row>
        <row r="173">
          <cell r="C173">
            <v>45918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</row>
        <row r="174">
          <cell r="C174">
            <v>45919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</row>
        <row r="175">
          <cell r="C175">
            <v>45920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</row>
        <row r="176">
          <cell r="C176">
            <v>45921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</row>
        <row r="177">
          <cell r="C177">
            <v>45922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</row>
        <row r="178">
          <cell r="C178">
            <v>45923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</row>
        <row r="179">
          <cell r="C179">
            <v>45924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</row>
        <row r="180">
          <cell r="C180">
            <v>45925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</row>
        <row r="181">
          <cell r="C181">
            <v>45926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</row>
        <row r="182">
          <cell r="C182">
            <v>45927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</row>
        <row r="183">
          <cell r="C183">
            <v>45928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</row>
        <row r="184">
          <cell r="C184">
            <v>45929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</row>
        <row r="185">
          <cell r="C185">
            <v>45930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</row>
        <row r="186">
          <cell r="C186">
            <v>45931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</row>
        <row r="187">
          <cell r="C187">
            <v>45932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</row>
        <row r="188">
          <cell r="C188">
            <v>45933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</row>
        <row r="189">
          <cell r="C189">
            <v>45934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</row>
        <row r="190">
          <cell r="C190">
            <v>45935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</row>
        <row r="191">
          <cell r="C191">
            <v>45936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</row>
        <row r="192">
          <cell r="C192">
            <v>45937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</row>
        <row r="193">
          <cell r="C193">
            <v>45938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</row>
        <row r="194">
          <cell r="C194">
            <v>45939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</row>
        <row r="195">
          <cell r="C195">
            <v>45940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</row>
        <row r="196">
          <cell r="C196">
            <v>45941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</row>
        <row r="197">
          <cell r="C197">
            <v>45942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</row>
        <row r="198">
          <cell r="C198">
            <v>45943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</row>
        <row r="199">
          <cell r="C199">
            <v>45944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</row>
        <row r="200">
          <cell r="C200">
            <v>45945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</row>
        <row r="201">
          <cell r="C201">
            <v>45946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</row>
        <row r="202">
          <cell r="C202">
            <v>45947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</row>
        <row r="203">
          <cell r="C203">
            <v>45948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</row>
        <row r="204">
          <cell r="C204">
            <v>45949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</row>
        <row r="205">
          <cell r="C205">
            <v>45950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</row>
        <row r="206">
          <cell r="C206">
            <v>45951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</row>
        <row r="207">
          <cell r="C207">
            <v>45952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</row>
        <row r="208">
          <cell r="C208">
            <v>45953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</row>
        <row r="209">
          <cell r="C209">
            <v>45954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</row>
        <row r="210">
          <cell r="C210">
            <v>45955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</row>
        <row r="211">
          <cell r="C211">
            <v>45956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</row>
        <row r="212">
          <cell r="C212">
            <v>45957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</row>
        <row r="213">
          <cell r="C213">
            <v>45958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</row>
        <row r="214">
          <cell r="C214">
            <v>45959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</row>
        <row r="215">
          <cell r="C215">
            <v>45960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</row>
        <row r="216">
          <cell r="C216">
            <v>45961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</row>
        <row r="217">
          <cell r="C217">
            <v>45962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</row>
        <row r="218">
          <cell r="C218">
            <v>45963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</row>
        <row r="219">
          <cell r="C219">
            <v>45964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</row>
        <row r="220">
          <cell r="C220">
            <v>45965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</row>
        <row r="221">
          <cell r="C221">
            <v>45966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</row>
        <row r="222">
          <cell r="C222">
            <v>45967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</row>
        <row r="223">
          <cell r="C223">
            <v>45968</v>
          </cell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</row>
        <row r="224">
          <cell r="C224">
            <v>45969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</row>
        <row r="225">
          <cell r="C225">
            <v>45970</v>
          </cell>
          <cell r="D225">
            <v>0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</row>
        <row r="226">
          <cell r="C226">
            <v>45971</v>
          </cell>
          <cell r="D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</row>
        <row r="227">
          <cell r="C227">
            <v>45972</v>
          </cell>
          <cell r="D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</row>
        <row r="228">
          <cell r="C228">
            <v>45973</v>
          </cell>
          <cell r="D228">
            <v>0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</row>
        <row r="229">
          <cell r="C229">
            <v>45974</v>
          </cell>
          <cell r="D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</row>
        <row r="230">
          <cell r="C230">
            <v>45975</v>
          </cell>
          <cell r="D230">
            <v>0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</row>
        <row r="231">
          <cell r="C231">
            <v>45976</v>
          </cell>
          <cell r="D231">
            <v>0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</row>
        <row r="232">
          <cell r="C232">
            <v>45977</v>
          </cell>
          <cell r="D232">
            <v>0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</row>
        <row r="233">
          <cell r="C233">
            <v>45978</v>
          </cell>
          <cell r="D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</row>
        <row r="234">
          <cell r="C234">
            <v>45979</v>
          </cell>
          <cell r="D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</row>
        <row r="235">
          <cell r="C235">
            <v>45980</v>
          </cell>
          <cell r="D235">
            <v>0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</row>
        <row r="236">
          <cell r="C236">
            <v>45981</v>
          </cell>
          <cell r="D236">
            <v>0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</row>
        <row r="237">
          <cell r="C237">
            <v>45982</v>
          </cell>
          <cell r="D237">
            <v>0</v>
          </cell>
          <cell r="E237">
            <v>0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</row>
        <row r="238">
          <cell r="C238">
            <v>45983</v>
          </cell>
          <cell r="D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</row>
        <row r="239">
          <cell r="C239">
            <v>45984</v>
          </cell>
          <cell r="D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</row>
        <row r="240">
          <cell r="C240">
            <v>45985</v>
          </cell>
          <cell r="D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</row>
        <row r="241">
          <cell r="C241">
            <v>45986</v>
          </cell>
          <cell r="D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</row>
        <row r="242">
          <cell r="C242">
            <v>45987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>
            <v>0</v>
          </cell>
        </row>
        <row r="243">
          <cell r="C243">
            <v>45988</v>
          </cell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</row>
        <row r="244">
          <cell r="C244">
            <v>45989</v>
          </cell>
          <cell r="D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</row>
        <row r="245">
          <cell r="C245">
            <v>45990</v>
          </cell>
          <cell r="D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B245">
            <v>0</v>
          </cell>
        </row>
        <row r="246">
          <cell r="C246">
            <v>45991</v>
          </cell>
          <cell r="D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</row>
        <row r="247">
          <cell r="C247">
            <v>45992</v>
          </cell>
          <cell r="D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</row>
        <row r="248">
          <cell r="C248">
            <v>45993</v>
          </cell>
          <cell r="D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</row>
        <row r="249">
          <cell r="C249">
            <v>45994</v>
          </cell>
          <cell r="D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</row>
        <row r="250">
          <cell r="C250">
            <v>45995</v>
          </cell>
          <cell r="D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  <cell r="AB250">
            <v>0</v>
          </cell>
        </row>
        <row r="251">
          <cell r="C251">
            <v>45996</v>
          </cell>
          <cell r="D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</row>
        <row r="252">
          <cell r="C252">
            <v>45997</v>
          </cell>
          <cell r="D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</row>
        <row r="253">
          <cell r="C253">
            <v>45998</v>
          </cell>
          <cell r="D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</row>
        <row r="254">
          <cell r="C254">
            <v>45999</v>
          </cell>
          <cell r="D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</row>
        <row r="255">
          <cell r="C255">
            <v>46000</v>
          </cell>
          <cell r="D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</row>
        <row r="256">
          <cell r="C256">
            <v>46001</v>
          </cell>
          <cell r="D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</row>
        <row r="257">
          <cell r="C257">
            <v>46002</v>
          </cell>
          <cell r="D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</row>
        <row r="258">
          <cell r="C258">
            <v>46003</v>
          </cell>
          <cell r="D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</row>
        <row r="259">
          <cell r="C259">
            <v>46004</v>
          </cell>
          <cell r="D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</row>
        <row r="260">
          <cell r="C260">
            <v>46005</v>
          </cell>
          <cell r="D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>
            <v>0</v>
          </cell>
          <cell r="AB260">
            <v>0</v>
          </cell>
        </row>
        <row r="261">
          <cell r="C261">
            <v>46006</v>
          </cell>
          <cell r="D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>
            <v>0</v>
          </cell>
          <cell r="AA261">
            <v>0</v>
          </cell>
          <cell r="AB261">
            <v>0</v>
          </cell>
        </row>
        <row r="262">
          <cell r="C262">
            <v>46007</v>
          </cell>
          <cell r="D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  <cell r="AB262">
            <v>0</v>
          </cell>
        </row>
        <row r="263">
          <cell r="C263">
            <v>46008</v>
          </cell>
          <cell r="D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</row>
        <row r="264">
          <cell r="C264">
            <v>46009</v>
          </cell>
          <cell r="D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</row>
        <row r="265">
          <cell r="C265">
            <v>46010</v>
          </cell>
          <cell r="D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</row>
        <row r="266">
          <cell r="C266">
            <v>46011</v>
          </cell>
          <cell r="D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</row>
        <row r="267">
          <cell r="C267">
            <v>46012</v>
          </cell>
          <cell r="D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</row>
        <row r="268">
          <cell r="C268">
            <v>46013</v>
          </cell>
          <cell r="D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</row>
        <row r="269">
          <cell r="C269">
            <v>46014</v>
          </cell>
          <cell r="D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</row>
        <row r="270">
          <cell r="C270">
            <v>46015</v>
          </cell>
          <cell r="D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</row>
        <row r="271">
          <cell r="C271">
            <v>46016</v>
          </cell>
          <cell r="D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</row>
        <row r="272">
          <cell r="C272">
            <v>46017</v>
          </cell>
          <cell r="D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  <cell r="AB272">
            <v>0</v>
          </cell>
        </row>
        <row r="273">
          <cell r="C273">
            <v>46018</v>
          </cell>
          <cell r="D273">
            <v>0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</row>
        <row r="274">
          <cell r="C274">
            <v>46019</v>
          </cell>
          <cell r="D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</row>
        <row r="275">
          <cell r="C275">
            <v>46020</v>
          </cell>
          <cell r="D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</row>
        <row r="276">
          <cell r="C276">
            <v>46021</v>
          </cell>
          <cell r="D276">
            <v>0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</row>
        <row r="277">
          <cell r="C277">
            <v>46022</v>
          </cell>
          <cell r="D277">
            <v>0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</row>
        <row r="278">
          <cell r="C278">
            <v>46023</v>
          </cell>
          <cell r="D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</row>
        <row r="279">
          <cell r="C279">
            <v>46024</v>
          </cell>
          <cell r="D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  <cell r="AB279">
            <v>0</v>
          </cell>
        </row>
        <row r="280">
          <cell r="C280">
            <v>46025</v>
          </cell>
          <cell r="D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>
            <v>0</v>
          </cell>
          <cell r="AB280">
            <v>0</v>
          </cell>
        </row>
        <row r="281">
          <cell r="C281">
            <v>46026</v>
          </cell>
          <cell r="D281">
            <v>0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T281">
            <v>0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  <cell r="AB281">
            <v>0</v>
          </cell>
        </row>
        <row r="282">
          <cell r="C282">
            <v>46027</v>
          </cell>
          <cell r="D282">
            <v>0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</row>
        <row r="283">
          <cell r="C283">
            <v>46028</v>
          </cell>
          <cell r="D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U283">
            <v>0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  <cell r="AB283">
            <v>0</v>
          </cell>
        </row>
        <row r="284">
          <cell r="C284">
            <v>46029</v>
          </cell>
          <cell r="D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</row>
        <row r="285">
          <cell r="C285">
            <v>46030</v>
          </cell>
          <cell r="D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</row>
        <row r="286">
          <cell r="C286">
            <v>46031</v>
          </cell>
          <cell r="D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</row>
        <row r="287">
          <cell r="C287">
            <v>46032</v>
          </cell>
          <cell r="D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</row>
        <row r="288">
          <cell r="C288">
            <v>46033</v>
          </cell>
          <cell r="D288">
            <v>0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</row>
        <row r="289">
          <cell r="C289">
            <v>46034</v>
          </cell>
          <cell r="D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</row>
        <row r="290">
          <cell r="C290">
            <v>46035</v>
          </cell>
          <cell r="D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</row>
        <row r="291">
          <cell r="C291">
            <v>46036</v>
          </cell>
          <cell r="D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</row>
        <row r="292">
          <cell r="C292">
            <v>46037</v>
          </cell>
          <cell r="D292">
            <v>0</v>
          </cell>
          <cell r="E292">
            <v>0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</row>
        <row r="293">
          <cell r="C293">
            <v>46038</v>
          </cell>
          <cell r="D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</row>
        <row r="294">
          <cell r="C294">
            <v>46039</v>
          </cell>
          <cell r="D294">
            <v>0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</row>
        <row r="295">
          <cell r="C295">
            <v>46040</v>
          </cell>
          <cell r="D295">
            <v>0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</row>
        <row r="296">
          <cell r="C296">
            <v>46041</v>
          </cell>
          <cell r="D296">
            <v>0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</row>
        <row r="297">
          <cell r="C297">
            <v>46042</v>
          </cell>
          <cell r="D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</row>
        <row r="298">
          <cell r="C298">
            <v>46043</v>
          </cell>
          <cell r="D298">
            <v>0</v>
          </cell>
          <cell r="E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</row>
        <row r="299">
          <cell r="C299">
            <v>46044</v>
          </cell>
          <cell r="D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</row>
        <row r="300">
          <cell r="C300">
            <v>46045</v>
          </cell>
          <cell r="D300">
            <v>0</v>
          </cell>
          <cell r="E300">
            <v>0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</row>
        <row r="301">
          <cell r="C301">
            <v>46046</v>
          </cell>
          <cell r="D301">
            <v>0</v>
          </cell>
          <cell r="E301">
            <v>0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</row>
        <row r="302">
          <cell r="C302">
            <v>46047</v>
          </cell>
          <cell r="D302">
            <v>0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</row>
        <row r="303">
          <cell r="C303">
            <v>46048</v>
          </cell>
          <cell r="D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</row>
        <row r="304">
          <cell r="C304">
            <v>46049</v>
          </cell>
          <cell r="D304">
            <v>0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  <cell r="AB304">
            <v>0</v>
          </cell>
        </row>
        <row r="305">
          <cell r="C305">
            <v>46050</v>
          </cell>
          <cell r="D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B305">
            <v>0</v>
          </cell>
        </row>
        <row r="306">
          <cell r="C306">
            <v>46051</v>
          </cell>
          <cell r="D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</row>
        <row r="307">
          <cell r="C307">
            <v>46052</v>
          </cell>
          <cell r="D307">
            <v>0</v>
          </cell>
          <cell r="E307">
            <v>0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</row>
        <row r="308">
          <cell r="C308">
            <v>46053</v>
          </cell>
          <cell r="D308">
            <v>0</v>
          </cell>
          <cell r="E308">
            <v>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</row>
        <row r="309">
          <cell r="C309">
            <v>46054</v>
          </cell>
          <cell r="D309">
            <v>0</v>
          </cell>
          <cell r="E309">
            <v>0</v>
          </cell>
          <cell r="F309">
            <v>0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  <cell r="AB309">
            <v>0</v>
          </cell>
        </row>
        <row r="310">
          <cell r="C310">
            <v>46055</v>
          </cell>
          <cell r="D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</row>
        <row r="311">
          <cell r="C311">
            <v>46056</v>
          </cell>
          <cell r="D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</row>
        <row r="312">
          <cell r="C312">
            <v>46057</v>
          </cell>
          <cell r="D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  <cell r="AB312">
            <v>0</v>
          </cell>
        </row>
        <row r="313">
          <cell r="C313">
            <v>46058</v>
          </cell>
          <cell r="D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</row>
        <row r="314">
          <cell r="C314">
            <v>46059</v>
          </cell>
          <cell r="D314">
            <v>0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</row>
        <row r="315">
          <cell r="C315">
            <v>46060</v>
          </cell>
          <cell r="D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</row>
        <row r="316">
          <cell r="C316">
            <v>46061</v>
          </cell>
          <cell r="D316">
            <v>0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</row>
        <row r="317">
          <cell r="C317">
            <v>46062</v>
          </cell>
          <cell r="D317">
            <v>0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</row>
        <row r="318">
          <cell r="C318">
            <v>46063</v>
          </cell>
          <cell r="D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</row>
        <row r="319">
          <cell r="C319">
            <v>46064</v>
          </cell>
          <cell r="D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</row>
        <row r="320">
          <cell r="C320">
            <v>46065</v>
          </cell>
          <cell r="D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</row>
        <row r="321">
          <cell r="C321">
            <v>46066</v>
          </cell>
          <cell r="D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</row>
        <row r="322">
          <cell r="C322">
            <v>46067</v>
          </cell>
          <cell r="D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</row>
        <row r="323">
          <cell r="C323">
            <v>46068</v>
          </cell>
          <cell r="D323">
            <v>0</v>
          </cell>
          <cell r="E323">
            <v>0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</row>
        <row r="324">
          <cell r="C324">
            <v>46069</v>
          </cell>
          <cell r="D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</row>
        <row r="325">
          <cell r="C325">
            <v>46070</v>
          </cell>
          <cell r="D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</row>
        <row r="326">
          <cell r="C326">
            <v>46071</v>
          </cell>
          <cell r="D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</row>
        <row r="327">
          <cell r="C327">
            <v>46072</v>
          </cell>
          <cell r="D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</row>
        <row r="328">
          <cell r="C328">
            <v>46073</v>
          </cell>
          <cell r="D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  <cell r="AB328">
            <v>0</v>
          </cell>
        </row>
        <row r="329">
          <cell r="C329">
            <v>46074</v>
          </cell>
          <cell r="D329">
            <v>0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  <cell r="AB329">
            <v>0</v>
          </cell>
        </row>
        <row r="330">
          <cell r="C330">
            <v>46075</v>
          </cell>
          <cell r="D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0</v>
          </cell>
          <cell r="AB330">
            <v>0</v>
          </cell>
        </row>
        <row r="331">
          <cell r="C331">
            <v>46076</v>
          </cell>
          <cell r="D331">
            <v>0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>
            <v>0</v>
          </cell>
          <cell r="AB331">
            <v>0</v>
          </cell>
        </row>
        <row r="332">
          <cell r="C332">
            <v>46077</v>
          </cell>
          <cell r="D332">
            <v>0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</row>
        <row r="333">
          <cell r="C333">
            <v>46078</v>
          </cell>
          <cell r="D333">
            <v>0</v>
          </cell>
          <cell r="E333">
            <v>0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>
            <v>0</v>
          </cell>
          <cell r="AB333">
            <v>0</v>
          </cell>
        </row>
        <row r="334">
          <cell r="C334">
            <v>46079</v>
          </cell>
          <cell r="D334">
            <v>0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>
            <v>0</v>
          </cell>
          <cell r="S334">
            <v>0</v>
          </cell>
          <cell r="T334">
            <v>0</v>
          </cell>
          <cell r="U334">
            <v>0</v>
          </cell>
          <cell r="V334">
            <v>0</v>
          </cell>
          <cell r="W334">
            <v>0</v>
          </cell>
          <cell r="X334">
            <v>0</v>
          </cell>
          <cell r="Y334">
            <v>0</v>
          </cell>
          <cell r="Z334">
            <v>0</v>
          </cell>
          <cell r="AA334">
            <v>0</v>
          </cell>
          <cell r="AB334">
            <v>0</v>
          </cell>
        </row>
        <row r="335">
          <cell r="C335">
            <v>46080</v>
          </cell>
          <cell r="D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>
            <v>0</v>
          </cell>
          <cell r="S335">
            <v>0</v>
          </cell>
          <cell r="T335">
            <v>0</v>
          </cell>
          <cell r="U335">
            <v>0</v>
          </cell>
          <cell r="V335">
            <v>0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0</v>
          </cell>
          <cell r="AB335">
            <v>0</v>
          </cell>
        </row>
        <row r="336">
          <cell r="C336">
            <v>46081</v>
          </cell>
          <cell r="D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  <cell r="AA336">
            <v>0</v>
          </cell>
          <cell r="AB336">
            <v>0</v>
          </cell>
        </row>
        <row r="337">
          <cell r="C337">
            <v>46082</v>
          </cell>
          <cell r="D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  <cell r="S337">
            <v>0</v>
          </cell>
          <cell r="T337">
            <v>0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  <cell r="AB337">
            <v>0</v>
          </cell>
        </row>
        <row r="338">
          <cell r="C338">
            <v>46083</v>
          </cell>
          <cell r="D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>
            <v>0</v>
          </cell>
          <cell r="S338">
            <v>0</v>
          </cell>
          <cell r="T338">
            <v>0</v>
          </cell>
          <cell r="U338">
            <v>0</v>
          </cell>
          <cell r="V338">
            <v>0</v>
          </cell>
          <cell r="W338">
            <v>0</v>
          </cell>
          <cell r="X338">
            <v>0</v>
          </cell>
          <cell r="Y338">
            <v>0</v>
          </cell>
          <cell r="Z338">
            <v>0</v>
          </cell>
          <cell r="AA338">
            <v>0</v>
          </cell>
          <cell r="AB338">
            <v>0</v>
          </cell>
        </row>
        <row r="339">
          <cell r="C339">
            <v>46084</v>
          </cell>
          <cell r="D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U339">
            <v>0</v>
          </cell>
          <cell r="V339">
            <v>0</v>
          </cell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  <cell r="AB339">
            <v>0</v>
          </cell>
        </row>
        <row r="340">
          <cell r="C340">
            <v>46085</v>
          </cell>
          <cell r="D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>
            <v>0</v>
          </cell>
          <cell r="S340">
            <v>0</v>
          </cell>
          <cell r="T340">
            <v>0</v>
          </cell>
          <cell r="U340">
            <v>0</v>
          </cell>
          <cell r="V340">
            <v>0</v>
          </cell>
          <cell r="W340">
            <v>0</v>
          </cell>
          <cell r="X340">
            <v>0</v>
          </cell>
          <cell r="Y340">
            <v>0</v>
          </cell>
          <cell r="Z340">
            <v>0</v>
          </cell>
          <cell r="AA340">
            <v>0</v>
          </cell>
          <cell r="AB340">
            <v>0</v>
          </cell>
        </row>
        <row r="341">
          <cell r="C341">
            <v>46086</v>
          </cell>
          <cell r="D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0</v>
          </cell>
          <cell r="AA341">
            <v>0</v>
          </cell>
          <cell r="AB341">
            <v>0</v>
          </cell>
        </row>
        <row r="342">
          <cell r="C342">
            <v>46087</v>
          </cell>
          <cell r="D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>
            <v>0</v>
          </cell>
          <cell r="S342">
            <v>0</v>
          </cell>
          <cell r="T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A342">
            <v>0</v>
          </cell>
          <cell r="AB342">
            <v>0</v>
          </cell>
        </row>
        <row r="343">
          <cell r="C343">
            <v>46088</v>
          </cell>
          <cell r="D343">
            <v>0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>
            <v>0</v>
          </cell>
          <cell r="S343">
            <v>0</v>
          </cell>
          <cell r="T343">
            <v>0</v>
          </cell>
          <cell r="U343">
            <v>0</v>
          </cell>
          <cell r="V343">
            <v>0</v>
          </cell>
          <cell r="W343">
            <v>0</v>
          </cell>
          <cell r="X343">
            <v>0</v>
          </cell>
          <cell r="Y343">
            <v>0</v>
          </cell>
          <cell r="Z343">
            <v>0</v>
          </cell>
          <cell r="AA343">
            <v>0</v>
          </cell>
          <cell r="AB343">
            <v>0</v>
          </cell>
        </row>
        <row r="344">
          <cell r="C344">
            <v>46089</v>
          </cell>
          <cell r="D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>
            <v>0</v>
          </cell>
          <cell r="S344">
            <v>0</v>
          </cell>
          <cell r="T344">
            <v>0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0</v>
          </cell>
          <cell r="AA344">
            <v>0</v>
          </cell>
          <cell r="AB344">
            <v>0</v>
          </cell>
        </row>
        <row r="345">
          <cell r="C345">
            <v>46090</v>
          </cell>
          <cell r="D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>
            <v>0</v>
          </cell>
          <cell r="S345">
            <v>0</v>
          </cell>
          <cell r="T345">
            <v>0</v>
          </cell>
          <cell r="U345">
            <v>0</v>
          </cell>
          <cell r="V345">
            <v>0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0</v>
          </cell>
          <cell r="AB345">
            <v>0</v>
          </cell>
        </row>
        <row r="346">
          <cell r="C346">
            <v>46091</v>
          </cell>
          <cell r="D346">
            <v>0</v>
          </cell>
          <cell r="E346">
            <v>0</v>
          </cell>
          <cell r="F346">
            <v>0</v>
          </cell>
          <cell r="G346">
            <v>0</v>
          </cell>
          <cell r="H346">
            <v>0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>
            <v>0</v>
          </cell>
          <cell r="S346">
            <v>0</v>
          </cell>
          <cell r="T346">
            <v>0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0</v>
          </cell>
          <cell r="AA346">
            <v>0</v>
          </cell>
          <cell r="AB346">
            <v>0</v>
          </cell>
        </row>
        <row r="347">
          <cell r="C347">
            <v>46092</v>
          </cell>
          <cell r="D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0</v>
          </cell>
          <cell r="X347">
            <v>0</v>
          </cell>
          <cell r="Y347">
            <v>0</v>
          </cell>
          <cell r="Z347">
            <v>0</v>
          </cell>
          <cell r="AA347">
            <v>0</v>
          </cell>
          <cell r="AB347">
            <v>0</v>
          </cell>
        </row>
        <row r="348">
          <cell r="C348">
            <v>46093</v>
          </cell>
          <cell r="D348">
            <v>0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</row>
        <row r="349">
          <cell r="C349">
            <v>46094</v>
          </cell>
          <cell r="D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>
            <v>0</v>
          </cell>
          <cell r="S349">
            <v>0</v>
          </cell>
          <cell r="T349">
            <v>0</v>
          </cell>
          <cell r="U349">
            <v>0</v>
          </cell>
          <cell r="V349">
            <v>0</v>
          </cell>
          <cell r="W349">
            <v>0</v>
          </cell>
          <cell r="X349">
            <v>0</v>
          </cell>
          <cell r="Y349">
            <v>0</v>
          </cell>
          <cell r="Z349">
            <v>0</v>
          </cell>
          <cell r="AA349">
            <v>0</v>
          </cell>
          <cell r="AB349">
            <v>0</v>
          </cell>
        </row>
        <row r="350">
          <cell r="C350">
            <v>46095</v>
          </cell>
          <cell r="D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>
            <v>0</v>
          </cell>
          <cell r="S350">
            <v>0</v>
          </cell>
          <cell r="T350">
            <v>0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  <cell r="Y350">
            <v>0</v>
          </cell>
          <cell r="Z350">
            <v>0</v>
          </cell>
          <cell r="AA350">
            <v>0</v>
          </cell>
          <cell r="AB350">
            <v>0</v>
          </cell>
        </row>
        <row r="351">
          <cell r="C351">
            <v>46096</v>
          </cell>
          <cell r="D351">
            <v>0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>
            <v>0</v>
          </cell>
          <cell r="S351">
            <v>0</v>
          </cell>
          <cell r="T351">
            <v>0</v>
          </cell>
          <cell r="U351">
            <v>0</v>
          </cell>
          <cell r="V351">
            <v>0</v>
          </cell>
          <cell r="W351">
            <v>0</v>
          </cell>
          <cell r="X351">
            <v>0</v>
          </cell>
          <cell r="Y351">
            <v>0</v>
          </cell>
          <cell r="Z351">
            <v>0</v>
          </cell>
          <cell r="AA351">
            <v>0</v>
          </cell>
          <cell r="AB351">
            <v>0</v>
          </cell>
        </row>
        <row r="352">
          <cell r="C352">
            <v>46097</v>
          </cell>
          <cell r="D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  <cell r="Z352">
            <v>0</v>
          </cell>
          <cell r="AA352">
            <v>0</v>
          </cell>
          <cell r="AB352">
            <v>0</v>
          </cell>
        </row>
        <row r="353">
          <cell r="C353">
            <v>46098</v>
          </cell>
          <cell r="D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>
            <v>0</v>
          </cell>
          <cell r="S353">
            <v>0</v>
          </cell>
          <cell r="T353">
            <v>0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  <cell r="Z353">
            <v>0</v>
          </cell>
          <cell r="AA353">
            <v>0</v>
          </cell>
          <cell r="AB353">
            <v>0</v>
          </cell>
        </row>
        <row r="354">
          <cell r="C354">
            <v>46099</v>
          </cell>
          <cell r="D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>
            <v>0</v>
          </cell>
          <cell r="S354">
            <v>0</v>
          </cell>
          <cell r="T354">
            <v>0</v>
          </cell>
          <cell r="U354">
            <v>0</v>
          </cell>
          <cell r="V354">
            <v>0</v>
          </cell>
          <cell r="W354">
            <v>0</v>
          </cell>
          <cell r="X354">
            <v>0</v>
          </cell>
          <cell r="Y354">
            <v>0</v>
          </cell>
          <cell r="Z354">
            <v>0</v>
          </cell>
          <cell r="AA354">
            <v>0</v>
          </cell>
          <cell r="AB354">
            <v>0</v>
          </cell>
        </row>
        <row r="355">
          <cell r="C355">
            <v>46100</v>
          </cell>
          <cell r="D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  <cell r="U355">
            <v>0</v>
          </cell>
          <cell r="V355">
            <v>0</v>
          </cell>
          <cell r="W355">
            <v>0</v>
          </cell>
          <cell r="X355">
            <v>0</v>
          </cell>
          <cell r="Y355">
            <v>0</v>
          </cell>
          <cell r="Z355">
            <v>0</v>
          </cell>
          <cell r="AA355">
            <v>0</v>
          </cell>
          <cell r="AB355">
            <v>0</v>
          </cell>
        </row>
        <row r="356">
          <cell r="C356">
            <v>46101</v>
          </cell>
          <cell r="D356">
            <v>0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>
            <v>0</v>
          </cell>
          <cell r="S356">
            <v>0</v>
          </cell>
          <cell r="T356">
            <v>0</v>
          </cell>
          <cell r="U356">
            <v>0</v>
          </cell>
          <cell r="V356">
            <v>0</v>
          </cell>
          <cell r="W356">
            <v>0</v>
          </cell>
          <cell r="X356">
            <v>0</v>
          </cell>
          <cell r="Y356">
            <v>0</v>
          </cell>
          <cell r="Z356">
            <v>0</v>
          </cell>
          <cell r="AA356">
            <v>0</v>
          </cell>
          <cell r="AB356">
            <v>0</v>
          </cell>
        </row>
        <row r="357">
          <cell r="C357">
            <v>46102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>
            <v>0</v>
          </cell>
          <cell r="S357">
            <v>0</v>
          </cell>
          <cell r="T357">
            <v>0</v>
          </cell>
          <cell r="U357">
            <v>0</v>
          </cell>
          <cell r="V357">
            <v>0</v>
          </cell>
          <cell r="W357">
            <v>0</v>
          </cell>
          <cell r="X357">
            <v>0</v>
          </cell>
          <cell r="Y357">
            <v>0</v>
          </cell>
          <cell r="Z357">
            <v>0</v>
          </cell>
          <cell r="AA357">
            <v>0</v>
          </cell>
          <cell r="AB357">
            <v>0</v>
          </cell>
        </row>
        <row r="358">
          <cell r="C358">
            <v>46103</v>
          </cell>
          <cell r="D358">
            <v>0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>
            <v>0</v>
          </cell>
          <cell r="S358">
            <v>0</v>
          </cell>
          <cell r="T358">
            <v>0</v>
          </cell>
          <cell r="U358">
            <v>0</v>
          </cell>
          <cell r="V358">
            <v>0</v>
          </cell>
          <cell r="W358">
            <v>0</v>
          </cell>
          <cell r="X358">
            <v>0</v>
          </cell>
          <cell r="Y358">
            <v>0</v>
          </cell>
          <cell r="Z358">
            <v>0</v>
          </cell>
          <cell r="AA358">
            <v>0</v>
          </cell>
          <cell r="AB358">
            <v>0</v>
          </cell>
        </row>
        <row r="359">
          <cell r="C359">
            <v>46104</v>
          </cell>
          <cell r="D359">
            <v>0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>
            <v>0</v>
          </cell>
          <cell r="S359">
            <v>0</v>
          </cell>
          <cell r="T359">
            <v>0</v>
          </cell>
          <cell r="U359">
            <v>0</v>
          </cell>
          <cell r="V359">
            <v>0</v>
          </cell>
          <cell r="W359">
            <v>0</v>
          </cell>
          <cell r="X359">
            <v>0</v>
          </cell>
          <cell r="Y359">
            <v>0</v>
          </cell>
          <cell r="Z359">
            <v>0</v>
          </cell>
          <cell r="AA359">
            <v>0</v>
          </cell>
          <cell r="AB359">
            <v>0</v>
          </cell>
        </row>
        <row r="360">
          <cell r="C360">
            <v>46105</v>
          </cell>
          <cell r="D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</row>
        <row r="361">
          <cell r="C361">
            <v>46106</v>
          </cell>
          <cell r="D361">
            <v>0</v>
          </cell>
          <cell r="E361">
            <v>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</row>
        <row r="362">
          <cell r="C362">
            <v>46107</v>
          </cell>
          <cell r="D362">
            <v>0</v>
          </cell>
          <cell r="E362">
            <v>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</row>
        <row r="363">
          <cell r="C363">
            <v>46108</v>
          </cell>
          <cell r="D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  <cell r="AB363">
            <v>0</v>
          </cell>
        </row>
        <row r="364">
          <cell r="C364">
            <v>46109</v>
          </cell>
          <cell r="D364">
            <v>0</v>
          </cell>
          <cell r="E364">
            <v>0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A364">
            <v>0</v>
          </cell>
          <cell r="AB364">
            <v>0</v>
          </cell>
        </row>
        <row r="365">
          <cell r="C365">
            <v>46110</v>
          </cell>
          <cell r="D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>
            <v>0</v>
          </cell>
          <cell r="S365">
            <v>0</v>
          </cell>
          <cell r="T365">
            <v>0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  <cell r="AB365">
            <v>0</v>
          </cell>
        </row>
        <row r="366">
          <cell r="C366">
            <v>46111</v>
          </cell>
          <cell r="D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>
            <v>0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  <cell r="Y366">
            <v>0</v>
          </cell>
          <cell r="Z366">
            <v>0</v>
          </cell>
          <cell r="AA366">
            <v>0</v>
          </cell>
          <cell r="AB366">
            <v>0</v>
          </cell>
        </row>
        <row r="367">
          <cell r="C367">
            <v>46112</v>
          </cell>
          <cell r="D367">
            <v>0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>
            <v>0</v>
          </cell>
          <cell r="S367">
            <v>0</v>
          </cell>
          <cell r="T367">
            <v>0</v>
          </cell>
          <cell r="U367">
            <v>0</v>
          </cell>
          <cell r="V367">
            <v>0</v>
          </cell>
          <cell r="W367">
            <v>0</v>
          </cell>
          <cell r="X367">
            <v>0</v>
          </cell>
          <cell r="Y367">
            <v>0</v>
          </cell>
          <cell r="Z367">
            <v>0</v>
          </cell>
          <cell r="AA367">
            <v>0</v>
          </cell>
          <cell r="AB367">
            <v>0</v>
          </cell>
        </row>
        <row r="368">
          <cell r="F368">
            <v>0</v>
          </cell>
        </row>
        <row r="368">
          <cell r="M368">
            <v>0</v>
          </cell>
          <cell r="N368">
            <v>0</v>
          </cell>
        </row>
        <row r="368">
          <cell r="Q368">
            <v>0</v>
          </cell>
        </row>
      </sheetData>
      <sheetData sheetId="4"/>
      <sheetData sheetId="5"/>
      <sheetData sheetId="6">
        <row r="10">
          <cell r="F10">
            <v>1925</v>
          </cell>
          <cell r="G10">
            <v>2411.08</v>
          </cell>
        </row>
        <row r="28">
          <cell r="A28" t="str">
            <v>12-13</v>
          </cell>
          <cell r="B28">
            <v>41000</v>
          </cell>
        </row>
        <row r="29">
          <cell r="A29" t="str">
            <v>13-14</v>
          </cell>
          <cell r="B29">
            <v>41365</v>
          </cell>
        </row>
        <row r="30">
          <cell r="A30" t="str">
            <v>14-15</v>
          </cell>
          <cell r="B30">
            <v>41730</v>
          </cell>
        </row>
        <row r="31">
          <cell r="A31" t="str">
            <v>15-16</v>
          </cell>
          <cell r="B31">
            <v>42095</v>
          </cell>
        </row>
        <row r="32">
          <cell r="A32" t="str">
            <v>16-17</v>
          </cell>
          <cell r="B32">
            <v>42461</v>
          </cell>
        </row>
        <row r="33">
          <cell r="A33" t="str">
            <v>17-18</v>
          </cell>
          <cell r="B33">
            <v>42826</v>
          </cell>
        </row>
        <row r="34">
          <cell r="A34" t="str">
            <v>18-19</v>
          </cell>
          <cell r="B34">
            <v>43191</v>
          </cell>
        </row>
        <row r="35">
          <cell r="A35" t="str">
            <v>19-20</v>
          </cell>
          <cell r="B35">
            <v>43556</v>
          </cell>
        </row>
        <row r="36">
          <cell r="A36" t="str">
            <v>20-21</v>
          </cell>
          <cell r="B36">
            <v>43922</v>
          </cell>
        </row>
        <row r="37">
          <cell r="A37" t="str">
            <v>21-22</v>
          </cell>
          <cell r="B37">
            <v>44287</v>
          </cell>
        </row>
        <row r="38">
          <cell r="A38" t="str">
            <v>22-23</v>
          </cell>
          <cell r="B38">
            <v>44652</v>
          </cell>
        </row>
        <row r="39">
          <cell r="A39" t="str">
            <v>23-24</v>
          </cell>
          <cell r="B39">
            <v>45017</v>
          </cell>
        </row>
        <row r="40">
          <cell r="A40" t="str">
            <v>24-25</v>
          </cell>
          <cell r="B40">
            <v>45383</v>
          </cell>
        </row>
        <row r="41">
          <cell r="A41" t="str">
            <v>25-26</v>
          </cell>
          <cell r="B41">
            <v>45748</v>
          </cell>
        </row>
        <row r="42">
          <cell r="A42" t="str">
            <v>26-27</v>
          </cell>
          <cell r="B42">
            <v>46113</v>
          </cell>
        </row>
        <row r="43">
          <cell r="A43" t="str">
            <v>27-28</v>
          </cell>
          <cell r="B43">
            <v>46478</v>
          </cell>
        </row>
        <row r="44">
          <cell r="A44" t="str">
            <v>28-29</v>
          </cell>
          <cell r="B44">
            <v>46844</v>
          </cell>
        </row>
        <row r="45">
          <cell r="A45" t="str">
            <v>29-30</v>
          </cell>
          <cell r="B45">
            <v>47209</v>
          </cell>
        </row>
        <row r="46">
          <cell r="A46" t="str">
            <v>30-31</v>
          </cell>
          <cell r="B46">
            <v>47574</v>
          </cell>
        </row>
        <row r="47">
          <cell r="A47" t="str">
            <v>31-32</v>
          </cell>
          <cell r="B47">
            <v>47939</v>
          </cell>
        </row>
        <row r="48">
          <cell r="A48" t="str">
            <v>32-33</v>
          </cell>
          <cell r="B48">
            <v>48305</v>
          </cell>
        </row>
      </sheetData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Budgeted_Data"/>
      <sheetName val="E-Mail_Copy"/>
      <sheetName val="DGR"/>
      <sheetName val="Data_Entry"/>
      <sheetName val="Inverter_PR"/>
      <sheetName val="Invt_Analysis_Gen_Per_KW &amp;_PR"/>
      <sheetName val="Basic_Data"/>
      <sheetName val="Plant_Down_Time Details"/>
      <sheetName val="Plant_Grid_Down_Time_Details"/>
      <sheetName val="WMS"/>
      <sheetName val="Module_Cleaning"/>
      <sheetName val="Plant  Availiblity"/>
      <sheetName val="Grid Availiblity"/>
    </sheetNames>
    <sheetDataSet>
      <sheetData sheetId="0"/>
      <sheetData sheetId="1"/>
      <sheetData sheetId="2"/>
      <sheetData sheetId="3"/>
      <sheetData sheetId="4">
        <row r="2">
          <cell r="C2">
            <v>335.72</v>
          </cell>
          <cell r="D2">
            <v>335.72</v>
          </cell>
          <cell r="E2">
            <v>335.72</v>
          </cell>
          <cell r="F2">
            <v>350.98</v>
          </cell>
          <cell r="G2">
            <v>350.98</v>
          </cell>
          <cell r="H2">
            <v>350.98</v>
          </cell>
          <cell r="I2">
            <v>350.98</v>
          </cell>
        </row>
        <row r="3">
          <cell r="C3" t="str">
            <v>Inv_1</v>
          </cell>
          <cell r="D3" t="str">
            <v>Inv_2</v>
          </cell>
          <cell r="E3" t="str">
            <v>Inv_3</v>
          </cell>
          <cell r="F3" t="str">
            <v>Inv_4</v>
          </cell>
          <cell r="G3" t="str">
            <v>Inv_5</v>
          </cell>
          <cell r="H3" t="str">
            <v>Inv_6</v>
          </cell>
          <cell r="I3" t="str">
            <v>Inv_7</v>
          </cell>
        </row>
        <row r="4">
          <cell r="B4">
            <v>45747</v>
          </cell>
        </row>
        <row r="5">
          <cell r="B5">
            <v>45748</v>
          </cell>
          <cell r="C5">
            <v>0.971475832100233</v>
          </cell>
          <cell r="D5">
            <v>0.990035793886828</v>
          </cell>
          <cell r="E5">
            <v>1.01895037211797</v>
          </cell>
          <cell r="F5">
            <v>1.02536527197851</v>
          </cell>
          <cell r="G5">
            <v>1.02050927265098</v>
          </cell>
          <cell r="H5">
            <v>1.00344491630709</v>
          </cell>
          <cell r="I5">
            <v>0.982390437470928</v>
          </cell>
        </row>
        <row r="6">
          <cell r="B6">
            <v>45749</v>
          </cell>
          <cell r="C6">
            <v>1.03510310398523</v>
          </cell>
          <cell r="D6">
            <v>1.05558378908041</v>
          </cell>
          <cell r="E6">
            <v>1.04531030626568</v>
          </cell>
          <cell r="F6">
            <v>1.01966683306487</v>
          </cell>
          <cell r="G6">
            <v>0.964134385684347</v>
          </cell>
          <cell r="H6">
            <v>0.953307826170448</v>
          </cell>
          <cell r="I6">
            <v>0.957862784092061</v>
          </cell>
        </row>
        <row r="7">
          <cell r="B7">
            <v>45750</v>
          </cell>
          <cell r="C7">
            <v>0.982378409992657</v>
          </cell>
          <cell r="D7">
            <v>0.980482101882866</v>
          </cell>
          <cell r="E7">
            <v>0.984290743241404</v>
          </cell>
          <cell r="F7">
            <v>0.997638290501394</v>
          </cell>
          <cell r="G7">
            <v>0.984558061139061</v>
          </cell>
          <cell r="H7">
            <v>0.967185881517213</v>
          </cell>
          <cell r="I7">
            <v>0.959363291222787</v>
          </cell>
        </row>
        <row r="8">
          <cell r="B8">
            <v>45751</v>
          </cell>
          <cell r="C8">
            <v>0.962232283055228</v>
          </cell>
          <cell r="D8">
            <v>0.962264230208503</v>
          </cell>
          <cell r="E8">
            <v>0.965874258528536</v>
          </cell>
          <cell r="F8">
            <v>0.977998203196258</v>
          </cell>
          <cell r="G8">
            <v>0.965209618839757</v>
          </cell>
          <cell r="H8">
            <v>0.9637351882658</v>
          </cell>
          <cell r="I8">
            <v>0.92892181973977</v>
          </cell>
        </row>
        <row r="9">
          <cell r="B9">
            <v>45752</v>
          </cell>
          <cell r="C9">
            <v>0.9885496842217</v>
          </cell>
          <cell r="D9">
            <v>0.989339941674113</v>
          </cell>
          <cell r="E9">
            <v>0.994201064818887</v>
          </cell>
          <cell r="F9">
            <v>1.00501669649096</v>
          </cell>
          <cell r="G9">
            <v>0.995264612105386</v>
          </cell>
          <cell r="H9">
            <v>0.995140286705263</v>
          </cell>
          <cell r="I9">
            <v>0.992857672359022</v>
          </cell>
        </row>
        <row r="10">
          <cell r="B10">
            <v>45753</v>
          </cell>
          <cell r="C10">
            <v>0.980852781235972</v>
          </cell>
          <cell r="D10">
            <v>0.977247181664613</v>
          </cell>
          <cell r="E10">
            <v>0.983686678740799</v>
          </cell>
          <cell r="F10">
            <v>0.992457917172564</v>
          </cell>
          <cell r="G10">
            <v>0.980442823324121</v>
          </cell>
          <cell r="H10">
            <v>0.948497684800897</v>
          </cell>
          <cell r="I10">
            <v>0.943826871343036</v>
          </cell>
        </row>
        <row r="11">
          <cell r="B11">
            <v>45754</v>
          </cell>
          <cell r="C11">
            <v>0.986285013398632</v>
          </cell>
          <cell r="D11">
            <v>0.980718023671076</v>
          </cell>
          <cell r="E11">
            <v>0.978349746273166</v>
          </cell>
          <cell r="F11">
            <v>0.989640853110691</v>
          </cell>
          <cell r="G11">
            <v>0.979888257366501</v>
          </cell>
          <cell r="H11">
            <v>0.964737165938874</v>
          </cell>
          <cell r="I11">
            <v>0.961760883577525</v>
          </cell>
        </row>
        <row r="12">
          <cell r="B12">
            <v>45755</v>
          </cell>
          <cell r="C12">
            <v>0.978632241252883</v>
          </cell>
          <cell r="D12">
            <v>0.988919867014408</v>
          </cell>
          <cell r="E12">
            <v>0.992890901147782</v>
          </cell>
          <cell r="F12">
            <v>0.99228385088635</v>
          </cell>
          <cell r="G12">
            <v>0.980448097325001</v>
          </cell>
          <cell r="H12">
            <v>0.963785868306244</v>
          </cell>
          <cell r="I12">
            <v>0.960311616298078</v>
          </cell>
        </row>
        <row r="13">
          <cell r="B13">
            <v>45756</v>
          </cell>
          <cell r="C13">
            <v>0.972162352446971</v>
          </cell>
          <cell r="D13">
            <v>0.968763034111156</v>
          </cell>
          <cell r="E13">
            <v>0.989623215233134</v>
          </cell>
          <cell r="F13">
            <v>1.00188219984791</v>
          </cell>
          <cell r="G13">
            <v>0.979790226968044</v>
          </cell>
          <cell r="H13">
            <v>0.930501851245308</v>
          </cell>
          <cell r="I13">
            <v>0.926995107860727</v>
          </cell>
        </row>
        <row r="14">
          <cell r="B14">
            <v>45757</v>
          </cell>
          <cell r="C14">
            <v>0.99760081453159</v>
          </cell>
          <cell r="D14">
            <v>0.993446920052425</v>
          </cell>
          <cell r="E14">
            <v>1.00037368803007</v>
          </cell>
          <cell r="F14">
            <v>1.01580509637949</v>
          </cell>
          <cell r="G14">
            <v>1.0075373370148</v>
          </cell>
          <cell r="H14">
            <v>0.949906495578614</v>
          </cell>
          <cell r="I14">
            <v>0.949704463864815</v>
          </cell>
        </row>
        <row r="15">
          <cell r="B15">
            <v>45758</v>
          </cell>
          <cell r="C15">
            <v>1.00139507972234</v>
          </cell>
          <cell r="D15">
            <v>0.996717951521898</v>
          </cell>
          <cell r="E15">
            <v>1.00206834136079</v>
          </cell>
          <cell r="F15">
            <v>1.0180935650238</v>
          </cell>
          <cell r="G15">
            <v>1.00937043596911</v>
          </cell>
          <cell r="H15">
            <v>0.96045163561597</v>
          </cell>
          <cell r="I15">
            <v>0.949386726949278</v>
          </cell>
        </row>
        <row r="16">
          <cell r="B16">
            <v>45759</v>
          </cell>
          <cell r="C16">
            <v>0.946190791176555</v>
          </cell>
          <cell r="D16">
            <v>0.985432236223125</v>
          </cell>
          <cell r="E16">
            <v>0.99059355702823</v>
          </cell>
          <cell r="F16">
            <v>1.01552598536905</v>
          </cell>
          <cell r="G16">
            <v>1.01229365657931</v>
          </cell>
          <cell r="H16">
            <v>0.963440298199524</v>
          </cell>
          <cell r="I16">
            <v>0.928420128074888</v>
          </cell>
        </row>
        <row r="17">
          <cell r="B17">
            <v>45760</v>
          </cell>
          <cell r="C17">
            <v>0.962197538213266</v>
          </cell>
          <cell r="D17">
            <v>0.961593753205811</v>
          </cell>
          <cell r="E17">
            <v>0.96637228026481</v>
          </cell>
          <cell r="F17">
            <v>0.976191099559953</v>
          </cell>
          <cell r="G17">
            <v>0.971543330082278</v>
          </cell>
          <cell r="H17">
            <v>0.966202520422134</v>
          </cell>
          <cell r="I17">
            <v>0.939195954581447</v>
          </cell>
        </row>
        <row r="18">
          <cell r="B18">
            <v>45761</v>
          </cell>
          <cell r="C18">
            <v>0.969354422336074</v>
          </cell>
          <cell r="D18">
            <v>0.986938520195401</v>
          </cell>
          <cell r="E18">
            <v>0.994340521863458</v>
          </cell>
          <cell r="F18">
            <v>1.00108268277395</v>
          </cell>
          <cell r="G18">
            <v>0.997616198453853</v>
          </cell>
          <cell r="H18">
            <v>0.963839345071894</v>
          </cell>
          <cell r="I18">
            <v>0.937555796151727</v>
          </cell>
        </row>
        <row r="19">
          <cell r="B19">
            <v>45762</v>
          </cell>
          <cell r="C19">
            <v>1.00549806971825</v>
          </cell>
          <cell r="D19">
            <v>1.01514693257813</v>
          </cell>
          <cell r="E19">
            <v>1.00705105292261</v>
          </cell>
          <cell r="F19">
            <v>1.01140494040374</v>
          </cell>
          <cell r="G19">
            <v>1.00602805429291</v>
          </cell>
          <cell r="H19">
            <v>0.976352902958408</v>
          </cell>
          <cell r="I19">
            <v>0.974731070463021</v>
          </cell>
        </row>
        <row r="20">
          <cell r="B20">
            <v>45763</v>
          </cell>
          <cell r="C20">
            <v>1.02561294320439</v>
          </cell>
          <cell r="D20">
            <v>1.022022927195</v>
          </cell>
          <cell r="E20">
            <v>1.02435123467935</v>
          </cell>
          <cell r="F20">
            <v>1.03102454736221</v>
          </cell>
          <cell r="G20">
            <v>1.03279127861825</v>
          </cell>
          <cell r="H20">
            <v>1.02922049079794</v>
          </cell>
          <cell r="I20">
            <v>1.010197025372</v>
          </cell>
        </row>
        <row r="21">
          <cell r="B21">
            <v>45764</v>
          </cell>
          <cell r="C21">
            <v>0.969043556033537</v>
          </cell>
          <cell r="D21">
            <v>0.99708619181398</v>
          </cell>
          <cell r="E21">
            <v>0.999344692005242</v>
          </cell>
          <cell r="F21">
            <v>1.00553037959878</v>
          </cell>
          <cell r="G21">
            <v>1.00425575306435</v>
          </cell>
          <cell r="H21">
            <v>0.985876763108409</v>
          </cell>
          <cell r="I21">
            <v>0.963659835168296</v>
          </cell>
        </row>
        <row r="22">
          <cell r="B22">
            <v>45765</v>
          </cell>
          <cell r="C22">
            <v>0.992412419183906</v>
          </cell>
          <cell r="D22">
            <v>0.993926251199308</v>
          </cell>
          <cell r="E22">
            <v>0.996914722168223</v>
          </cell>
          <cell r="F22">
            <v>1.00258280573792</v>
          </cell>
          <cell r="G22">
            <v>0.978927236819612</v>
          </cell>
          <cell r="H22">
            <v>0.958612876427207</v>
          </cell>
          <cell r="I22" t="str">
            <v/>
          </cell>
        </row>
        <row r="23">
          <cell r="B23">
            <v>45766</v>
          </cell>
          <cell r="C23">
            <v>0.962318409459791</v>
          </cell>
          <cell r="D23">
            <v>0.990300179193794</v>
          </cell>
          <cell r="E23">
            <v>0.991340742009069</v>
          </cell>
          <cell r="F23">
            <v>1.00859976172677</v>
          </cell>
          <cell r="G23">
            <v>1.0134773061162</v>
          </cell>
          <cell r="H23">
            <v>0.952305163328866</v>
          </cell>
          <cell r="I23">
            <v>0.608829808230427</v>
          </cell>
        </row>
        <row r="24">
          <cell r="B24">
            <v>45767</v>
          </cell>
          <cell r="C24">
            <v>0.959866345546636</v>
          </cell>
          <cell r="D24">
            <v>0.975303936376717</v>
          </cell>
          <cell r="E24">
            <v>0.991640474107511</v>
          </cell>
          <cell r="F24">
            <v>1.00428192810306</v>
          </cell>
          <cell r="G24">
            <v>1.0020974131904</v>
          </cell>
          <cell r="H24">
            <v>0.956529361693109</v>
          </cell>
          <cell r="I24">
            <v>0.552951851339205</v>
          </cell>
        </row>
        <row r="25">
          <cell r="B25">
            <v>45768</v>
          </cell>
          <cell r="C25">
            <v>0.873171046129386</v>
          </cell>
          <cell r="D25">
            <v>0.926015629730474</v>
          </cell>
          <cell r="E25">
            <v>0.952750438011379</v>
          </cell>
          <cell r="F25">
            <v>0.971439220767331</v>
          </cell>
          <cell r="G25">
            <v>0.963344789157105</v>
          </cell>
          <cell r="H25">
            <v>0.859354930316892</v>
          </cell>
          <cell r="I25">
            <v>0.838509316770186</v>
          </cell>
        </row>
        <row r="26">
          <cell r="B26">
            <v>45769</v>
          </cell>
          <cell r="C26">
            <v>0.916664835120344</v>
          </cell>
          <cell r="D26">
            <v>0.956775699583217</v>
          </cell>
          <cell r="E26">
            <v>0.977978258195591</v>
          </cell>
          <cell r="F26">
            <v>0.974709555731239</v>
          </cell>
          <cell r="G26">
            <v>0.976134138328538</v>
          </cell>
          <cell r="H26">
            <v>0.932599078567067</v>
          </cell>
          <cell r="I26">
            <v>0.915296623914436</v>
          </cell>
        </row>
        <row r="27">
          <cell r="B27">
            <v>45770</v>
          </cell>
          <cell r="C27">
            <v>0.932523134357997</v>
          </cell>
          <cell r="D27">
            <v>0.934563525159855</v>
          </cell>
          <cell r="E27">
            <v>0.935789745422773</v>
          </cell>
          <cell r="F27">
            <v>0.948216422588182</v>
          </cell>
          <cell r="G27">
            <v>0.938268087450377</v>
          </cell>
          <cell r="H27">
            <v>0.933623948183182</v>
          </cell>
          <cell r="I27">
            <v>0.918390411609398</v>
          </cell>
        </row>
        <row r="28">
          <cell r="B28">
            <v>45771</v>
          </cell>
          <cell r="C28">
            <v>0.968020116034341</v>
          </cell>
          <cell r="D28">
            <v>0.964177919322407</v>
          </cell>
          <cell r="E28">
            <v>0.965070550881745</v>
          </cell>
          <cell r="F28">
            <v>0.96681362914412</v>
          </cell>
          <cell r="G28">
            <v>0.971848391743695</v>
          </cell>
          <cell r="H28">
            <v>0.969955135392887</v>
          </cell>
          <cell r="I28">
            <v>0.963880937934045</v>
          </cell>
        </row>
        <row r="29">
          <cell r="B29">
            <v>45772</v>
          </cell>
          <cell r="C29">
            <v>0.965042373284599</v>
          </cell>
          <cell r="D29">
            <v>0.969010764713787</v>
          </cell>
          <cell r="E29">
            <v>0.971223357057399</v>
          </cell>
          <cell r="F29">
            <v>0.969722021607413</v>
          </cell>
          <cell r="G29">
            <v>0.963359189431618</v>
          </cell>
          <cell r="H29">
            <v>0.962353333987519</v>
          </cell>
          <cell r="I29">
            <v>0.951097766054227</v>
          </cell>
        </row>
        <row r="30">
          <cell r="B30">
            <v>45773</v>
          </cell>
          <cell r="C30">
            <v>1.26212394412582</v>
          </cell>
          <cell r="D30">
            <v>1.25917014551593</v>
          </cell>
          <cell r="E30">
            <v>1.26260898895018</v>
          </cell>
          <cell r="F30">
            <v>1.26458918309378</v>
          </cell>
          <cell r="G30">
            <v>1.25560152420226</v>
          </cell>
          <cell r="H30">
            <v>1.25588108738419</v>
          </cell>
          <cell r="I30">
            <v>1.24073114218453</v>
          </cell>
        </row>
        <row r="31">
          <cell r="B31">
            <v>45774</v>
          </cell>
          <cell r="C31">
            <v>1.10212547915736</v>
          </cell>
          <cell r="D31">
            <v>1.09947285782591</v>
          </cell>
          <cell r="E31">
            <v>1.10276652931246</v>
          </cell>
          <cell r="F31">
            <v>1.10400658173018</v>
          </cell>
          <cell r="G31">
            <v>1.09647928815484</v>
          </cell>
          <cell r="H31">
            <v>1.09795937397022</v>
          </cell>
          <cell r="I31">
            <v>1.08299993519339</v>
          </cell>
        </row>
        <row r="32">
          <cell r="B32">
            <v>45775</v>
          </cell>
          <cell r="C32">
            <v>0.960831272001997</v>
          </cell>
          <cell r="D32">
            <v>0.954816181728485</v>
          </cell>
          <cell r="E32">
            <v>0.956914245215886</v>
          </cell>
          <cell r="F32">
            <v>0.96139302912841</v>
          </cell>
          <cell r="G32">
            <v>0.954470340190324</v>
          </cell>
          <cell r="H32">
            <v>0.955667081629089</v>
          </cell>
          <cell r="I32">
            <v>0.941536326948288</v>
          </cell>
        </row>
        <row r="33">
          <cell r="B33">
            <v>45776</v>
          </cell>
          <cell r="C33">
            <v>0.968310142622069</v>
          </cell>
          <cell r="D33">
            <v>0.9564948987507</v>
          </cell>
          <cell r="E33">
            <v>0.959734027731869</v>
          </cell>
          <cell r="F33">
            <v>0.96484782422979</v>
          </cell>
          <cell r="G33">
            <v>0.958116728078482</v>
          </cell>
          <cell r="H33">
            <v>0.956757825759914</v>
          </cell>
          <cell r="I33">
            <v>0.943639888711336</v>
          </cell>
        </row>
        <row r="34">
          <cell r="B34">
            <v>45777</v>
          </cell>
          <cell r="C34">
            <v>0.973226461221776</v>
          </cell>
          <cell r="D34">
            <v>0.960448881588838</v>
          </cell>
          <cell r="E34">
            <v>0.963217925935084</v>
          </cell>
          <cell r="F34">
            <v>0.968641556272784</v>
          </cell>
          <cell r="G34">
            <v>0.959567128337126</v>
          </cell>
          <cell r="H34">
            <v>0.957818459027839</v>
          </cell>
          <cell r="I34">
            <v>0.946794847702095</v>
          </cell>
        </row>
        <row r="35">
          <cell r="B35">
            <v>45778</v>
          </cell>
          <cell r="C35">
            <v>0.981368523324218</v>
          </cell>
          <cell r="D35">
            <v>0.975125419072611</v>
          </cell>
          <cell r="E35">
            <v>0.961496175190514</v>
          </cell>
          <cell r="F35">
            <v>0.965394456497417</v>
          </cell>
          <cell r="G35">
            <v>0.955438593077594</v>
          </cell>
          <cell r="H35">
            <v>0.955396897977185</v>
          </cell>
          <cell r="I35">
            <v>0.942300003659903</v>
          </cell>
        </row>
        <row r="36">
          <cell r="B36">
            <v>45779</v>
          </cell>
          <cell r="C36">
            <v>0.9775844825461</v>
          </cell>
          <cell r="D36">
            <v>0.98223719736545</v>
          </cell>
          <cell r="E36">
            <v>0.974507611841444</v>
          </cell>
          <cell r="F36">
            <v>0.955566172957477</v>
          </cell>
          <cell r="G36">
            <v>0.943042369904299</v>
          </cell>
          <cell r="H36">
            <v>0.929386951789531</v>
          </cell>
          <cell r="I36">
            <v>0.920982585383487</v>
          </cell>
        </row>
        <row r="37">
          <cell r="B37">
            <v>45780</v>
          </cell>
          <cell r="C37">
            <v>0.995142988125551</v>
          </cell>
          <cell r="D37">
            <v>0.986848075067286</v>
          </cell>
          <cell r="E37">
            <v>0.985472164994007</v>
          </cell>
          <cell r="F37">
            <v>0.994019017328585</v>
          </cell>
          <cell r="G37">
            <v>0.985924369192939</v>
          </cell>
          <cell r="H37">
            <v>0.977508954114855</v>
          </cell>
          <cell r="I37">
            <v>0.973872023046916</v>
          </cell>
        </row>
        <row r="38">
          <cell r="B38">
            <v>45781</v>
          </cell>
          <cell r="C38">
            <v>1.00054488979784</v>
          </cell>
          <cell r="D38">
            <v>0.991554317242391</v>
          </cell>
          <cell r="E38">
            <v>0.991936198358217</v>
          </cell>
          <cell r="F38">
            <v>1.00317749756464</v>
          </cell>
          <cell r="G38">
            <v>0.995642342727647</v>
          </cell>
          <cell r="H38">
            <v>0.987047882882403</v>
          </cell>
          <cell r="I38">
            <v>0.989004727109462</v>
          </cell>
        </row>
        <row r="39">
          <cell r="B39">
            <v>45782</v>
          </cell>
          <cell r="C39">
            <v>1.00605088129739</v>
          </cell>
          <cell r="D39">
            <v>0.997432217101256</v>
          </cell>
          <cell r="E39">
            <v>0.997560272189441</v>
          </cell>
          <cell r="F39">
            <v>1.00564880284469</v>
          </cell>
          <cell r="G39">
            <v>0.999359337246897</v>
          </cell>
          <cell r="H39">
            <v>0.989720105467042</v>
          </cell>
          <cell r="I39">
            <v>0.990513611287594</v>
          </cell>
        </row>
        <row r="40">
          <cell r="B40">
            <v>45783</v>
          </cell>
          <cell r="C40">
            <v>1.10529733866082</v>
          </cell>
          <cell r="D40">
            <v>1.09850093052057</v>
          </cell>
          <cell r="E40">
            <v>1.10228510344804</v>
          </cell>
          <cell r="F40">
            <v>1.10267508521412</v>
          </cell>
          <cell r="G40">
            <v>1.09975368766247</v>
          </cell>
          <cell r="H40">
            <v>1.10436050687853</v>
          </cell>
          <cell r="I40">
            <v>1.0946412419471</v>
          </cell>
        </row>
        <row r="41">
          <cell r="B41">
            <v>45784</v>
          </cell>
          <cell r="C41">
            <v>0.831031794334546</v>
          </cell>
          <cell r="D41">
            <v>0.827543258735919</v>
          </cell>
          <cell r="E41">
            <v>0.829654270021242</v>
          </cell>
          <cell r="F41">
            <v>0.826531700085749</v>
          </cell>
          <cell r="G41">
            <v>0.818634464426247</v>
          </cell>
          <cell r="H41">
            <v>0.820662248663844</v>
          </cell>
          <cell r="I41">
            <v>0.813697622632605</v>
          </cell>
        </row>
        <row r="42">
          <cell r="B42">
            <v>45785</v>
          </cell>
          <cell r="C42">
            <v>0.990309025712247</v>
          </cell>
          <cell r="D42">
            <v>0.988854700884165</v>
          </cell>
          <cell r="E42">
            <v>0.992625172660675</v>
          </cell>
          <cell r="F42">
            <v>0.999459328398696</v>
          </cell>
          <cell r="G42">
            <v>0.996404075305755</v>
          </cell>
          <cell r="H42">
            <v>0.988304820900858</v>
          </cell>
          <cell r="I42">
            <v>0.973677732315932</v>
          </cell>
        </row>
        <row r="43">
          <cell r="B43">
            <v>45786</v>
          </cell>
          <cell r="C43">
            <v>0.938566764254838</v>
          </cell>
          <cell r="D43">
            <v>0.929178681472259</v>
          </cell>
          <cell r="E43">
            <v>0.929376846808039</v>
          </cell>
          <cell r="F43">
            <v>0.929325420749434</v>
          </cell>
          <cell r="G43">
            <v>0.923224297775554</v>
          </cell>
          <cell r="H43">
            <v>0.926061616129426</v>
          </cell>
          <cell r="I43">
            <v>0.920588375714024</v>
          </cell>
        </row>
        <row r="44">
          <cell r="B44">
            <v>45787</v>
          </cell>
          <cell r="C44">
            <v>1.03969929372677</v>
          </cell>
          <cell r="D44">
            <v>1.03593675978558</v>
          </cell>
          <cell r="E44">
            <v>1.04173020693367</v>
          </cell>
          <cell r="F44">
            <v>1.04517330967481</v>
          </cell>
          <cell r="G44">
            <v>1.03886152266477</v>
          </cell>
          <cell r="H44">
            <v>1.04365330049205</v>
          </cell>
          <cell r="I44">
            <v>0.9700589545445</v>
          </cell>
        </row>
        <row r="45">
          <cell r="B45">
            <v>45788</v>
          </cell>
          <cell r="C45">
            <v>0.953505464385393</v>
          </cell>
          <cell r="D45">
            <v>0.948490562766894</v>
          </cell>
          <cell r="E45">
            <v>0.953746234696295</v>
          </cell>
          <cell r="F45">
            <v>0.954878303797865</v>
          </cell>
          <cell r="G45">
            <v>0.950686806733295</v>
          </cell>
          <cell r="H45">
            <v>0.947817901364138</v>
          </cell>
          <cell r="I45">
            <v>0.941606326436423</v>
          </cell>
        </row>
        <row r="46">
          <cell r="B46">
            <v>45789</v>
          </cell>
          <cell r="C46">
            <v>0.920427083125285</v>
          </cell>
          <cell r="D46">
            <v>0.915583152948587</v>
          </cell>
          <cell r="E46">
            <v>0.915703677277628</v>
          </cell>
          <cell r="F46">
            <v>0.911035667705432</v>
          </cell>
          <cell r="G46">
            <v>0.89548328813646</v>
          </cell>
          <cell r="H46">
            <v>0.89161303483744</v>
          </cell>
          <cell r="I46">
            <v>0.882922806507866</v>
          </cell>
        </row>
        <row r="47">
          <cell r="B47">
            <v>45790</v>
          </cell>
          <cell r="C47">
            <v>1.21360751343524</v>
          </cell>
          <cell r="D47">
            <v>1.21353597326114</v>
          </cell>
          <cell r="E47">
            <v>1.21974045745129</v>
          </cell>
          <cell r="F47">
            <v>1.21268060161429</v>
          </cell>
          <cell r="G47">
            <v>1.20249079246855</v>
          </cell>
          <cell r="H47">
            <v>1.19670536969349</v>
          </cell>
          <cell r="I47">
            <v>1.18636003843014</v>
          </cell>
        </row>
        <row r="48">
          <cell r="B48">
            <v>45791</v>
          </cell>
          <cell r="C48">
            <v>0.922802111878947</v>
          </cell>
          <cell r="D48">
            <v>0.91598839806982</v>
          </cell>
          <cell r="E48">
            <v>0.918515615691648</v>
          </cell>
          <cell r="F48">
            <v>0.923147330332213</v>
          </cell>
          <cell r="G48">
            <v>0.918864678899082</v>
          </cell>
          <cell r="H48">
            <v>0.922435039033563</v>
          </cell>
          <cell r="I48">
            <v>0.914354984614508</v>
          </cell>
        </row>
        <row r="49">
          <cell r="B49">
            <v>45792</v>
          </cell>
          <cell r="C49">
            <v>0.884084588492733</v>
          </cell>
          <cell r="D49">
            <v>0.876665150691779</v>
          </cell>
          <cell r="E49">
            <v>0.876197462752061</v>
          </cell>
          <cell r="F49">
            <v>0.879210683952529</v>
          </cell>
          <cell r="G49">
            <v>0.868265720095232</v>
          </cell>
          <cell r="H49">
            <v>0.863809556239046</v>
          </cell>
          <cell r="I49">
            <v>0.856565032543026</v>
          </cell>
        </row>
        <row r="50">
          <cell r="B50">
            <v>45793</v>
          </cell>
          <cell r="C50">
            <v>1.02154432846676</v>
          </cell>
          <cell r="D50">
            <v>1.01418289491684</v>
          </cell>
          <cell r="E50">
            <v>1.01670022437329</v>
          </cell>
          <cell r="F50">
            <v>1.02100842029043</v>
          </cell>
          <cell r="G50">
            <v>1.01372242377428</v>
          </cell>
          <cell r="H50">
            <v>1.01284465065877</v>
          </cell>
          <cell r="I50">
            <v>1.0029301313705</v>
          </cell>
        </row>
        <row r="51">
          <cell r="B51">
            <v>45794</v>
          </cell>
          <cell r="C51">
            <v>0.942184010181851</v>
          </cell>
          <cell r="D51">
            <v>0.934356115144027</v>
          </cell>
          <cell r="E51">
            <v>0.936771255173846</v>
          </cell>
          <cell r="F51">
            <v>0.941569827512717</v>
          </cell>
          <cell r="G51">
            <v>0.933044980300899</v>
          </cell>
          <cell r="H51">
            <v>0.935142219545889</v>
          </cell>
          <cell r="I51">
            <v>0.921847625195897</v>
          </cell>
        </row>
        <row r="52">
          <cell r="B52">
            <v>45795</v>
          </cell>
          <cell r="C52">
            <v>0.866703766590127</v>
          </cell>
          <cell r="D52">
            <v>0.861605826751756</v>
          </cell>
          <cell r="E52">
            <v>0.895752574707091</v>
          </cell>
          <cell r="F52">
            <v>0.867919415623307</v>
          </cell>
          <cell r="G52">
            <v>0.86300439046888</v>
          </cell>
          <cell r="H52">
            <v>0.864467707940425</v>
          </cell>
          <cell r="I52">
            <v>0.85283003016672</v>
          </cell>
        </row>
        <row r="53">
          <cell r="B53">
            <v>45796</v>
          </cell>
          <cell r="C53">
            <v>0.901780953292459</v>
          </cell>
          <cell r="D53">
            <v>0.895364599305041</v>
          </cell>
          <cell r="E53">
            <v>0.89815771534827</v>
          </cell>
          <cell r="F53">
            <v>0.856071384199184</v>
          </cell>
          <cell r="G53">
            <v>0.8959083185348</v>
          </cell>
          <cell r="H53">
            <v>0.898556640936992</v>
          </cell>
          <cell r="I53">
            <v>0.889883034762618</v>
          </cell>
        </row>
        <row r="54">
          <cell r="B54">
            <v>45797</v>
          </cell>
          <cell r="C54">
            <v>0.938887648470564</v>
          </cell>
          <cell r="D54">
            <v>0.931954099404566</v>
          </cell>
          <cell r="E54">
            <v>0.933766333889686</v>
          </cell>
          <cell r="F54">
            <v>0.937519004410699</v>
          </cell>
          <cell r="G54">
            <v>0.930250041779775</v>
          </cell>
          <cell r="H54">
            <v>0.931983483461195</v>
          </cell>
          <cell r="I54">
            <v>0.9220185880495</v>
          </cell>
        </row>
        <row r="55">
          <cell r="B55">
            <v>45798</v>
          </cell>
          <cell r="C55">
            <v>1.00291528043822</v>
          </cell>
          <cell r="D55">
            <v>0.996677888879724</v>
          </cell>
          <cell r="E55">
            <v>0.998332707048303</v>
          </cell>
          <cell r="F55">
            <v>1.00693637789769</v>
          </cell>
          <cell r="G55">
            <v>0.995576244878199</v>
          </cell>
          <cell r="H55">
            <v>0.98054507208875</v>
          </cell>
          <cell r="I55">
            <v>0.966694963503898</v>
          </cell>
        </row>
        <row r="56">
          <cell r="B56">
            <v>45799</v>
          </cell>
          <cell r="C56">
            <v>0.793797691948111</v>
          </cell>
          <cell r="D56">
            <v>0.78664569171364</v>
          </cell>
          <cell r="E56">
            <v>0.79207738899639</v>
          </cell>
          <cell r="F56">
            <v>0.791940955952312</v>
          </cell>
          <cell r="G56">
            <v>0.783637239208698</v>
          </cell>
          <cell r="H56">
            <v>0.785242116573213</v>
          </cell>
          <cell r="I56">
            <v>0.78224566832934</v>
          </cell>
        </row>
        <row r="57">
          <cell r="B57">
            <v>45800</v>
          </cell>
          <cell r="C57">
            <v>1.0334313706855</v>
          </cell>
          <cell r="D57">
            <v>1.02662214806576</v>
          </cell>
          <cell r="E57">
            <v>1.02950230435684</v>
          </cell>
          <cell r="F57">
            <v>1.03339332470528</v>
          </cell>
          <cell r="G57">
            <v>1.02627595484173</v>
          </cell>
          <cell r="H57">
            <v>1.02990670037181</v>
          </cell>
          <cell r="I57">
            <v>1.02348776399954</v>
          </cell>
        </row>
        <row r="58">
          <cell r="B58">
            <v>45801</v>
          </cell>
          <cell r="C58">
            <v>1.02294119558507</v>
          </cell>
          <cell r="D58">
            <v>1.01366398405598</v>
          </cell>
          <cell r="E58">
            <v>1.01442760742177</v>
          </cell>
          <cell r="F58">
            <v>1.01721413807573</v>
          </cell>
          <cell r="G58">
            <v>1.00722651899357</v>
          </cell>
          <cell r="H58">
            <v>1.00840244717389</v>
          </cell>
          <cell r="I58">
            <v>1.00044550583043</v>
          </cell>
        </row>
        <row r="59">
          <cell r="B59">
            <v>45802</v>
          </cell>
          <cell r="C59">
            <v>0.964566400815892</v>
          </cell>
          <cell r="D59">
            <v>0.95493908665152</v>
          </cell>
          <cell r="E59">
            <v>0.959920484687996</v>
          </cell>
          <cell r="F59">
            <v>0.962521905996219</v>
          </cell>
          <cell r="G59">
            <v>0.955238545140404</v>
          </cell>
          <cell r="H59">
            <v>0.95553999265246</v>
          </cell>
          <cell r="I59">
            <v>0.946729946009778</v>
          </cell>
        </row>
        <row r="60">
          <cell r="B60">
            <v>45803</v>
          </cell>
          <cell r="C60">
            <v>1.00313753524763</v>
          </cell>
          <cell r="D60">
            <v>0.995134834584376</v>
          </cell>
          <cell r="E60">
            <v>0.998126745833168</v>
          </cell>
          <cell r="F60">
            <v>1.00274786154323</v>
          </cell>
          <cell r="G60">
            <v>0.994865171171513</v>
          </cell>
          <cell r="H60">
            <v>0.998626069228383</v>
          </cell>
          <cell r="I60">
            <v>0.988628665134449</v>
          </cell>
        </row>
        <row r="61">
          <cell r="B61">
            <v>45804</v>
          </cell>
          <cell r="C61">
            <v>1.04930400460363</v>
          </cell>
          <cell r="D61">
            <v>1.040951045831</v>
          </cell>
          <cell r="E61">
            <v>1.0468830408319</v>
          </cell>
          <cell r="F61">
            <v>1.04992343626296</v>
          </cell>
          <cell r="G61">
            <v>1.03902386388022</v>
          </cell>
          <cell r="H61">
            <v>1.03879350584321</v>
          </cell>
          <cell r="I61">
            <v>1.02830615310565</v>
          </cell>
        </row>
        <row r="62">
          <cell r="B62">
            <v>45805</v>
          </cell>
          <cell r="C62">
            <v>2.07563403552687</v>
          </cell>
          <cell r="D62">
            <v>2.05552140479477</v>
          </cell>
          <cell r="E62">
            <v>2.05861869720764</v>
          </cell>
          <cell r="F62">
            <v>2.07020847316515</v>
          </cell>
          <cell r="G62">
            <v>2.05008781984401</v>
          </cell>
          <cell r="H62">
            <v>2.0503399583568</v>
          </cell>
          <cell r="I62">
            <v>2.02324767515684</v>
          </cell>
        </row>
        <row r="63">
          <cell r="B63">
            <v>45806</v>
          </cell>
          <cell r="C63">
            <v>0.973627381295314</v>
          </cell>
          <cell r="D63">
            <v>0.96558011724659</v>
          </cell>
          <cell r="E63">
            <v>0.966237256613353</v>
          </cell>
          <cell r="F63">
            <v>0.97077189294929</v>
          </cell>
          <cell r="G63">
            <v>0.960575694178749</v>
          </cell>
          <cell r="H63">
            <v>0.962322289117209</v>
          </cell>
          <cell r="I63">
            <v>0.95291952875529</v>
          </cell>
        </row>
        <row r="64">
          <cell r="B64">
            <v>45807</v>
          </cell>
          <cell r="C64">
            <v>0.943964761793612</v>
          </cell>
          <cell r="D64">
            <v>0.936655322633968</v>
          </cell>
          <cell r="E64">
            <v>0.936233428718634</v>
          </cell>
          <cell r="F64">
            <v>0.945436638941923</v>
          </cell>
          <cell r="G64">
            <v>0.928526405926886</v>
          </cell>
          <cell r="H64">
            <v>0.932994635984626</v>
          </cell>
          <cell r="I64">
            <v>0.925682102788934</v>
          </cell>
        </row>
        <row r="65">
          <cell r="B65">
            <v>45808</v>
          </cell>
          <cell r="C65">
            <v>0.939795131032927</v>
          </cell>
          <cell r="D65">
            <v>0.939349126563962</v>
          </cell>
          <cell r="E65">
            <v>0.938265972853619</v>
          </cell>
          <cell r="F65">
            <v>0.947441383631815</v>
          </cell>
          <cell r="G65">
            <v>0.933251423643033</v>
          </cell>
          <cell r="H65">
            <v>0.935775550384058</v>
          </cell>
          <cell r="I65">
            <v>0.928223485064331</v>
          </cell>
        </row>
        <row r="66">
          <cell r="B66">
            <v>45809</v>
          </cell>
          <cell r="C66">
            <v>0.953551631688948</v>
          </cell>
          <cell r="D66">
            <v>0.947357712998755</v>
          </cell>
          <cell r="E66">
            <v>0.946481316517417</v>
          </cell>
          <cell r="F66">
            <v>0.961536681304724</v>
          </cell>
          <cell r="G66">
            <v>0.9410113775292</v>
          </cell>
          <cell r="H66">
            <v>0.944899408011359</v>
          </cell>
          <cell r="I66">
            <v>0.935415905089267</v>
          </cell>
        </row>
        <row r="67">
          <cell r="B67">
            <v>45810</v>
          </cell>
          <cell r="C67">
            <v>0.901490021710043</v>
          </cell>
          <cell r="D67">
            <v>0.896481633978589</v>
          </cell>
          <cell r="E67">
            <v>0.896896802961591</v>
          </cell>
          <cell r="F67">
            <v>0.912369512016165</v>
          </cell>
          <cell r="G67">
            <v>0.888580243333836</v>
          </cell>
          <cell r="H67">
            <v>0.890691903378505</v>
          </cell>
          <cell r="I67">
            <v>0.881369081867862</v>
          </cell>
        </row>
        <row r="68">
          <cell r="B68">
            <v>45811</v>
          </cell>
          <cell r="C68">
            <v>0.896326488389642</v>
          </cell>
          <cell r="D68">
            <v>0.889485931890455</v>
          </cell>
          <cell r="E68">
            <v>0.889976604719511</v>
          </cell>
          <cell r="F68">
            <v>0.904571297819041</v>
          </cell>
          <cell r="G68">
            <v>0.881927060487556</v>
          </cell>
          <cell r="H68">
            <v>0.884168845505011</v>
          </cell>
          <cell r="I68">
            <v>0.87302065843545</v>
          </cell>
        </row>
        <row r="69">
          <cell r="B69">
            <v>45812</v>
          </cell>
          <cell r="C69">
            <v>0.915979357583872</v>
          </cell>
          <cell r="D69">
            <v>0.90009488894051</v>
          </cell>
          <cell r="E69">
            <v>0.897919814987995</v>
          </cell>
          <cell r="F69">
            <v>0.913075454503341</v>
          </cell>
          <cell r="G69">
            <v>0.889974669076637</v>
          </cell>
          <cell r="H69">
            <v>0.89413568011623</v>
          </cell>
          <cell r="I69">
            <v>0.883743401312912</v>
          </cell>
        </row>
        <row r="70">
          <cell r="B70">
            <v>45813</v>
          </cell>
          <cell r="C70">
            <v>0.982280843750399</v>
          </cell>
          <cell r="D70">
            <v>0.974220587850518</v>
          </cell>
          <cell r="E70">
            <v>0.965327817256754</v>
          </cell>
          <cell r="F70">
            <v>0.960535804388625</v>
          </cell>
          <cell r="G70">
            <v>0.963483216658898</v>
          </cell>
          <cell r="H70">
            <v>0.9578365952569</v>
          </cell>
          <cell r="I70">
            <v>0.956104344185774</v>
          </cell>
        </row>
        <row r="71">
          <cell r="B71">
            <v>45814</v>
          </cell>
          <cell r="C71">
            <v>0.93500971003817</v>
          </cell>
          <cell r="D71">
            <v>0.933710617381012</v>
          </cell>
          <cell r="E71">
            <v>0.942581409081777</v>
          </cell>
          <cell r="F71">
            <v>0.946499956534633</v>
          </cell>
          <cell r="G71">
            <v>0.926098269995212</v>
          </cell>
          <cell r="H71">
            <v>0.924990838998042</v>
          </cell>
          <cell r="I71">
            <v>0.914431250475727</v>
          </cell>
        </row>
        <row r="72">
          <cell r="B72">
            <v>45815</v>
          </cell>
          <cell r="C72">
            <v>0.919630746347257</v>
          </cell>
          <cell r="D72">
            <v>0.916153861483451</v>
          </cell>
          <cell r="E72">
            <v>0.91966254712345</v>
          </cell>
          <cell r="F72">
            <v>0.924052206440168</v>
          </cell>
          <cell r="G72">
            <v>0.916280373267003</v>
          </cell>
          <cell r="H72">
            <v>0.922936874869329</v>
          </cell>
          <cell r="I72">
            <v>0.914576957776994</v>
          </cell>
        </row>
        <row r="73">
          <cell r="B73">
            <v>45816</v>
          </cell>
          <cell r="C73">
            <v>0.956126858962555</v>
          </cell>
          <cell r="D73">
            <v>0.950911473847254</v>
          </cell>
          <cell r="E73">
            <v>0.957865320667656</v>
          </cell>
          <cell r="F73">
            <v>0.966224441693129</v>
          </cell>
          <cell r="G73">
            <v>0.958189795844363</v>
          </cell>
          <cell r="H73">
            <v>0.966960044343371</v>
          </cell>
          <cell r="I73">
            <v>0.958764809183636</v>
          </cell>
        </row>
        <row r="74">
          <cell r="B74">
            <v>45817</v>
          </cell>
          <cell r="C74">
            <v>0.949097860335228</v>
          </cell>
          <cell r="D74">
            <v>0.941956101924434</v>
          </cell>
          <cell r="E74">
            <v>0.94475333263579</v>
          </cell>
          <cell r="F74">
            <v>0.949798866292582</v>
          </cell>
          <cell r="G74">
            <v>0.940615008939437</v>
          </cell>
          <cell r="H74">
            <v>0.942591587162423</v>
          </cell>
          <cell r="I74">
            <v>0.937751380977353</v>
          </cell>
        </row>
        <row r="75">
          <cell r="B75">
            <v>45818</v>
          </cell>
          <cell r="C75">
            <v>0.900133694433251</v>
          </cell>
          <cell r="D75">
            <v>0.896323893953004</v>
          </cell>
          <cell r="E75">
            <v>0.898861901593579</v>
          </cell>
          <cell r="F75">
            <v>0.903265399417746</v>
          </cell>
          <cell r="G75">
            <v>0.895790342418435</v>
          </cell>
          <cell r="H75">
            <v>0.898682191735799</v>
          </cell>
          <cell r="I75">
            <v>0.899909360265307</v>
          </cell>
        </row>
        <row r="76">
          <cell r="B76">
            <v>45819</v>
          </cell>
          <cell r="C76">
            <v>0.952737582582181</v>
          </cell>
          <cell r="D76">
            <v>0.948147995049324</v>
          </cell>
          <cell r="E76">
            <v>0.952986818461449</v>
          </cell>
          <cell r="F76">
            <v>0.962052608381662</v>
          </cell>
          <cell r="G76">
            <v>0.955237870406012</v>
          </cell>
          <cell r="H76">
            <v>0.959755832357446</v>
          </cell>
          <cell r="I76">
            <v>0.956831077065848</v>
          </cell>
        </row>
        <row r="77">
          <cell r="B77">
            <v>45820</v>
          </cell>
          <cell r="C77">
            <v>0.978890175469849</v>
          </cell>
          <cell r="D77">
            <v>0.980983922107998</v>
          </cell>
          <cell r="E77">
            <v>0.981597008140163</v>
          </cell>
          <cell r="F77">
            <v>0.987028276443157</v>
          </cell>
          <cell r="G77">
            <v>0.974785164645788</v>
          </cell>
          <cell r="H77">
            <v>0.9767491523042</v>
          </cell>
          <cell r="I77">
            <v>0.969418775832661</v>
          </cell>
        </row>
        <row r="78">
          <cell r="B78">
            <v>45821</v>
          </cell>
          <cell r="C78">
            <v>0.999674545022738</v>
          </cell>
          <cell r="D78">
            <v>0.993647230793958</v>
          </cell>
          <cell r="E78">
            <v>0.992537725189656</v>
          </cell>
          <cell r="F78">
            <v>0.997896207015371</v>
          </cell>
          <cell r="G78">
            <v>0.985514767663008</v>
          </cell>
          <cell r="H78">
            <v>0.988354371900577</v>
          </cell>
          <cell r="I78">
            <v>0.980304046082283</v>
          </cell>
        </row>
        <row r="79">
          <cell r="B79">
            <v>45822</v>
          </cell>
          <cell r="C79">
            <v>0.962691544128456</v>
          </cell>
          <cell r="D79">
            <v>0.959680634707443</v>
          </cell>
          <cell r="E79">
            <v>0.95954524049365</v>
          </cell>
          <cell r="F79">
            <v>0.965182461279105</v>
          </cell>
          <cell r="G79">
            <v>0.954137320881865</v>
          </cell>
          <cell r="H79">
            <v>0.956437620919928</v>
          </cell>
          <cell r="I79">
            <v>0.950603615997656</v>
          </cell>
        </row>
        <row r="80">
          <cell r="B80">
            <v>45823</v>
          </cell>
          <cell r="C80">
            <v>1.01712571322663</v>
          </cell>
          <cell r="D80">
            <v>1.01406429961476</v>
          </cell>
          <cell r="E80">
            <v>1.01614109641633</v>
          </cell>
          <cell r="F80">
            <v>1.02120412052602</v>
          </cell>
          <cell r="G80">
            <v>1.01141407234347</v>
          </cell>
          <cell r="H80">
            <v>1.01302068493931</v>
          </cell>
          <cell r="I80">
            <v>1.00341266675531</v>
          </cell>
        </row>
        <row r="81">
          <cell r="B81">
            <v>45824</v>
          </cell>
          <cell r="C81">
            <v>2.69272012391278</v>
          </cell>
          <cell r="D81">
            <v>2.64148695341356</v>
          </cell>
          <cell r="E81">
            <v>2.82407959013464</v>
          </cell>
          <cell r="F81">
            <v>2.74944441278705</v>
          </cell>
          <cell r="G81">
            <v>2.64630463274261</v>
          </cell>
          <cell r="H81">
            <v>2.62322639466636</v>
          </cell>
          <cell r="I81">
            <v>2.76910365262978</v>
          </cell>
        </row>
        <row r="82">
          <cell r="B82">
            <v>45825</v>
          </cell>
          <cell r="C82">
            <v>1.17015232162208</v>
          </cell>
          <cell r="D82">
            <v>1.16609970569903</v>
          </cell>
          <cell r="E82">
            <v>1.17726466256704</v>
          </cell>
          <cell r="F82">
            <v>1.18267490482432</v>
          </cell>
          <cell r="G82">
            <v>1.16897177698363</v>
          </cell>
          <cell r="H82">
            <v>1.16953385719209</v>
          </cell>
          <cell r="I82">
            <v>1.1604824276283</v>
          </cell>
        </row>
        <row r="83">
          <cell r="B83">
            <v>45826</v>
          </cell>
          <cell r="C83">
            <v>1.42526568592408</v>
          </cell>
          <cell r="D83">
            <v>1.30477545480244</v>
          </cell>
          <cell r="E83">
            <v>1.31847150870356</v>
          </cell>
          <cell r="F83">
            <v>1.31988974289357</v>
          </cell>
          <cell r="G83">
            <v>1.30178916401024</v>
          </cell>
          <cell r="H83">
            <v>1.30103497322343</v>
          </cell>
          <cell r="I83">
            <v>1.29299027149751</v>
          </cell>
        </row>
        <row r="84">
          <cell r="B84">
            <v>45827</v>
          </cell>
          <cell r="C84">
            <v>0.940948176907004</v>
          </cell>
          <cell r="D84">
            <v>0.94118065867898</v>
          </cell>
          <cell r="E84">
            <v>0.94215417609913</v>
          </cell>
          <cell r="F84">
            <v>0.947389122304238</v>
          </cell>
          <cell r="G84">
            <v>0.939070949772692</v>
          </cell>
          <cell r="H84">
            <v>0.941954860884297</v>
          </cell>
          <cell r="I84">
            <v>0.928932091189964</v>
          </cell>
        </row>
        <row r="85">
          <cell r="B85">
            <v>45828</v>
          </cell>
          <cell r="C85">
            <v>0.961190475725422</v>
          </cell>
          <cell r="D85">
            <v>0.957932770450228</v>
          </cell>
          <cell r="E85">
            <v>0.957214261577968</v>
          </cell>
          <cell r="F85">
            <v>0.960362173602104</v>
          </cell>
          <cell r="G85">
            <v>0.949425916567102</v>
          </cell>
          <cell r="H85">
            <v>0.949305811242739</v>
          </cell>
          <cell r="I85">
            <v>0.928107221492768</v>
          </cell>
        </row>
        <row r="86">
          <cell r="B86">
            <v>45829</v>
          </cell>
          <cell r="C86">
            <v>0.977734901972842</v>
          </cell>
          <cell r="D86">
            <v>0.97717760191865</v>
          </cell>
          <cell r="E86">
            <v>0.981520698892702</v>
          </cell>
          <cell r="F86">
            <v>0.986068501283963</v>
          </cell>
          <cell r="G86">
            <v>0.977401524579105</v>
          </cell>
          <cell r="H86">
            <v>0.978394136969481</v>
          </cell>
          <cell r="I86">
            <v>0.964203456129289</v>
          </cell>
        </row>
        <row r="87">
          <cell r="B87">
            <v>45830</v>
          </cell>
          <cell r="C87">
            <v>1.10686516797792</v>
          </cell>
          <cell r="D87">
            <v>1.10452707004941</v>
          </cell>
          <cell r="E87">
            <v>1.11088477469063</v>
          </cell>
          <cell r="F87">
            <v>1.1121088295323</v>
          </cell>
          <cell r="G87">
            <v>1.09960926609794</v>
          </cell>
          <cell r="H87">
            <v>1.10222865990587</v>
          </cell>
          <cell r="I87">
            <v>1.09127622380836</v>
          </cell>
        </row>
        <row r="88">
          <cell r="B88">
            <v>45831</v>
          </cell>
          <cell r="C88">
            <v>1.37666882441308</v>
          </cell>
          <cell r="D88">
            <v>1.37224687730694</v>
          </cell>
          <cell r="E88">
            <v>1.3864032496398</v>
          </cell>
          <cell r="F88">
            <v>1.38774905962862</v>
          </cell>
          <cell r="G88">
            <v>1.37091842399455</v>
          </cell>
          <cell r="H88">
            <v>1.37015473023105</v>
          </cell>
          <cell r="I88">
            <v>1.36049106683907</v>
          </cell>
        </row>
        <row r="89">
          <cell r="B89">
            <v>45832</v>
          </cell>
          <cell r="C89">
            <v>1.11740781077905</v>
          </cell>
          <cell r="D89">
            <v>1.11547796649231</v>
          </cell>
          <cell r="E89">
            <v>1.12020468655693</v>
          </cell>
          <cell r="F89">
            <v>1.12204940853738</v>
          </cell>
          <cell r="G89">
            <v>1.11093365136973</v>
          </cell>
          <cell r="H89">
            <v>1.11186999673884</v>
          </cell>
          <cell r="I89">
            <v>1.09478838193367</v>
          </cell>
        </row>
        <row r="90">
          <cell r="B90">
            <v>45833</v>
          </cell>
          <cell r="C90">
            <v>1.1728947564705</v>
          </cell>
          <cell r="D90">
            <v>1.16621090552619</v>
          </cell>
          <cell r="E90">
            <v>1.17790764467873</v>
          </cell>
          <cell r="F90">
            <v>1.17946173478488</v>
          </cell>
          <cell r="G90">
            <v>1.16442833469306</v>
          </cell>
          <cell r="H90">
            <v>1.16563285981598</v>
          </cell>
          <cell r="I90">
            <v>1.15824356146576</v>
          </cell>
        </row>
        <row r="91">
          <cell r="B91">
            <v>45834</v>
          </cell>
          <cell r="C91">
            <v>18.130585011319</v>
          </cell>
          <cell r="D91">
            <v>18.0698200881687</v>
          </cell>
          <cell r="E91">
            <v>18.213689979745</v>
          </cell>
          <cell r="F91">
            <v>18.2648583964898</v>
          </cell>
          <cell r="G91">
            <v>18.1018861473588</v>
          </cell>
          <cell r="H91">
            <v>18.1198358880848</v>
          </cell>
          <cell r="I91">
            <v>17.9072881645678</v>
          </cell>
        </row>
        <row r="92">
          <cell r="B92">
            <v>45835</v>
          </cell>
          <cell r="C92">
            <v>4.70953685894708</v>
          </cell>
          <cell r="D92">
            <v>4.68153733553471</v>
          </cell>
          <cell r="E92">
            <v>4.71353679086313</v>
          </cell>
          <cell r="F92">
            <v>4.72326465488469</v>
          </cell>
          <cell r="G92">
            <v>4.6678280406698</v>
          </cell>
          <cell r="H92">
            <v>4.66090863948292</v>
          </cell>
          <cell r="I92">
            <v>4.60522781110849</v>
          </cell>
        </row>
        <row r="93">
          <cell r="B93">
            <v>45836</v>
          </cell>
          <cell r="C93">
            <v>1.06020812244174</v>
          </cell>
          <cell r="D93">
            <v>1.05503648991332</v>
          </cell>
          <cell r="E93">
            <v>1.05966867777891</v>
          </cell>
          <cell r="F93">
            <v>1.06083169599811</v>
          </cell>
          <cell r="G93">
            <v>1.05238515508657</v>
          </cell>
          <cell r="H93">
            <v>1.05502119375086</v>
          </cell>
          <cell r="I93">
            <v>1.0381841978568</v>
          </cell>
        </row>
        <row r="94">
          <cell r="B94">
            <v>45837</v>
          </cell>
          <cell r="C94">
            <v>1.01448698142827</v>
          </cell>
          <cell r="D94">
            <v>1.00925531832307</v>
          </cell>
          <cell r="E94">
            <v>1.01132266906626</v>
          </cell>
          <cell r="F94">
            <v>1.01738604186707</v>
          </cell>
          <cell r="G94">
            <v>1.00964567523359</v>
          </cell>
          <cell r="H94">
            <v>1.01248676913868</v>
          </cell>
          <cell r="I94">
            <v>0.995714629551219</v>
          </cell>
        </row>
        <row r="95">
          <cell r="B95">
            <v>45838</v>
          </cell>
          <cell r="C95">
            <v>0.958575622930065</v>
          </cell>
          <cell r="D95">
            <v>0.954071288598028</v>
          </cell>
          <cell r="E95">
            <v>0.961893331550973</v>
          </cell>
          <cell r="F95">
            <v>0.960562457638936</v>
          </cell>
          <cell r="G95">
            <v>0.949304780528573</v>
          </cell>
          <cell r="H95">
            <v>0.950069190702734</v>
          </cell>
          <cell r="I95">
            <v>0.939483267987845</v>
          </cell>
        </row>
        <row r="96">
          <cell r="B96">
            <v>45839</v>
          </cell>
          <cell r="C96">
            <v>1.09829657388944</v>
          </cell>
          <cell r="D96">
            <v>1.09225492642491</v>
          </cell>
          <cell r="E96">
            <v>1.09852137937649</v>
          </cell>
          <cell r="F96">
            <v>1.10372000626458</v>
          </cell>
          <cell r="G96">
            <v>1.09692859992022</v>
          </cell>
          <cell r="H96">
            <v>1.0994014602778</v>
          </cell>
          <cell r="I96">
            <v>1.08261109683542</v>
          </cell>
        </row>
        <row r="97">
          <cell r="B97">
            <v>45840</v>
          </cell>
          <cell r="C97">
            <v>1.18860141511005</v>
          </cell>
          <cell r="D97">
            <v>1.19857349329114</v>
          </cell>
          <cell r="E97">
            <v>1.19328218650117</v>
          </cell>
          <cell r="F97">
            <v>1.15054953494899</v>
          </cell>
          <cell r="G97">
            <v>1.0971055667025</v>
          </cell>
          <cell r="H97">
            <v>1.08480637533451</v>
          </cell>
          <cell r="I97">
            <v>1.0873900903557</v>
          </cell>
        </row>
        <row r="98">
          <cell r="B98">
            <v>45841</v>
          </cell>
          <cell r="C98">
            <v>1.48160790362625</v>
          </cell>
          <cell r="D98">
            <v>1.47173266439321</v>
          </cell>
          <cell r="E98">
            <v>1.4857941463446</v>
          </cell>
          <cell r="F98">
            <v>1.48505677025821</v>
          </cell>
          <cell r="G98">
            <v>1.46560030883924</v>
          </cell>
          <cell r="H98">
            <v>1.46447091002336</v>
          </cell>
          <cell r="I98">
            <v>1.44996840250131</v>
          </cell>
        </row>
        <row r="99">
          <cell r="B99">
            <v>45842</v>
          </cell>
          <cell r="C99">
            <v>1.01342167855929</v>
          </cell>
          <cell r="D99">
            <v>1.00841309556906</v>
          </cell>
          <cell r="E99">
            <v>1.01266046220175</v>
          </cell>
          <cell r="F99">
            <v>1.01401789275742</v>
          </cell>
          <cell r="G99">
            <v>1.00329658965479</v>
          </cell>
          <cell r="H99">
            <v>1.00688442730724</v>
          </cell>
          <cell r="I99">
            <v>0.989293470346522</v>
          </cell>
        </row>
        <row r="100">
          <cell r="B100">
            <v>45843</v>
          </cell>
          <cell r="C100">
            <v>1.27388666379492</v>
          </cell>
          <cell r="D100">
            <v>1.27095381682538</v>
          </cell>
          <cell r="E100">
            <v>1.28383084805103</v>
          </cell>
          <cell r="F100">
            <v>1.28841441765255</v>
          </cell>
          <cell r="G100">
            <v>1.27813550629665</v>
          </cell>
          <cell r="H100">
            <v>1.27068384348001</v>
          </cell>
          <cell r="I100">
            <v>1.26866751118845</v>
          </cell>
        </row>
        <row r="101">
          <cell r="B101">
            <v>45844</v>
          </cell>
          <cell r="C101">
            <v>1.0608957894264</v>
          </cell>
          <cell r="D101">
            <v>1.05764854787264</v>
          </cell>
          <cell r="E101">
            <v>1.06348381652939</v>
          </cell>
          <cell r="F101">
            <v>1.07317777202755</v>
          </cell>
          <cell r="G101">
            <v>1.05921219181141</v>
          </cell>
          <cell r="H101">
            <v>1.06036820555839</v>
          </cell>
          <cell r="I101">
            <v>1.04263098453137</v>
          </cell>
        </row>
        <row r="102">
          <cell r="B102">
            <v>45845</v>
          </cell>
          <cell r="C102">
            <v>1.10279628628252</v>
          </cell>
          <cell r="D102">
            <v>1.09772272288655</v>
          </cell>
          <cell r="E102">
            <v>1.10531670164698</v>
          </cell>
          <cell r="F102">
            <v>1.1091706174047</v>
          </cell>
          <cell r="G102">
            <v>1.09921419397743</v>
          </cell>
          <cell r="H102">
            <v>1.10221990671019</v>
          </cell>
          <cell r="I102">
            <v>1.08892902072001</v>
          </cell>
        </row>
        <row r="103">
          <cell r="B103">
            <v>45846</v>
          </cell>
          <cell r="C103">
            <v>1.00304918052566</v>
          </cell>
          <cell r="D103">
            <v>0.997798798576873</v>
          </cell>
          <cell r="E103">
            <v>1.00075861892143</v>
          </cell>
          <cell r="F103">
            <v>1.0052774473788</v>
          </cell>
          <cell r="G103">
            <v>0.99494471537561</v>
          </cell>
          <cell r="H103">
            <v>0.998352893994464</v>
          </cell>
          <cell r="I103">
            <v>0.984963620848965</v>
          </cell>
        </row>
        <row r="104">
          <cell r="B104">
            <v>45847</v>
          </cell>
          <cell r="C104">
            <v>1.04551411890861</v>
          </cell>
          <cell r="D104">
            <v>1.05637043027244</v>
          </cell>
          <cell r="E104">
            <v>1.05066025132392</v>
          </cell>
          <cell r="F104">
            <v>1.0092773668379</v>
          </cell>
          <cell r="G104">
            <v>0.956937596007774</v>
          </cell>
          <cell r="H104">
            <v>0.951027093742384</v>
          </cell>
          <cell r="I104">
            <v>0.950536067400337</v>
          </cell>
        </row>
        <row r="105">
          <cell r="B105">
            <v>45848</v>
          </cell>
          <cell r="C105">
            <v>0.976698198920421</v>
          </cell>
          <cell r="D105">
            <v>0.974099521500133</v>
          </cell>
          <cell r="E105">
            <v>0.979345907990149</v>
          </cell>
          <cell r="F105">
            <v>0.985131109671286</v>
          </cell>
          <cell r="G105">
            <v>0.976548439208546</v>
          </cell>
          <cell r="H105">
            <v>0.979022405694391</v>
          </cell>
          <cell r="I105">
            <v>0.968294067615966</v>
          </cell>
        </row>
        <row r="106">
          <cell r="B106">
            <v>45849</v>
          </cell>
          <cell r="C106">
            <v>1.25662043210106</v>
          </cell>
          <cell r="D106">
            <v>1.25022672062934</v>
          </cell>
          <cell r="E106">
            <v>1.25946629774129</v>
          </cell>
          <cell r="F106">
            <v>1.26230721404998</v>
          </cell>
          <cell r="G106">
            <v>1.25027538905623</v>
          </cell>
          <cell r="H106">
            <v>1.25354194787806</v>
          </cell>
          <cell r="I106">
            <v>1.23849762974862</v>
          </cell>
        </row>
        <row r="107">
          <cell r="B107">
            <v>45850</v>
          </cell>
          <cell r="C107">
            <v>0.897368686359512</v>
          </cell>
          <cell r="D107">
            <v>0.89010989010989</v>
          </cell>
          <cell r="E107">
            <v>0.889367513220724</v>
          </cell>
          <cell r="F107">
            <v>0.89191143917909</v>
          </cell>
          <cell r="G107">
            <v>0.884687709578017</v>
          </cell>
          <cell r="H107">
            <v>0.886116675506384</v>
          </cell>
          <cell r="I107">
            <v>0.868679784515445</v>
          </cell>
        </row>
        <row r="108">
          <cell r="B108">
            <v>45851</v>
          </cell>
          <cell r="C108">
            <v>0.902872419775775</v>
          </cell>
          <cell r="D108">
            <v>0.898277919140053</v>
          </cell>
          <cell r="E108">
            <v>0.898971582646334</v>
          </cell>
          <cell r="F108">
            <v>0.901616374347522</v>
          </cell>
          <cell r="G108">
            <v>0.893693353326927</v>
          </cell>
          <cell r="H108">
            <v>0.893381116045327</v>
          </cell>
          <cell r="I108">
            <v>0.877300896042939</v>
          </cell>
        </row>
        <row r="109">
          <cell r="B109">
            <v>45852</v>
          </cell>
          <cell r="C109">
            <v>0.920503366300873</v>
          </cell>
          <cell r="D109">
            <v>0.923188178916981</v>
          </cell>
          <cell r="E109">
            <v>0.926921537753808</v>
          </cell>
          <cell r="F109">
            <v>0.928636205555898</v>
          </cell>
          <cell r="G109">
            <v>0.927013586812786</v>
          </cell>
          <cell r="H109">
            <v>0.92953056234344</v>
          </cell>
          <cell r="I109">
            <v>0.92141746862788</v>
          </cell>
        </row>
        <row r="110">
          <cell r="B110">
            <v>45853</v>
          </cell>
          <cell r="C110">
            <v>1.02881378806419</v>
          </cell>
          <cell r="D110">
            <v>1.02312466436994</v>
          </cell>
          <cell r="E110">
            <v>1.02391521257559</v>
          </cell>
          <cell r="F110">
            <v>1.02663793915966</v>
          </cell>
          <cell r="G110">
            <v>1.02029820902286</v>
          </cell>
          <cell r="H110">
            <v>1.02135145492418</v>
          </cell>
          <cell r="I110">
            <v>1.00402015858643</v>
          </cell>
        </row>
        <row r="111">
          <cell r="B111">
            <v>45854</v>
          </cell>
          <cell r="C111">
            <v>0.954347308056921</v>
          </cell>
          <cell r="D111">
            <v>0.949393645843586</v>
          </cell>
          <cell r="E111">
            <v>0.953511984624868</v>
          </cell>
          <cell r="F111">
            <v>0.954327881930594</v>
          </cell>
          <cell r="G111">
            <v>0.946864307888224</v>
          </cell>
          <cell r="H111">
            <v>0.94860477619188</v>
          </cell>
          <cell r="I111">
            <v>0.936347172017729</v>
          </cell>
        </row>
        <row r="112">
          <cell r="B112">
            <v>45855</v>
          </cell>
          <cell r="C112">
            <v>0.885717834771124</v>
          </cell>
          <cell r="D112">
            <v>0.884551716095733</v>
          </cell>
          <cell r="E112">
            <v>0.885838249199561</v>
          </cell>
          <cell r="F112">
            <v>0.892467655912988</v>
          </cell>
          <cell r="G112">
            <v>0.8873270344555</v>
          </cell>
          <cell r="H112">
            <v>0.889636676879206</v>
          </cell>
          <cell r="I112">
            <v>0.879822212091857</v>
          </cell>
        </row>
        <row r="113">
          <cell r="B113">
            <v>45856</v>
          </cell>
          <cell r="C113">
            <v>0.945124650620821</v>
          </cell>
          <cell r="D113">
            <v>0.943938646993945</v>
          </cell>
          <cell r="E113">
            <v>0.951825297839943</v>
          </cell>
          <cell r="F113">
            <v>0.960712364488214</v>
          </cell>
          <cell r="G113">
            <v>0.957094708864981</v>
          </cell>
          <cell r="H113">
            <v>0.961773613175376</v>
          </cell>
          <cell r="I113">
            <v>0.952849714116333</v>
          </cell>
        </row>
        <row r="114">
          <cell r="B114">
            <v>45857</v>
          </cell>
          <cell r="C114">
            <v>1.02902870618783</v>
          </cell>
          <cell r="D114">
            <v>1.02868633001502</v>
          </cell>
          <cell r="E114">
            <v>1.03455808137871</v>
          </cell>
          <cell r="F114">
            <v>1.03970786559538</v>
          </cell>
          <cell r="G114">
            <v>1.0323393349197</v>
          </cell>
          <cell r="H114">
            <v>1.03716162888412</v>
          </cell>
          <cell r="I114">
            <v>1.0231368588314</v>
          </cell>
        </row>
        <row r="115">
          <cell r="B115">
            <v>45858</v>
          </cell>
          <cell r="C115">
            <v>1.07877596409706</v>
          </cell>
          <cell r="D115">
            <v>1.07484050561615</v>
          </cell>
          <cell r="E115">
            <v>1.08076174589936</v>
          </cell>
          <cell r="F115">
            <v>1.08227698375285</v>
          </cell>
          <cell r="G115">
            <v>1.07042272977654</v>
          </cell>
          <cell r="H115">
            <v>1.06719367588933</v>
          </cell>
          <cell r="I115">
            <v>1.05359538746057</v>
          </cell>
        </row>
        <row r="116">
          <cell r="B116">
            <v>45859</v>
          </cell>
          <cell r="C116">
            <v>1.14698028173325</v>
          </cell>
          <cell r="D116">
            <v>1.1526005907792</v>
          </cell>
          <cell r="E116">
            <v>1.15433131803808</v>
          </cell>
          <cell r="F116">
            <v>1.1547483559794</v>
          </cell>
          <cell r="G116">
            <v>1.13864665176039</v>
          </cell>
          <cell r="H116">
            <v>1.13834169524109</v>
          </cell>
          <cell r="I116">
            <v>1.10977162590444</v>
          </cell>
        </row>
        <row r="117">
          <cell r="B117">
            <v>45860</v>
          </cell>
          <cell r="C117">
            <v>0.951157691226386</v>
          </cell>
          <cell r="D117">
            <v>0.948787959001725</v>
          </cell>
          <cell r="E117">
            <v>0.950526740850779</v>
          </cell>
          <cell r="F117">
            <v>0.950554492459818</v>
          </cell>
          <cell r="G117">
            <v>0.940792943726601</v>
          </cell>
          <cell r="H117">
            <v>0.944049132520428</v>
          </cell>
          <cell r="I117">
            <v>0.931115606772536</v>
          </cell>
        </row>
        <row r="118">
          <cell r="B118">
            <v>45861</v>
          </cell>
          <cell r="C118">
            <v>0.978780393918009</v>
          </cell>
          <cell r="D118">
            <v>0.98134663501636</v>
          </cell>
          <cell r="E118">
            <v>0.990053524457194</v>
          </cell>
          <cell r="F118">
            <v>1.00011177494225</v>
          </cell>
          <cell r="G118">
            <v>0.995914735444053</v>
          </cell>
          <cell r="H118">
            <v>1.00321298167329</v>
          </cell>
          <cell r="I118">
            <v>0.985372824224041</v>
          </cell>
        </row>
        <row r="119">
          <cell r="B119">
            <v>45862</v>
          </cell>
          <cell r="C119">
            <v>1.10408371090615</v>
          </cell>
          <cell r="D119">
            <v>1.09931125187854</v>
          </cell>
          <cell r="E119">
            <v>1.10668387823844</v>
          </cell>
          <cell r="F119">
            <v>1.10994660884803</v>
          </cell>
          <cell r="G119">
            <v>1.09847124184879</v>
          </cell>
          <cell r="H119">
            <v>1.0985656893138</v>
          </cell>
          <cell r="I119">
            <v>1.08428838085248</v>
          </cell>
        </row>
        <row r="120">
          <cell r="B120">
            <v>45863</v>
          </cell>
          <cell r="C120">
            <v>1.1847138772106</v>
          </cell>
          <cell r="D120">
            <v>1.18358623683001</v>
          </cell>
          <cell r="E120">
            <v>1.19076696566867</v>
          </cell>
          <cell r="F120">
            <v>1.20336527111842</v>
          </cell>
          <cell r="G120">
            <v>1.19594726602248</v>
          </cell>
          <cell r="H120">
            <v>1.18907874278551</v>
          </cell>
          <cell r="I120">
            <v>1.17486344358246</v>
          </cell>
        </row>
        <row r="121">
          <cell r="B121">
            <v>45864</v>
          </cell>
          <cell r="C121">
            <v>1.17670522536897</v>
          </cell>
          <cell r="D121">
            <v>1.17418907948283</v>
          </cell>
          <cell r="E121">
            <v>1.18510471237122</v>
          </cell>
          <cell r="F121">
            <v>1.18926986691036</v>
          </cell>
          <cell r="G121">
            <v>1.1804215277967</v>
          </cell>
          <cell r="H121">
            <v>1.1855358678044</v>
          </cell>
          <cell r="I121">
            <v>1.17295352958478</v>
          </cell>
        </row>
        <row r="122">
          <cell r="B122">
            <v>45865</v>
          </cell>
          <cell r="C122">
            <v>1.07560832183502</v>
          </cell>
          <cell r="D122">
            <v>1.07066949032027</v>
          </cell>
          <cell r="E122">
            <v>1.0801243739983</v>
          </cell>
          <cell r="F122">
            <v>1.0825541019707</v>
          </cell>
          <cell r="G122">
            <v>1.06889649074757</v>
          </cell>
          <cell r="H122">
            <v>1.06994424827074</v>
          </cell>
          <cell r="I122">
            <v>1.05435655739965</v>
          </cell>
        </row>
        <row r="123">
          <cell r="B123">
            <v>45866</v>
          </cell>
          <cell r="C123">
            <v>1.05249859283393</v>
          </cell>
          <cell r="D123">
            <v>1.04812045752413</v>
          </cell>
          <cell r="E123">
            <v>1.05312770905147</v>
          </cell>
          <cell r="F123">
            <v>1.05546833398504</v>
          </cell>
          <cell r="G123">
            <v>1.04669978248097</v>
          </cell>
          <cell r="H123">
            <v>1.04809980330935</v>
          </cell>
          <cell r="I123">
            <v>1.02953110600663</v>
          </cell>
        </row>
        <row r="124">
          <cell r="B124">
            <v>45867</v>
          </cell>
          <cell r="C124">
            <v>1.043822009063</v>
          </cell>
          <cell r="D124">
            <v>1.03917919527171</v>
          </cell>
          <cell r="E124">
            <v>1.04628325974753</v>
          </cell>
          <cell r="F124">
            <v>1.04976354604157</v>
          </cell>
          <cell r="G124">
            <v>1.04192499766582</v>
          </cell>
          <cell r="H124">
            <v>1.04461364651143</v>
          </cell>
          <cell r="I124">
            <v>1.02844162435054</v>
          </cell>
        </row>
        <row r="125">
          <cell r="B125">
            <v>45868</v>
          </cell>
          <cell r="C125">
            <v>0.982073327351851</v>
          </cell>
          <cell r="D125">
            <v>0.977202127792629</v>
          </cell>
          <cell r="E125">
            <v>0.978444612815336</v>
          </cell>
          <cell r="F125">
            <v>0.980388298714664</v>
          </cell>
          <cell r="G125">
            <v>0.973013525821465</v>
          </cell>
          <cell r="H125">
            <v>0.974123283535383</v>
          </cell>
          <cell r="I125">
            <v>0.956870879926104</v>
          </cell>
        </row>
        <row r="126">
          <cell r="B126">
            <v>45869</v>
          </cell>
          <cell r="C126">
            <v>0.990016743276038</v>
          </cell>
          <cell r="D126">
            <v>0.986266268738504</v>
          </cell>
          <cell r="E126">
            <v>0.990499119422345</v>
          </cell>
          <cell r="F126">
            <v>0.993297425392821</v>
          </cell>
          <cell r="G126">
            <v>0.985672736349788</v>
          </cell>
          <cell r="H126">
            <v>0.987449138940752</v>
          </cell>
          <cell r="I126">
            <v>0.972603488716268</v>
          </cell>
        </row>
        <row r="127">
          <cell r="B127">
            <v>45870</v>
          </cell>
          <cell r="C127">
            <v>0.977289233293441</v>
          </cell>
          <cell r="D127">
            <v>0.974035460244775</v>
          </cell>
          <cell r="E127">
            <v>0.975240210032473</v>
          </cell>
          <cell r="F127">
            <v>0.978161965423112</v>
          </cell>
          <cell r="G127">
            <v>0.968362288957616</v>
          </cell>
          <cell r="H127">
            <v>0.967173624497449</v>
          </cell>
          <cell r="I127">
            <v>0.947374648527344</v>
          </cell>
        </row>
        <row r="128">
          <cell r="B128">
            <v>45871</v>
          </cell>
          <cell r="C128">
            <v>1.03177742211129</v>
          </cell>
          <cell r="D128">
            <v>1.03029320375391</v>
          </cell>
          <cell r="E128">
            <v>1.03651668486625</v>
          </cell>
          <cell r="F128">
            <v>1.0424909419066</v>
          </cell>
          <cell r="G128">
            <v>1.03597017207979</v>
          </cell>
          <cell r="H128">
            <v>1.039641776712</v>
          </cell>
          <cell r="I128">
            <v>1.01807232336595</v>
          </cell>
        </row>
        <row r="129">
          <cell r="B129">
            <v>45872</v>
          </cell>
          <cell r="C129">
            <v>1.01871677922764</v>
          </cell>
          <cell r="D129">
            <v>1.01313444657118</v>
          </cell>
          <cell r="E129">
            <v>1.01814890277698</v>
          </cell>
          <cell r="F129">
            <v>1.0227580656997</v>
          </cell>
          <cell r="G129">
            <v>1.01187384470451</v>
          </cell>
          <cell r="H129">
            <v>1.01422081891157</v>
          </cell>
          <cell r="I129">
            <v>0.993641237218214</v>
          </cell>
        </row>
        <row r="130">
          <cell r="B130">
            <v>45873</v>
          </cell>
          <cell r="C130">
            <v>1.14608602406768</v>
          </cell>
          <cell r="D130">
            <v>1.14085547480043</v>
          </cell>
          <cell r="E130">
            <v>1.14437030859049</v>
          </cell>
          <cell r="F130">
            <v>1.14047524075446</v>
          </cell>
          <cell r="G130">
            <v>1.14240127642601</v>
          </cell>
          <cell r="H130">
            <v>1.12400706592968</v>
          </cell>
          <cell r="I130" t="str">
            <v/>
          </cell>
        </row>
        <row r="131">
          <cell r="B131">
            <v>45874</v>
          </cell>
          <cell r="C131">
            <v>1.04543513895057</v>
          </cell>
          <cell r="D131">
            <v>1.04078660427701</v>
          </cell>
          <cell r="E131">
            <v>1.04610082716838</v>
          </cell>
          <cell r="F131">
            <v>1.05229167853819</v>
          </cell>
          <cell r="G131">
            <v>1.04807189220831</v>
          </cell>
          <cell r="H131">
            <v>1.05155780265473</v>
          </cell>
          <cell r="I131">
            <v>1.03073947060784</v>
          </cell>
        </row>
        <row r="132">
          <cell r="B132">
            <v>45875</v>
          </cell>
          <cell r="C132">
            <v>1.06848937511035</v>
          </cell>
          <cell r="D132">
            <v>1.06375938640778</v>
          </cell>
          <cell r="E132">
            <v>1.06679547930791</v>
          </cell>
          <cell r="F132">
            <v>1.06295831225065</v>
          </cell>
          <cell r="G132">
            <v>1.05469230045717</v>
          </cell>
          <cell r="H132">
            <v>1.05516601707989</v>
          </cell>
          <cell r="I132">
            <v>1.03913517194884</v>
          </cell>
        </row>
        <row r="133">
          <cell r="B133">
            <v>45876</v>
          </cell>
          <cell r="C133">
            <v>0.993539066933562</v>
          </cell>
          <cell r="D133">
            <v>0.99700076764297</v>
          </cell>
          <cell r="E133">
            <v>0.994412232944343</v>
          </cell>
          <cell r="F133">
            <v>0.99561441803165</v>
          </cell>
          <cell r="G133">
            <v>0.986178409393408</v>
          </cell>
          <cell r="H133">
            <v>0.98285537056977</v>
          </cell>
          <cell r="I133">
            <v>0.959795495096652</v>
          </cell>
        </row>
        <row r="134">
          <cell r="B134">
            <v>45877</v>
          </cell>
          <cell r="C134">
            <v>1.03066455940174</v>
          </cell>
          <cell r="D134">
            <v>1.02716649628993</v>
          </cell>
          <cell r="E134">
            <v>1.02971964432145</v>
          </cell>
          <cell r="F134">
            <v>1.03791616367329</v>
          </cell>
          <cell r="G134">
            <v>1.03435470718004</v>
          </cell>
          <cell r="H134">
            <v>1.03634792568803</v>
          </cell>
          <cell r="I134">
            <v>1.01947440324355</v>
          </cell>
        </row>
        <row r="135">
          <cell r="B135">
            <v>45878</v>
          </cell>
          <cell r="C135">
            <v>0.954812107609833</v>
          </cell>
          <cell r="D135">
            <v>0.949263972829937</v>
          </cell>
          <cell r="E135">
            <v>0.952984934577689</v>
          </cell>
          <cell r="F135">
            <v>0.955881268641323</v>
          </cell>
          <cell r="G135">
            <v>0.945048979243331</v>
          </cell>
          <cell r="H135">
            <v>0.944766793553131</v>
          </cell>
          <cell r="I135">
            <v>0.926488443039544</v>
          </cell>
        </row>
        <row r="136">
          <cell r="B136">
            <v>45879</v>
          </cell>
          <cell r="C136">
            <v>1.07509108025971</v>
          </cell>
          <cell r="D136">
            <v>1.07311089220897</v>
          </cell>
          <cell r="E136">
            <v>1.07754114344113</v>
          </cell>
          <cell r="F136">
            <v>1.08082078429893</v>
          </cell>
          <cell r="G136">
            <v>1.06757818550714</v>
          </cell>
          <cell r="H136">
            <v>1.0654673955179</v>
          </cell>
          <cell r="I136">
            <v>1.05322802390731</v>
          </cell>
        </row>
        <row r="137">
          <cell r="B137">
            <v>45880</v>
          </cell>
          <cell r="C137">
            <v>0.762558374719932</v>
          </cell>
          <cell r="D137">
            <v>0.760088255892686</v>
          </cell>
          <cell r="E137">
            <v>0.762058902162952</v>
          </cell>
          <cell r="F137">
            <v>0.766529675097879</v>
          </cell>
          <cell r="G137">
            <v>0.760744479916165</v>
          </cell>
          <cell r="H137">
            <v>0.760084307493027</v>
          </cell>
          <cell r="I137">
            <v>0.744266228775457</v>
          </cell>
        </row>
        <row r="138">
          <cell r="B138">
            <v>45881</v>
          </cell>
          <cell r="C138">
            <v>1.13492427774184</v>
          </cell>
          <cell r="D138">
            <v>1.1318756362165</v>
          </cell>
          <cell r="E138">
            <v>1.1352741218513</v>
          </cell>
          <cell r="F138">
            <v>1.12490396018665</v>
          </cell>
          <cell r="G138">
            <v>1.12580269014736</v>
          </cell>
          <cell r="H138">
            <v>1.12584093397547</v>
          </cell>
          <cell r="I138">
            <v>1.10671901991777</v>
          </cell>
        </row>
        <row r="139">
          <cell r="B139">
            <v>45882</v>
          </cell>
          <cell r="C139">
            <v>1.02428516583169</v>
          </cell>
          <cell r="D139">
            <v>1.01836564484009</v>
          </cell>
          <cell r="E139">
            <v>1.01950037729854</v>
          </cell>
          <cell r="F139">
            <v>1.01710674962712</v>
          </cell>
          <cell r="G139">
            <v>1.0086316137943</v>
          </cell>
          <cell r="H139">
            <v>1.00784470150246</v>
          </cell>
          <cell r="I139">
            <v>0.987122677817304</v>
          </cell>
        </row>
        <row r="140">
          <cell r="B140">
            <v>45883</v>
          </cell>
          <cell r="C140">
            <v>0.97794629164857</v>
          </cell>
          <cell r="D140">
            <v>0.976946994999673</v>
          </cell>
          <cell r="E140">
            <v>0.980531010865429</v>
          </cell>
          <cell r="F140">
            <v>0.984064894792277</v>
          </cell>
          <cell r="G140">
            <v>0.974203106876782</v>
          </cell>
          <cell r="H140">
            <v>0.974368542275178</v>
          </cell>
          <cell r="I140">
            <v>0.957466559072385</v>
          </cell>
        </row>
        <row r="141">
          <cell r="B141">
            <v>45884</v>
          </cell>
          <cell r="C141">
            <v>1.02641438650613</v>
          </cell>
          <cell r="D141">
            <v>1.02854776019914</v>
          </cell>
          <cell r="E141">
            <v>1.03895298849427</v>
          </cell>
          <cell r="F141">
            <v>1.04071534067545</v>
          </cell>
          <cell r="G141">
            <v>1.03094539921425</v>
          </cell>
          <cell r="H141">
            <v>1.03257211853143</v>
          </cell>
          <cell r="I141">
            <v>1.01501510057553</v>
          </cell>
        </row>
        <row r="142">
          <cell r="B142">
            <v>45885</v>
          </cell>
          <cell r="C142">
            <v>1.00846566038147</v>
          </cell>
          <cell r="D142">
            <v>1.00826124166653</v>
          </cell>
          <cell r="E142">
            <v>1.01413097905273</v>
          </cell>
          <cell r="F142">
            <v>1.01739406040305</v>
          </cell>
          <cell r="G142">
            <v>1.01024321442445</v>
          </cell>
          <cell r="H142">
            <v>1.01481491413212</v>
          </cell>
          <cell r="I142">
            <v>1.00232886666168</v>
          </cell>
        </row>
        <row r="143">
          <cell r="B143">
            <v>45886</v>
          </cell>
          <cell r="C143">
            <v>1.20586430509091</v>
          </cell>
          <cell r="D143">
            <v>1.20490868995738</v>
          </cell>
          <cell r="E143">
            <v>1.21108968996999</v>
          </cell>
          <cell r="F143">
            <v>1.21631153880787</v>
          </cell>
          <cell r="G143">
            <v>1.20642211558976</v>
          </cell>
          <cell r="H143">
            <v>1.20560529007322</v>
          </cell>
          <cell r="I143">
            <v>1.19205960025726</v>
          </cell>
        </row>
        <row r="144">
          <cell r="B144">
            <v>45887</v>
          </cell>
          <cell r="C144">
            <v>1.26850486575598</v>
          </cell>
          <cell r="D144">
            <v>1.26130732948372</v>
          </cell>
          <cell r="E144">
            <v>1.26247000842001</v>
          </cell>
          <cell r="F144">
            <v>1.25069878689113</v>
          </cell>
          <cell r="G144">
            <v>1.25147198041977</v>
          </cell>
          <cell r="H144">
            <v>1.25373860254484</v>
          </cell>
          <cell r="I144">
            <v>1.23265054342795</v>
          </cell>
        </row>
        <row r="145">
          <cell r="B145">
            <v>45888</v>
          </cell>
          <cell r="C145" t="str">
            <v/>
          </cell>
          <cell r="D145" t="str">
            <v/>
          </cell>
          <cell r="E145" t="str">
            <v/>
          </cell>
          <cell r="F145" t="str">
            <v/>
          </cell>
          <cell r="G145" t="str">
            <v/>
          </cell>
          <cell r="H145" t="str">
            <v/>
          </cell>
          <cell r="I145" t="str">
            <v/>
          </cell>
        </row>
        <row r="146">
          <cell r="B146">
            <v>45889</v>
          </cell>
          <cell r="C146" t="str">
            <v/>
          </cell>
          <cell r="D146" t="str">
            <v/>
          </cell>
          <cell r="E146" t="str">
            <v/>
          </cell>
          <cell r="F146" t="str">
            <v/>
          </cell>
          <cell r="G146" t="str">
            <v/>
          </cell>
          <cell r="H146" t="str">
            <v/>
          </cell>
          <cell r="I146" t="str">
            <v/>
          </cell>
        </row>
        <row r="147">
          <cell r="B147">
            <v>45890</v>
          </cell>
          <cell r="C147" t="str">
            <v/>
          </cell>
          <cell r="D147" t="str">
            <v/>
          </cell>
          <cell r="E147" t="str">
            <v/>
          </cell>
          <cell r="F147" t="str">
            <v/>
          </cell>
          <cell r="G147" t="str">
            <v/>
          </cell>
          <cell r="H147" t="str">
            <v/>
          </cell>
          <cell r="I147" t="str">
            <v/>
          </cell>
        </row>
        <row r="148">
          <cell r="B148">
            <v>45891</v>
          </cell>
          <cell r="C148" t="str">
            <v/>
          </cell>
          <cell r="D148" t="str">
            <v/>
          </cell>
          <cell r="E148" t="str">
            <v/>
          </cell>
          <cell r="F148" t="str">
            <v/>
          </cell>
          <cell r="G148" t="str">
            <v/>
          </cell>
          <cell r="H148" t="str">
            <v/>
          </cell>
          <cell r="I148" t="str">
            <v/>
          </cell>
        </row>
        <row r="149">
          <cell r="B149">
            <v>45892</v>
          </cell>
          <cell r="C149" t="str">
            <v/>
          </cell>
          <cell r="D149" t="str">
            <v/>
          </cell>
          <cell r="E149" t="str">
            <v/>
          </cell>
          <cell r="F149" t="str">
            <v/>
          </cell>
          <cell r="G149" t="str">
            <v/>
          </cell>
          <cell r="H149" t="str">
            <v/>
          </cell>
          <cell r="I149" t="str">
            <v/>
          </cell>
        </row>
        <row r="150">
          <cell r="B150">
            <v>45893</v>
          </cell>
          <cell r="C150" t="str">
            <v/>
          </cell>
          <cell r="D150" t="str">
            <v/>
          </cell>
          <cell r="E150" t="str">
            <v/>
          </cell>
          <cell r="F150" t="str">
            <v/>
          </cell>
          <cell r="G150" t="str">
            <v/>
          </cell>
          <cell r="H150" t="str">
            <v/>
          </cell>
          <cell r="I150" t="str">
            <v/>
          </cell>
        </row>
        <row r="151">
          <cell r="B151">
            <v>45894</v>
          </cell>
          <cell r="C151" t="str">
            <v/>
          </cell>
          <cell r="D151" t="str">
            <v/>
          </cell>
          <cell r="E151" t="str">
            <v/>
          </cell>
          <cell r="F151" t="str">
            <v/>
          </cell>
          <cell r="G151" t="str">
            <v/>
          </cell>
          <cell r="H151" t="str">
            <v/>
          </cell>
          <cell r="I151" t="str">
            <v/>
          </cell>
        </row>
        <row r="152">
          <cell r="B152">
            <v>45895</v>
          </cell>
          <cell r="C152" t="str">
            <v/>
          </cell>
          <cell r="D152" t="str">
            <v/>
          </cell>
          <cell r="E152" t="str">
            <v/>
          </cell>
          <cell r="F152" t="str">
            <v/>
          </cell>
          <cell r="G152" t="str">
            <v/>
          </cell>
          <cell r="H152" t="str">
            <v/>
          </cell>
          <cell r="I152" t="str">
            <v/>
          </cell>
        </row>
        <row r="153">
          <cell r="B153">
            <v>45896</v>
          </cell>
          <cell r="C153" t="str">
            <v/>
          </cell>
          <cell r="D153" t="str">
            <v/>
          </cell>
          <cell r="E153" t="str">
            <v/>
          </cell>
          <cell r="F153" t="str">
            <v/>
          </cell>
          <cell r="G153" t="str">
            <v/>
          </cell>
          <cell r="H153" t="str">
            <v/>
          </cell>
          <cell r="I153" t="str">
            <v/>
          </cell>
        </row>
        <row r="154">
          <cell r="B154">
            <v>45897</v>
          </cell>
          <cell r="C154" t="str">
            <v/>
          </cell>
          <cell r="D154" t="str">
            <v/>
          </cell>
          <cell r="E154" t="str">
            <v/>
          </cell>
          <cell r="F154" t="str">
            <v/>
          </cell>
          <cell r="G154" t="str">
            <v/>
          </cell>
          <cell r="H154" t="str">
            <v/>
          </cell>
          <cell r="I154" t="str">
            <v/>
          </cell>
        </row>
        <row r="155">
          <cell r="B155">
            <v>45898</v>
          </cell>
          <cell r="C155" t="str">
            <v/>
          </cell>
          <cell r="D155" t="str">
            <v/>
          </cell>
          <cell r="E155" t="str">
            <v/>
          </cell>
          <cell r="F155" t="str">
            <v/>
          </cell>
          <cell r="G155" t="str">
            <v/>
          </cell>
          <cell r="H155" t="str">
            <v/>
          </cell>
          <cell r="I155" t="str">
            <v/>
          </cell>
        </row>
        <row r="156">
          <cell r="B156">
            <v>45899</v>
          </cell>
          <cell r="C156" t="str">
            <v/>
          </cell>
          <cell r="D156" t="str">
            <v/>
          </cell>
          <cell r="E156" t="str">
            <v/>
          </cell>
          <cell r="F156" t="str">
            <v/>
          </cell>
          <cell r="G156" t="str">
            <v/>
          </cell>
          <cell r="H156" t="str">
            <v/>
          </cell>
          <cell r="I156" t="str">
            <v/>
          </cell>
        </row>
        <row r="157">
          <cell r="B157">
            <v>45900</v>
          </cell>
          <cell r="C157" t="str">
            <v/>
          </cell>
          <cell r="D157" t="str">
            <v/>
          </cell>
          <cell r="E157" t="str">
            <v/>
          </cell>
          <cell r="F157" t="str">
            <v/>
          </cell>
          <cell r="G157" t="str">
            <v/>
          </cell>
          <cell r="H157" t="str">
            <v/>
          </cell>
          <cell r="I157" t="str">
            <v/>
          </cell>
        </row>
        <row r="158">
          <cell r="B158">
            <v>45901</v>
          </cell>
          <cell r="C158" t="str">
            <v/>
          </cell>
          <cell r="D158" t="str">
            <v/>
          </cell>
          <cell r="E158" t="str">
            <v/>
          </cell>
          <cell r="F158" t="str">
            <v/>
          </cell>
          <cell r="G158" t="str">
            <v/>
          </cell>
          <cell r="H158" t="str">
            <v/>
          </cell>
          <cell r="I158" t="str">
            <v/>
          </cell>
        </row>
        <row r="159">
          <cell r="B159">
            <v>45902</v>
          </cell>
          <cell r="C159" t="str">
            <v/>
          </cell>
          <cell r="D159" t="str">
            <v/>
          </cell>
          <cell r="E159" t="str">
            <v/>
          </cell>
          <cell r="F159" t="str">
            <v/>
          </cell>
          <cell r="G159" t="str">
            <v/>
          </cell>
          <cell r="H159" t="str">
            <v/>
          </cell>
          <cell r="I159" t="str">
            <v/>
          </cell>
        </row>
        <row r="160">
          <cell r="B160">
            <v>45903</v>
          </cell>
          <cell r="C160" t="str">
            <v/>
          </cell>
          <cell r="D160" t="str">
            <v/>
          </cell>
          <cell r="E160" t="str">
            <v/>
          </cell>
          <cell r="F160" t="str">
            <v/>
          </cell>
          <cell r="G160" t="str">
            <v/>
          </cell>
          <cell r="H160" t="str">
            <v/>
          </cell>
          <cell r="I160" t="str">
            <v/>
          </cell>
        </row>
        <row r="161">
          <cell r="B161">
            <v>45904</v>
          </cell>
          <cell r="C161" t="str">
            <v/>
          </cell>
          <cell r="D161" t="str">
            <v/>
          </cell>
          <cell r="E161" t="str">
            <v/>
          </cell>
          <cell r="F161" t="str">
            <v/>
          </cell>
          <cell r="G161" t="str">
            <v/>
          </cell>
          <cell r="H161" t="str">
            <v/>
          </cell>
          <cell r="I161" t="str">
            <v/>
          </cell>
        </row>
        <row r="162">
          <cell r="B162">
            <v>45905</v>
          </cell>
          <cell r="C162" t="str">
            <v/>
          </cell>
          <cell r="D162" t="str">
            <v/>
          </cell>
          <cell r="E162" t="str">
            <v/>
          </cell>
          <cell r="F162" t="str">
            <v/>
          </cell>
          <cell r="G162" t="str">
            <v/>
          </cell>
          <cell r="H162" t="str">
            <v/>
          </cell>
          <cell r="I162" t="str">
            <v/>
          </cell>
        </row>
        <row r="163">
          <cell r="B163">
            <v>45906</v>
          </cell>
          <cell r="C163" t="str">
            <v/>
          </cell>
          <cell r="D163" t="str">
            <v/>
          </cell>
          <cell r="E163" t="str">
            <v/>
          </cell>
          <cell r="F163" t="str">
            <v/>
          </cell>
          <cell r="G163" t="str">
            <v/>
          </cell>
          <cell r="H163" t="str">
            <v/>
          </cell>
          <cell r="I163" t="str">
            <v/>
          </cell>
        </row>
        <row r="164">
          <cell r="B164">
            <v>45907</v>
          </cell>
          <cell r="C164" t="str">
            <v/>
          </cell>
          <cell r="D164" t="str">
            <v/>
          </cell>
          <cell r="E164" t="str">
            <v/>
          </cell>
          <cell r="F164" t="str">
            <v/>
          </cell>
          <cell r="G164" t="str">
            <v/>
          </cell>
          <cell r="H164" t="str">
            <v/>
          </cell>
          <cell r="I164" t="str">
            <v/>
          </cell>
        </row>
        <row r="165">
          <cell r="B165">
            <v>45908</v>
          </cell>
          <cell r="C165" t="str">
            <v/>
          </cell>
          <cell r="D165" t="str">
            <v/>
          </cell>
          <cell r="E165" t="str">
            <v/>
          </cell>
          <cell r="F165" t="str">
            <v/>
          </cell>
          <cell r="G165" t="str">
            <v/>
          </cell>
          <cell r="H165" t="str">
            <v/>
          </cell>
          <cell r="I165" t="str">
            <v/>
          </cell>
        </row>
        <row r="166">
          <cell r="B166">
            <v>45909</v>
          </cell>
          <cell r="C166" t="str">
            <v/>
          </cell>
          <cell r="D166" t="str">
            <v/>
          </cell>
          <cell r="E166" t="str">
            <v/>
          </cell>
          <cell r="F166" t="str">
            <v/>
          </cell>
          <cell r="G166" t="str">
            <v/>
          </cell>
          <cell r="H166" t="str">
            <v/>
          </cell>
          <cell r="I166" t="str">
            <v/>
          </cell>
        </row>
        <row r="167">
          <cell r="B167">
            <v>45910</v>
          </cell>
          <cell r="C167" t="str">
            <v/>
          </cell>
          <cell r="D167" t="str">
            <v/>
          </cell>
          <cell r="E167" t="str">
            <v/>
          </cell>
          <cell r="F167" t="str">
            <v/>
          </cell>
          <cell r="G167" t="str">
            <v/>
          </cell>
          <cell r="H167" t="str">
            <v/>
          </cell>
          <cell r="I167" t="str">
            <v/>
          </cell>
        </row>
        <row r="168">
          <cell r="B168">
            <v>45911</v>
          </cell>
          <cell r="C168" t="str">
            <v/>
          </cell>
          <cell r="D168" t="str">
            <v/>
          </cell>
          <cell r="E168" t="str">
            <v/>
          </cell>
          <cell r="F168" t="str">
            <v/>
          </cell>
          <cell r="G168" t="str">
            <v/>
          </cell>
          <cell r="H168" t="str">
            <v/>
          </cell>
          <cell r="I168" t="str">
            <v/>
          </cell>
        </row>
        <row r="169">
          <cell r="B169">
            <v>45912</v>
          </cell>
          <cell r="C169" t="str">
            <v/>
          </cell>
          <cell r="D169" t="str">
            <v/>
          </cell>
          <cell r="E169" t="str">
            <v/>
          </cell>
          <cell r="F169" t="str">
            <v/>
          </cell>
          <cell r="G169" t="str">
            <v/>
          </cell>
          <cell r="H169" t="str">
            <v/>
          </cell>
          <cell r="I169" t="str">
            <v/>
          </cell>
        </row>
        <row r="170">
          <cell r="B170">
            <v>45913</v>
          </cell>
          <cell r="C170" t="str">
            <v/>
          </cell>
          <cell r="D170" t="str">
            <v/>
          </cell>
          <cell r="E170" t="str">
            <v/>
          </cell>
          <cell r="F170" t="str">
            <v/>
          </cell>
          <cell r="G170" t="str">
            <v/>
          </cell>
          <cell r="H170" t="str">
            <v/>
          </cell>
          <cell r="I170" t="str">
            <v/>
          </cell>
        </row>
        <row r="171">
          <cell r="B171">
            <v>45914</v>
          </cell>
          <cell r="C171" t="str">
            <v/>
          </cell>
          <cell r="D171" t="str">
            <v/>
          </cell>
          <cell r="E171" t="str">
            <v/>
          </cell>
          <cell r="F171" t="str">
            <v/>
          </cell>
          <cell r="G171" t="str">
            <v/>
          </cell>
          <cell r="H171" t="str">
            <v/>
          </cell>
          <cell r="I171" t="str">
            <v/>
          </cell>
        </row>
        <row r="172">
          <cell r="B172">
            <v>45915</v>
          </cell>
          <cell r="C172" t="str">
            <v/>
          </cell>
          <cell r="D172" t="str">
            <v/>
          </cell>
          <cell r="E172" t="str">
            <v/>
          </cell>
          <cell r="F172" t="str">
            <v/>
          </cell>
          <cell r="G172" t="str">
            <v/>
          </cell>
          <cell r="H172" t="str">
            <v/>
          </cell>
          <cell r="I172" t="str">
            <v/>
          </cell>
        </row>
        <row r="173">
          <cell r="B173">
            <v>45916</v>
          </cell>
          <cell r="C173" t="str">
            <v/>
          </cell>
          <cell r="D173" t="str">
            <v/>
          </cell>
          <cell r="E173" t="str">
            <v/>
          </cell>
          <cell r="F173" t="str">
            <v/>
          </cell>
          <cell r="G173" t="str">
            <v/>
          </cell>
          <cell r="H173" t="str">
            <v/>
          </cell>
          <cell r="I173" t="str">
            <v/>
          </cell>
        </row>
        <row r="174">
          <cell r="B174">
            <v>45917</v>
          </cell>
          <cell r="C174" t="str">
            <v/>
          </cell>
          <cell r="D174" t="str">
            <v/>
          </cell>
          <cell r="E174" t="str">
            <v/>
          </cell>
          <cell r="F174" t="str">
            <v/>
          </cell>
          <cell r="G174" t="str">
            <v/>
          </cell>
          <cell r="H174" t="str">
            <v/>
          </cell>
          <cell r="I174" t="str">
            <v/>
          </cell>
        </row>
        <row r="175">
          <cell r="B175">
            <v>45918</v>
          </cell>
          <cell r="C175" t="str">
            <v/>
          </cell>
          <cell r="D175" t="str">
            <v/>
          </cell>
          <cell r="E175" t="str">
            <v/>
          </cell>
          <cell r="F175" t="str">
            <v/>
          </cell>
          <cell r="G175" t="str">
            <v/>
          </cell>
          <cell r="H175" t="str">
            <v/>
          </cell>
          <cell r="I175" t="str">
            <v/>
          </cell>
        </row>
        <row r="176">
          <cell r="B176">
            <v>45919</v>
          </cell>
          <cell r="C176" t="str">
            <v/>
          </cell>
          <cell r="D176" t="str">
            <v/>
          </cell>
          <cell r="E176" t="str">
            <v/>
          </cell>
          <cell r="F176" t="str">
            <v/>
          </cell>
          <cell r="G176" t="str">
            <v/>
          </cell>
          <cell r="H176" t="str">
            <v/>
          </cell>
          <cell r="I176" t="str">
            <v/>
          </cell>
        </row>
        <row r="177">
          <cell r="B177">
            <v>45920</v>
          </cell>
          <cell r="C177" t="str">
            <v/>
          </cell>
          <cell r="D177" t="str">
            <v/>
          </cell>
          <cell r="E177" t="str">
            <v/>
          </cell>
          <cell r="F177" t="str">
            <v/>
          </cell>
          <cell r="G177" t="str">
            <v/>
          </cell>
          <cell r="H177" t="str">
            <v/>
          </cell>
          <cell r="I177" t="str">
            <v/>
          </cell>
        </row>
        <row r="178">
          <cell r="B178">
            <v>45921</v>
          </cell>
          <cell r="C178">
            <v>1.4217923803498</v>
          </cell>
          <cell r="D178">
            <v>1.41982029359442</v>
          </cell>
          <cell r="E178">
            <v>1.41300016023205</v>
          </cell>
          <cell r="F178">
            <v>1.39926432589734</v>
          </cell>
          <cell r="G178">
            <v>1.40789041914167</v>
          </cell>
          <cell r="H178">
            <v>1.40543424224978</v>
          </cell>
          <cell r="I178">
            <v>1.36356133859676</v>
          </cell>
        </row>
        <row r="179">
          <cell r="B179">
            <v>45922</v>
          </cell>
          <cell r="C179">
            <v>0.989776106304665</v>
          </cell>
          <cell r="D179">
            <v>0.986485153398441</v>
          </cell>
          <cell r="E179">
            <v>0.992018118016934</v>
          </cell>
          <cell r="F179">
            <v>0.98046514306792</v>
          </cell>
          <cell r="G179">
            <v>0.998747286399923</v>
          </cell>
          <cell r="H179">
            <v>1.0009990459892</v>
          </cell>
          <cell r="I179">
            <v>0.973357548173869</v>
          </cell>
        </row>
        <row r="180">
          <cell r="B180">
            <v>45923</v>
          </cell>
          <cell r="C180">
            <v>1.7735907245585</v>
          </cell>
          <cell r="D180">
            <v>1.78150963491644</v>
          </cell>
          <cell r="E180">
            <v>1.796375754476</v>
          </cell>
          <cell r="F180">
            <v>1.7453047842348</v>
          </cell>
          <cell r="G180">
            <v>1.79301092828582</v>
          </cell>
          <cell r="H180">
            <v>1.78848527259562</v>
          </cell>
          <cell r="I180">
            <v>1.74778043082157</v>
          </cell>
        </row>
        <row r="181">
          <cell r="B181">
            <v>45924</v>
          </cell>
          <cell r="C181">
            <v>1.69223292730896</v>
          </cell>
          <cell r="D181">
            <v>1.69571144577428</v>
          </cell>
          <cell r="E181">
            <v>1.70165859024725</v>
          </cell>
          <cell r="F181">
            <v>1.66677139625487</v>
          </cell>
          <cell r="G181">
            <v>1.67658735579516</v>
          </cell>
          <cell r="H181">
            <v>1.65647732337713</v>
          </cell>
          <cell r="I181">
            <v>1.6175745095728</v>
          </cell>
        </row>
        <row r="182">
          <cell r="B182">
            <v>45925</v>
          </cell>
          <cell r="C182">
            <v>1.94051408243507</v>
          </cell>
          <cell r="D182">
            <v>1.93827703844555</v>
          </cell>
          <cell r="E182">
            <v>1.94557174710704</v>
          </cell>
          <cell r="F182">
            <v>1.91267366824786</v>
          </cell>
          <cell r="G182">
            <v>1.93153630476066</v>
          </cell>
          <cell r="H182">
            <v>1.92231431292672</v>
          </cell>
          <cell r="I182">
            <v>1.85844649558496</v>
          </cell>
        </row>
        <row r="183">
          <cell r="B183">
            <v>45926</v>
          </cell>
          <cell r="C183" t="str">
            <v/>
          </cell>
          <cell r="D183" t="str">
            <v/>
          </cell>
          <cell r="E183" t="str">
            <v/>
          </cell>
          <cell r="F183" t="str">
            <v/>
          </cell>
          <cell r="G183" t="str">
            <v/>
          </cell>
          <cell r="H183" t="str">
            <v/>
          </cell>
          <cell r="I183" t="str">
            <v/>
          </cell>
        </row>
        <row r="184">
          <cell r="B184">
            <v>45927</v>
          </cell>
          <cell r="C184" t="str">
            <v/>
          </cell>
          <cell r="D184" t="str">
            <v/>
          </cell>
          <cell r="E184" t="str">
            <v/>
          </cell>
          <cell r="F184" t="str">
            <v/>
          </cell>
          <cell r="G184" t="str">
            <v/>
          </cell>
          <cell r="H184" t="str">
            <v/>
          </cell>
          <cell r="I184" t="str">
            <v/>
          </cell>
        </row>
        <row r="185">
          <cell r="B185">
            <v>45928</v>
          </cell>
          <cell r="C185" t="str">
            <v/>
          </cell>
          <cell r="D185" t="str">
            <v/>
          </cell>
          <cell r="E185" t="str">
            <v/>
          </cell>
          <cell r="F185" t="str">
            <v/>
          </cell>
          <cell r="G185" t="str">
            <v/>
          </cell>
          <cell r="H185" t="str">
            <v/>
          </cell>
          <cell r="I185" t="str">
            <v/>
          </cell>
        </row>
        <row r="186">
          <cell r="B186">
            <v>45929</v>
          </cell>
          <cell r="C186" t="str">
            <v/>
          </cell>
          <cell r="D186" t="str">
            <v/>
          </cell>
          <cell r="E186" t="str">
            <v/>
          </cell>
          <cell r="F186" t="str">
            <v/>
          </cell>
          <cell r="G186" t="str">
            <v/>
          </cell>
          <cell r="H186" t="str">
            <v/>
          </cell>
          <cell r="I186" t="str">
            <v/>
          </cell>
        </row>
        <row r="187">
          <cell r="B187">
            <v>45930</v>
          </cell>
          <cell r="C187">
            <v>2.18542924964943</v>
          </cell>
          <cell r="D187">
            <v>2.17704968687931</v>
          </cell>
          <cell r="E187">
            <v>2.22146791609439</v>
          </cell>
          <cell r="F187">
            <v>2.22103385246584</v>
          </cell>
          <cell r="G187">
            <v>2.22037635280555</v>
          </cell>
          <cell r="H187">
            <v>2.22363254159938</v>
          </cell>
          <cell r="I187">
            <v>2.19824053090906</v>
          </cell>
        </row>
        <row r="188">
          <cell r="B188">
            <v>45931</v>
          </cell>
          <cell r="C188">
            <v>2.14342697589606</v>
          </cell>
          <cell r="D188">
            <v>2.12255036547019</v>
          </cell>
          <cell r="E188">
            <v>2.16365604877771</v>
          </cell>
          <cell r="F188">
            <v>2.14673448505675</v>
          </cell>
          <cell r="G188">
            <v>2.15002960654267</v>
          </cell>
          <cell r="H188">
            <v>2.14192806725021</v>
          </cell>
          <cell r="I188">
            <v>2.11113230779903</v>
          </cell>
        </row>
        <row r="189">
          <cell r="B189">
            <v>45932</v>
          </cell>
          <cell r="C189">
            <v>3.23233520334828</v>
          </cell>
          <cell r="D189">
            <v>3.20977334202007</v>
          </cell>
          <cell r="E189">
            <v>3.26614630733311</v>
          </cell>
          <cell r="F189">
            <v>3.18885236838372</v>
          </cell>
          <cell r="G189">
            <v>3.24465357182261</v>
          </cell>
          <cell r="H189">
            <v>3.23959175706199</v>
          </cell>
          <cell r="I189">
            <v>3.16260367627179</v>
          </cell>
        </row>
        <row r="190">
          <cell r="B190">
            <v>45933</v>
          </cell>
          <cell r="C190">
            <v>0.753281352144413</v>
          </cell>
          <cell r="D190">
            <v>0.74536868171134</v>
          </cell>
          <cell r="E190">
            <v>0.762984881012685</v>
          </cell>
          <cell r="F190">
            <v>0.752418498435173</v>
          </cell>
          <cell r="G190">
            <v>0.761577777956458</v>
          </cell>
          <cell r="H190">
            <v>0.758454766618412</v>
          </cell>
          <cell r="I190">
            <v>0.734746682412237</v>
          </cell>
        </row>
        <row r="191">
          <cell r="B191">
            <v>45934</v>
          </cell>
          <cell r="C191">
            <v>4.60297192455997</v>
          </cell>
          <cell r="D191">
            <v>4.54664074254884</v>
          </cell>
          <cell r="E191">
            <v>4.6417473895756</v>
          </cell>
          <cell r="F191">
            <v>4.53390430940018</v>
          </cell>
          <cell r="G191">
            <v>4.59925861191697</v>
          </cell>
          <cell r="H191">
            <v>4.56408528938189</v>
          </cell>
          <cell r="I191">
            <v>4.43014931138451</v>
          </cell>
        </row>
        <row r="192">
          <cell r="B192">
            <v>45935</v>
          </cell>
          <cell r="C192">
            <v>4.25689233231654</v>
          </cell>
          <cell r="D192">
            <v>4.2169043102712</v>
          </cell>
          <cell r="E192">
            <v>4.33591941873179</v>
          </cell>
          <cell r="F192">
            <v>4.24298689333583</v>
          </cell>
          <cell r="G192">
            <v>4.34149741028533</v>
          </cell>
          <cell r="H192">
            <v>4.30367663336589</v>
          </cell>
          <cell r="I192">
            <v>4.19777845799145</v>
          </cell>
        </row>
        <row r="193">
          <cell r="B193">
            <v>45936</v>
          </cell>
          <cell r="C193">
            <v>4.73623144003223</v>
          </cell>
          <cell r="D193">
            <v>4.67353747170261</v>
          </cell>
          <cell r="E193">
            <v>4.81715204847577</v>
          </cell>
          <cell r="F193">
            <v>4.75695264144748</v>
          </cell>
          <cell r="G193">
            <v>4.8632536381126</v>
          </cell>
          <cell r="H193">
            <v>4.85375642079728</v>
          </cell>
          <cell r="I193">
            <v>4.6717490346757</v>
          </cell>
        </row>
        <row r="194">
          <cell r="B194">
            <v>45937</v>
          </cell>
          <cell r="C194" t="str">
            <v/>
          </cell>
          <cell r="D194" t="str">
            <v/>
          </cell>
          <cell r="E194" t="str">
            <v/>
          </cell>
          <cell r="F194" t="str">
            <v/>
          </cell>
          <cell r="G194" t="str">
            <v/>
          </cell>
          <cell r="H194" t="str">
            <v/>
          </cell>
          <cell r="I194" t="str">
            <v/>
          </cell>
        </row>
        <row r="195">
          <cell r="B195">
            <v>45938</v>
          </cell>
          <cell r="C195" t="str">
            <v/>
          </cell>
          <cell r="D195" t="str">
            <v/>
          </cell>
          <cell r="E195" t="str">
            <v/>
          </cell>
          <cell r="F195" t="str">
            <v/>
          </cell>
          <cell r="G195" t="str">
            <v/>
          </cell>
          <cell r="H195" t="str">
            <v/>
          </cell>
          <cell r="I195" t="str">
            <v/>
          </cell>
        </row>
        <row r="196">
          <cell r="B196">
            <v>45939</v>
          </cell>
          <cell r="C196" t="str">
            <v/>
          </cell>
          <cell r="D196" t="str">
            <v/>
          </cell>
          <cell r="E196" t="str">
            <v/>
          </cell>
          <cell r="F196" t="str">
            <v/>
          </cell>
          <cell r="G196" t="str">
            <v/>
          </cell>
          <cell r="H196" t="str">
            <v/>
          </cell>
          <cell r="I196" t="str">
            <v/>
          </cell>
        </row>
        <row r="197">
          <cell r="B197">
            <v>45940</v>
          </cell>
          <cell r="C197" t="str">
            <v/>
          </cell>
          <cell r="D197" t="str">
            <v/>
          </cell>
          <cell r="E197" t="str">
            <v/>
          </cell>
          <cell r="F197" t="str">
            <v/>
          </cell>
          <cell r="G197" t="str">
            <v/>
          </cell>
          <cell r="H197" t="str">
            <v/>
          </cell>
          <cell r="I197" t="str">
            <v/>
          </cell>
        </row>
        <row r="198">
          <cell r="B198">
            <v>45941</v>
          </cell>
          <cell r="C198" t="str">
            <v/>
          </cell>
          <cell r="D198" t="str">
            <v/>
          </cell>
          <cell r="E198" t="str">
            <v/>
          </cell>
          <cell r="F198" t="str">
            <v/>
          </cell>
          <cell r="G198" t="str">
            <v/>
          </cell>
          <cell r="H198" t="str">
            <v/>
          </cell>
          <cell r="I198" t="str">
            <v/>
          </cell>
        </row>
        <row r="199">
          <cell r="B199">
            <v>45942</v>
          </cell>
          <cell r="C199" t="str">
            <v/>
          </cell>
          <cell r="D199" t="str">
            <v/>
          </cell>
          <cell r="E199" t="str">
            <v/>
          </cell>
          <cell r="F199" t="str">
            <v/>
          </cell>
          <cell r="G199" t="str">
            <v/>
          </cell>
          <cell r="H199" t="str">
            <v/>
          </cell>
          <cell r="I199" t="str">
            <v/>
          </cell>
        </row>
        <row r="200">
          <cell r="B200">
            <v>45943</v>
          </cell>
          <cell r="C200" t="str">
            <v/>
          </cell>
          <cell r="D200" t="str">
            <v/>
          </cell>
          <cell r="E200" t="str">
            <v/>
          </cell>
          <cell r="F200" t="str">
            <v/>
          </cell>
          <cell r="G200" t="str">
            <v/>
          </cell>
          <cell r="H200" t="str">
            <v/>
          </cell>
          <cell r="I200" t="str">
            <v/>
          </cell>
        </row>
        <row r="201">
          <cell r="B201">
            <v>45944</v>
          </cell>
          <cell r="C201" t="str">
            <v/>
          </cell>
          <cell r="D201" t="str">
            <v/>
          </cell>
          <cell r="E201" t="str">
            <v/>
          </cell>
          <cell r="F201" t="str">
            <v/>
          </cell>
          <cell r="G201" t="str">
            <v/>
          </cell>
          <cell r="H201" t="str">
            <v/>
          </cell>
          <cell r="I201" t="str">
            <v/>
          </cell>
        </row>
        <row r="202">
          <cell r="B202">
            <v>45945</v>
          </cell>
          <cell r="C202" t="str">
            <v/>
          </cell>
          <cell r="D202" t="str">
            <v/>
          </cell>
          <cell r="E202" t="str">
            <v/>
          </cell>
          <cell r="F202" t="str">
            <v/>
          </cell>
          <cell r="G202" t="str">
            <v/>
          </cell>
          <cell r="H202" t="str">
            <v/>
          </cell>
          <cell r="I202" t="str">
            <v/>
          </cell>
        </row>
        <row r="203">
          <cell r="B203">
            <v>45946</v>
          </cell>
          <cell r="C203" t="str">
            <v/>
          </cell>
          <cell r="D203" t="str">
            <v/>
          </cell>
          <cell r="E203" t="str">
            <v/>
          </cell>
          <cell r="F203" t="str">
            <v/>
          </cell>
          <cell r="G203" t="str">
            <v/>
          </cell>
          <cell r="H203" t="str">
            <v/>
          </cell>
          <cell r="I203" t="str">
            <v/>
          </cell>
        </row>
        <row r="204">
          <cell r="B204">
            <v>45947</v>
          </cell>
          <cell r="C204" t="str">
            <v/>
          </cell>
          <cell r="D204" t="str">
            <v/>
          </cell>
          <cell r="E204" t="str">
            <v/>
          </cell>
          <cell r="F204" t="str">
            <v/>
          </cell>
          <cell r="G204" t="str">
            <v/>
          </cell>
          <cell r="H204" t="str">
            <v/>
          </cell>
          <cell r="I204" t="str">
            <v/>
          </cell>
        </row>
        <row r="205">
          <cell r="B205">
            <v>45948</v>
          </cell>
          <cell r="C205" t="str">
            <v/>
          </cell>
          <cell r="D205" t="str">
            <v/>
          </cell>
          <cell r="E205" t="str">
            <v/>
          </cell>
          <cell r="F205" t="str">
            <v/>
          </cell>
          <cell r="G205" t="str">
            <v/>
          </cell>
          <cell r="H205" t="str">
            <v/>
          </cell>
          <cell r="I205" t="str">
            <v/>
          </cell>
        </row>
        <row r="206">
          <cell r="B206">
            <v>45949</v>
          </cell>
          <cell r="C206" t="str">
            <v/>
          </cell>
          <cell r="D206" t="str">
            <v/>
          </cell>
          <cell r="E206" t="str">
            <v/>
          </cell>
          <cell r="F206" t="str">
            <v/>
          </cell>
          <cell r="G206" t="str">
            <v/>
          </cell>
          <cell r="H206" t="str">
            <v/>
          </cell>
          <cell r="I206" t="str">
            <v/>
          </cell>
        </row>
        <row r="207">
          <cell r="B207">
            <v>45950</v>
          </cell>
          <cell r="C207" t="str">
            <v/>
          </cell>
          <cell r="D207" t="str">
            <v/>
          </cell>
          <cell r="E207" t="str">
            <v/>
          </cell>
          <cell r="F207" t="str">
            <v/>
          </cell>
          <cell r="G207" t="str">
            <v/>
          </cell>
          <cell r="H207" t="str">
            <v/>
          </cell>
          <cell r="I207" t="str">
            <v/>
          </cell>
        </row>
        <row r="208">
          <cell r="B208">
            <v>45951</v>
          </cell>
          <cell r="C208" t="str">
            <v/>
          </cell>
          <cell r="D208" t="str">
            <v/>
          </cell>
          <cell r="E208" t="str">
            <v/>
          </cell>
          <cell r="F208" t="str">
            <v/>
          </cell>
          <cell r="G208" t="str">
            <v/>
          </cell>
          <cell r="H208" t="str">
            <v/>
          </cell>
          <cell r="I208" t="str">
            <v/>
          </cell>
        </row>
        <row r="209">
          <cell r="B209">
            <v>45952</v>
          </cell>
          <cell r="C209" t="str">
            <v/>
          </cell>
          <cell r="D209" t="str">
            <v/>
          </cell>
          <cell r="E209" t="str">
            <v/>
          </cell>
          <cell r="F209" t="str">
            <v/>
          </cell>
          <cell r="G209" t="str">
            <v/>
          </cell>
          <cell r="H209" t="str">
            <v/>
          </cell>
          <cell r="I209" t="str">
            <v/>
          </cell>
        </row>
        <row r="210">
          <cell r="B210">
            <v>45953</v>
          </cell>
          <cell r="C210" t="str">
            <v/>
          </cell>
          <cell r="D210" t="str">
            <v/>
          </cell>
          <cell r="E210" t="str">
            <v/>
          </cell>
          <cell r="F210" t="str">
            <v/>
          </cell>
          <cell r="G210" t="str">
            <v/>
          </cell>
          <cell r="H210" t="str">
            <v/>
          </cell>
          <cell r="I210" t="str">
            <v/>
          </cell>
        </row>
        <row r="211">
          <cell r="B211">
            <v>45954</v>
          </cell>
          <cell r="C211" t="str">
            <v/>
          </cell>
          <cell r="D211" t="str">
            <v/>
          </cell>
          <cell r="E211" t="str">
            <v/>
          </cell>
          <cell r="F211" t="str">
            <v/>
          </cell>
          <cell r="G211" t="str">
            <v/>
          </cell>
          <cell r="H211" t="str">
            <v/>
          </cell>
          <cell r="I211" t="str">
            <v/>
          </cell>
        </row>
        <row r="212">
          <cell r="B212">
            <v>45955</v>
          </cell>
          <cell r="C212" t="str">
            <v/>
          </cell>
          <cell r="D212" t="str">
            <v/>
          </cell>
          <cell r="E212" t="str">
            <v/>
          </cell>
          <cell r="F212" t="str">
            <v/>
          </cell>
          <cell r="G212" t="str">
            <v/>
          </cell>
          <cell r="H212" t="str">
            <v/>
          </cell>
          <cell r="I212" t="str">
            <v/>
          </cell>
        </row>
        <row r="213">
          <cell r="B213">
            <v>45956</v>
          </cell>
          <cell r="C213" t="str">
            <v/>
          </cell>
          <cell r="D213" t="str">
            <v/>
          </cell>
          <cell r="E213" t="str">
            <v/>
          </cell>
          <cell r="F213" t="str">
            <v/>
          </cell>
          <cell r="G213" t="str">
            <v/>
          </cell>
          <cell r="H213" t="str">
            <v/>
          </cell>
          <cell r="I213" t="str">
            <v/>
          </cell>
        </row>
        <row r="214">
          <cell r="B214">
            <v>45957</v>
          </cell>
          <cell r="C214" t="str">
            <v/>
          </cell>
          <cell r="D214" t="str">
            <v/>
          </cell>
          <cell r="E214" t="str">
            <v/>
          </cell>
          <cell r="F214" t="str">
            <v/>
          </cell>
          <cell r="G214" t="str">
            <v/>
          </cell>
          <cell r="H214" t="str">
            <v/>
          </cell>
          <cell r="I214" t="str">
            <v/>
          </cell>
        </row>
        <row r="215">
          <cell r="B215">
            <v>45958</v>
          </cell>
          <cell r="C215" t="str">
            <v/>
          </cell>
          <cell r="D215" t="str">
            <v/>
          </cell>
          <cell r="E215" t="str">
            <v/>
          </cell>
          <cell r="F215" t="str">
            <v/>
          </cell>
          <cell r="G215" t="str">
            <v/>
          </cell>
          <cell r="H215" t="str">
            <v/>
          </cell>
          <cell r="I215" t="str">
            <v/>
          </cell>
        </row>
        <row r="216">
          <cell r="B216">
            <v>45959</v>
          </cell>
          <cell r="C216" t="str">
            <v/>
          </cell>
          <cell r="D216" t="str">
            <v/>
          </cell>
          <cell r="E216" t="str">
            <v/>
          </cell>
          <cell r="F216" t="str">
            <v/>
          </cell>
          <cell r="G216" t="str">
            <v/>
          </cell>
          <cell r="H216" t="str">
            <v/>
          </cell>
          <cell r="I216" t="str">
            <v/>
          </cell>
        </row>
        <row r="217">
          <cell r="B217">
            <v>45960</v>
          </cell>
          <cell r="C217" t="str">
            <v/>
          </cell>
          <cell r="D217" t="str">
            <v/>
          </cell>
          <cell r="E217" t="str">
            <v/>
          </cell>
          <cell r="F217" t="str">
            <v/>
          </cell>
          <cell r="G217" t="str">
            <v/>
          </cell>
          <cell r="H217" t="str">
            <v/>
          </cell>
          <cell r="I217" t="str">
            <v/>
          </cell>
        </row>
        <row r="218">
          <cell r="B218">
            <v>45961</v>
          </cell>
          <cell r="C218" t="str">
            <v/>
          </cell>
          <cell r="D218" t="str">
            <v/>
          </cell>
          <cell r="E218" t="str">
            <v/>
          </cell>
          <cell r="F218" t="str">
            <v/>
          </cell>
          <cell r="G218" t="str">
            <v/>
          </cell>
          <cell r="H218" t="str">
            <v/>
          </cell>
          <cell r="I218" t="str">
            <v/>
          </cell>
        </row>
        <row r="219">
          <cell r="B219">
            <v>45962</v>
          </cell>
          <cell r="C219">
            <v>1.71864491562725</v>
          </cell>
          <cell r="D219">
            <v>1.69626794465675</v>
          </cell>
          <cell r="E219">
            <v>1.72014656054386</v>
          </cell>
          <cell r="F219">
            <v>1.71439685527512</v>
          </cell>
          <cell r="G219">
            <v>1.71333724838457</v>
          </cell>
          <cell r="H219">
            <v>1.70740344979747</v>
          </cell>
          <cell r="I219">
            <v>1.68461012824069</v>
          </cell>
        </row>
        <row r="220">
          <cell r="B220">
            <v>45963</v>
          </cell>
          <cell r="C220" t="str">
            <v/>
          </cell>
          <cell r="D220" t="str">
            <v/>
          </cell>
          <cell r="E220" t="str">
            <v/>
          </cell>
          <cell r="F220" t="str">
            <v/>
          </cell>
          <cell r="G220" t="str">
            <v/>
          </cell>
          <cell r="H220" t="str">
            <v/>
          </cell>
          <cell r="I220" t="str">
            <v/>
          </cell>
        </row>
        <row r="221">
          <cell r="B221">
            <v>45964</v>
          </cell>
          <cell r="C221" t="str">
            <v/>
          </cell>
          <cell r="D221" t="str">
            <v/>
          </cell>
          <cell r="E221" t="str">
            <v/>
          </cell>
          <cell r="F221" t="str">
            <v/>
          </cell>
          <cell r="G221" t="str">
            <v/>
          </cell>
          <cell r="H221" t="str">
            <v/>
          </cell>
          <cell r="I221" t="str">
            <v/>
          </cell>
        </row>
        <row r="222">
          <cell r="B222">
            <v>45965</v>
          </cell>
          <cell r="C222" t="str">
            <v/>
          </cell>
          <cell r="D222" t="str">
            <v/>
          </cell>
          <cell r="E222" t="str">
            <v/>
          </cell>
          <cell r="F222" t="str">
            <v/>
          </cell>
          <cell r="G222" t="str">
            <v/>
          </cell>
          <cell r="H222" t="str">
            <v/>
          </cell>
          <cell r="I222" t="str">
            <v/>
          </cell>
        </row>
        <row r="223">
          <cell r="B223">
            <v>45966</v>
          </cell>
          <cell r="C223" t="str">
            <v/>
          </cell>
          <cell r="D223" t="str">
            <v/>
          </cell>
          <cell r="E223" t="str">
            <v/>
          </cell>
          <cell r="F223" t="str">
            <v/>
          </cell>
          <cell r="G223" t="str">
            <v/>
          </cell>
          <cell r="H223" t="str">
            <v/>
          </cell>
          <cell r="I223" t="str">
            <v/>
          </cell>
        </row>
        <row r="224">
          <cell r="B224">
            <v>45967</v>
          </cell>
          <cell r="C224" t="str">
            <v/>
          </cell>
          <cell r="D224" t="str">
            <v/>
          </cell>
          <cell r="E224" t="str">
            <v/>
          </cell>
          <cell r="F224" t="str">
            <v/>
          </cell>
          <cell r="G224" t="str">
            <v/>
          </cell>
          <cell r="H224" t="str">
            <v/>
          </cell>
          <cell r="I224" t="str">
            <v/>
          </cell>
        </row>
        <row r="225">
          <cell r="B225">
            <v>45968</v>
          </cell>
          <cell r="C225">
            <v>1.38275167194194</v>
          </cell>
          <cell r="D225">
            <v>1.36463680914219</v>
          </cell>
          <cell r="E225">
            <v>1.37961111485244</v>
          </cell>
          <cell r="F225">
            <v>1.35688395474039</v>
          </cell>
          <cell r="G225">
            <v>1.38089281688291</v>
          </cell>
          <cell r="H225">
            <v>1.35979505830878</v>
          </cell>
          <cell r="I225">
            <v>1.31049211276748</v>
          </cell>
        </row>
        <row r="226">
          <cell r="B226">
            <v>45969</v>
          </cell>
          <cell r="C226">
            <v>1.31520147802801</v>
          </cell>
          <cell r="D226">
            <v>1.29951986524576</v>
          </cell>
          <cell r="E226">
            <v>1.31345065514125</v>
          </cell>
          <cell r="F226">
            <v>1.29184629819493</v>
          </cell>
          <cell r="G226">
            <v>1.31737278839895</v>
          </cell>
          <cell r="H226">
            <v>1.30483066171535</v>
          </cell>
          <cell r="I226">
            <v>1.24224327462893</v>
          </cell>
        </row>
        <row r="227">
          <cell r="B227">
            <v>45970</v>
          </cell>
          <cell r="C227">
            <v>1.63209199906448</v>
          </cell>
          <cell r="D227">
            <v>1.61049662196451</v>
          </cell>
          <cell r="E227">
            <v>1.62060939966139</v>
          </cell>
          <cell r="F227">
            <v>1.59707140992874</v>
          </cell>
          <cell r="G227">
            <v>1.62685573867597</v>
          </cell>
          <cell r="H227">
            <v>1.60971677890971</v>
          </cell>
          <cell r="I227">
            <v>1.52992256602149</v>
          </cell>
        </row>
        <row r="228">
          <cell r="B228">
            <v>45971</v>
          </cell>
          <cell r="C228">
            <v>1.36181143539958</v>
          </cell>
          <cell r="D228">
            <v>1.34799479526066</v>
          </cell>
          <cell r="E228">
            <v>1.35956367710622</v>
          </cell>
          <cell r="F228">
            <v>1.34043073664377</v>
          </cell>
          <cell r="G228">
            <v>1.36632130374191</v>
          </cell>
          <cell r="H228">
            <v>1.3390324655984</v>
          </cell>
          <cell r="I228">
            <v>1.27453909302727</v>
          </cell>
        </row>
        <row r="229">
          <cell r="B229">
            <v>45972</v>
          </cell>
          <cell r="C229" t="str">
            <v/>
          </cell>
          <cell r="D229" t="str">
            <v/>
          </cell>
          <cell r="E229" t="str">
            <v/>
          </cell>
          <cell r="F229" t="str">
            <v/>
          </cell>
          <cell r="G229" t="str">
            <v/>
          </cell>
          <cell r="H229" t="str">
            <v/>
          </cell>
          <cell r="I229" t="str">
            <v/>
          </cell>
        </row>
        <row r="230">
          <cell r="B230">
            <v>45973</v>
          </cell>
          <cell r="C230">
            <v>1.45315449164959</v>
          </cell>
          <cell r="D230">
            <v>1.43800360599663</v>
          </cell>
          <cell r="E230">
            <v>1.44821006664329</v>
          </cell>
          <cell r="F230">
            <v>1.42858128159227</v>
          </cell>
          <cell r="G230">
            <v>1.45763127138619</v>
          </cell>
          <cell r="H230">
            <v>1.44631671911484</v>
          </cell>
          <cell r="I230">
            <v>1.36564511093927</v>
          </cell>
        </row>
        <row r="231">
          <cell r="B231">
            <v>45974</v>
          </cell>
          <cell r="C231">
            <v>1.55179654415128</v>
          </cell>
          <cell r="D231">
            <v>1.53627802710372</v>
          </cell>
          <cell r="E231">
            <v>1.54753998408433</v>
          </cell>
          <cell r="F231">
            <v>1.52854195202287</v>
          </cell>
          <cell r="G231">
            <v>1.55829110589116</v>
          </cell>
          <cell r="H231">
            <v>1.54309555818664</v>
          </cell>
          <cell r="I231">
            <v>1.45699624824741</v>
          </cell>
        </row>
        <row r="232">
          <cell r="B232">
            <v>45975</v>
          </cell>
          <cell r="C232">
            <v>1.56822344322344</v>
          </cell>
          <cell r="D232">
            <v>1.5549244333648</v>
          </cell>
          <cell r="E232">
            <v>1.56663863659276</v>
          </cell>
          <cell r="F232">
            <v>1.54464934082006</v>
          </cell>
          <cell r="G232">
            <v>1.57426422135237</v>
          </cell>
          <cell r="H232">
            <v>1.56170780422875</v>
          </cell>
          <cell r="I232">
            <v>1.48708159278562</v>
          </cell>
        </row>
        <row r="233">
          <cell r="B233">
            <v>45976</v>
          </cell>
          <cell r="C233">
            <v>1.61573003069832</v>
          </cell>
          <cell r="D233">
            <v>1.60396527307432</v>
          </cell>
          <cell r="E233">
            <v>1.61172181675845</v>
          </cell>
          <cell r="F233">
            <v>1.59019749495277</v>
          </cell>
          <cell r="G233">
            <v>1.62249440779623</v>
          </cell>
          <cell r="H233">
            <v>1.60808604555375</v>
          </cell>
          <cell r="I233">
            <v>1.52936112537818</v>
          </cell>
        </row>
        <row r="234">
          <cell r="B234">
            <v>45977</v>
          </cell>
          <cell r="C234">
            <v>1.67430439927376</v>
          </cell>
          <cell r="D234">
            <v>1.65857227593392</v>
          </cell>
          <cell r="E234">
            <v>1.66916430702739</v>
          </cell>
          <cell r="F234">
            <v>1.65084951408876</v>
          </cell>
          <cell r="G234">
            <v>1.68051374665635</v>
          </cell>
          <cell r="H234">
            <v>1.66488962416322</v>
          </cell>
          <cell r="I234">
            <v>1.58289126701039</v>
          </cell>
        </row>
        <row r="235">
          <cell r="B235">
            <v>45978</v>
          </cell>
          <cell r="C235">
            <v>1.75282610914455</v>
          </cell>
          <cell r="D235">
            <v>1.74066586466705</v>
          </cell>
          <cell r="E235">
            <v>1.74674064878267</v>
          </cell>
          <cell r="F235">
            <v>1.72522569166804</v>
          </cell>
          <cell r="G235">
            <v>1.75949737049625</v>
          </cell>
          <cell r="H235">
            <v>1.72033411414757</v>
          </cell>
          <cell r="I235">
            <v>1.63017182202174</v>
          </cell>
        </row>
        <row r="236">
          <cell r="B236">
            <v>45979</v>
          </cell>
          <cell r="C236">
            <v>1.78454021034213</v>
          </cell>
          <cell r="D236">
            <v>1.77323429935095</v>
          </cell>
          <cell r="E236">
            <v>1.78128976093216</v>
          </cell>
          <cell r="F236">
            <v>1.75731102027982</v>
          </cell>
          <cell r="G236">
            <v>1.7913970184838</v>
          </cell>
          <cell r="H236">
            <v>1.77731756712072</v>
          </cell>
          <cell r="I236">
            <v>1.68229686803956</v>
          </cell>
        </row>
        <row r="237">
          <cell r="B237">
            <v>45980</v>
          </cell>
          <cell r="C237">
            <v>1.62654815978029</v>
          </cell>
          <cell r="D237">
            <v>1.61586565371794</v>
          </cell>
          <cell r="E237">
            <v>1.62359091637687</v>
          </cell>
          <cell r="F237">
            <v>1.60471542988983</v>
          </cell>
          <cell r="G237">
            <v>1.63534908012959</v>
          </cell>
          <cell r="H237">
            <v>1.61987339867692</v>
          </cell>
          <cell r="I237">
            <v>1.53656093872409</v>
          </cell>
        </row>
        <row r="238">
          <cell r="B238">
            <v>45981</v>
          </cell>
          <cell r="C238">
            <v>1.63403770013895</v>
          </cell>
          <cell r="D238">
            <v>1.62440522977781</v>
          </cell>
          <cell r="E238">
            <v>1.63299837908775</v>
          </cell>
          <cell r="F238">
            <v>1.61384710682648</v>
          </cell>
          <cell r="G238">
            <v>1.64649976981205</v>
          </cell>
          <cell r="H238">
            <v>1.73267164375514</v>
          </cell>
          <cell r="I238">
            <v>1.54649202172253</v>
          </cell>
        </row>
        <row r="239">
          <cell r="B239">
            <v>45982</v>
          </cell>
          <cell r="C239">
            <v>1.514566232094</v>
          </cell>
          <cell r="D239">
            <v>1.50402068557549</v>
          </cell>
          <cell r="E239">
            <v>1.50219167602074</v>
          </cell>
          <cell r="F239">
            <v>1.49694139617092</v>
          </cell>
          <cell r="G239">
            <v>1.52438335567679</v>
          </cell>
          <cell r="H239">
            <v>1.51090730415988</v>
          </cell>
          <cell r="I239">
            <v>1.43718890365123</v>
          </cell>
        </row>
        <row r="240">
          <cell r="B240">
            <v>45983</v>
          </cell>
          <cell r="C240">
            <v>1.539543876156</v>
          </cell>
          <cell r="D240">
            <v>1.5320408964597</v>
          </cell>
          <cell r="E240">
            <v>1.53997378768021</v>
          </cell>
          <cell r="F240">
            <v>1.52156191431787</v>
          </cell>
          <cell r="G240">
            <v>1.55086621475578</v>
          </cell>
          <cell r="H240">
            <v>1.53556296664871</v>
          </cell>
          <cell r="I240">
            <v>1.45724519210717</v>
          </cell>
        </row>
        <row r="241">
          <cell r="B241">
            <v>45984</v>
          </cell>
          <cell r="C241">
            <v>1.95789671376672</v>
          </cell>
          <cell r="D241">
            <v>1.9465121257222</v>
          </cell>
          <cell r="E241">
            <v>1.95750544743703</v>
          </cell>
          <cell r="F241">
            <v>1.93368978482525</v>
          </cell>
          <cell r="G241">
            <v>1.96631031175662</v>
          </cell>
          <cell r="H241">
            <v>1.95048295764595</v>
          </cell>
          <cell r="I241">
            <v>1.81721204839524</v>
          </cell>
        </row>
        <row r="242">
          <cell r="B242">
            <v>45985</v>
          </cell>
          <cell r="C242">
            <v>2.07713197236599</v>
          </cell>
          <cell r="D242">
            <v>2.0651667955742</v>
          </cell>
          <cell r="E242">
            <v>2.07544069210217</v>
          </cell>
          <cell r="F242">
            <v>2.04561610058422</v>
          </cell>
          <cell r="G242">
            <v>2.08657888662351</v>
          </cell>
          <cell r="H242">
            <v>2.07082396891609</v>
          </cell>
          <cell r="I242">
            <v>1.95112281254135</v>
          </cell>
        </row>
        <row r="243">
          <cell r="B243">
            <v>45986</v>
          </cell>
          <cell r="C243">
            <v>1.93520480317449</v>
          </cell>
          <cell r="D243">
            <v>1.9227202793218</v>
          </cell>
          <cell r="E243">
            <v>1.93054253285606</v>
          </cell>
          <cell r="F243">
            <v>1.90783817732709</v>
          </cell>
          <cell r="G243">
            <v>1.94191667058943</v>
          </cell>
          <cell r="H243">
            <v>1.92575075502878</v>
          </cell>
          <cell r="I243">
            <v>1.820467907251</v>
          </cell>
        </row>
        <row r="244">
          <cell r="B244">
            <v>45987</v>
          </cell>
          <cell r="C244">
            <v>1.75730084284832</v>
          </cell>
          <cell r="D244">
            <v>1.74467694424802</v>
          </cell>
          <cell r="E244">
            <v>1.75467032669463</v>
          </cell>
          <cell r="F244">
            <v>1.73656001908324</v>
          </cell>
          <cell r="G244">
            <v>1.76538469033768</v>
          </cell>
          <cell r="H244">
            <v>1.75037415336008</v>
          </cell>
          <cell r="I244">
            <v>1.6643688334383</v>
          </cell>
        </row>
        <row r="245">
          <cell r="B245">
            <v>45988</v>
          </cell>
          <cell r="C245">
            <v>1.27152340916887</v>
          </cell>
          <cell r="D245">
            <v>1.2621575825812</v>
          </cell>
          <cell r="E245">
            <v>1.27079373431199</v>
          </cell>
          <cell r="F245">
            <v>1.25991423439107</v>
          </cell>
          <cell r="G245">
            <v>1.27893097792146</v>
          </cell>
          <cell r="H245">
            <v>1.26829919370537</v>
          </cell>
          <cell r="I245">
            <v>1.21076135430574</v>
          </cell>
        </row>
        <row r="246">
          <cell r="B246">
            <v>45989</v>
          </cell>
          <cell r="C246">
            <v>1.21051609575783</v>
          </cell>
          <cell r="D246">
            <v>1.19730274487266</v>
          </cell>
          <cell r="E246">
            <v>1.20233247594284</v>
          </cell>
          <cell r="F246">
            <v>1.19408611892632</v>
          </cell>
          <cell r="G246">
            <v>1.20906148892838</v>
          </cell>
          <cell r="H246">
            <v>1.1978620022119</v>
          </cell>
          <cell r="I246">
            <v>1.14740515976916</v>
          </cell>
        </row>
        <row r="247">
          <cell r="B247">
            <v>45990</v>
          </cell>
          <cell r="C247">
            <v>1.4749625241411</v>
          </cell>
          <cell r="D247">
            <v>1.49180703373151</v>
          </cell>
          <cell r="E247">
            <v>1.50498015603627</v>
          </cell>
          <cell r="F247">
            <v>1.48896489607615</v>
          </cell>
          <cell r="G247">
            <v>1.45507308219157</v>
          </cell>
          <cell r="H247">
            <v>1.42539979971915</v>
          </cell>
          <cell r="I247">
            <v>1.36513664287062</v>
          </cell>
        </row>
        <row r="248">
          <cell r="B248">
            <v>45991</v>
          </cell>
          <cell r="C248">
            <v>1.41367212750065</v>
          </cell>
          <cell r="D248">
            <v>1.43329574202201</v>
          </cell>
          <cell r="E248">
            <v>1.44373594036796</v>
          </cell>
          <cell r="F248">
            <v>1.43177650277372</v>
          </cell>
          <cell r="G248">
            <v>1.43719086320997</v>
          </cell>
          <cell r="H248">
            <v>1.4364336100021</v>
          </cell>
          <cell r="I248">
            <v>1.35675164120434</v>
          </cell>
        </row>
        <row r="249">
          <cell r="B249">
            <v>45992</v>
          </cell>
          <cell r="C249">
            <v>1.80013180317722</v>
          </cell>
          <cell r="D249">
            <v>1.82124206449457</v>
          </cell>
          <cell r="E249">
            <v>1.83418260524355</v>
          </cell>
          <cell r="F249">
            <v>1.82042740315262</v>
          </cell>
          <cell r="G249">
            <v>1.83327820218386</v>
          </cell>
          <cell r="H249">
            <v>1.84463939617559</v>
          </cell>
          <cell r="I249">
            <v>1.75416362341933</v>
          </cell>
        </row>
        <row r="250">
          <cell r="B250">
            <v>45993</v>
          </cell>
          <cell r="C250">
            <v>1.19819237119368</v>
          </cell>
          <cell r="D250">
            <v>1.19254140355058</v>
          </cell>
          <cell r="E250">
            <v>1.20704328436963</v>
          </cell>
          <cell r="F250">
            <v>1.18793907670767</v>
          </cell>
          <cell r="G250">
            <v>1.20378857566162</v>
          </cell>
          <cell r="H250">
            <v>1.20391882321337</v>
          </cell>
          <cell r="I250">
            <v>1.14766816180002</v>
          </cell>
        </row>
        <row r="251">
          <cell r="B251">
            <v>45994</v>
          </cell>
          <cell r="C251">
            <v>1.19231792593013</v>
          </cell>
          <cell r="D251">
            <v>1.18995659471963</v>
          </cell>
          <cell r="E251">
            <v>1.19633064563425</v>
          </cell>
          <cell r="F251">
            <v>1.17590066835806</v>
          </cell>
          <cell r="G251">
            <v>1.18747447930399</v>
          </cell>
          <cell r="H251">
            <v>1.18835284888471</v>
          </cell>
          <cell r="I251">
            <v>1.11717538781862</v>
          </cell>
        </row>
        <row r="252">
          <cell r="B252">
            <v>45995</v>
          </cell>
          <cell r="C252">
            <v>1.16667510366707</v>
          </cell>
          <cell r="D252">
            <v>1.16330287576188</v>
          </cell>
          <cell r="E252">
            <v>1.16909816902687</v>
          </cell>
          <cell r="F252">
            <v>1.15501909235931</v>
          </cell>
          <cell r="G252">
            <v>1.16423090107137</v>
          </cell>
          <cell r="H252">
            <v>1.16639360936676</v>
          </cell>
          <cell r="I252">
            <v>1.09320106514491</v>
          </cell>
        </row>
        <row r="253">
          <cell r="B253">
            <v>45996</v>
          </cell>
          <cell r="C253">
            <v>1.16017010512423</v>
          </cell>
          <cell r="D253">
            <v>1.15689356515045</v>
          </cell>
          <cell r="E253">
            <v>1.16362994803362</v>
          </cell>
          <cell r="F253">
            <v>1.14996690585043</v>
          </cell>
          <cell r="G253">
            <v>1.16132703886992</v>
          </cell>
          <cell r="H253">
            <v>1.16213795511761</v>
          </cell>
          <cell r="I253">
            <v>1.08800121564382</v>
          </cell>
        </row>
        <row r="254">
          <cell r="B254">
            <v>45997</v>
          </cell>
          <cell r="C254">
            <v>1.18932001247724</v>
          </cell>
          <cell r="D254">
            <v>1.18660207239771</v>
          </cell>
          <cell r="E254">
            <v>1.19187993278471</v>
          </cell>
          <cell r="F254">
            <v>1.17990203406211</v>
          </cell>
          <cell r="G254">
            <v>1.19008194259559</v>
          </cell>
          <cell r="H254">
            <v>1.19034645395318</v>
          </cell>
          <cell r="I254">
            <v>1.11644198064291</v>
          </cell>
        </row>
        <row r="255">
          <cell r="B255">
            <v>45998</v>
          </cell>
          <cell r="C255">
            <v>1.15377520144174</v>
          </cell>
          <cell r="D255">
            <v>1.1505375137206</v>
          </cell>
          <cell r="E255">
            <v>1.15587610102967</v>
          </cell>
          <cell r="F255">
            <v>1.14393294358956</v>
          </cell>
          <cell r="G255">
            <v>1.15319617149277</v>
          </cell>
          <cell r="H255">
            <v>1.15482721533605</v>
          </cell>
          <cell r="I255">
            <v>1.07776899629278</v>
          </cell>
        </row>
        <row r="256">
          <cell r="B256">
            <v>45999</v>
          </cell>
          <cell r="C256">
            <v>1.15301779162673</v>
          </cell>
          <cell r="D256">
            <v>1.15120564345493</v>
          </cell>
          <cell r="E256">
            <v>1.155270137735</v>
          </cell>
          <cell r="F256">
            <v>1.14199593706236</v>
          </cell>
          <cell r="G256">
            <v>1.1538908508674</v>
          </cell>
          <cell r="H256">
            <v>1.15409436266701</v>
          </cell>
          <cell r="I256">
            <v>1.07763006719819</v>
          </cell>
        </row>
        <row r="257">
          <cell r="B257">
            <v>46000</v>
          </cell>
          <cell r="C257">
            <v>1.12681788994824</v>
          </cell>
          <cell r="D257">
            <v>1.14484319120733</v>
          </cell>
          <cell r="E257">
            <v>1.14652244293276</v>
          </cell>
          <cell r="F257">
            <v>1.13375740639536</v>
          </cell>
          <cell r="G257">
            <v>1.14672206412649</v>
          </cell>
          <cell r="H257">
            <v>1.12909803333664</v>
          </cell>
          <cell r="I257">
            <v>1.04992693516639</v>
          </cell>
        </row>
        <row r="258">
          <cell r="B258">
            <v>46001</v>
          </cell>
          <cell r="C258">
            <v>1.13761816743468</v>
          </cell>
          <cell r="D258">
            <v>1.13615566597218</v>
          </cell>
          <cell r="E258">
            <v>1.13906054273027</v>
          </cell>
          <cell r="F258">
            <v>1.12594003200306</v>
          </cell>
          <cell r="G258">
            <v>1.14096231966196</v>
          </cell>
          <cell r="H258">
            <v>1.14384998708892</v>
          </cell>
          <cell r="I258">
            <v>1.06929041412488</v>
          </cell>
        </row>
        <row r="259">
          <cell r="B259">
            <v>46002</v>
          </cell>
          <cell r="C259">
            <v>1.18144364130603</v>
          </cell>
          <cell r="D259">
            <v>1.17924411215696</v>
          </cell>
          <cell r="E259">
            <v>1.17987845912158</v>
          </cell>
          <cell r="F259">
            <v>1.1753861674085</v>
          </cell>
          <cell r="G259">
            <v>1.18645965898658</v>
          </cell>
          <cell r="H259">
            <v>1.18966496983051</v>
          </cell>
          <cell r="I259">
            <v>1.10775806577562</v>
          </cell>
        </row>
        <row r="260">
          <cell r="B260">
            <v>46003</v>
          </cell>
          <cell r="C260">
            <v>1.22997387486087</v>
          </cell>
          <cell r="D260">
            <v>1.22649391333661</v>
          </cell>
          <cell r="E260">
            <v>1.22932728493257</v>
          </cell>
          <cell r="F260">
            <v>1.22426543656855</v>
          </cell>
          <cell r="G260">
            <v>1.23720481606206</v>
          </cell>
          <cell r="H260">
            <v>1.2388100774278</v>
          </cell>
          <cell r="I260">
            <v>1.15688615430801</v>
          </cell>
        </row>
        <row r="261">
          <cell r="B261">
            <v>46004</v>
          </cell>
          <cell r="C261">
            <v>1.15245539610805</v>
          </cell>
          <cell r="D261">
            <v>1.1522822174625</v>
          </cell>
          <cell r="E261">
            <v>1.15273940908675</v>
          </cell>
          <cell r="F261">
            <v>1.1412165537823</v>
          </cell>
          <cell r="G261">
            <v>1.15338845253225</v>
          </cell>
          <cell r="H261">
            <v>1.13875169459069</v>
          </cell>
          <cell r="I261">
            <v>1.06135379078116</v>
          </cell>
        </row>
        <row r="262">
          <cell r="B262">
            <v>46005</v>
          </cell>
          <cell r="C262">
            <v>1.16605816638582</v>
          </cell>
          <cell r="D262">
            <v>1.16501563093962</v>
          </cell>
          <cell r="E262">
            <v>1.16554753677952</v>
          </cell>
          <cell r="F262">
            <v>1.14634804859319</v>
          </cell>
          <cell r="G262">
            <v>1.15718844378597</v>
          </cell>
          <cell r="H262">
            <v>1.15538397249606</v>
          </cell>
          <cell r="I262">
            <v>1.07830727025553</v>
          </cell>
        </row>
        <row r="263">
          <cell r="B263">
            <v>46006</v>
          </cell>
          <cell r="C263">
            <v>1.14984457761302</v>
          </cell>
          <cell r="D263">
            <v>1.15445942264653</v>
          </cell>
          <cell r="E263">
            <v>1.15745207972886</v>
          </cell>
          <cell r="F263">
            <v>1.13895044244994</v>
          </cell>
          <cell r="G263">
            <v>1.15465429192627</v>
          </cell>
          <cell r="H263">
            <v>1.15819233978529</v>
          </cell>
          <cell r="I263">
            <v>1.0715870813232</v>
          </cell>
        </row>
        <row r="264">
          <cell r="B264">
            <v>46007</v>
          </cell>
          <cell r="C264">
            <v>1.16511146047955</v>
          </cell>
          <cell r="D264">
            <v>1.16607044778895</v>
          </cell>
          <cell r="E264">
            <v>1.17000084274642</v>
          </cell>
          <cell r="F264">
            <v>1.15015239559199</v>
          </cell>
          <cell r="G264">
            <v>1.16696247024012</v>
          </cell>
          <cell r="H264">
            <v>1.1659200927299</v>
          </cell>
          <cell r="I264">
            <v>1.08429498449637</v>
          </cell>
        </row>
        <row r="265">
          <cell r="B265">
            <v>46008</v>
          </cell>
          <cell r="C265">
            <v>1.1612524428187</v>
          </cell>
          <cell r="D265">
            <v>1.16211994285862</v>
          </cell>
          <cell r="E265">
            <v>1.16696412449746</v>
          </cell>
          <cell r="F265">
            <v>1.14789781542462</v>
          </cell>
          <cell r="G265">
            <v>1.16395007087666</v>
          </cell>
          <cell r="H265">
            <v>1.16322309315948</v>
          </cell>
          <cell r="I265">
            <v>1.09072358809178</v>
          </cell>
        </row>
        <row r="266">
          <cell r="B266">
            <v>46009</v>
          </cell>
          <cell r="C266">
            <v>1.16742798036646</v>
          </cell>
          <cell r="D266">
            <v>1.16826025656301</v>
          </cell>
          <cell r="E266">
            <v>1.17457533472104</v>
          </cell>
          <cell r="F266">
            <v>1.15280855062408</v>
          </cell>
          <cell r="G266">
            <v>1.17458231796907</v>
          </cell>
          <cell r="H266">
            <v>1.19437982612271</v>
          </cell>
          <cell r="I266">
            <v>1.10779453384864</v>
          </cell>
        </row>
        <row r="267">
          <cell r="B267">
            <v>46010</v>
          </cell>
          <cell r="C267">
            <v>1.17118962475253</v>
          </cell>
          <cell r="D267">
            <v>1.17331141900703</v>
          </cell>
          <cell r="E267">
            <v>1.17898993888688</v>
          </cell>
          <cell r="F267">
            <v>1.15994849125645</v>
          </cell>
          <cell r="G267">
            <v>1.17453907922787</v>
          </cell>
          <cell r="H267">
            <v>1.18799780705349</v>
          </cell>
          <cell r="I267">
            <v>1.10055185337545</v>
          </cell>
        </row>
        <row r="268">
          <cell r="B268">
            <v>46011</v>
          </cell>
          <cell r="C268">
            <v>1.21521629272341</v>
          </cell>
          <cell r="D268">
            <v>1.16816011153246</v>
          </cell>
          <cell r="E268">
            <v>1.17387094609493</v>
          </cell>
          <cell r="F268">
            <v>1.15535286092209</v>
          </cell>
          <cell r="G268">
            <v>1.17041741252572</v>
          </cell>
          <cell r="H268">
            <v>1.16299648340967</v>
          </cell>
          <cell r="I268">
            <v>1.07809136061065</v>
          </cell>
        </row>
        <row r="269">
          <cell r="B269">
            <v>46012</v>
          </cell>
          <cell r="C269">
            <v>1.1069213486809</v>
          </cell>
          <cell r="D269">
            <v>1.10672729834192</v>
          </cell>
          <cell r="E269">
            <v>1.16640748009723</v>
          </cell>
          <cell r="F269">
            <v>1.06520727537581</v>
          </cell>
          <cell r="G269">
            <v>1.10717445781871</v>
          </cell>
          <cell r="H269">
            <v>1.11587044409669</v>
          </cell>
          <cell r="I269">
            <v>1.04318424929509</v>
          </cell>
        </row>
        <row r="270">
          <cell r="B270">
            <v>46013</v>
          </cell>
          <cell r="C270">
            <v>1.15732151837508</v>
          </cell>
          <cell r="D270">
            <v>1.1952090525633</v>
          </cell>
          <cell r="E270">
            <v>1.20094466054809</v>
          </cell>
          <cell r="F270">
            <v>1.18181675498607</v>
          </cell>
          <cell r="G270">
            <v>1.19504451696893</v>
          </cell>
          <cell r="H270">
            <v>1.2046949152087</v>
          </cell>
          <cell r="I270">
            <v>1.10203305964851</v>
          </cell>
        </row>
        <row r="271">
          <cell r="B271">
            <v>46014</v>
          </cell>
          <cell r="C271">
            <v>1.16465383218475</v>
          </cell>
          <cell r="D271">
            <v>1.25661855318816</v>
          </cell>
          <cell r="E271">
            <v>1.24619319872611</v>
          </cell>
          <cell r="F271">
            <v>1.17759989076824</v>
          </cell>
          <cell r="G271">
            <v>1.14299698594109</v>
          </cell>
          <cell r="H271">
            <v>1.13774598825153</v>
          </cell>
          <cell r="I271">
            <v>1.13611494440824</v>
          </cell>
        </row>
        <row r="272">
          <cell r="B272">
            <v>46015</v>
          </cell>
          <cell r="C272">
            <v>1.17844538592935</v>
          </cell>
          <cell r="D272">
            <v>1.18047856109208</v>
          </cell>
          <cell r="E272">
            <v>1.18543353692573</v>
          </cell>
          <cell r="F272">
            <v>1.16604295561925</v>
          </cell>
          <cell r="G272">
            <v>1.18499432410934</v>
          </cell>
          <cell r="H272">
            <v>1.20109652740482</v>
          </cell>
          <cell r="I272">
            <v>1.11173201908165</v>
          </cell>
        </row>
        <row r="273">
          <cell r="B273">
            <v>46016</v>
          </cell>
          <cell r="C273">
            <v>1.12209926441244</v>
          </cell>
          <cell r="D273">
            <v>1.12638652876472</v>
          </cell>
          <cell r="E273">
            <v>1.13237279332407</v>
          </cell>
          <cell r="F273">
            <v>1.12165824733741</v>
          </cell>
          <cell r="G273">
            <v>1.12959026791558</v>
          </cell>
          <cell r="H273">
            <v>1.12602881142233</v>
          </cell>
          <cell r="I273">
            <v>1.06159756841731</v>
          </cell>
        </row>
        <row r="274">
          <cell r="B274">
            <v>46017</v>
          </cell>
          <cell r="C274">
            <v>1.17496949688333</v>
          </cell>
          <cell r="D274">
            <v>1.1752635936819</v>
          </cell>
          <cell r="E274">
            <v>1.1858887831481</v>
          </cell>
          <cell r="F274">
            <v>1.16430594696513</v>
          </cell>
          <cell r="G274">
            <v>1.18619042089022</v>
          </cell>
          <cell r="H274">
            <v>1.20417262046018</v>
          </cell>
          <cell r="I274">
            <v>1.11991667454094</v>
          </cell>
        </row>
        <row r="275">
          <cell r="B275">
            <v>46018</v>
          </cell>
          <cell r="C275">
            <v>1.1865920012709</v>
          </cell>
          <cell r="D275">
            <v>1.18625044680091</v>
          </cell>
          <cell r="E275">
            <v>1.19274792485802</v>
          </cell>
          <cell r="F275">
            <v>1.16909985374285</v>
          </cell>
          <cell r="G275">
            <v>1.18763082416852</v>
          </cell>
          <cell r="H275">
            <v>1.2055387771383</v>
          </cell>
          <cell r="I275">
            <v>1.12377153494026</v>
          </cell>
        </row>
        <row r="276">
          <cell r="B276">
            <v>46019</v>
          </cell>
          <cell r="C276" t="str">
            <v/>
          </cell>
          <cell r="D276" t="str">
            <v/>
          </cell>
          <cell r="E276" t="str">
            <v/>
          </cell>
          <cell r="F276" t="str">
            <v/>
          </cell>
          <cell r="G276" t="str">
            <v/>
          </cell>
          <cell r="H276" t="str">
            <v/>
          </cell>
          <cell r="I276" t="str">
            <v/>
          </cell>
        </row>
        <row r="277">
          <cell r="B277">
            <v>46020</v>
          </cell>
          <cell r="C277">
            <v>1.11824601808498</v>
          </cell>
          <cell r="D277">
            <v>1.11908575028329</v>
          </cell>
          <cell r="E277">
            <v>1.12418751948812</v>
          </cell>
          <cell r="F277">
            <v>1.1117124331507</v>
          </cell>
          <cell r="G277">
            <v>1.12053272114675</v>
          </cell>
          <cell r="H277">
            <v>1.13297508617209</v>
          </cell>
          <cell r="I277">
            <v>1.05851033519519</v>
          </cell>
        </row>
        <row r="278">
          <cell r="B278">
            <v>46021</v>
          </cell>
          <cell r="C278">
            <v>1.18198056752363</v>
          </cell>
          <cell r="D278">
            <v>1.18406243554216</v>
          </cell>
          <cell r="E278">
            <v>1.19110075088175</v>
          </cell>
          <cell r="F278">
            <v>1.17086137310155</v>
          </cell>
          <cell r="G278">
            <v>1.18980219440865</v>
          </cell>
          <cell r="H278">
            <v>1.18460936107011</v>
          </cell>
          <cell r="I278">
            <v>1.10470253183559</v>
          </cell>
        </row>
        <row r="279">
          <cell r="B279">
            <v>46022</v>
          </cell>
          <cell r="C279">
            <v>1.12769588380734</v>
          </cell>
          <cell r="D279">
            <v>1.12600303565601</v>
          </cell>
          <cell r="E279">
            <v>1.13122958869155</v>
          </cell>
          <cell r="F279">
            <v>1.1160233157275</v>
          </cell>
          <cell r="G279">
            <v>1.12434075449434</v>
          </cell>
          <cell r="H279">
            <v>1.13562238686425</v>
          </cell>
          <cell r="I279">
            <v>1.07731183210524</v>
          </cell>
        </row>
        <row r="280">
          <cell r="B280">
            <v>46023</v>
          </cell>
          <cell r="C280">
            <v>1.18716737538874</v>
          </cell>
          <cell r="D280">
            <v>1.19130647393447</v>
          </cell>
          <cell r="E280">
            <v>1.19854989638949</v>
          </cell>
          <cell r="F280">
            <v>1.17491654349742</v>
          </cell>
          <cell r="G280">
            <v>1.19454255486269</v>
          </cell>
          <cell r="H280">
            <v>1.20929741283075</v>
          </cell>
          <cell r="I280">
            <v>1.12476275220591</v>
          </cell>
        </row>
        <row r="281">
          <cell r="B281">
            <v>46024</v>
          </cell>
          <cell r="C281">
            <v>1.19939014434427</v>
          </cell>
          <cell r="D281">
            <v>1.20250855724862</v>
          </cell>
          <cell r="E281">
            <v>1.20853209538225</v>
          </cell>
          <cell r="F281">
            <v>1.1868426254811</v>
          </cell>
          <cell r="G281">
            <v>1.2074902794222</v>
          </cell>
          <cell r="H281">
            <v>1.22031504028579</v>
          </cell>
          <cell r="I281">
            <v>1.13270848678374</v>
          </cell>
        </row>
        <row r="282">
          <cell r="B282">
            <v>46025</v>
          </cell>
          <cell r="C282">
            <v>1.18006913815057</v>
          </cell>
          <cell r="D282">
            <v>1.18148297818953</v>
          </cell>
          <cell r="E282">
            <v>1.18783153176253</v>
          </cell>
          <cell r="F282">
            <v>1.16611604689227</v>
          </cell>
          <cell r="G282">
            <v>1.18662478437597</v>
          </cell>
          <cell r="H282">
            <v>1.19678067966639</v>
          </cell>
          <cell r="I282">
            <v>1.11279595539336</v>
          </cell>
        </row>
        <row r="283">
          <cell r="B283">
            <v>46026</v>
          </cell>
          <cell r="C283">
            <v>1.19095326244577</v>
          </cell>
          <cell r="D283">
            <v>1.19512340423059</v>
          </cell>
          <cell r="E283">
            <v>1.20046321993066</v>
          </cell>
          <cell r="F283">
            <v>1.18417559752553</v>
          </cell>
          <cell r="G283">
            <v>1.19541242708569</v>
          </cell>
          <cell r="H283">
            <v>1.21036012058223</v>
          </cell>
          <cell r="I283">
            <v>1.11893666375264</v>
          </cell>
        </row>
        <row r="284">
          <cell r="B284">
            <v>46027</v>
          </cell>
          <cell r="C284">
            <v>1.18768476270696</v>
          </cell>
          <cell r="D284">
            <v>1.18837214871545</v>
          </cell>
          <cell r="E284">
            <v>1.19570426613931</v>
          </cell>
          <cell r="F284">
            <v>1.17659210714784</v>
          </cell>
          <cell r="G284">
            <v>1.19282457187935</v>
          </cell>
          <cell r="H284">
            <v>1.2074733815151</v>
          </cell>
          <cell r="I284">
            <v>1.12238726956228</v>
          </cell>
        </row>
        <row r="285">
          <cell r="B285">
            <v>46028</v>
          </cell>
          <cell r="C285">
            <v>1.12164870189589</v>
          </cell>
          <cell r="D285">
            <v>1.12529011106881</v>
          </cell>
          <cell r="E285">
            <v>1.13035166981916</v>
          </cell>
          <cell r="F285">
            <v>1.10972546168667</v>
          </cell>
          <cell r="G285">
            <v>1.12507194316271</v>
          </cell>
          <cell r="H285">
            <v>1.14020943941665</v>
          </cell>
          <cell r="I285">
            <v>1.06069752858256</v>
          </cell>
        </row>
        <row r="286">
          <cell r="B286">
            <v>46029</v>
          </cell>
          <cell r="C286">
            <v>1.08542833313476</v>
          </cell>
          <cell r="D286">
            <v>1.09005673225857</v>
          </cell>
          <cell r="E286">
            <v>1.09945100770789</v>
          </cell>
          <cell r="F286">
            <v>1.1094868434318</v>
          </cell>
          <cell r="G286">
            <v>1.09307126857984</v>
          </cell>
          <cell r="H286">
            <v>1.10795267755778</v>
          </cell>
          <cell r="I286">
            <v>0.994577819468127</v>
          </cell>
        </row>
        <row r="287">
          <cell r="B287">
            <v>46030</v>
          </cell>
          <cell r="C287">
            <v>1.15330586591167</v>
          </cell>
          <cell r="D287">
            <v>1.17108738997836</v>
          </cell>
          <cell r="E287">
            <v>1.17754666642091</v>
          </cell>
          <cell r="F287">
            <v>1.16001163592769</v>
          </cell>
          <cell r="G287">
            <v>1.17313196294259</v>
          </cell>
          <cell r="H287">
            <v>1.18725972958431</v>
          </cell>
          <cell r="I287">
            <v>1.11360644811733</v>
          </cell>
        </row>
        <row r="288">
          <cell r="B288">
            <v>46031</v>
          </cell>
          <cell r="C288">
            <v>1.06708573000297</v>
          </cell>
          <cell r="D288">
            <v>1.12119300278094</v>
          </cell>
          <cell r="E288">
            <v>1.12665126206996</v>
          </cell>
          <cell r="F288">
            <v>1.12140414135254</v>
          </cell>
          <cell r="G288">
            <v>1.12082824626002</v>
          </cell>
          <cell r="H288">
            <v>1.13549841598539</v>
          </cell>
          <cell r="I288">
            <v>1.05514589544412</v>
          </cell>
        </row>
        <row r="289">
          <cell r="B289">
            <v>46032</v>
          </cell>
          <cell r="C289">
            <v>1.12272992841137</v>
          </cell>
          <cell r="D289">
            <v>1.18120522121849</v>
          </cell>
          <cell r="E289">
            <v>1.18703337118281</v>
          </cell>
          <cell r="F289">
            <v>1.16659927075102</v>
          </cell>
          <cell r="G289">
            <v>1.18383157108461</v>
          </cell>
          <cell r="H289">
            <v>1.19921706313544</v>
          </cell>
          <cell r="I289">
            <v>1.11516325716565</v>
          </cell>
        </row>
        <row r="290">
          <cell r="B290">
            <v>46033</v>
          </cell>
          <cell r="C290">
            <v>1.10166919144639</v>
          </cell>
          <cell r="D290">
            <v>1.1609873307121</v>
          </cell>
          <cell r="E290">
            <v>1.14999461002082</v>
          </cell>
          <cell r="F290">
            <v>1.14659904647938</v>
          </cell>
          <cell r="G290">
            <v>1.16291390908178</v>
          </cell>
          <cell r="H290">
            <v>1.16015293233368</v>
          </cell>
          <cell r="I290">
            <v>1.06495689620084</v>
          </cell>
        </row>
        <row r="291">
          <cell r="B291">
            <v>46034</v>
          </cell>
          <cell r="C291">
            <v>1.30780426306934</v>
          </cell>
          <cell r="D291">
            <v>1.37298359673938</v>
          </cell>
          <cell r="E291">
            <v>1.37929240795198</v>
          </cell>
          <cell r="F291">
            <v>1.35701788048668</v>
          </cell>
          <cell r="G291">
            <v>1.2343356847771</v>
          </cell>
          <cell r="H291">
            <v>1.44027401741201</v>
          </cell>
          <cell r="I291">
            <v>1.31314577926013</v>
          </cell>
        </row>
        <row r="292">
          <cell r="B292">
            <v>46035</v>
          </cell>
          <cell r="C292">
            <v>1.10204872506791</v>
          </cell>
          <cell r="D292">
            <v>1.1998635226325</v>
          </cell>
          <cell r="E292">
            <v>1.22500923689414</v>
          </cell>
          <cell r="F292">
            <v>1.20182968208497</v>
          </cell>
          <cell r="G292">
            <v>1.21203199583734</v>
          </cell>
          <cell r="H292">
            <v>1.21950026218076</v>
          </cell>
          <cell r="I292">
            <v>1.10777845121682</v>
          </cell>
        </row>
        <row r="293">
          <cell r="B293">
            <v>46036</v>
          </cell>
          <cell r="C293">
            <v>1.08992943855329</v>
          </cell>
          <cell r="D293">
            <v>1.21776083243973</v>
          </cell>
          <cell r="E293">
            <v>1.22046149569085</v>
          </cell>
          <cell r="F293">
            <v>1.19110933829721</v>
          </cell>
          <cell r="G293">
            <v>1.2057287214846</v>
          </cell>
          <cell r="H293">
            <v>1.21085088735667</v>
          </cell>
          <cell r="I293">
            <v>1.13215061320366</v>
          </cell>
        </row>
        <row r="294">
          <cell r="B294">
            <v>46037</v>
          </cell>
          <cell r="C294">
            <v>1.14513847088612</v>
          </cell>
          <cell r="D294">
            <v>1.20096601837338</v>
          </cell>
          <cell r="E294">
            <v>1.20698783721541</v>
          </cell>
          <cell r="F294">
            <v>1.17316535346053</v>
          </cell>
          <cell r="G294">
            <v>1.18961897410812</v>
          </cell>
          <cell r="H294">
            <v>1.17335653121168</v>
          </cell>
          <cell r="I294">
            <v>1.10101116996097</v>
          </cell>
        </row>
        <row r="295">
          <cell r="B295">
            <v>46038</v>
          </cell>
          <cell r="C295">
            <v>1.12434826780115</v>
          </cell>
          <cell r="D295">
            <v>1.1985234670806</v>
          </cell>
          <cell r="E295">
            <v>1.20350875146538</v>
          </cell>
          <cell r="F295">
            <v>1.1769243919224</v>
          </cell>
          <cell r="G295">
            <v>1.19148900560947</v>
          </cell>
          <cell r="H295">
            <v>1.17631338213708</v>
          </cell>
          <cell r="I295">
            <v>1.10212882450617</v>
          </cell>
        </row>
        <row r="296">
          <cell r="B296">
            <v>46039</v>
          </cell>
          <cell r="C296">
            <v>1.16904989262389</v>
          </cell>
          <cell r="D296">
            <v>1.2290334538041</v>
          </cell>
          <cell r="E296">
            <v>1.23427131305073</v>
          </cell>
          <cell r="F296">
            <v>1.20601584025736</v>
          </cell>
          <cell r="G296">
            <v>1.22104621896509</v>
          </cell>
          <cell r="H296">
            <v>1.22760480454589</v>
          </cell>
          <cell r="I296">
            <v>1.14922523352832</v>
          </cell>
        </row>
        <row r="297">
          <cell r="B297">
            <v>46040</v>
          </cell>
          <cell r="C297">
            <v>1.25218191844752</v>
          </cell>
          <cell r="D297">
            <v>1.31309821676794</v>
          </cell>
          <cell r="E297">
            <v>1.31827427097392</v>
          </cell>
          <cell r="F297">
            <v>1.28958198854293</v>
          </cell>
          <cell r="G297">
            <v>1.29766240786531</v>
          </cell>
          <cell r="H297">
            <v>1.30230981666634</v>
          </cell>
          <cell r="I297">
            <v>1.29993551233751</v>
          </cell>
        </row>
        <row r="298">
          <cell r="B298">
            <v>46041</v>
          </cell>
          <cell r="C298">
            <v>1.14204028644925</v>
          </cell>
          <cell r="D298">
            <v>1.20078816604377</v>
          </cell>
          <cell r="E298">
            <v>1.20420934666546</v>
          </cell>
          <cell r="F298">
            <v>1.19100790829706</v>
          </cell>
          <cell r="G298">
            <v>1.20889257939663</v>
          </cell>
          <cell r="H298">
            <v>1.19334536089573</v>
          </cell>
          <cell r="I298">
            <v>1.11917230424435</v>
          </cell>
        </row>
        <row r="299">
          <cell r="B299">
            <v>46042</v>
          </cell>
          <cell r="C299">
            <v>1.14620863910178</v>
          </cell>
          <cell r="D299">
            <v>1.2077608827835</v>
          </cell>
          <cell r="E299">
            <v>1.21166951668308</v>
          </cell>
          <cell r="F299">
            <v>1.18362080473801</v>
          </cell>
          <cell r="G299">
            <v>1.19867590063717</v>
          </cell>
          <cell r="H299">
            <v>1.20322386385859</v>
          </cell>
          <cell r="I299">
            <v>1.12817578252389</v>
          </cell>
        </row>
        <row r="300">
          <cell r="B300">
            <v>46043</v>
          </cell>
          <cell r="C300">
            <v>1.11795828341225</v>
          </cell>
          <cell r="D300">
            <v>1.17063417443044</v>
          </cell>
          <cell r="E300">
            <v>1.17542217352404</v>
          </cell>
          <cell r="F300">
            <v>1.1488484006812</v>
          </cell>
          <cell r="G300">
            <v>1.17035695278684</v>
          </cell>
          <cell r="H300">
            <v>1.1567006092679</v>
          </cell>
          <cell r="I300">
            <v>1.08284148076179</v>
          </cell>
        </row>
        <row r="301">
          <cell r="B301">
            <v>46044</v>
          </cell>
          <cell r="C301">
            <v>1.13455376042965</v>
          </cell>
          <cell r="D301">
            <v>1.18336177535773</v>
          </cell>
          <cell r="E301">
            <v>1.18859986121418</v>
          </cell>
          <cell r="F301">
            <v>1.16075438715354</v>
          </cell>
          <cell r="G301">
            <v>1.17837284699205</v>
          </cell>
          <cell r="H301">
            <v>1.16497952714028</v>
          </cell>
          <cell r="I301">
            <v>1.09948611828388</v>
          </cell>
        </row>
        <row r="302">
          <cell r="B302">
            <v>46045</v>
          </cell>
          <cell r="C302">
            <v>1.17188589275257</v>
          </cell>
          <cell r="D302">
            <v>1.22646169535548</v>
          </cell>
          <cell r="E302">
            <v>1.24031388148395</v>
          </cell>
          <cell r="F302">
            <v>1.21124161076732</v>
          </cell>
          <cell r="G302">
            <v>1.23907509689327</v>
          </cell>
          <cell r="H302">
            <v>1.22043861209456</v>
          </cell>
          <cell r="I302">
            <v>1.15667446824099</v>
          </cell>
        </row>
        <row r="303">
          <cell r="B303">
            <v>46046</v>
          </cell>
          <cell r="C303">
            <v>1.23579828116549</v>
          </cell>
          <cell r="D303">
            <v>1.29091932132424</v>
          </cell>
          <cell r="E303">
            <v>1.29600333860865</v>
          </cell>
          <cell r="F303">
            <v>1.2599276998227</v>
          </cell>
          <cell r="G303">
            <v>1.27984948054199</v>
          </cell>
          <cell r="H303">
            <v>1.26495476092521</v>
          </cell>
          <cell r="I303">
            <v>1.19454607129954</v>
          </cell>
        </row>
        <row r="304">
          <cell r="B304">
            <v>46047</v>
          </cell>
          <cell r="C304">
            <v>1.29289125029623</v>
          </cell>
          <cell r="D304">
            <v>1.36176078181321</v>
          </cell>
          <cell r="E304">
            <v>1.36712075604605</v>
          </cell>
          <cell r="F304">
            <v>1.3367750831424</v>
          </cell>
          <cell r="G304">
            <v>1.33505306022259</v>
          </cell>
          <cell r="H304">
            <v>1.32025149048911</v>
          </cell>
          <cell r="I304">
            <v>1.25203590073383</v>
          </cell>
        </row>
        <row r="305">
          <cell r="B305">
            <v>46048</v>
          </cell>
          <cell r="C305">
            <v>1.13026955287979</v>
          </cell>
          <cell r="D305">
            <v>1.19132125642928</v>
          </cell>
          <cell r="E305">
            <v>1.19403384422621</v>
          </cell>
          <cell r="F305">
            <v>1.17461253827815</v>
          </cell>
          <cell r="G305">
            <v>1.16945858932812</v>
          </cell>
          <cell r="H305">
            <v>1.15642878423222</v>
          </cell>
          <cell r="I305">
            <v>1.09974241567072</v>
          </cell>
        </row>
        <row r="306">
          <cell r="B306">
            <v>46049</v>
          </cell>
          <cell r="C306">
            <v>1.1587786596709</v>
          </cell>
          <cell r="D306">
            <v>1.22090818299329</v>
          </cell>
          <cell r="E306">
            <v>1.22646337350429</v>
          </cell>
          <cell r="F306">
            <v>1.20277150099369</v>
          </cell>
          <cell r="G306">
            <v>1.20076991354577</v>
          </cell>
          <cell r="H306">
            <v>1.18796496974213</v>
          </cell>
          <cell r="I306">
            <v>1.11884174458623</v>
          </cell>
        </row>
        <row r="307">
          <cell r="B307">
            <v>46050</v>
          </cell>
          <cell r="C307">
            <v>1.19298376813505</v>
          </cell>
          <cell r="D307">
            <v>1.24765825624697</v>
          </cell>
          <cell r="E307">
            <v>1.2401481984734</v>
          </cell>
          <cell r="F307">
            <v>1.06980091003549</v>
          </cell>
          <cell r="G307">
            <v>1.20357830900227</v>
          </cell>
          <cell r="H307">
            <v>1.18990837812181</v>
          </cell>
          <cell r="I307">
            <v>1.11757595450065</v>
          </cell>
        </row>
        <row r="308">
          <cell r="B308">
            <v>46051</v>
          </cell>
          <cell r="C308">
            <v>1.18258132879692</v>
          </cell>
          <cell r="D308">
            <v>1.23723169881427</v>
          </cell>
          <cell r="E308">
            <v>1.23778330487046</v>
          </cell>
          <cell r="F308">
            <v>1.20702377259019</v>
          </cell>
          <cell r="G308">
            <v>1.22272715760949</v>
          </cell>
          <cell r="H308">
            <v>1.2176158080127</v>
          </cell>
          <cell r="I308">
            <v>1.15380637917535</v>
          </cell>
        </row>
        <row r="309">
          <cell r="B309">
            <v>46052</v>
          </cell>
          <cell r="C309">
            <v>1.19717740591513</v>
          </cell>
          <cell r="D309">
            <v>1.25130113404104</v>
          </cell>
          <cell r="E309">
            <v>1.25659761637224</v>
          </cell>
          <cell r="F309">
            <v>1.23075691234044</v>
          </cell>
          <cell r="G309">
            <v>1.25432894464173</v>
          </cell>
          <cell r="H309">
            <v>1.25105835951481</v>
          </cell>
          <cell r="I309">
            <v>1.20117506535215</v>
          </cell>
        </row>
        <row r="310">
          <cell r="B310">
            <v>46053</v>
          </cell>
          <cell r="C310">
            <v>1.05957416327665</v>
          </cell>
          <cell r="D310">
            <v>1.12326102250742</v>
          </cell>
          <cell r="E310">
            <v>1.12811023074785</v>
          </cell>
          <cell r="F310">
            <v>1.11217502557465</v>
          </cell>
          <cell r="G310">
            <v>1.12547112981611</v>
          </cell>
          <cell r="H310">
            <v>1.10511147019638</v>
          </cell>
          <cell r="I310">
            <v>1.0668427722106</v>
          </cell>
        </row>
        <row r="311">
          <cell r="B311">
            <v>46054</v>
          </cell>
          <cell r="C311" t="str">
            <v/>
          </cell>
          <cell r="D311" t="str">
            <v/>
          </cell>
          <cell r="E311" t="str">
            <v/>
          </cell>
          <cell r="F311" t="str">
            <v/>
          </cell>
          <cell r="G311" t="str">
            <v/>
          </cell>
          <cell r="H311" t="str">
            <v/>
          </cell>
          <cell r="I311" t="str">
            <v/>
          </cell>
        </row>
        <row r="312">
          <cell r="B312">
            <v>46055</v>
          </cell>
          <cell r="C312" t="str">
            <v/>
          </cell>
          <cell r="D312" t="str">
            <v/>
          </cell>
          <cell r="E312" t="str">
            <v/>
          </cell>
          <cell r="F312" t="str">
            <v/>
          </cell>
          <cell r="G312" t="str">
            <v/>
          </cell>
          <cell r="H312" t="str">
            <v/>
          </cell>
          <cell r="I312" t="str">
            <v/>
          </cell>
        </row>
        <row r="313">
          <cell r="B313">
            <v>46056</v>
          </cell>
          <cell r="C313" t="str">
            <v/>
          </cell>
          <cell r="D313" t="str">
            <v/>
          </cell>
          <cell r="E313" t="str">
            <v/>
          </cell>
          <cell r="F313" t="str">
            <v/>
          </cell>
          <cell r="G313" t="str">
            <v/>
          </cell>
          <cell r="H313" t="str">
            <v/>
          </cell>
          <cell r="I313" t="str">
            <v/>
          </cell>
        </row>
        <row r="314">
          <cell r="B314">
            <v>46057</v>
          </cell>
          <cell r="C314" t="str">
            <v/>
          </cell>
          <cell r="D314" t="str">
            <v/>
          </cell>
          <cell r="E314" t="str">
            <v/>
          </cell>
          <cell r="F314" t="str">
            <v/>
          </cell>
          <cell r="G314" t="str">
            <v/>
          </cell>
          <cell r="H314" t="str">
            <v/>
          </cell>
          <cell r="I314" t="str">
            <v/>
          </cell>
        </row>
        <row r="315">
          <cell r="B315">
            <v>46058</v>
          </cell>
          <cell r="C315" t="str">
            <v/>
          </cell>
          <cell r="D315" t="str">
            <v/>
          </cell>
          <cell r="E315" t="str">
            <v/>
          </cell>
          <cell r="F315" t="str">
            <v/>
          </cell>
          <cell r="G315" t="str">
            <v/>
          </cell>
          <cell r="H315" t="str">
            <v/>
          </cell>
          <cell r="I315" t="str">
            <v/>
          </cell>
        </row>
        <row r="316">
          <cell r="B316">
            <v>46059</v>
          </cell>
          <cell r="C316" t="str">
            <v/>
          </cell>
          <cell r="D316" t="str">
            <v/>
          </cell>
          <cell r="E316" t="str">
            <v/>
          </cell>
          <cell r="F316" t="str">
            <v/>
          </cell>
          <cell r="G316" t="str">
            <v/>
          </cell>
          <cell r="H316" t="str">
            <v/>
          </cell>
          <cell r="I316" t="str">
            <v/>
          </cell>
        </row>
        <row r="317">
          <cell r="B317">
            <v>46060</v>
          </cell>
          <cell r="C317" t="str">
            <v/>
          </cell>
          <cell r="D317" t="str">
            <v/>
          </cell>
          <cell r="E317" t="str">
            <v/>
          </cell>
          <cell r="F317" t="str">
            <v/>
          </cell>
          <cell r="G317" t="str">
            <v/>
          </cell>
          <cell r="H317" t="str">
            <v/>
          </cell>
          <cell r="I317" t="str">
            <v/>
          </cell>
        </row>
        <row r="318">
          <cell r="B318">
            <v>46061</v>
          </cell>
          <cell r="C318" t="str">
            <v/>
          </cell>
          <cell r="D318" t="str">
            <v/>
          </cell>
          <cell r="E318" t="str">
            <v/>
          </cell>
          <cell r="F318" t="str">
            <v/>
          </cell>
          <cell r="G318" t="str">
            <v/>
          </cell>
          <cell r="H318" t="str">
            <v/>
          </cell>
          <cell r="I318" t="str">
            <v/>
          </cell>
        </row>
        <row r="319">
          <cell r="B319">
            <v>46062</v>
          </cell>
          <cell r="C319" t="str">
            <v/>
          </cell>
          <cell r="D319" t="str">
            <v/>
          </cell>
          <cell r="E319" t="str">
            <v/>
          </cell>
          <cell r="F319" t="str">
            <v/>
          </cell>
          <cell r="G319" t="str">
            <v/>
          </cell>
          <cell r="H319" t="str">
            <v/>
          </cell>
          <cell r="I319" t="str">
            <v/>
          </cell>
        </row>
        <row r="320">
          <cell r="B320">
            <v>46063</v>
          </cell>
          <cell r="C320" t="str">
            <v/>
          </cell>
          <cell r="D320" t="str">
            <v/>
          </cell>
          <cell r="E320" t="str">
            <v/>
          </cell>
          <cell r="F320" t="str">
            <v/>
          </cell>
          <cell r="G320" t="str">
            <v/>
          </cell>
          <cell r="H320" t="str">
            <v/>
          </cell>
          <cell r="I320" t="str">
            <v/>
          </cell>
        </row>
        <row r="321">
          <cell r="B321">
            <v>46064</v>
          </cell>
          <cell r="C321" t="str">
            <v/>
          </cell>
          <cell r="D321" t="str">
            <v/>
          </cell>
          <cell r="E321" t="str">
            <v/>
          </cell>
          <cell r="F321" t="str">
            <v/>
          </cell>
          <cell r="G321" t="str">
            <v/>
          </cell>
          <cell r="H321" t="str">
            <v/>
          </cell>
          <cell r="I321" t="str">
            <v/>
          </cell>
        </row>
        <row r="322">
          <cell r="B322">
            <v>46065</v>
          </cell>
          <cell r="C322" t="str">
            <v/>
          </cell>
          <cell r="D322" t="str">
            <v/>
          </cell>
          <cell r="E322" t="str">
            <v/>
          </cell>
          <cell r="F322" t="str">
            <v/>
          </cell>
          <cell r="G322" t="str">
            <v/>
          </cell>
          <cell r="H322" t="str">
            <v/>
          </cell>
          <cell r="I322" t="str">
            <v/>
          </cell>
        </row>
        <row r="323">
          <cell r="B323">
            <v>46066</v>
          </cell>
          <cell r="C323" t="str">
            <v/>
          </cell>
          <cell r="D323" t="str">
            <v/>
          </cell>
          <cell r="E323" t="str">
            <v/>
          </cell>
          <cell r="F323" t="str">
            <v/>
          </cell>
          <cell r="G323" t="str">
            <v/>
          </cell>
          <cell r="H323" t="str">
            <v/>
          </cell>
          <cell r="I323" t="str">
            <v/>
          </cell>
        </row>
        <row r="324">
          <cell r="B324">
            <v>46067</v>
          </cell>
          <cell r="C324" t="str">
            <v/>
          </cell>
          <cell r="D324" t="str">
            <v/>
          </cell>
          <cell r="E324" t="str">
            <v/>
          </cell>
          <cell r="F324" t="str">
            <v/>
          </cell>
          <cell r="G324" t="str">
            <v/>
          </cell>
          <cell r="H324" t="str">
            <v/>
          </cell>
          <cell r="I324" t="str">
            <v/>
          </cell>
        </row>
        <row r="325">
          <cell r="B325">
            <v>46068</v>
          </cell>
          <cell r="C325" t="str">
            <v/>
          </cell>
          <cell r="D325" t="str">
            <v/>
          </cell>
          <cell r="E325" t="str">
            <v/>
          </cell>
          <cell r="F325" t="str">
            <v/>
          </cell>
          <cell r="G325" t="str">
            <v/>
          </cell>
          <cell r="H325" t="str">
            <v/>
          </cell>
          <cell r="I325" t="str">
            <v/>
          </cell>
        </row>
        <row r="326">
          <cell r="B326">
            <v>46069</v>
          </cell>
          <cell r="C326" t="str">
            <v/>
          </cell>
          <cell r="D326" t="str">
            <v/>
          </cell>
          <cell r="E326" t="str">
            <v/>
          </cell>
          <cell r="F326" t="str">
            <v/>
          </cell>
          <cell r="G326" t="str">
            <v/>
          </cell>
          <cell r="H326" t="str">
            <v/>
          </cell>
          <cell r="I326" t="str">
            <v/>
          </cell>
        </row>
        <row r="327">
          <cell r="B327">
            <v>46070</v>
          </cell>
          <cell r="C327" t="str">
            <v/>
          </cell>
          <cell r="D327" t="str">
            <v/>
          </cell>
          <cell r="E327" t="str">
            <v/>
          </cell>
          <cell r="F327" t="str">
            <v/>
          </cell>
          <cell r="G327" t="str">
            <v/>
          </cell>
          <cell r="H327" t="str">
            <v/>
          </cell>
          <cell r="I327" t="str">
            <v/>
          </cell>
        </row>
        <row r="328">
          <cell r="B328">
            <v>46071</v>
          </cell>
          <cell r="C328" t="str">
            <v/>
          </cell>
          <cell r="D328" t="str">
            <v/>
          </cell>
          <cell r="E328" t="str">
            <v/>
          </cell>
          <cell r="F328" t="str">
            <v/>
          </cell>
          <cell r="G328" t="str">
            <v/>
          </cell>
          <cell r="H328" t="str">
            <v/>
          </cell>
          <cell r="I328" t="str">
            <v/>
          </cell>
        </row>
        <row r="329">
          <cell r="B329">
            <v>46072</v>
          </cell>
          <cell r="C329" t="str">
            <v/>
          </cell>
          <cell r="D329" t="str">
            <v/>
          </cell>
          <cell r="E329" t="str">
            <v/>
          </cell>
          <cell r="F329" t="str">
            <v/>
          </cell>
          <cell r="G329" t="str">
            <v/>
          </cell>
          <cell r="H329" t="str">
            <v/>
          </cell>
          <cell r="I329" t="str">
            <v/>
          </cell>
        </row>
        <row r="330">
          <cell r="B330">
            <v>46073</v>
          </cell>
          <cell r="C330" t="str">
            <v/>
          </cell>
          <cell r="D330" t="str">
            <v/>
          </cell>
          <cell r="E330" t="str">
            <v/>
          </cell>
          <cell r="F330" t="str">
            <v/>
          </cell>
          <cell r="G330" t="str">
            <v/>
          </cell>
          <cell r="H330" t="str">
            <v/>
          </cell>
          <cell r="I330" t="str">
            <v/>
          </cell>
        </row>
        <row r="331">
          <cell r="B331">
            <v>46074</v>
          </cell>
          <cell r="C331" t="str">
            <v/>
          </cell>
          <cell r="D331" t="str">
            <v/>
          </cell>
          <cell r="E331" t="str">
            <v/>
          </cell>
          <cell r="F331" t="str">
            <v/>
          </cell>
          <cell r="G331" t="str">
            <v/>
          </cell>
          <cell r="H331" t="str">
            <v/>
          </cell>
          <cell r="I331" t="str">
            <v/>
          </cell>
        </row>
        <row r="332">
          <cell r="B332">
            <v>46075</v>
          </cell>
          <cell r="C332" t="str">
            <v/>
          </cell>
          <cell r="D332" t="str">
            <v/>
          </cell>
          <cell r="E332" t="str">
            <v/>
          </cell>
          <cell r="F332" t="str">
            <v/>
          </cell>
          <cell r="G332" t="str">
            <v/>
          </cell>
          <cell r="H332" t="str">
            <v/>
          </cell>
          <cell r="I332" t="str">
            <v/>
          </cell>
        </row>
        <row r="333">
          <cell r="B333">
            <v>46076</v>
          </cell>
          <cell r="C333" t="str">
            <v/>
          </cell>
          <cell r="D333" t="str">
            <v/>
          </cell>
          <cell r="E333" t="str">
            <v/>
          </cell>
          <cell r="F333" t="str">
            <v/>
          </cell>
          <cell r="G333" t="str">
            <v/>
          </cell>
          <cell r="H333" t="str">
            <v/>
          </cell>
          <cell r="I333" t="str">
            <v/>
          </cell>
        </row>
        <row r="334">
          <cell r="B334">
            <v>46077</v>
          </cell>
          <cell r="C334" t="str">
            <v/>
          </cell>
          <cell r="D334" t="str">
            <v/>
          </cell>
          <cell r="E334" t="str">
            <v/>
          </cell>
          <cell r="F334" t="str">
            <v/>
          </cell>
          <cell r="G334" t="str">
            <v/>
          </cell>
          <cell r="H334" t="str">
            <v/>
          </cell>
          <cell r="I334" t="str">
            <v/>
          </cell>
        </row>
        <row r="335">
          <cell r="B335">
            <v>46078</v>
          </cell>
          <cell r="C335" t="str">
            <v/>
          </cell>
          <cell r="D335" t="str">
            <v/>
          </cell>
          <cell r="E335" t="str">
            <v/>
          </cell>
          <cell r="F335" t="str">
            <v/>
          </cell>
          <cell r="G335" t="str">
            <v/>
          </cell>
          <cell r="H335" t="str">
            <v/>
          </cell>
          <cell r="I335" t="str">
            <v/>
          </cell>
        </row>
        <row r="336">
          <cell r="B336">
            <v>46079</v>
          </cell>
          <cell r="C336" t="str">
            <v/>
          </cell>
          <cell r="D336" t="str">
            <v/>
          </cell>
          <cell r="E336" t="str">
            <v/>
          </cell>
          <cell r="F336" t="str">
            <v/>
          </cell>
          <cell r="G336" t="str">
            <v/>
          </cell>
          <cell r="H336" t="str">
            <v/>
          </cell>
          <cell r="I336" t="str">
            <v/>
          </cell>
        </row>
        <row r="337">
          <cell r="B337">
            <v>46080</v>
          </cell>
          <cell r="C337" t="str">
            <v/>
          </cell>
          <cell r="D337" t="str">
            <v/>
          </cell>
          <cell r="E337" t="str">
            <v/>
          </cell>
          <cell r="F337" t="str">
            <v/>
          </cell>
          <cell r="G337" t="str">
            <v/>
          </cell>
          <cell r="H337" t="str">
            <v/>
          </cell>
          <cell r="I337" t="str">
            <v/>
          </cell>
        </row>
        <row r="338">
          <cell r="B338">
            <v>46081</v>
          </cell>
          <cell r="C338" t="str">
            <v/>
          </cell>
          <cell r="D338" t="str">
            <v/>
          </cell>
          <cell r="E338" t="str">
            <v/>
          </cell>
          <cell r="F338" t="str">
            <v/>
          </cell>
          <cell r="G338" t="str">
            <v/>
          </cell>
          <cell r="H338" t="str">
            <v/>
          </cell>
          <cell r="I338" t="str">
            <v/>
          </cell>
        </row>
        <row r="339">
          <cell r="B339">
            <v>46082</v>
          </cell>
          <cell r="C339" t="str">
            <v/>
          </cell>
          <cell r="D339" t="str">
            <v/>
          </cell>
          <cell r="E339" t="str">
            <v/>
          </cell>
          <cell r="F339" t="str">
            <v/>
          </cell>
          <cell r="G339" t="str">
            <v/>
          </cell>
          <cell r="H339" t="str">
            <v/>
          </cell>
          <cell r="I339" t="str">
            <v/>
          </cell>
        </row>
        <row r="340">
          <cell r="B340">
            <v>46083</v>
          </cell>
          <cell r="C340" t="str">
            <v/>
          </cell>
          <cell r="D340" t="str">
            <v/>
          </cell>
          <cell r="E340" t="str">
            <v/>
          </cell>
          <cell r="F340" t="str">
            <v/>
          </cell>
          <cell r="G340" t="str">
            <v/>
          </cell>
          <cell r="H340" t="str">
            <v/>
          </cell>
          <cell r="I340" t="str">
            <v/>
          </cell>
        </row>
        <row r="341">
          <cell r="B341">
            <v>46084</v>
          </cell>
          <cell r="C341" t="str">
            <v/>
          </cell>
          <cell r="D341" t="str">
            <v/>
          </cell>
          <cell r="E341" t="str">
            <v/>
          </cell>
          <cell r="F341" t="str">
            <v/>
          </cell>
          <cell r="G341" t="str">
            <v/>
          </cell>
          <cell r="H341" t="str">
            <v/>
          </cell>
          <cell r="I341" t="str">
            <v/>
          </cell>
        </row>
        <row r="342">
          <cell r="B342">
            <v>46085</v>
          </cell>
          <cell r="C342" t="str">
            <v/>
          </cell>
          <cell r="D342" t="str">
            <v/>
          </cell>
          <cell r="E342" t="str">
            <v/>
          </cell>
          <cell r="F342" t="str">
            <v/>
          </cell>
          <cell r="G342" t="str">
            <v/>
          </cell>
          <cell r="H342" t="str">
            <v/>
          </cell>
          <cell r="I342" t="str">
            <v/>
          </cell>
        </row>
        <row r="343">
          <cell r="B343">
            <v>46086</v>
          </cell>
          <cell r="C343" t="str">
            <v/>
          </cell>
          <cell r="D343" t="str">
            <v/>
          </cell>
          <cell r="E343" t="str">
            <v/>
          </cell>
          <cell r="F343" t="str">
            <v/>
          </cell>
          <cell r="G343" t="str">
            <v/>
          </cell>
          <cell r="H343" t="str">
            <v/>
          </cell>
          <cell r="I343" t="str">
            <v/>
          </cell>
        </row>
        <row r="344">
          <cell r="B344">
            <v>46087</v>
          </cell>
          <cell r="C344" t="str">
            <v/>
          </cell>
          <cell r="D344" t="str">
            <v/>
          </cell>
          <cell r="E344" t="str">
            <v/>
          </cell>
          <cell r="F344" t="str">
            <v/>
          </cell>
          <cell r="G344" t="str">
            <v/>
          </cell>
          <cell r="H344" t="str">
            <v/>
          </cell>
          <cell r="I344" t="str">
            <v/>
          </cell>
        </row>
        <row r="345">
          <cell r="B345">
            <v>46088</v>
          </cell>
          <cell r="C345" t="str">
            <v/>
          </cell>
          <cell r="D345" t="str">
            <v/>
          </cell>
          <cell r="E345" t="str">
            <v/>
          </cell>
          <cell r="F345" t="str">
            <v/>
          </cell>
          <cell r="G345" t="str">
            <v/>
          </cell>
          <cell r="H345" t="str">
            <v/>
          </cell>
          <cell r="I345" t="str">
            <v/>
          </cell>
        </row>
        <row r="346">
          <cell r="B346">
            <v>46089</v>
          </cell>
          <cell r="C346" t="str">
            <v/>
          </cell>
          <cell r="D346" t="str">
            <v/>
          </cell>
          <cell r="E346" t="str">
            <v/>
          </cell>
          <cell r="F346" t="str">
            <v/>
          </cell>
          <cell r="G346" t="str">
            <v/>
          </cell>
          <cell r="H346" t="str">
            <v/>
          </cell>
          <cell r="I346" t="str">
            <v/>
          </cell>
        </row>
        <row r="347">
          <cell r="B347">
            <v>46090</v>
          </cell>
          <cell r="C347" t="str">
            <v/>
          </cell>
          <cell r="D347" t="str">
            <v/>
          </cell>
          <cell r="E347" t="str">
            <v/>
          </cell>
          <cell r="F347" t="str">
            <v/>
          </cell>
          <cell r="G347" t="str">
            <v/>
          </cell>
          <cell r="H347" t="str">
            <v/>
          </cell>
          <cell r="I347" t="str">
            <v/>
          </cell>
        </row>
        <row r="348">
          <cell r="B348">
            <v>46091</v>
          </cell>
          <cell r="C348" t="str">
            <v/>
          </cell>
          <cell r="D348" t="str">
            <v/>
          </cell>
          <cell r="E348" t="str">
            <v/>
          </cell>
          <cell r="F348" t="str">
            <v/>
          </cell>
          <cell r="G348" t="str">
            <v/>
          </cell>
          <cell r="H348" t="str">
            <v/>
          </cell>
          <cell r="I348" t="str">
            <v/>
          </cell>
        </row>
        <row r="349">
          <cell r="B349">
            <v>46092</v>
          </cell>
          <cell r="C349" t="str">
            <v/>
          </cell>
          <cell r="D349" t="str">
            <v/>
          </cell>
          <cell r="E349" t="str">
            <v/>
          </cell>
          <cell r="F349" t="str">
            <v/>
          </cell>
          <cell r="G349" t="str">
            <v/>
          </cell>
          <cell r="H349" t="str">
            <v/>
          </cell>
          <cell r="I349" t="str">
            <v/>
          </cell>
        </row>
        <row r="350">
          <cell r="B350">
            <v>46093</v>
          </cell>
          <cell r="C350" t="str">
            <v/>
          </cell>
          <cell r="D350" t="str">
            <v/>
          </cell>
          <cell r="E350" t="str">
            <v/>
          </cell>
          <cell r="F350" t="str">
            <v/>
          </cell>
          <cell r="G350" t="str">
            <v/>
          </cell>
          <cell r="H350" t="str">
            <v/>
          </cell>
          <cell r="I350" t="str">
            <v/>
          </cell>
        </row>
        <row r="351">
          <cell r="B351">
            <v>46094</v>
          </cell>
          <cell r="C351" t="str">
            <v/>
          </cell>
          <cell r="D351" t="str">
            <v/>
          </cell>
          <cell r="E351" t="str">
            <v/>
          </cell>
          <cell r="F351" t="str">
            <v/>
          </cell>
          <cell r="G351" t="str">
            <v/>
          </cell>
          <cell r="H351" t="str">
            <v/>
          </cell>
          <cell r="I351" t="str">
            <v/>
          </cell>
        </row>
        <row r="352">
          <cell r="B352">
            <v>46095</v>
          </cell>
          <cell r="C352" t="str">
            <v/>
          </cell>
          <cell r="D352" t="str">
            <v/>
          </cell>
          <cell r="E352" t="str">
            <v/>
          </cell>
          <cell r="F352" t="str">
            <v/>
          </cell>
          <cell r="G352" t="str">
            <v/>
          </cell>
          <cell r="H352" t="str">
            <v/>
          </cell>
          <cell r="I352" t="str">
            <v/>
          </cell>
        </row>
        <row r="353">
          <cell r="B353">
            <v>46096</v>
          </cell>
          <cell r="C353" t="str">
            <v/>
          </cell>
          <cell r="D353" t="str">
            <v/>
          </cell>
          <cell r="E353" t="str">
            <v/>
          </cell>
          <cell r="F353" t="str">
            <v/>
          </cell>
          <cell r="G353" t="str">
            <v/>
          </cell>
          <cell r="H353" t="str">
            <v/>
          </cell>
          <cell r="I353" t="str">
            <v/>
          </cell>
        </row>
        <row r="354">
          <cell r="B354">
            <v>46097</v>
          </cell>
          <cell r="C354" t="str">
            <v/>
          </cell>
          <cell r="D354" t="str">
            <v/>
          </cell>
          <cell r="E354" t="str">
            <v/>
          </cell>
          <cell r="F354" t="str">
            <v/>
          </cell>
          <cell r="G354" t="str">
            <v/>
          </cell>
          <cell r="H354" t="str">
            <v/>
          </cell>
          <cell r="I354" t="str">
            <v/>
          </cell>
        </row>
        <row r="355">
          <cell r="B355">
            <v>46098</v>
          </cell>
          <cell r="C355" t="str">
            <v/>
          </cell>
          <cell r="D355" t="str">
            <v/>
          </cell>
          <cell r="E355" t="str">
            <v/>
          </cell>
          <cell r="F355" t="str">
            <v/>
          </cell>
          <cell r="G355" t="str">
            <v/>
          </cell>
          <cell r="H355" t="str">
            <v/>
          </cell>
          <cell r="I355" t="str">
            <v/>
          </cell>
        </row>
        <row r="356">
          <cell r="B356">
            <v>46099</v>
          </cell>
          <cell r="C356" t="str">
            <v/>
          </cell>
          <cell r="D356" t="str">
            <v/>
          </cell>
          <cell r="E356" t="str">
            <v/>
          </cell>
          <cell r="F356" t="str">
            <v/>
          </cell>
          <cell r="G356" t="str">
            <v/>
          </cell>
          <cell r="H356" t="str">
            <v/>
          </cell>
          <cell r="I356" t="str">
            <v/>
          </cell>
        </row>
        <row r="357">
          <cell r="B357">
            <v>46100</v>
          </cell>
          <cell r="C357" t="str">
            <v/>
          </cell>
          <cell r="D357" t="str">
            <v/>
          </cell>
          <cell r="E357" t="str">
            <v/>
          </cell>
          <cell r="F357" t="str">
            <v/>
          </cell>
          <cell r="G357" t="str">
            <v/>
          </cell>
          <cell r="H357" t="str">
            <v/>
          </cell>
          <cell r="I357" t="str">
            <v/>
          </cell>
        </row>
        <row r="358">
          <cell r="B358">
            <v>46101</v>
          </cell>
          <cell r="C358" t="str">
            <v/>
          </cell>
          <cell r="D358" t="str">
            <v/>
          </cell>
          <cell r="E358" t="str">
            <v/>
          </cell>
          <cell r="F358" t="str">
            <v/>
          </cell>
          <cell r="G358" t="str">
            <v/>
          </cell>
          <cell r="H358" t="str">
            <v/>
          </cell>
          <cell r="I358" t="str">
            <v/>
          </cell>
        </row>
        <row r="359">
          <cell r="B359">
            <v>46102</v>
          </cell>
          <cell r="C359" t="str">
            <v/>
          </cell>
          <cell r="D359" t="str">
            <v/>
          </cell>
          <cell r="E359" t="str">
            <v/>
          </cell>
          <cell r="F359" t="str">
            <v/>
          </cell>
          <cell r="G359" t="str">
            <v/>
          </cell>
          <cell r="H359" t="str">
            <v/>
          </cell>
          <cell r="I359" t="str">
            <v/>
          </cell>
        </row>
        <row r="360">
          <cell r="B360">
            <v>46103</v>
          </cell>
          <cell r="C360" t="str">
            <v/>
          </cell>
          <cell r="D360" t="str">
            <v/>
          </cell>
          <cell r="E360" t="str">
            <v/>
          </cell>
          <cell r="F360" t="str">
            <v/>
          </cell>
          <cell r="G360" t="str">
            <v/>
          </cell>
          <cell r="H360" t="str">
            <v/>
          </cell>
          <cell r="I360" t="str">
            <v/>
          </cell>
        </row>
        <row r="361">
          <cell r="B361">
            <v>46104</v>
          </cell>
          <cell r="C361" t="str">
            <v/>
          </cell>
          <cell r="D361" t="str">
            <v/>
          </cell>
          <cell r="E361" t="str">
            <v/>
          </cell>
          <cell r="F361" t="str">
            <v/>
          </cell>
          <cell r="G361" t="str">
            <v/>
          </cell>
          <cell r="H361" t="str">
            <v/>
          </cell>
          <cell r="I361" t="str">
            <v/>
          </cell>
        </row>
        <row r="362">
          <cell r="B362">
            <v>46105</v>
          </cell>
          <cell r="C362" t="str">
            <v/>
          </cell>
          <cell r="D362" t="str">
            <v/>
          </cell>
          <cell r="E362" t="str">
            <v/>
          </cell>
          <cell r="F362" t="str">
            <v/>
          </cell>
          <cell r="G362" t="str">
            <v/>
          </cell>
          <cell r="H362" t="str">
            <v/>
          </cell>
          <cell r="I362" t="str">
            <v/>
          </cell>
        </row>
        <row r="363">
          <cell r="B363">
            <v>46106</v>
          </cell>
          <cell r="C363" t="str">
            <v/>
          </cell>
          <cell r="D363" t="str">
            <v/>
          </cell>
          <cell r="E363" t="str">
            <v/>
          </cell>
          <cell r="F363" t="str">
            <v/>
          </cell>
          <cell r="G363" t="str">
            <v/>
          </cell>
          <cell r="H363" t="str">
            <v/>
          </cell>
          <cell r="I363" t="str">
            <v/>
          </cell>
        </row>
        <row r="364">
          <cell r="B364">
            <v>46107</v>
          </cell>
          <cell r="C364" t="str">
            <v/>
          </cell>
          <cell r="D364" t="str">
            <v/>
          </cell>
          <cell r="E364" t="str">
            <v/>
          </cell>
          <cell r="F364" t="str">
            <v/>
          </cell>
          <cell r="G364" t="str">
            <v/>
          </cell>
          <cell r="H364" t="str">
            <v/>
          </cell>
          <cell r="I364" t="str">
            <v/>
          </cell>
        </row>
        <row r="365">
          <cell r="B365">
            <v>46108</v>
          </cell>
          <cell r="C365" t="str">
            <v/>
          </cell>
          <cell r="D365" t="str">
            <v/>
          </cell>
          <cell r="E365" t="str">
            <v/>
          </cell>
          <cell r="F365" t="str">
            <v/>
          </cell>
          <cell r="G365" t="str">
            <v/>
          </cell>
          <cell r="H365" t="str">
            <v/>
          </cell>
          <cell r="I365" t="str">
            <v/>
          </cell>
        </row>
        <row r="366">
          <cell r="B366">
            <v>46109</v>
          </cell>
          <cell r="C366" t="str">
            <v/>
          </cell>
          <cell r="D366" t="str">
            <v/>
          </cell>
          <cell r="E366" t="str">
            <v/>
          </cell>
          <cell r="F366" t="str">
            <v/>
          </cell>
          <cell r="G366" t="str">
            <v/>
          </cell>
          <cell r="H366" t="str">
            <v/>
          </cell>
          <cell r="I366" t="str">
            <v/>
          </cell>
        </row>
        <row r="367">
          <cell r="B367">
            <v>46110</v>
          </cell>
          <cell r="C367" t="str">
            <v/>
          </cell>
          <cell r="D367" t="str">
            <v/>
          </cell>
          <cell r="E367" t="str">
            <v/>
          </cell>
          <cell r="F367" t="str">
            <v/>
          </cell>
          <cell r="G367" t="str">
            <v/>
          </cell>
          <cell r="H367" t="str">
            <v/>
          </cell>
          <cell r="I367" t="str">
            <v/>
          </cell>
        </row>
        <row r="368">
          <cell r="B368">
            <v>46111</v>
          </cell>
          <cell r="C368" t="str">
            <v/>
          </cell>
          <cell r="D368" t="str">
            <v/>
          </cell>
          <cell r="E368" t="str">
            <v/>
          </cell>
          <cell r="F368" t="str">
            <v/>
          </cell>
          <cell r="G368" t="str">
            <v/>
          </cell>
          <cell r="H368" t="str">
            <v/>
          </cell>
          <cell r="I368" t="str">
            <v/>
          </cell>
        </row>
        <row r="369">
          <cell r="B369">
            <v>46112</v>
          </cell>
          <cell r="C369" t="str">
            <v/>
          </cell>
          <cell r="D369" t="str">
            <v/>
          </cell>
          <cell r="E369" t="str">
            <v/>
          </cell>
          <cell r="F369" t="str">
            <v/>
          </cell>
          <cell r="G369" t="str">
            <v/>
          </cell>
          <cell r="H369" t="str">
            <v/>
          </cell>
          <cell r="I369" t="str">
            <v/>
          </cell>
        </row>
      </sheetData>
      <sheetData sheetId="5"/>
      <sheetData sheetId="6">
        <row r="2">
          <cell r="E2" t="str">
            <v>Inverter_Name</v>
          </cell>
          <cell r="F2" t="str">
            <v>AC_Capacity_MW</v>
          </cell>
          <cell r="G2" t="str">
            <v>Connected_DC_MW</v>
          </cell>
          <cell r="H2" t="str">
            <v>No_Of_Module</v>
          </cell>
        </row>
        <row r="3">
          <cell r="E3" t="str">
            <v>Inv_1</v>
          </cell>
          <cell r="F3">
            <v>275</v>
          </cell>
          <cell r="G3">
            <v>335.72</v>
          </cell>
          <cell r="H3">
            <v>616</v>
          </cell>
          <cell r="I3">
            <v>2</v>
          </cell>
        </row>
        <row r="4">
          <cell r="E4" t="str">
            <v>Inv_2</v>
          </cell>
          <cell r="F4">
            <v>275</v>
          </cell>
          <cell r="G4">
            <v>335.72</v>
          </cell>
          <cell r="H4">
            <v>616</v>
          </cell>
          <cell r="I4">
            <v>3</v>
          </cell>
        </row>
        <row r="5">
          <cell r="E5" t="str">
            <v>Inv_3</v>
          </cell>
          <cell r="F5">
            <v>275</v>
          </cell>
          <cell r="G5">
            <v>335.72</v>
          </cell>
          <cell r="H5">
            <v>616</v>
          </cell>
          <cell r="I5">
            <v>4</v>
          </cell>
        </row>
        <row r="6">
          <cell r="E6" t="str">
            <v>Inv_4</v>
          </cell>
          <cell r="F6">
            <v>275</v>
          </cell>
          <cell r="G6">
            <v>350.98</v>
          </cell>
          <cell r="H6">
            <v>644</v>
          </cell>
          <cell r="I6">
            <v>5</v>
          </cell>
        </row>
        <row r="7">
          <cell r="E7" t="str">
            <v>Inv_5</v>
          </cell>
          <cell r="F7">
            <v>275</v>
          </cell>
          <cell r="G7">
            <v>350.98</v>
          </cell>
          <cell r="H7">
            <v>644</v>
          </cell>
          <cell r="I7">
            <v>6</v>
          </cell>
        </row>
        <row r="8">
          <cell r="E8" t="str">
            <v>Inv_6</v>
          </cell>
          <cell r="F8">
            <v>275</v>
          </cell>
          <cell r="G8">
            <v>350.98</v>
          </cell>
          <cell r="H8">
            <v>644</v>
          </cell>
          <cell r="I8">
            <v>7</v>
          </cell>
        </row>
        <row r="9">
          <cell r="E9" t="str">
            <v>Inv_7</v>
          </cell>
          <cell r="F9">
            <v>275</v>
          </cell>
          <cell r="G9">
            <v>350.98</v>
          </cell>
          <cell r="H9">
            <v>644</v>
          </cell>
          <cell r="I9">
            <v>8</v>
          </cell>
        </row>
        <row r="10">
          <cell r="E10" t="str">
            <v>Total</v>
          </cell>
          <cell r="F10">
            <v>1925</v>
          </cell>
          <cell r="G10">
            <v>2411.08</v>
          </cell>
          <cell r="H10">
            <v>4424</v>
          </cell>
        </row>
      </sheetData>
      <sheetData sheetId="7"/>
      <sheetData sheetId="8"/>
      <sheetData sheetId="9"/>
      <sheetData sheetId="10">
        <row r="104">
          <cell r="H104" t="str">
            <v/>
          </cell>
        </row>
        <row r="105">
          <cell r="H105" t="str">
            <v/>
          </cell>
        </row>
        <row r="106">
          <cell r="H106" t="str">
            <v/>
          </cell>
        </row>
        <row r="107">
          <cell r="H107" t="str">
            <v/>
          </cell>
        </row>
        <row r="108">
          <cell r="H108" t="str">
            <v/>
          </cell>
        </row>
        <row r="109">
          <cell r="H109">
            <v>0</v>
          </cell>
        </row>
        <row r="171">
          <cell r="H171" t="str">
            <v/>
          </cell>
        </row>
        <row r="172">
          <cell r="H172" t="str">
            <v/>
          </cell>
        </row>
        <row r="173">
          <cell r="H173" t="str">
            <v/>
          </cell>
        </row>
        <row r="174">
          <cell r="H174" t="str">
            <v/>
          </cell>
        </row>
        <row r="175">
          <cell r="H175" t="str">
            <v/>
          </cell>
        </row>
        <row r="176">
          <cell r="H176" t="str">
            <v/>
          </cell>
        </row>
        <row r="177">
          <cell r="H177" t="str">
            <v/>
          </cell>
        </row>
        <row r="178">
          <cell r="H178" t="str">
            <v/>
          </cell>
        </row>
        <row r="179">
          <cell r="H179" t="str">
            <v/>
          </cell>
        </row>
        <row r="180">
          <cell r="H180" t="str">
            <v/>
          </cell>
        </row>
        <row r="181">
          <cell r="H181" t="str">
            <v/>
          </cell>
        </row>
        <row r="182">
          <cell r="H182" t="str">
            <v/>
          </cell>
        </row>
        <row r="183">
          <cell r="H183" t="str">
            <v/>
          </cell>
        </row>
        <row r="184">
          <cell r="H184" t="str">
            <v/>
          </cell>
        </row>
        <row r="185">
          <cell r="H185" t="str">
            <v/>
          </cell>
        </row>
        <row r="186">
          <cell r="H186" t="str">
            <v/>
          </cell>
        </row>
        <row r="187">
          <cell r="H187" t="str">
            <v/>
          </cell>
        </row>
        <row r="188">
          <cell r="H188" t="str">
            <v/>
          </cell>
        </row>
        <row r="189">
          <cell r="H189" t="str">
            <v/>
          </cell>
        </row>
        <row r="190">
          <cell r="H190" t="str">
            <v/>
          </cell>
        </row>
        <row r="191">
          <cell r="H191" t="str">
            <v/>
          </cell>
        </row>
        <row r="192">
          <cell r="H192" t="str">
            <v/>
          </cell>
        </row>
        <row r="193">
          <cell r="H193" t="str">
            <v/>
          </cell>
        </row>
        <row r="194">
          <cell r="H194" t="str">
            <v/>
          </cell>
        </row>
        <row r="195">
          <cell r="H195" t="str">
            <v/>
          </cell>
        </row>
        <row r="196">
          <cell r="H196" t="str">
            <v/>
          </cell>
        </row>
        <row r="197">
          <cell r="H197" t="str">
            <v/>
          </cell>
        </row>
        <row r="198">
          <cell r="H198" t="str">
            <v/>
          </cell>
        </row>
        <row r="199">
          <cell r="H199" t="str">
            <v/>
          </cell>
        </row>
        <row r="200">
          <cell r="H200" t="str">
            <v/>
          </cell>
        </row>
        <row r="201">
          <cell r="H201" t="str">
            <v/>
          </cell>
        </row>
        <row r="202">
          <cell r="H202" t="str">
            <v/>
          </cell>
        </row>
        <row r="203">
          <cell r="H203" t="str">
            <v/>
          </cell>
        </row>
        <row r="204">
          <cell r="H204" t="str">
            <v/>
          </cell>
        </row>
        <row r="205">
          <cell r="H205" t="str">
            <v/>
          </cell>
        </row>
        <row r="256">
          <cell r="H256">
            <v>0</v>
          </cell>
        </row>
        <row r="257">
          <cell r="H257">
            <v>2</v>
          </cell>
        </row>
        <row r="258">
          <cell r="H258">
            <v>3</v>
          </cell>
        </row>
        <row r="259">
          <cell r="H259">
            <v>4</v>
          </cell>
        </row>
        <row r="260">
          <cell r="H260">
            <v>5</v>
          </cell>
        </row>
        <row r="261">
          <cell r="H261">
            <v>0</v>
          </cell>
        </row>
        <row r="262">
          <cell r="H262">
            <v>0</v>
          </cell>
        </row>
        <row r="263">
          <cell r="H263">
            <v>8</v>
          </cell>
        </row>
        <row r="264">
          <cell r="H264" t="str">
            <v/>
          </cell>
        </row>
        <row r="265">
          <cell r="H265" t="str">
            <v/>
          </cell>
        </row>
        <row r="269">
          <cell r="H269" t="str">
            <v/>
          </cell>
        </row>
        <row r="270">
          <cell r="H270" t="str">
            <v/>
          </cell>
        </row>
        <row r="271">
          <cell r="H271" t="str">
            <v/>
          </cell>
        </row>
        <row r="272">
          <cell r="H272" t="str">
            <v/>
          </cell>
        </row>
        <row r="273">
          <cell r="H273" t="str">
            <v/>
          </cell>
        </row>
        <row r="275">
          <cell r="H275" t="str">
            <v/>
          </cell>
        </row>
        <row r="276">
          <cell r="H276" t="str">
            <v/>
          </cell>
        </row>
        <row r="277">
          <cell r="H277" t="str">
            <v/>
          </cell>
        </row>
        <row r="278">
          <cell r="H278" t="str">
            <v/>
          </cell>
        </row>
        <row r="279">
          <cell r="H279" t="str">
            <v/>
          </cell>
        </row>
        <row r="280">
          <cell r="H280">
            <v>8</v>
          </cell>
        </row>
        <row r="281">
          <cell r="H281">
            <v>2</v>
          </cell>
        </row>
        <row r="282">
          <cell r="H282">
            <v>0</v>
          </cell>
        </row>
        <row r="283">
          <cell r="H283">
            <v>0</v>
          </cell>
        </row>
        <row r="284">
          <cell r="H284">
            <v>0</v>
          </cell>
        </row>
        <row r="285">
          <cell r="H285">
            <v>0</v>
          </cell>
        </row>
        <row r="286">
          <cell r="H286">
            <v>7</v>
          </cell>
        </row>
        <row r="287">
          <cell r="H287">
            <v>0</v>
          </cell>
        </row>
        <row r="288">
          <cell r="H288">
            <v>2</v>
          </cell>
        </row>
        <row r="289">
          <cell r="H289">
            <v>0</v>
          </cell>
        </row>
        <row r="290">
          <cell r="H290">
            <v>0</v>
          </cell>
        </row>
        <row r="321">
          <cell r="H321">
            <v>3</v>
          </cell>
        </row>
        <row r="322">
          <cell r="H322">
            <v>0</v>
          </cell>
        </row>
        <row r="323">
          <cell r="H323">
            <v>0</v>
          </cell>
        </row>
        <row r="324">
          <cell r="H324">
            <v>0</v>
          </cell>
        </row>
        <row r="325">
          <cell r="H325">
            <v>0</v>
          </cell>
        </row>
        <row r="326">
          <cell r="H326">
            <v>0</v>
          </cell>
        </row>
        <row r="330">
          <cell r="H330">
            <v>0</v>
          </cell>
        </row>
        <row r="331">
          <cell r="H331">
            <v>0</v>
          </cell>
        </row>
        <row r="345">
          <cell r="H345">
            <v>0</v>
          </cell>
        </row>
        <row r="346">
          <cell r="H346">
            <v>0</v>
          </cell>
        </row>
        <row r="347">
          <cell r="H347">
            <v>8</v>
          </cell>
        </row>
        <row r="348">
          <cell r="H348">
            <v>0</v>
          </cell>
        </row>
        <row r="363">
          <cell r="H363">
            <v>0</v>
          </cell>
        </row>
        <row r="364">
          <cell r="H364">
            <v>5</v>
          </cell>
        </row>
        <row r="365">
          <cell r="H365">
            <v>0</v>
          </cell>
        </row>
        <row r="366">
          <cell r="H366">
            <v>0</v>
          </cell>
        </row>
        <row r="384">
          <cell r="H384" t="str">
            <v/>
          </cell>
        </row>
        <row r="385">
          <cell r="H385" t="str">
            <v/>
          </cell>
        </row>
        <row r="386">
          <cell r="H386" t="str">
            <v/>
          </cell>
        </row>
        <row r="388">
          <cell r="H388" t="str">
            <v/>
          </cell>
        </row>
        <row r="389">
          <cell r="H389" t="str">
            <v/>
          </cell>
        </row>
        <row r="390">
          <cell r="H390" t="str">
            <v/>
          </cell>
        </row>
        <row r="392">
          <cell r="H392" t="str">
            <v/>
          </cell>
        </row>
        <row r="393">
          <cell r="H393" t="str">
            <v/>
          </cell>
        </row>
        <row r="394">
          <cell r="H394" t="str">
            <v/>
          </cell>
        </row>
        <row r="395">
          <cell r="H395" t="str">
            <v/>
          </cell>
        </row>
        <row r="396">
          <cell r="H396" t="str">
            <v/>
          </cell>
        </row>
        <row r="397">
          <cell r="H397" t="str">
            <v/>
          </cell>
        </row>
      </sheetData>
      <sheetData sheetId="11"/>
      <sheetData sheetId="1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67"/>
  <sheetViews>
    <sheetView topLeftCell="A268" workbookViewId="0">
      <selection activeCell="I2" sqref="I2"/>
    </sheetView>
  </sheetViews>
  <sheetFormatPr defaultColWidth="8.75" defaultRowHeight="15"/>
  <cols>
    <col min="1" max="1" width="10.375" style="155" customWidth="1"/>
    <col min="2" max="2" width="8.875" style="155" customWidth="1"/>
    <col min="3" max="3" width="8.75" style="155"/>
    <col min="4" max="4" width="6.75" style="155" customWidth="1"/>
    <col min="5" max="5" width="9.25" style="42" customWidth="1"/>
    <col min="6" max="6" width="8.75" style="42" customWidth="1"/>
    <col min="7" max="7" width="9" style="42" customWidth="1"/>
    <col min="8" max="8" width="11.75" style="42" customWidth="1"/>
    <col min="9" max="9" width="6.25" style="155" customWidth="1"/>
    <col min="10" max="10" width="8.75" style="155"/>
    <col min="11" max="11" width="7.25" style="42" customWidth="1"/>
    <col min="12" max="12" width="8.875" style="42" customWidth="1"/>
    <col min="13" max="13" width="12.375" style="155" customWidth="1"/>
    <col min="14" max="16384" width="8.75" style="155"/>
  </cols>
  <sheetData>
    <row r="1" ht="15.75" spans="1:13">
      <c r="A1" s="203" t="s">
        <v>0</v>
      </c>
      <c r="B1" s="204" t="s">
        <v>1</v>
      </c>
      <c r="C1" s="205" t="s">
        <v>2</v>
      </c>
      <c r="D1" s="205" t="s">
        <v>2</v>
      </c>
      <c r="E1" s="205" t="s">
        <v>3</v>
      </c>
      <c r="F1" s="205" t="s">
        <v>4</v>
      </c>
      <c r="G1" s="205" t="s">
        <v>5</v>
      </c>
      <c r="H1" s="205" t="s">
        <v>6</v>
      </c>
      <c r="I1" s="205" t="s">
        <v>7</v>
      </c>
      <c r="J1" s="205" t="s">
        <v>8</v>
      </c>
      <c r="K1" s="206" t="s">
        <v>9</v>
      </c>
      <c r="L1" s="206" t="s">
        <v>10</v>
      </c>
      <c r="M1" s="207" t="s">
        <v>11</v>
      </c>
    </row>
    <row r="2" ht="15.75" spans="1:13">
      <c r="A2" s="208" t="s">
        <v>12</v>
      </c>
      <c r="B2" s="209">
        <v>45658</v>
      </c>
      <c r="C2" s="210"/>
      <c r="D2" s="210"/>
      <c r="E2" s="211">
        <v>21731.502</v>
      </c>
      <c r="F2" s="211">
        <v>5.47253</v>
      </c>
      <c r="G2" s="211">
        <v>4.345315</v>
      </c>
      <c r="H2" s="211">
        <v>27.2733333333333</v>
      </c>
      <c r="I2" s="212">
        <v>0.8148</v>
      </c>
      <c r="J2" s="213">
        <f>E2/24/M2</f>
        <v>0.187780848195769</v>
      </c>
      <c r="K2" s="211">
        <v>43.6059</v>
      </c>
      <c r="L2" s="211">
        <v>43.6059</v>
      </c>
      <c r="M2" s="214">
        <v>4822</v>
      </c>
    </row>
    <row r="3" ht="15.75" spans="1:13">
      <c r="A3" s="208" t="s">
        <v>12</v>
      </c>
      <c r="B3" s="209">
        <v>45659</v>
      </c>
      <c r="C3" s="210"/>
      <c r="D3" s="215"/>
      <c r="E3" s="211">
        <v>22711.152</v>
      </c>
      <c r="F3" s="211">
        <v>5.69424</v>
      </c>
      <c r="G3" s="211">
        <v>4.481942</v>
      </c>
      <c r="H3" s="211">
        <v>25.555</v>
      </c>
      <c r="I3" s="212">
        <v>0.8188</v>
      </c>
      <c r="J3" s="213">
        <f t="shared" ref="J3:J66" si="0">E3/24/M3</f>
        <v>0.19624595603484</v>
      </c>
      <c r="K3" s="211">
        <v>42.2575</v>
      </c>
      <c r="L3" s="211">
        <v>42.2575</v>
      </c>
      <c r="M3" s="214">
        <v>4822</v>
      </c>
    </row>
    <row r="4" ht="15.75" spans="1:13">
      <c r="A4" s="208" t="s">
        <v>12</v>
      </c>
      <c r="B4" s="209">
        <v>45660</v>
      </c>
      <c r="C4" s="210"/>
      <c r="D4" s="216"/>
      <c r="E4" s="211">
        <v>21189.702</v>
      </c>
      <c r="F4" s="211">
        <v>5.30545</v>
      </c>
      <c r="G4" s="211">
        <v>4.2633838</v>
      </c>
      <c r="H4" s="211">
        <v>26.0166666666667</v>
      </c>
      <c r="I4" s="212">
        <v>0.8209</v>
      </c>
      <c r="J4" s="213">
        <f t="shared" si="0"/>
        <v>0.183099180837827</v>
      </c>
      <c r="K4" s="211">
        <v>42.155</v>
      </c>
      <c r="L4" s="211">
        <v>42.155</v>
      </c>
      <c r="M4" s="214">
        <v>4822</v>
      </c>
    </row>
    <row r="5" ht="15.75" spans="1:13">
      <c r="A5" s="208" t="s">
        <v>12</v>
      </c>
      <c r="B5" s="209">
        <v>45661</v>
      </c>
      <c r="C5" s="210"/>
      <c r="D5" s="210"/>
      <c r="E5" s="211">
        <v>23732.482</v>
      </c>
      <c r="F5" s="211">
        <v>5.9432</v>
      </c>
      <c r="G5" s="211">
        <v>4.6643305</v>
      </c>
      <c r="H5" s="211">
        <v>24.2133333333333</v>
      </c>
      <c r="I5" s="212">
        <v>0.8208</v>
      </c>
      <c r="J5" s="213">
        <f t="shared" si="0"/>
        <v>0.205071218719757</v>
      </c>
      <c r="K5" s="211">
        <v>41.7867</v>
      </c>
      <c r="L5" s="211">
        <v>41.7867</v>
      </c>
      <c r="M5" s="214">
        <v>4822</v>
      </c>
    </row>
    <row r="6" ht="15.75" spans="1:13">
      <c r="A6" s="208" t="s">
        <v>12</v>
      </c>
      <c r="B6" s="209">
        <v>45662</v>
      </c>
      <c r="C6" s="210"/>
      <c r="D6" s="210"/>
      <c r="E6" s="211">
        <v>23911.322</v>
      </c>
      <c r="F6" s="211">
        <v>5.98552</v>
      </c>
      <c r="G6" s="211">
        <v>4.7081898</v>
      </c>
      <c r="H6" s="211">
        <v>23.6054166666667</v>
      </c>
      <c r="I6" s="212">
        <v>0.8224</v>
      </c>
      <c r="J6" s="213">
        <f t="shared" si="0"/>
        <v>0.206616566431633</v>
      </c>
      <c r="K6" s="211">
        <v>41.5419</v>
      </c>
      <c r="L6" s="211">
        <v>41.5419</v>
      </c>
      <c r="M6" s="214">
        <v>4822</v>
      </c>
    </row>
    <row r="7" ht="15.75" spans="1:13">
      <c r="A7" s="208" t="s">
        <v>12</v>
      </c>
      <c r="B7" s="209">
        <v>45663</v>
      </c>
      <c r="C7" s="210"/>
      <c r="D7" s="210"/>
      <c r="E7" s="211">
        <v>22558.262</v>
      </c>
      <c r="F7" s="211">
        <v>5.60885</v>
      </c>
      <c r="G7" s="211">
        <v>4.4441987</v>
      </c>
      <c r="H7" s="211">
        <v>23.3175</v>
      </c>
      <c r="I7" s="212">
        <v>0.8276</v>
      </c>
      <c r="J7" s="213">
        <f t="shared" si="0"/>
        <v>0.194924841006498</v>
      </c>
      <c r="K7" s="211">
        <v>40.038</v>
      </c>
      <c r="L7" s="211">
        <v>40.038</v>
      </c>
      <c r="M7" s="214">
        <v>4822</v>
      </c>
    </row>
    <row r="8" ht="15.75" spans="1:13">
      <c r="A8" s="208" t="s">
        <v>12</v>
      </c>
      <c r="B8" s="209">
        <v>45664</v>
      </c>
      <c r="C8" s="210"/>
      <c r="D8" s="210"/>
      <c r="E8" s="211">
        <v>23693.582</v>
      </c>
      <c r="F8" s="211">
        <v>5.92036</v>
      </c>
      <c r="G8" s="211">
        <v>4.6664676</v>
      </c>
      <c r="H8" s="211">
        <v>23.4308333333333</v>
      </c>
      <c r="I8" s="212">
        <v>0.8244</v>
      </c>
      <c r="J8" s="213">
        <f t="shared" si="0"/>
        <v>0.204735085718236</v>
      </c>
      <c r="K8" s="211">
        <v>41.2841</v>
      </c>
      <c r="L8" s="211">
        <v>41.2841</v>
      </c>
      <c r="M8" s="214">
        <v>4822</v>
      </c>
    </row>
    <row r="9" ht="15.75" spans="1:13">
      <c r="A9" s="208" t="s">
        <v>12</v>
      </c>
      <c r="B9" s="209">
        <v>45665</v>
      </c>
      <c r="C9" s="210"/>
      <c r="D9" s="210"/>
      <c r="E9" s="211">
        <v>23686.692</v>
      </c>
      <c r="F9" s="211">
        <v>5.90096</v>
      </c>
      <c r="G9" s="211">
        <v>4.6665587</v>
      </c>
      <c r="H9" s="211">
        <v>22.7741666666667</v>
      </c>
      <c r="I9" s="212">
        <v>0.8276</v>
      </c>
      <c r="J9" s="213">
        <f t="shared" si="0"/>
        <v>0.204675549564496</v>
      </c>
      <c r="K9" s="211">
        <v>40.4263</v>
      </c>
      <c r="L9" s="211">
        <v>40.4263</v>
      </c>
      <c r="M9" s="214">
        <v>4822</v>
      </c>
    </row>
    <row r="10" ht="15.75" spans="1:13">
      <c r="A10" s="208" t="s">
        <v>12</v>
      </c>
      <c r="B10" s="209">
        <v>45666</v>
      </c>
      <c r="C10" s="210"/>
      <c r="D10" s="210"/>
      <c r="E10" s="211">
        <v>23974.132</v>
      </c>
      <c r="F10" s="211">
        <v>5.97003</v>
      </c>
      <c r="G10" s="211">
        <v>4.7177087</v>
      </c>
      <c r="H10" s="211">
        <v>22.23</v>
      </c>
      <c r="I10" s="212">
        <v>0.8282</v>
      </c>
      <c r="J10" s="213">
        <f t="shared" si="0"/>
        <v>0.207159304576248</v>
      </c>
      <c r="K10" s="211">
        <v>40.1721</v>
      </c>
      <c r="L10" s="211">
        <v>40.1721</v>
      </c>
      <c r="M10" s="214">
        <v>4822</v>
      </c>
    </row>
    <row r="11" ht="15.75" spans="1:13">
      <c r="A11" s="208" t="s">
        <v>12</v>
      </c>
      <c r="B11" s="209">
        <v>45667</v>
      </c>
      <c r="C11" s="210"/>
      <c r="D11" s="210"/>
      <c r="E11" s="211">
        <v>24191.272</v>
      </c>
      <c r="F11" s="211">
        <v>6.03196</v>
      </c>
      <c r="G11" s="211">
        <v>4.7673159</v>
      </c>
      <c r="H11" s="211">
        <v>22.38875</v>
      </c>
      <c r="I11" s="212">
        <v>0.8274</v>
      </c>
      <c r="J11" s="213">
        <f t="shared" si="0"/>
        <v>0.209035600718927</v>
      </c>
      <c r="K11" s="211">
        <v>40.5892</v>
      </c>
      <c r="L11" s="211">
        <v>40.5892</v>
      </c>
      <c r="M11" s="214">
        <v>4822</v>
      </c>
    </row>
    <row r="12" ht="15.75" spans="1:13">
      <c r="A12" s="208" t="s">
        <v>12</v>
      </c>
      <c r="B12" s="209">
        <v>45668</v>
      </c>
      <c r="C12" s="210"/>
      <c r="D12" s="210"/>
      <c r="E12" s="211">
        <v>24730.552</v>
      </c>
      <c r="F12" s="211">
        <v>6.19892</v>
      </c>
      <c r="G12" s="211">
        <v>4.9104998</v>
      </c>
      <c r="H12" s="211">
        <v>23.0404166666667</v>
      </c>
      <c r="I12" s="212">
        <v>0.8237</v>
      </c>
      <c r="J12" s="213">
        <f t="shared" si="0"/>
        <v>0.213695492879856</v>
      </c>
      <c r="K12" s="211">
        <v>41.8787</v>
      </c>
      <c r="L12" s="211">
        <v>41.8787</v>
      </c>
      <c r="M12" s="214">
        <v>4822</v>
      </c>
    </row>
    <row r="13" ht="15.75" spans="1:13">
      <c r="A13" s="208" t="s">
        <v>12</v>
      </c>
      <c r="B13" s="209">
        <v>45669</v>
      </c>
      <c r="C13" s="210"/>
      <c r="D13" s="210"/>
      <c r="E13" s="211">
        <v>24236.612</v>
      </c>
      <c r="F13" s="211">
        <v>5.97777</v>
      </c>
      <c r="G13" s="211">
        <v>4.749791</v>
      </c>
      <c r="H13" s="211">
        <v>19.7029166666667</v>
      </c>
      <c r="I13" s="212">
        <v>0.8372</v>
      </c>
      <c r="J13" s="213">
        <f t="shared" si="0"/>
        <v>0.20942738144615</v>
      </c>
      <c r="K13" s="211">
        <v>37.4108</v>
      </c>
      <c r="L13" s="211">
        <v>37.4108</v>
      </c>
      <c r="M13" s="214">
        <v>4822</v>
      </c>
    </row>
    <row r="14" ht="15.75" spans="1:13">
      <c r="A14" s="208" t="s">
        <v>12</v>
      </c>
      <c r="B14" s="209">
        <v>45670</v>
      </c>
      <c r="C14" s="210"/>
      <c r="D14" s="210"/>
      <c r="E14" s="211">
        <v>24267.462</v>
      </c>
      <c r="F14" s="211">
        <v>6.02551</v>
      </c>
      <c r="G14" s="211">
        <v>4.7892421</v>
      </c>
      <c r="H14" s="211">
        <v>20.9425</v>
      </c>
      <c r="I14" s="212">
        <v>0.8321</v>
      </c>
      <c r="J14" s="213">
        <f t="shared" si="0"/>
        <v>0.209693954790543</v>
      </c>
      <c r="K14" s="211">
        <v>39.4098</v>
      </c>
      <c r="L14" s="211">
        <v>39.4098</v>
      </c>
      <c r="M14" s="214">
        <v>4822</v>
      </c>
    </row>
    <row r="15" ht="15.75" spans="1:13">
      <c r="A15" s="208" t="s">
        <v>12</v>
      </c>
      <c r="B15" s="209">
        <v>45671</v>
      </c>
      <c r="C15" s="210"/>
      <c r="D15" s="210"/>
      <c r="E15" s="211">
        <v>23930.232</v>
      </c>
      <c r="F15" s="211">
        <v>5.9368</v>
      </c>
      <c r="G15" s="211">
        <v>4.7388838</v>
      </c>
      <c r="H15" s="211">
        <v>21.375</v>
      </c>
      <c r="I15" s="212">
        <v>0.833</v>
      </c>
      <c r="J15" s="213">
        <f t="shared" si="0"/>
        <v>0.206779966818747</v>
      </c>
      <c r="K15" s="211">
        <v>39.2378</v>
      </c>
      <c r="L15" s="211">
        <v>39.2378</v>
      </c>
      <c r="M15" s="214">
        <v>4822</v>
      </c>
    </row>
    <row r="16" ht="15.75" spans="1:13">
      <c r="A16" s="208" t="s">
        <v>12</v>
      </c>
      <c r="B16" s="209">
        <v>45672</v>
      </c>
      <c r="C16" s="210"/>
      <c r="D16" s="210"/>
      <c r="E16" s="211">
        <v>23923.262</v>
      </c>
      <c r="F16" s="211">
        <v>5.90504</v>
      </c>
      <c r="G16" s="211">
        <v>4.7105082</v>
      </c>
      <c r="H16" s="211">
        <v>20.3470833333333</v>
      </c>
      <c r="I16" s="212">
        <v>0.8371</v>
      </c>
      <c r="J16" s="213">
        <f t="shared" si="0"/>
        <v>0.206719739388912</v>
      </c>
      <c r="K16" s="211">
        <v>38.0991</v>
      </c>
      <c r="L16" s="211">
        <v>38.0991</v>
      </c>
      <c r="M16" s="214">
        <v>4822</v>
      </c>
    </row>
    <row r="17" ht="15.75" spans="1:13">
      <c r="A17" s="208" t="s">
        <v>12</v>
      </c>
      <c r="B17" s="209">
        <v>45673</v>
      </c>
      <c r="C17" s="210"/>
      <c r="D17" s="210"/>
      <c r="E17" s="211">
        <v>24031.822</v>
      </c>
      <c r="F17" s="211">
        <v>5.9691</v>
      </c>
      <c r="G17" s="211">
        <v>4.7742838</v>
      </c>
      <c r="H17" s="211">
        <v>21.6675</v>
      </c>
      <c r="I17" s="212">
        <v>0.8324</v>
      </c>
      <c r="J17" s="213">
        <f t="shared" si="0"/>
        <v>0.20765780105074</v>
      </c>
      <c r="K17" s="211">
        <v>39.8438</v>
      </c>
      <c r="L17" s="211">
        <v>39.8438</v>
      </c>
      <c r="M17" s="214">
        <v>4822</v>
      </c>
    </row>
    <row r="18" ht="15.75" spans="1:13">
      <c r="A18" s="208" t="s">
        <v>12</v>
      </c>
      <c r="B18" s="209">
        <v>45674</v>
      </c>
      <c r="C18" s="210"/>
      <c r="D18" s="210"/>
      <c r="E18" s="211">
        <v>24710.372</v>
      </c>
      <c r="F18" s="211">
        <v>6.17202</v>
      </c>
      <c r="G18" s="211">
        <v>4.9250132</v>
      </c>
      <c r="H18" s="211">
        <v>22.885</v>
      </c>
      <c r="I18" s="212">
        <v>0.828</v>
      </c>
      <c r="J18" s="213">
        <f t="shared" si="0"/>
        <v>0.213521118484723</v>
      </c>
      <c r="K18" s="211">
        <v>41.4755</v>
      </c>
      <c r="L18" s="211">
        <v>41.4755</v>
      </c>
      <c r="M18" s="214">
        <v>4822</v>
      </c>
    </row>
    <row r="19" ht="15.75" spans="1:13">
      <c r="A19" s="208" t="s">
        <v>12</v>
      </c>
      <c r="B19" s="209">
        <v>45675</v>
      </c>
      <c r="C19" s="210"/>
      <c r="D19" s="210"/>
      <c r="E19" s="211">
        <v>25012.402</v>
      </c>
      <c r="F19" s="211">
        <v>6.27919</v>
      </c>
      <c r="G19" s="211">
        <v>5.0197994</v>
      </c>
      <c r="H19" s="211">
        <v>23.8991666666667</v>
      </c>
      <c r="I19" s="212">
        <v>0.8246</v>
      </c>
      <c r="J19" s="213">
        <f t="shared" si="0"/>
        <v>0.216130944974423</v>
      </c>
      <c r="K19" s="211">
        <v>42.7496</v>
      </c>
      <c r="L19" s="211">
        <v>42.7496</v>
      </c>
      <c r="M19" s="214">
        <v>4822</v>
      </c>
    </row>
    <row r="20" ht="15.75" spans="1:13">
      <c r="A20" s="208" t="s">
        <v>12</v>
      </c>
      <c r="B20" s="209">
        <v>45676</v>
      </c>
      <c r="C20" s="210"/>
      <c r="D20" s="210"/>
      <c r="E20" s="211">
        <v>25289.092</v>
      </c>
      <c r="F20" s="211">
        <v>6.38215</v>
      </c>
      <c r="G20" s="211">
        <v>5.1174005</v>
      </c>
      <c r="H20" s="211">
        <v>25.0579166666667</v>
      </c>
      <c r="I20" s="212">
        <v>0.8207</v>
      </c>
      <c r="J20" s="213">
        <f t="shared" si="0"/>
        <v>0.218521809760818</v>
      </c>
      <c r="K20" s="211">
        <v>44.2076</v>
      </c>
      <c r="L20" s="211">
        <v>44.2076</v>
      </c>
      <c r="M20" s="214">
        <v>4822</v>
      </c>
    </row>
    <row r="21" ht="15.75" spans="1:13">
      <c r="A21" s="208" t="s">
        <v>12</v>
      </c>
      <c r="B21" s="209">
        <v>45677</v>
      </c>
      <c r="C21" s="210"/>
      <c r="D21" s="210"/>
      <c r="E21" s="211">
        <v>24883.612</v>
      </c>
      <c r="F21" s="211">
        <v>6.25587</v>
      </c>
      <c r="G21" s="211">
        <v>5.0331183</v>
      </c>
      <c r="H21" s="211">
        <v>24.7920833333333</v>
      </c>
      <c r="I21" s="212">
        <v>0.8239</v>
      </c>
      <c r="J21" s="213">
        <f t="shared" si="0"/>
        <v>0.215018076869902</v>
      </c>
      <c r="K21" s="211">
        <v>43.3449</v>
      </c>
      <c r="L21" s="211">
        <v>43.3449</v>
      </c>
      <c r="M21" s="214">
        <v>4822</v>
      </c>
    </row>
    <row r="22" ht="15.75" spans="1:13">
      <c r="A22" s="208" t="s">
        <v>12</v>
      </c>
      <c r="B22" s="209">
        <v>45678</v>
      </c>
      <c r="C22" s="210"/>
      <c r="D22" s="210"/>
      <c r="E22" s="211">
        <v>24178.732</v>
      </c>
      <c r="F22" s="211">
        <v>6.07936</v>
      </c>
      <c r="G22" s="211">
        <v>4.9014383</v>
      </c>
      <c r="H22" s="211">
        <v>25.6875</v>
      </c>
      <c r="I22" s="212">
        <v>0.8234</v>
      </c>
      <c r="J22" s="213">
        <f t="shared" si="0"/>
        <v>0.20892724319093</v>
      </c>
      <c r="K22" s="211">
        <v>43.9703</v>
      </c>
      <c r="L22" s="211">
        <v>43.9703</v>
      </c>
      <c r="M22" s="214">
        <v>4822</v>
      </c>
    </row>
    <row r="23" ht="15.75" spans="1:13">
      <c r="A23" s="208" t="s">
        <v>12</v>
      </c>
      <c r="B23" s="209">
        <v>45679</v>
      </c>
      <c r="C23" s="210"/>
      <c r="D23" s="210"/>
      <c r="E23" s="211">
        <v>23793.712</v>
      </c>
      <c r="F23" s="211">
        <v>5.97524</v>
      </c>
      <c r="G23" s="211">
        <v>4.8323845</v>
      </c>
      <c r="H23" s="211">
        <v>26.2491666666667</v>
      </c>
      <c r="I23" s="212">
        <v>0.8245</v>
      </c>
      <c r="J23" s="213">
        <f t="shared" si="0"/>
        <v>0.205600304161482</v>
      </c>
      <c r="K23" s="211">
        <v>43.8728</v>
      </c>
      <c r="L23" s="211">
        <v>43.8728</v>
      </c>
      <c r="M23" s="214">
        <v>4822</v>
      </c>
    </row>
    <row r="24" ht="15.75" spans="1:13">
      <c r="A24" s="208" t="s">
        <v>12</v>
      </c>
      <c r="B24" s="209">
        <v>45680</v>
      </c>
      <c r="C24" s="210"/>
      <c r="D24" s="210"/>
      <c r="E24" s="211">
        <v>8111.014</v>
      </c>
      <c r="F24" s="211">
        <v>1.994186</v>
      </c>
      <c r="G24" s="211">
        <v>1.8929942</v>
      </c>
      <c r="H24" s="211">
        <v>24.7479166666667</v>
      </c>
      <c r="I24" s="212">
        <v>0.8038</v>
      </c>
      <c r="J24" s="213">
        <f t="shared" si="0"/>
        <v>0.0700868761233236</v>
      </c>
      <c r="K24" s="211">
        <v>30.5215</v>
      </c>
      <c r="L24" s="211">
        <v>30.5215</v>
      </c>
      <c r="M24" s="214">
        <v>4822</v>
      </c>
    </row>
    <row r="25" ht="15.75" spans="1:13">
      <c r="A25" s="208" t="s">
        <v>12</v>
      </c>
      <c r="B25" s="209">
        <v>45681</v>
      </c>
      <c r="C25" s="210"/>
      <c r="D25" s="210"/>
      <c r="E25" s="211">
        <v>23331.652</v>
      </c>
      <c r="F25" s="211">
        <v>5.77602</v>
      </c>
      <c r="G25" s="211">
        <v>4.7289054</v>
      </c>
      <c r="H25" s="211">
        <v>22.0975</v>
      </c>
      <c r="I25" s="212">
        <v>0.8373</v>
      </c>
      <c r="J25" s="213">
        <f t="shared" si="0"/>
        <v>0.201607666251901</v>
      </c>
      <c r="K25" s="211">
        <v>39.5419</v>
      </c>
      <c r="L25" s="211">
        <v>39.5419</v>
      </c>
      <c r="M25" s="214">
        <v>4822</v>
      </c>
    </row>
    <row r="26" ht="15.75" spans="1:13">
      <c r="A26" s="208" t="s">
        <v>12</v>
      </c>
      <c r="B26" s="209">
        <v>45682</v>
      </c>
      <c r="C26" s="210"/>
      <c r="D26" s="210"/>
      <c r="E26" s="211">
        <v>26662.212</v>
      </c>
      <c r="F26" s="211">
        <v>6.69899</v>
      </c>
      <c r="G26" s="211">
        <v>5.4259461</v>
      </c>
      <c r="H26" s="211">
        <v>22.45875</v>
      </c>
      <c r="I26" s="212">
        <v>0.8271</v>
      </c>
      <c r="J26" s="213">
        <f t="shared" si="0"/>
        <v>0.230386872666943</v>
      </c>
      <c r="K26" s="211">
        <v>42.7385</v>
      </c>
      <c r="L26" s="211">
        <v>42.7385</v>
      </c>
      <c r="M26" s="214">
        <v>4822</v>
      </c>
    </row>
    <row r="27" ht="15.75" spans="1:13">
      <c r="A27" s="208" t="s">
        <v>12</v>
      </c>
      <c r="B27" s="209">
        <v>45683</v>
      </c>
      <c r="C27" s="210"/>
      <c r="D27" s="210"/>
      <c r="E27" s="211">
        <v>25676.042</v>
      </c>
      <c r="F27" s="211">
        <v>6.48434</v>
      </c>
      <c r="G27" s="211">
        <v>5.2758835</v>
      </c>
      <c r="H27" s="211">
        <v>25.1883333333333</v>
      </c>
      <c r="I27" s="212">
        <v>0.8225</v>
      </c>
      <c r="J27" s="213">
        <f t="shared" si="0"/>
        <v>0.221865425826075</v>
      </c>
      <c r="K27" s="211">
        <v>44.8408</v>
      </c>
      <c r="L27" s="211">
        <v>44.8408</v>
      </c>
      <c r="M27" s="214">
        <v>4822</v>
      </c>
    </row>
    <row r="28" ht="15.75" spans="1:13">
      <c r="A28" s="208" t="s">
        <v>12</v>
      </c>
      <c r="B28" s="209">
        <v>45684</v>
      </c>
      <c r="C28" s="210"/>
      <c r="D28" s="210"/>
      <c r="E28" s="211">
        <v>24402.042</v>
      </c>
      <c r="F28" s="211">
        <v>6.11785</v>
      </c>
      <c r="G28" s="211">
        <v>5.0133951</v>
      </c>
      <c r="H28" s="211">
        <v>24.9808333333333</v>
      </c>
      <c r="I28" s="212">
        <v>0.8284</v>
      </c>
      <c r="J28" s="213">
        <f t="shared" si="0"/>
        <v>0.210856854002489</v>
      </c>
      <c r="K28" s="211">
        <v>43.1837</v>
      </c>
      <c r="L28" s="211">
        <v>43.1837</v>
      </c>
      <c r="M28" s="214">
        <v>4822</v>
      </c>
    </row>
    <row r="29" ht="15.75" spans="1:13">
      <c r="A29" s="208" t="s">
        <v>12</v>
      </c>
      <c r="B29" s="209">
        <v>45685</v>
      </c>
      <c r="C29" s="210"/>
      <c r="D29" s="210"/>
      <c r="E29" s="211">
        <v>23554.142</v>
      </c>
      <c r="F29" s="211">
        <v>5.85352</v>
      </c>
      <c r="G29" s="211">
        <v>4.8175925</v>
      </c>
      <c r="H29" s="211">
        <v>23.8104166666667</v>
      </c>
      <c r="I29" s="212">
        <v>0.8347</v>
      </c>
      <c r="J29" s="213">
        <f t="shared" si="0"/>
        <v>0.203530191483479</v>
      </c>
      <c r="K29" s="211">
        <v>41.3666</v>
      </c>
      <c r="L29" s="211">
        <v>41.3666</v>
      </c>
      <c r="M29" s="214">
        <v>4822</v>
      </c>
    </row>
    <row r="30" ht="15.75" spans="1:13">
      <c r="A30" s="208" t="s">
        <v>12</v>
      </c>
      <c r="B30" s="209">
        <v>45686</v>
      </c>
      <c r="C30" s="210"/>
      <c r="D30" s="210"/>
      <c r="E30" s="211">
        <v>24378.372</v>
      </c>
      <c r="F30" s="211">
        <v>6.10121</v>
      </c>
      <c r="G30" s="211">
        <v>5.0236368</v>
      </c>
      <c r="H30" s="211">
        <v>24.2425</v>
      </c>
      <c r="I30" s="212">
        <v>0.8306</v>
      </c>
      <c r="J30" s="213">
        <f t="shared" si="0"/>
        <v>0.210652322687681</v>
      </c>
      <c r="K30" s="211">
        <v>42.7154</v>
      </c>
      <c r="L30" s="211">
        <v>42.7154</v>
      </c>
      <c r="M30" s="214">
        <v>4822</v>
      </c>
    </row>
    <row r="31" ht="15.75" spans="1:13">
      <c r="A31" s="208" t="s">
        <v>12</v>
      </c>
      <c r="B31" s="209">
        <v>45687</v>
      </c>
      <c r="C31" s="210"/>
      <c r="D31" s="210"/>
      <c r="E31" s="211">
        <v>23617.792</v>
      </c>
      <c r="F31" s="211">
        <v>5.90303</v>
      </c>
      <c r="G31" s="211">
        <v>4.9019085</v>
      </c>
      <c r="H31" s="211">
        <v>24.62875</v>
      </c>
      <c r="I31" s="212">
        <v>0.8323</v>
      </c>
      <c r="J31" s="213">
        <f t="shared" si="0"/>
        <v>0.204080188027098</v>
      </c>
      <c r="K31" s="211">
        <v>42.2451</v>
      </c>
      <c r="L31" s="211">
        <v>42.2451</v>
      </c>
      <c r="M31" s="214">
        <v>4822</v>
      </c>
    </row>
    <row r="32" ht="15.75" spans="1:13">
      <c r="A32" s="208" t="s">
        <v>12</v>
      </c>
      <c r="B32" s="209">
        <v>45688</v>
      </c>
      <c r="C32" s="210"/>
      <c r="D32" s="210"/>
      <c r="E32" s="211">
        <v>24020.452</v>
      </c>
      <c r="F32" s="211">
        <v>6.05516</v>
      </c>
      <c r="G32" s="211">
        <v>5.0123786</v>
      </c>
      <c r="H32" s="211">
        <v>26.7145833333333</v>
      </c>
      <c r="I32" s="212">
        <v>0.8251</v>
      </c>
      <c r="J32" s="213">
        <f t="shared" si="0"/>
        <v>0.207559553435642</v>
      </c>
      <c r="K32" s="211">
        <v>45.0587</v>
      </c>
      <c r="L32" s="211">
        <v>45.0587</v>
      </c>
      <c r="M32" s="214">
        <v>4822</v>
      </c>
    </row>
    <row r="33" ht="15.75" spans="1:13">
      <c r="A33" s="208" t="s">
        <v>12</v>
      </c>
      <c r="B33" s="209">
        <v>45689</v>
      </c>
      <c r="C33" s="210"/>
      <c r="D33" s="210"/>
      <c r="E33" s="211">
        <v>23703.682</v>
      </c>
      <c r="F33" s="211">
        <v>5.91336</v>
      </c>
      <c r="G33" s="211">
        <v>4.8893097</v>
      </c>
      <c r="H33" s="211">
        <v>26.05625</v>
      </c>
      <c r="I33" s="212">
        <v>0.8319</v>
      </c>
      <c r="J33" s="213">
        <f t="shared" si="0"/>
        <v>0.204822359325315</v>
      </c>
      <c r="K33" s="211">
        <v>43.132</v>
      </c>
      <c r="L33" s="211">
        <v>43.132</v>
      </c>
      <c r="M33" s="214">
        <v>4822</v>
      </c>
    </row>
    <row r="34" ht="15.75" spans="1:13">
      <c r="A34" s="208" t="s">
        <v>12</v>
      </c>
      <c r="B34" s="209">
        <v>45690</v>
      </c>
      <c r="C34" s="210"/>
      <c r="D34" s="210"/>
      <c r="E34" s="211">
        <v>24811.892</v>
      </c>
      <c r="F34" s="211">
        <v>6.2272971</v>
      </c>
      <c r="G34" s="211">
        <v>5.1512044</v>
      </c>
      <c r="H34" s="211">
        <v>25.4066666666667</v>
      </c>
      <c r="I34" s="212">
        <v>0.8304</v>
      </c>
      <c r="J34" s="213">
        <f t="shared" si="0"/>
        <v>0.214398347850131</v>
      </c>
      <c r="K34" s="211">
        <v>42.1644545454545</v>
      </c>
      <c r="L34" s="211">
        <v>42.1644545454545</v>
      </c>
      <c r="M34" s="214">
        <v>4822</v>
      </c>
    </row>
    <row r="35" ht="15.75" spans="1:13">
      <c r="A35" s="208" t="s">
        <v>12</v>
      </c>
      <c r="B35" s="209">
        <v>45691</v>
      </c>
      <c r="C35" s="210"/>
      <c r="D35" s="210"/>
      <c r="E35" s="211">
        <v>25093.302</v>
      </c>
      <c r="F35" s="211">
        <v>6.2857899</v>
      </c>
      <c r="G35" s="211">
        <v>5.2128915</v>
      </c>
      <c r="H35" s="211">
        <v>24.4679166666667</v>
      </c>
      <c r="I35" s="212">
        <v>0.8326</v>
      </c>
      <c r="J35" s="213">
        <f t="shared" si="0"/>
        <v>0.216829997926172</v>
      </c>
      <c r="K35" s="211">
        <v>41.3662727272727</v>
      </c>
      <c r="L35" s="211">
        <v>41.3662727272727</v>
      </c>
      <c r="M35" s="214">
        <v>4822</v>
      </c>
    </row>
    <row r="36" ht="15.75" spans="1:13">
      <c r="A36" s="208" t="s">
        <v>12</v>
      </c>
      <c r="B36" s="209">
        <v>45692</v>
      </c>
      <c r="C36" s="210"/>
      <c r="D36" s="210"/>
      <c r="E36" s="211">
        <v>24904.522</v>
      </c>
      <c r="F36" s="211">
        <v>6.167456</v>
      </c>
      <c r="G36" s="211">
        <v>5.1304062</v>
      </c>
      <c r="H36" s="211">
        <v>22.1075</v>
      </c>
      <c r="I36" s="212">
        <v>0.7943</v>
      </c>
      <c r="J36" s="213">
        <f t="shared" si="0"/>
        <v>0.215198759159408</v>
      </c>
      <c r="K36" s="211">
        <v>38.4671818181818</v>
      </c>
      <c r="L36" s="211">
        <v>38.4671818181818</v>
      </c>
      <c r="M36" s="214">
        <v>4822</v>
      </c>
    </row>
    <row r="37" ht="15.75" spans="1:13">
      <c r="A37" s="208" t="s">
        <v>12</v>
      </c>
      <c r="B37" s="209">
        <v>45693</v>
      </c>
      <c r="C37" s="210"/>
      <c r="D37" s="210"/>
      <c r="E37" s="211">
        <v>22233.51</v>
      </c>
      <c r="F37" s="211">
        <v>5.50528</v>
      </c>
      <c r="G37" s="211">
        <v>4.6590152</v>
      </c>
      <c r="H37" s="211">
        <v>23.5629166666667</v>
      </c>
      <c r="I37" s="212">
        <v>0.799</v>
      </c>
      <c r="J37" s="213">
        <f t="shared" si="0"/>
        <v>0.192118674823725</v>
      </c>
      <c r="K37" s="211">
        <v>38.677</v>
      </c>
      <c r="L37" s="211">
        <v>38.677</v>
      </c>
      <c r="M37" s="214">
        <v>4822</v>
      </c>
    </row>
    <row r="38" ht="15.75" spans="1:13">
      <c r="A38" s="208" t="s">
        <v>12</v>
      </c>
      <c r="B38" s="209">
        <v>45694</v>
      </c>
      <c r="C38" s="210"/>
      <c r="D38" s="210"/>
      <c r="E38" s="211">
        <v>24921.471</v>
      </c>
      <c r="F38" s="211">
        <v>6.2056646</v>
      </c>
      <c r="G38" s="211">
        <v>5.1827278</v>
      </c>
      <c r="H38" s="211">
        <v>23.2183333333333</v>
      </c>
      <c r="I38" s="212">
        <v>0.7923</v>
      </c>
      <c r="J38" s="213">
        <f t="shared" si="0"/>
        <v>0.215345214641228</v>
      </c>
      <c r="K38" s="211">
        <v>37.9255833333333</v>
      </c>
      <c r="L38" s="211">
        <v>37.9255833333333</v>
      </c>
      <c r="M38" s="214">
        <v>4822</v>
      </c>
    </row>
    <row r="39" ht="15.75" spans="1:13">
      <c r="A39" s="208" t="s">
        <v>12</v>
      </c>
      <c r="B39" s="209">
        <v>45695</v>
      </c>
      <c r="C39" s="210"/>
      <c r="D39" s="210"/>
      <c r="E39" s="211">
        <v>25353.364</v>
      </c>
      <c r="F39" s="211">
        <v>6.3464224</v>
      </c>
      <c r="G39" s="211">
        <v>5.3051919</v>
      </c>
      <c r="H39" s="211">
        <v>24.1566666666667</v>
      </c>
      <c r="I39" s="212">
        <v>0.7927</v>
      </c>
      <c r="J39" s="213">
        <f t="shared" si="0"/>
        <v>0.219077180976082</v>
      </c>
      <c r="K39" s="211">
        <v>39.62925</v>
      </c>
      <c r="L39" s="211">
        <v>39.62925</v>
      </c>
      <c r="M39" s="214">
        <v>4822</v>
      </c>
    </row>
    <row r="40" ht="15.75" spans="1:13">
      <c r="A40" s="208" t="s">
        <v>12</v>
      </c>
      <c r="B40" s="209">
        <v>45696</v>
      </c>
      <c r="C40" s="210"/>
      <c r="D40" s="210"/>
      <c r="E40" s="211">
        <v>24710.25</v>
      </c>
      <c r="F40" s="211">
        <v>6.1359586</v>
      </c>
      <c r="G40" s="211">
        <v>5.1535713</v>
      </c>
      <c r="H40" s="211">
        <v>22.8479166666667</v>
      </c>
      <c r="I40" s="212">
        <v>0.8025</v>
      </c>
      <c r="J40" s="213">
        <f t="shared" si="0"/>
        <v>0.213520064288677</v>
      </c>
      <c r="K40" s="211">
        <v>37.4444166666667</v>
      </c>
      <c r="L40" s="211">
        <v>37.4444166666667</v>
      </c>
      <c r="M40" s="214">
        <v>4822</v>
      </c>
    </row>
    <row r="41" ht="15.75" spans="1:13">
      <c r="A41" s="208" t="s">
        <v>12</v>
      </c>
      <c r="B41" s="209">
        <v>45697</v>
      </c>
      <c r="C41" s="210"/>
      <c r="D41" s="210"/>
      <c r="E41" s="211">
        <v>24731.417</v>
      </c>
      <c r="F41" s="211">
        <v>6.1305529</v>
      </c>
      <c r="G41" s="211">
        <v>5.1557741</v>
      </c>
      <c r="H41" s="211">
        <v>22.4004166666667</v>
      </c>
      <c r="I41" s="212">
        <v>0.7998</v>
      </c>
      <c r="J41" s="213">
        <f t="shared" si="0"/>
        <v>0.213702967302641</v>
      </c>
      <c r="K41" s="211">
        <v>37.201</v>
      </c>
      <c r="L41" s="211">
        <v>37.201</v>
      </c>
      <c r="M41" s="214">
        <v>4822</v>
      </c>
    </row>
    <row r="42" ht="15.75" spans="1:13">
      <c r="A42" s="208" t="s">
        <v>12</v>
      </c>
      <c r="B42" s="209">
        <v>45698</v>
      </c>
      <c r="C42" s="210"/>
      <c r="D42" s="210"/>
      <c r="E42" s="211">
        <v>25657.47</v>
      </c>
      <c r="F42" s="211">
        <v>6.4063048</v>
      </c>
      <c r="G42" s="211">
        <v>5.3987954</v>
      </c>
      <c r="H42" s="211">
        <v>23.3416666666667</v>
      </c>
      <c r="I42" s="212">
        <v>0.8003</v>
      </c>
      <c r="J42" s="213">
        <f t="shared" si="0"/>
        <v>0.221704946080465</v>
      </c>
      <c r="K42" s="211">
        <v>38.78275</v>
      </c>
      <c r="L42" s="211">
        <v>38.78275</v>
      </c>
      <c r="M42" s="214">
        <v>4822</v>
      </c>
    </row>
    <row r="43" ht="15.75" spans="1:13">
      <c r="A43" s="208" t="s">
        <v>12</v>
      </c>
      <c r="B43" s="209">
        <v>45699</v>
      </c>
      <c r="C43" s="210"/>
      <c r="D43" s="210"/>
      <c r="E43" s="211">
        <v>25395.57</v>
      </c>
      <c r="F43" s="211">
        <v>6.3484687</v>
      </c>
      <c r="G43" s="211">
        <v>5.3653903</v>
      </c>
      <c r="H43" s="211">
        <v>23.99125</v>
      </c>
      <c r="I43" s="212">
        <v>0.7971</v>
      </c>
      <c r="J43" s="213">
        <f t="shared" si="0"/>
        <v>0.219441880962256</v>
      </c>
      <c r="K43" s="211">
        <v>39.2975833333333</v>
      </c>
      <c r="L43" s="211">
        <v>39.2975833333333</v>
      </c>
      <c r="M43" s="214">
        <v>4822</v>
      </c>
    </row>
    <row r="44" ht="15.75" spans="1:13">
      <c r="A44" s="208" t="s">
        <v>12</v>
      </c>
      <c r="B44" s="209">
        <v>45700</v>
      </c>
      <c r="C44" s="210"/>
      <c r="D44" s="210"/>
      <c r="E44" s="211">
        <v>24785.961</v>
      </c>
      <c r="F44" s="211">
        <v>6.1777778</v>
      </c>
      <c r="G44" s="211">
        <v>5.2431267</v>
      </c>
      <c r="H44" s="211">
        <v>23.80625</v>
      </c>
      <c r="I44" s="212">
        <v>0.8021</v>
      </c>
      <c r="J44" s="213">
        <f t="shared" si="0"/>
        <v>0.21417427934467</v>
      </c>
      <c r="K44" s="211">
        <v>38.56225</v>
      </c>
      <c r="L44" s="211">
        <v>38.56225</v>
      </c>
      <c r="M44" s="214">
        <v>4822</v>
      </c>
    </row>
    <row r="45" ht="15.75" spans="1:13">
      <c r="A45" s="208" t="s">
        <v>12</v>
      </c>
      <c r="B45" s="209">
        <v>45701</v>
      </c>
      <c r="C45" s="210"/>
      <c r="D45" s="210"/>
      <c r="E45" s="211">
        <v>25647.311</v>
      </c>
      <c r="F45" s="211">
        <v>6.4450417</v>
      </c>
      <c r="G45" s="211">
        <v>5.4721977</v>
      </c>
      <c r="H45" s="211">
        <v>24.9441666666667</v>
      </c>
      <c r="I45" s="212">
        <v>0.7981</v>
      </c>
      <c r="J45" s="213">
        <f t="shared" si="0"/>
        <v>0.221617162657265</v>
      </c>
      <c r="K45" s="211">
        <v>40.7401666666667</v>
      </c>
      <c r="L45" s="211">
        <v>40.7401666666667</v>
      </c>
      <c r="M45" s="214">
        <v>4822</v>
      </c>
    </row>
    <row r="46" ht="15.75" spans="1:13">
      <c r="A46" s="208" t="s">
        <v>12</v>
      </c>
      <c r="B46" s="209">
        <v>45702</v>
      </c>
      <c r="C46" s="210"/>
      <c r="D46" s="210"/>
      <c r="E46" s="211">
        <v>25873.812</v>
      </c>
      <c r="F46" s="211">
        <v>6.3728923</v>
      </c>
      <c r="G46" s="211">
        <v>5.4261907</v>
      </c>
      <c r="H46" s="211">
        <v>19.8720833333333</v>
      </c>
      <c r="I46" s="212">
        <v>0.8171</v>
      </c>
      <c r="J46" s="213">
        <f t="shared" si="0"/>
        <v>0.22357434674409</v>
      </c>
      <c r="K46" s="211">
        <v>34.8774166666667</v>
      </c>
      <c r="L46" s="211">
        <v>34.8774166666667</v>
      </c>
      <c r="M46" s="214">
        <v>4822</v>
      </c>
    </row>
    <row r="47" ht="15.75" spans="1:13">
      <c r="A47" s="208" t="s">
        <v>12</v>
      </c>
      <c r="B47" s="209">
        <v>45703</v>
      </c>
      <c r="C47" s="210"/>
      <c r="D47" s="210"/>
      <c r="E47" s="211">
        <v>26602.914</v>
      </c>
      <c r="F47" s="211">
        <v>6.6051282</v>
      </c>
      <c r="G47" s="211">
        <v>5.6346009</v>
      </c>
      <c r="H47" s="211">
        <v>20.7966666666667</v>
      </c>
      <c r="I47" s="212">
        <v>0.7706</v>
      </c>
      <c r="J47" s="213">
        <f t="shared" si="0"/>
        <v>0.229874481542928</v>
      </c>
      <c r="K47" s="211">
        <v>36.8815</v>
      </c>
      <c r="L47" s="211">
        <v>36.8815</v>
      </c>
      <c r="M47" s="214">
        <v>4822</v>
      </c>
    </row>
    <row r="48" ht="15.75" spans="1:13">
      <c r="A48" s="208" t="s">
        <v>12</v>
      </c>
      <c r="B48" s="209">
        <v>45704</v>
      </c>
      <c r="C48" s="210"/>
      <c r="D48" s="210"/>
      <c r="E48" s="211">
        <v>23262.099</v>
      </c>
      <c r="F48" s="211">
        <v>5.765179</v>
      </c>
      <c r="G48" s="211">
        <v>4.9669301</v>
      </c>
      <c r="H48" s="211">
        <v>24.7716666666667</v>
      </c>
      <c r="I48" s="212">
        <v>0.7763</v>
      </c>
      <c r="J48" s="213">
        <f t="shared" si="0"/>
        <v>0.201006662173372</v>
      </c>
      <c r="K48" s="211">
        <v>38.8421666666667</v>
      </c>
      <c r="L48" s="211">
        <v>38.8421666666667</v>
      </c>
      <c r="M48" s="214">
        <v>4822</v>
      </c>
    </row>
    <row r="49" ht="15.75" spans="1:13">
      <c r="A49" s="208" t="s">
        <v>12</v>
      </c>
      <c r="B49" s="209">
        <v>45705</v>
      </c>
      <c r="C49" s="210"/>
      <c r="D49" s="210"/>
      <c r="E49" s="211">
        <v>27296.125</v>
      </c>
      <c r="F49" s="211">
        <v>6.90585</v>
      </c>
      <c r="G49" s="211">
        <v>5.9204477</v>
      </c>
      <c r="H49" s="211">
        <v>25.75</v>
      </c>
      <c r="I49" s="212">
        <v>0.7565</v>
      </c>
      <c r="J49" s="213">
        <f t="shared" si="0"/>
        <v>0.235864483962395</v>
      </c>
      <c r="K49" s="211">
        <v>42.5073333333333</v>
      </c>
      <c r="L49" s="211">
        <v>42.5073333333333</v>
      </c>
      <c r="M49" s="214">
        <v>4822</v>
      </c>
    </row>
    <row r="50" ht="15.75" spans="1:13">
      <c r="A50" s="208" t="s">
        <v>12</v>
      </c>
      <c r="B50" s="209">
        <v>45706</v>
      </c>
      <c r="C50" s="210"/>
      <c r="D50" s="210"/>
      <c r="E50" s="211">
        <v>27765.843</v>
      </c>
      <c r="F50" s="211">
        <v>7.005207</v>
      </c>
      <c r="G50" s="211">
        <v>6.0192038</v>
      </c>
      <c r="H50" s="211">
        <v>24.5995833333333</v>
      </c>
      <c r="I50" s="212">
        <v>0.7643</v>
      </c>
      <c r="J50" s="213">
        <f t="shared" si="0"/>
        <v>0.239923294276234</v>
      </c>
      <c r="K50" s="211">
        <v>41.376</v>
      </c>
      <c r="L50" s="211">
        <v>41.376</v>
      </c>
      <c r="M50" s="214">
        <v>4822</v>
      </c>
    </row>
    <row r="51" ht="15.75" spans="1:13">
      <c r="A51" s="208" t="s">
        <v>12</v>
      </c>
      <c r="B51" s="209">
        <v>45707</v>
      </c>
      <c r="C51" s="210"/>
      <c r="D51" s="210"/>
      <c r="E51" s="211">
        <v>26489.305</v>
      </c>
      <c r="F51" s="211">
        <v>6.656425</v>
      </c>
      <c r="G51" s="211">
        <v>5.7362998</v>
      </c>
      <c r="H51" s="211">
        <v>25.1279166666667</v>
      </c>
      <c r="I51" s="212">
        <v>0.7691</v>
      </c>
      <c r="J51" s="213">
        <f t="shared" si="0"/>
        <v>0.228892791718512</v>
      </c>
      <c r="K51" s="211">
        <v>41.2410833333333</v>
      </c>
      <c r="L51" s="211">
        <v>41.2410833333333</v>
      </c>
      <c r="M51" s="214">
        <v>4822</v>
      </c>
    </row>
    <row r="52" ht="15.75" spans="1:13">
      <c r="A52" s="208" t="s">
        <v>12</v>
      </c>
      <c r="B52" s="209">
        <v>45708</v>
      </c>
      <c r="C52" s="210"/>
      <c r="D52" s="210"/>
      <c r="E52" s="211">
        <v>-48.864</v>
      </c>
      <c r="F52" s="211">
        <v>6.593686</v>
      </c>
      <c r="G52" s="211">
        <v>5.6967912</v>
      </c>
      <c r="H52" s="211">
        <v>26.1508333333333</v>
      </c>
      <c r="I52" s="212">
        <v>0</v>
      </c>
      <c r="J52" s="213">
        <f t="shared" si="0"/>
        <v>-0.000422231439236831</v>
      </c>
      <c r="K52" s="211">
        <v>41.958</v>
      </c>
      <c r="L52" s="211">
        <v>41.958</v>
      </c>
      <c r="M52" s="214">
        <v>4822</v>
      </c>
    </row>
    <row r="53" ht="15.75" spans="1:13">
      <c r="A53" s="208" t="s">
        <v>12</v>
      </c>
      <c r="B53" s="209">
        <v>45709</v>
      </c>
      <c r="C53" s="210"/>
      <c r="D53" s="210"/>
      <c r="E53" s="211">
        <v>25723.913</v>
      </c>
      <c r="F53" s="211">
        <v>6.529172</v>
      </c>
      <c r="G53" s="211">
        <v>5.6664131</v>
      </c>
      <c r="H53" s="211">
        <v>28.18625</v>
      </c>
      <c r="I53" s="212">
        <v>0.7634</v>
      </c>
      <c r="J53" s="213">
        <f t="shared" si="0"/>
        <v>0.222279076800774</v>
      </c>
      <c r="K53" s="211">
        <v>44.0825</v>
      </c>
      <c r="L53" s="211">
        <v>44.0825</v>
      </c>
      <c r="M53" s="214">
        <v>4822</v>
      </c>
    </row>
    <row r="54" ht="15.75" spans="1:13">
      <c r="A54" s="208" t="s">
        <v>12</v>
      </c>
      <c r="B54" s="209">
        <v>45710</v>
      </c>
      <c r="C54" s="210"/>
      <c r="D54" s="210"/>
      <c r="E54" s="211">
        <v>25452.954</v>
      </c>
      <c r="F54" s="211">
        <v>6.478287</v>
      </c>
      <c r="G54" s="211">
        <v>5.6417822</v>
      </c>
      <c r="H54" s="211">
        <v>28.7025</v>
      </c>
      <c r="I54" s="212">
        <v>0.7625</v>
      </c>
      <c r="J54" s="213">
        <f t="shared" si="0"/>
        <v>0.219937733305682</v>
      </c>
      <c r="K54" s="211">
        <v>44.7208333333333</v>
      </c>
      <c r="L54" s="211">
        <v>44.7208333333333</v>
      </c>
      <c r="M54" s="214">
        <v>4822</v>
      </c>
    </row>
    <row r="55" ht="15.75" spans="1:13">
      <c r="A55" s="208" t="s">
        <v>12</v>
      </c>
      <c r="B55" s="209">
        <v>45711</v>
      </c>
      <c r="C55" s="210"/>
      <c r="D55" s="210"/>
      <c r="E55" s="211">
        <v>25034.303</v>
      </c>
      <c r="F55" s="211">
        <v>6.291634</v>
      </c>
      <c r="G55" s="211">
        <v>5.4998062</v>
      </c>
      <c r="H55" s="211">
        <v>26.5779166666667</v>
      </c>
      <c r="I55" s="212">
        <v>0.7744</v>
      </c>
      <c r="J55" s="213">
        <f t="shared" si="0"/>
        <v>0.216320190446564</v>
      </c>
      <c r="K55" s="211">
        <v>41.5360833333333</v>
      </c>
      <c r="L55" s="211">
        <v>41.5360833333333</v>
      </c>
      <c r="M55" s="214">
        <v>4822</v>
      </c>
    </row>
    <row r="56" ht="15.75" spans="1:13">
      <c r="A56" s="208" t="s">
        <v>12</v>
      </c>
      <c r="B56" s="209">
        <v>45712</v>
      </c>
      <c r="C56" s="210"/>
      <c r="D56" s="210"/>
      <c r="E56" s="211">
        <v>25343.794</v>
      </c>
      <c r="F56" s="211">
        <v>6.390128</v>
      </c>
      <c r="G56" s="211">
        <v>5.595284</v>
      </c>
      <c r="H56" s="211">
        <v>26.7425</v>
      </c>
      <c r="I56" s="212">
        <v>0.7717</v>
      </c>
      <c r="J56" s="213">
        <f t="shared" si="0"/>
        <v>0.218994487073137</v>
      </c>
      <c r="K56" s="211">
        <v>42.25875</v>
      </c>
      <c r="L56" s="211">
        <v>42.25875</v>
      </c>
      <c r="M56" s="214">
        <v>4822</v>
      </c>
    </row>
    <row r="57" ht="15.75" spans="1:13">
      <c r="A57" s="208" t="s">
        <v>12</v>
      </c>
      <c r="B57" s="209">
        <v>45713</v>
      </c>
      <c r="C57" s="210"/>
      <c r="D57" s="210"/>
      <c r="E57" s="211">
        <v>25529.524</v>
      </c>
      <c r="F57" s="211">
        <v>6.430069</v>
      </c>
      <c r="G57" s="211">
        <v>5.645774</v>
      </c>
      <c r="H57" s="211">
        <v>26.3754166666667</v>
      </c>
      <c r="I57" s="212">
        <v>0.7737</v>
      </c>
      <c r="J57" s="213">
        <f t="shared" si="0"/>
        <v>0.220599370938753</v>
      </c>
      <c r="K57" s="211">
        <v>41.93725</v>
      </c>
      <c r="L57" s="211">
        <v>41.93725</v>
      </c>
      <c r="M57" s="214">
        <v>4822</v>
      </c>
    </row>
    <row r="58" ht="15.75" spans="1:13">
      <c r="A58" s="208" t="s">
        <v>12</v>
      </c>
      <c r="B58" s="209">
        <v>45714</v>
      </c>
      <c r="C58" s="210"/>
      <c r="D58" s="210"/>
      <c r="E58" s="211">
        <v>25921.124</v>
      </c>
      <c r="F58" s="211">
        <v>6.508961</v>
      </c>
      <c r="G58" s="211">
        <v>5.718799</v>
      </c>
      <c r="H58" s="211">
        <v>25.5804166666667</v>
      </c>
      <c r="I58" s="212">
        <v>0.7809</v>
      </c>
      <c r="J58" s="213">
        <f t="shared" si="0"/>
        <v>0.22398316742707</v>
      </c>
      <c r="K58" s="211">
        <v>41.2230833333333</v>
      </c>
      <c r="L58" s="211">
        <v>41.2230833333333</v>
      </c>
      <c r="M58" s="214">
        <v>4822</v>
      </c>
    </row>
    <row r="59" ht="15.75" spans="1:13">
      <c r="A59" s="208" t="s">
        <v>12</v>
      </c>
      <c r="B59" s="209">
        <v>45715</v>
      </c>
      <c r="C59" s="210"/>
      <c r="D59" s="210"/>
      <c r="E59" s="211">
        <v>25619.49</v>
      </c>
      <c r="F59" s="211">
        <v>6.466297</v>
      </c>
      <c r="G59" s="211">
        <v>5.695879</v>
      </c>
      <c r="H59" s="211">
        <v>27.1825</v>
      </c>
      <c r="I59" s="212">
        <v>0.778</v>
      </c>
      <c r="J59" s="213">
        <f t="shared" si="0"/>
        <v>0.221376762754044</v>
      </c>
      <c r="K59" s="211">
        <v>42.993</v>
      </c>
      <c r="L59" s="211">
        <v>42.993</v>
      </c>
      <c r="M59" s="214">
        <v>4822</v>
      </c>
    </row>
    <row r="60" ht="15.75" spans="1:13">
      <c r="A60" s="208" t="s">
        <v>12</v>
      </c>
      <c r="B60" s="209">
        <v>45716</v>
      </c>
      <c r="C60" s="210"/>
      <c r="D60" s="210"/>
      <c r="E60" s="211">
        <v>25001.955</v>
      </c>
      <c r="F60" s="211">
        <v>6.299314</v>
      </c>
      <c r="G60" s="211">
        <v>5.576432</v>
      </c>
      <c r="H60" s="211">
        <v>27.6741666666667</v>
      </c>
      <c r="I60" s="212">
        <v>0.7794</v>
      </c>
      <c r="J60" s="213">
        <f t="shared" si="0"/>
        <v>0.216040672957279</v>
      </c>
      <c r="K60" s="211">
        <v>42.8400833333333</v>
      </c>
      <c r="L60" s="211">
        <v>42.8400833333333</v>
      </c>
      <c r="M60" s="214">
        <v>4822</v>
      </c>
    </row>
    <row r="61" ht="15.75" spans="1:13">
      <c r="A61" s="208" t="s">
        <v>12</v>
      </c>
      <c r="B61" s="209">
        <v>45717</v>
      </c>
      <c r="C61" s="210"/>
      <c r="D61" s="210"/>
      <c r="E61" s="211">
        <v>25688.484</v>
      </c>
      <c r="F61" s="211">
        <v>6.449951</v>
      </c>
      <c r="G61" s="211">
        <v>5.716876</v>
      </c>
      <c r="H61" s="211">
        <v>26.9279166666667</v>
      </c>
      <c r="I61" s="212">
        <v>0.7846</v>
      </c>
      <c r="J61" s="213">
        <f t="shared" si="0"/>
        <v>0.221972936540854</v>
      </c>
      <c r="K61" s="211">
        <v>41.984</v>
      </c>
      <c r="L61" s="211">
        <v>41.984</v>
      </c>
      <c r="M61" s="214">
        <v>4822</v>
      </c>
    </row>
    <row r="62" ht="15.75" spans="1:13">
      <c r="A62" s="208" t="s">
        <v>12</v>
      </c>
      <c r="B62" s="209">
        <v>45718</v>
      </c>
      <c r="C62" s="210"/>
      <c r="D62" s="210"/>
      <c r="E62" s="211">
        <v>24602.04</v>
      </c>
      <c r="F62" s="211">
        <v>6.159796</v>
      </c>
      <c r="G62" s="211">
        <v>5.49399</v>
      </c>
      <c r="H62" s="211">
        <v>26.7675</v>
      </c>
      <c r="I62" s="212">
        <v>0.785</v>
      </c>
      <c r="J62" s="213">
        <f t="shared" si="0"/>
        <v>0.212585026959768</v>
      </c>
      <c r="K62" s="211">
        <v>41.35875</v>
      </c>
      <c r="L62" s="211">
        <v>41.35875</v>
      </c>
      <c r="M62" s="214">
        <v>4822</v>
      </c>
    </row>
    <row r="63" ht="15.75" spans="1:13">
      <c r="A63" s="208" t="s">
        <v>12</v>
      </c>
      <c r="B63" s="209">
        <v>45719</v>
      </c>
      <c r="C63" s="210"/>
      <c r="D63" s="210"/>
      <c r="E63" s="211">
        <v>26605.812</v>
      </c>
      <c r="F63" s="211">
        <v>6.67317</v>
      </c>
      <c r="G63" s="211">
        <v>5.949272</v>
      </c>
      <c r="H63" s="211">
        <v>25.15875</v>
      </c>
      <c r="I63" s="212">
        <v>0.7887</v>
      </c>
      <c r="J63" s="213">
        <f t="shared" si="0"/>
        <v>0.229899523019494</v>
      </c>
      <c r="K63" s="211">
        <v>40.6891666666667</v>
      </c>
      <c r="L63" s="211">
        <v>40.6891666666667</v>
      </c>
      <c r="M63" s="214">
        <v>4822</v>
      </c>
    </row>
    <row r="64" ht="15.75" spans="1:13">
      <c r="A64" s="208" t="s">
        <v>12</v>
      </c>
      <c r="B64" s="209">
        <v>45720</v>
      </c>
      <c r="C64" s="210"/>
      <c r="D64" s="210"/>
      <c r="E64" s="211">
        <v>18234.485</v>
      </c>
      <c r="F64" s="211">
        <v>4.458685</v>
      </c>
      <c r="G64" s="211">
        <v>4.086748</v>
      </c>
      <c r="H64" s="211">
        <v>24.9154166666667</v>
      </c>
      <c r="I64" s="212">
        <v>0.8025</v>
      </c>
      <c r="J64" s="213">
        <f t="shared" si="0"/>
        <v>0.15756329496751</v>
      </c>
      <c r="K64" s="211">
        <v>35.0361666666667</v>
      </c>
      <c r="L64" s="211">
        <v>35.0361666666667</v>
      </c>
      <c r="M64" s="214">
        <v>4822</v>
      </c>
    </row>
    <row r="65" ht="15.75" spans="1:13">
      <c r="A65" s="208" t="s">
        <v>12</v>
      </c>
      <c r="B65" s="209">
        <v>45721</v>
      </c>
      <c r="C65" s="210"/>
      <c r="D65" s="210"/>
      <c r="E65" s="211">
        <v>20076.079</v>
      </c>
      <c r="F65" s="211">
        <v>5.006066</v>
      </c>
      <c r="G65" s="211">
        <v>4.5827744</v>
      </c>
      <c r="H65" s="211">
        <v>25.7916666666667</v>
      </c>
      <c r="I65" s="212">
        <v>0.8171</v>
      </c>
      <c r="J65" s="213">
        <f t="shared" si="0"/>
        <v>0.173476418844186</v>
      </c>
      <c r="K65" s="211">
        <v>37.6164166666667</v>
      </c>
      <c r="L65" s="211">
        <v>37.6164166666667</v>
      </c>
      <c r="M65" s="214">
        <v>4822</v>
      </c>
    </row>
    <row r="66" ht="15.75" spans="1:13">
      <c r="A66" s="208" t="s">
        <v>12</v>
      </c>
      <c r="B66" s="209">
        <v>45722</v>
      </c>
      <c r="C66" s="210"/>
      <c r="D66" s="210"/>
      <c r="E66" s="211">
        <v>18994.734</v>
      </c>
      <c r="F66" s="211">
        <v>4.6939223</v>
      </c>
      <c r="G66" s="211">
        <v>4.3024049</v>
      </c>
      <c r="H66" s="211">
        <v>26.2833333333333</v>
      </c>
      <c r="I66" s="212">
        <v>0.8259</v>
      </c>
      <c r="J66" s="213">
        <f t="shared" si="0"/>
        <v>0.164132569473248</v>
      </c>
      <c r="K66" s="211">
        <v>37.1115833333333</v>
      </c>
      <c r="L66" s="211">
        <v>37.1115833333333</v>
      </c>
      <c r="M66" s="214">
        <v>4822</v>
      </c>
    </row>
    <row r="67" ht="15.75" spans="1:13">
      <c r="A67" s="208" t="s">
        <v>12</v>
      </c>
      <c r="B67" s="209">
        <v>45723</v>
      </c>
      <c r="C67" s="210"/>
      <c r="D67" s="210"/>
      <c r="E67" s="211">
        <v>27927.683</v>
      </c>
      <c r="F67" s="211">
        <v>7.053181</v>
      </c>
      <c r="G67" s="211">
        <v>6.345376</v>
      </c>
      <c r="H67" s="211">
        <v>25.89125</v>
      </c>
      <c r="I67" s="212">
        <v>0.7909</v>
      </c>
      <c r="J67" s="213">
        <f t="shared" ref="J67:J130" si="1">E67/24/M67</f>
        <v>0.24132174581778</v>
      </c>
      <c r="K67" s="211">
        <v>42.5326666666667</v>
      </c>
      <c r="L67" s="211">
        <v>42.5326666666667</v>
      </c>
      <c r="M67" s="214">
        <v>4822</v>
      </c>
    </row>
    <row r="68" ht="15.75" spans="1:13">
      <c r="A68" s="208" t="s">
        <v>12</v>
      </c>
      <c r="B68" s="209">
        <v>45724</v>
      </c>
      <c r="C68" s="210"/>
      <c r="D68" s="210"/>
      <c r="E68" s="211">
        <v>28329.659</v>
      </c>
      <c r="F68" s="211">
        <v>7.108046</v>
      </c>
      <c r="G68" s="211">
        <v>6.40392</v>
      </c>
      <c r="H68" s="211">
        <v>23.9375</v>
      </c>
      <c r="I68" s="212">
        <v>0.7969</v>
      </c>
      <c r="J68" s="213">
        <f t="shared" si="1"/>
        <v>0.244795200815706</v>
      </c>
      <c r="K68" s="211">
        <v>40.741</v>
      </c>
      <c r="L68" s="211">
        <v>40.741</v>
      </c>
      <c r="M68" s="214">
        <v>4822</v>
      </c>
    </row>
    <row r="69" ht="15.75" spans="1:13">
      <c r="A69" s="208" t="s">
        <v>12</v>
      </c>
      <c r="B69" s="209">
        <v>45725</v>
      </c>
      <c r="C69" s="210"/>
      <c r="D69" s="210"/>
      <c r="E69" s="211">
        <v>29749.615</v>
      </c>
      <c r="F69" s="211">
        <v>7.527693</v>
      </c>
      <c r="G69" s="211">
        <v>6.808885</v>
      </c>
      <c r="H69" s="211">
        <v>24.2608333333333</v>
      </c>
      <c r="I69" s="212">
        <v>0.7928</v>
      </c>
      <c r="J69" s="213">
        <f t="shared" si="1"/>
        <v>0.257064971312042</v>
      </c>
      <c r="K69" s="211">
        <v>42.3345</v>
      </c>
      <c r="L69" s="211">
        <v>42.3345</v>
      </c>
      <c r="M69" s="214">
        <v>4822</v>
      </c>
    </row>
    <row r="70" ht="15.75" spans="1:13">
      <c r="A70" s="208" t="s">
        <v>12</v>
      </c>
      <c r="B70" s="209">
        <v>45726</v>
      </c>
      <c r="C70" s="210"/>
      <c r="D70" s="210"/>
      <c r="E70" s="211">
        <v>29681.526</v>
      </c>
      <c r="F70" s="211">
        <v>7.533196</v>
      </c>
      <c r="G70" s="211">
        <v>6.832914</v>
      </c>
      <c r="H70" s="211">
        <v>25.3383333333333</v>
      </c>
      <c r="I70" s="212">
        <v>0.7924</v>
      </c>
      <c r="J70" s="213">
        <f t="shared" si="1"/>
        <v>0.256476617586064</v>
      </c>
      <c r="K70" s="211">
        <v>43.2460833333333</v>
      </c>
      <c r="L70" s="211">
        <v>43.2460833333333</v>
      </c>
      <c r="M70" s="214">
        <v>4822</v>
      </c>
    </row>
    <row r="71" ht="15.75" spans="1:13">
      <c r="A71" s="208" t="s">
        <v>12</v>
      </c>
      <c r="B71" s="209">
        <v>45727</v>
      </c>
      <c r="C71" s="210"/>
      <c r="D71" s="210"/>
      <c r="E71" s="211">
        <v>26371.732</v>
      </c>
      <c r="F71" s="211">
        <v>6.615499</v>
      </c>
      <c r="G71" s="211">
        <v>6.011109</v>
      </c>
      <c r="H71" s="211">
        <v>26.3933333333333</v>
      </c>
      <c r="I71" s="212">
        <v>0.799</v>
      </c>
      <c r="J71" s="213">
        <f t="shared" si="1"/>
        <v>0.227876849163556</v>
      </c>
      <c r="K71" s="211">
        <v>42.1610833333333</v>
      </c>
      <c r="L71" s="211">
        <v>42.1610833333333</v>
      </c>
      <c r="M71" s="214">
        <v>4822</v>
      </c>
    </row>
    <row r="72" ht="15.75" spans="1:13">
      <c r="A72" s="208" t="s">
        <v>12</v>
      </c>
      <c r="B72" s="209">
        <v>45728</v>
      </c>
      <c r="C72" s="210"/>
      <c r="D72" s="210"/>
      <c r="E72" s="211">
        <v>30065.596</v>
      </c>
      <c r="F72" s="211">
        <v>7.660539</v>
      </c>
      <c r="G72" s="211">
        <v>6.983425</v>
      </c>
      <c r="H72" s="211">
        <v>26.04625</v>
      </c>
      <c r="I72" s="212">
        <v>0.7911</v>
      </c>
      <c r="J72" s="213">
        <f t="shared" si="1"/>
        <v>0.259795347711876</v>
      </c>
      <c r="K72" s="211">
        <v>44.2193333333333</v>
      </c>
      <c r="L72" s="211">
        <v>44.2193333333333</v>
      </c>
      <c r="M72" s="214">
        <v>4822</v>
      </c>
    </row>
    <row r="73" ht="15.75" spans="1:13">
      <c r="A73" s="208" t="s">
        <v>12</v>
      </c>
      <c r="B73" s="209">
        <v>45729</v>
      </c>
      <c r="C73" s="210"/>
      <c r="D73" s="210"/>
      <c r="E73" s="211">
        <v>29094.811</v>
      </c>
      <c r="F73" s="211">
        <v>7.397236</v>
      </c>
      <c r="G73" s="211">
        <v>6.767412</v>
      </c>
      <c r="H73" s="211">
        <v>26.5454166666667</v>
      </c>
      <c r="I73" s="212">
        <v>0.7924</v>
      </c>
      <c r="J73" s="213">
        <f t="shared" si="1"/>
        <v>0.251406841905157</v>
      </c>
      <c r="K73" s="211">
        <v>44.16675</v>
      </c>
      <c r="L73" s="211">
        <v>44.16675</v>
      </c>
      <c r="M73" s="214">
        <v>4822</v>
      </c>
    </row>
    <row r="74" ht="15.75" spans="1:13">
      <c r="A74" s="208" t="s">
        <v>12</v>
      </c>
      <c r="B74" s="209">
        <v>45730</v>
      </c>
      <c r="C74" s="210"/>
      <c r="D74" s="210"/>
      <c r="E74" s="211">
        <v>26283.46</v>
      </c>
      <c r="F74" s="211">
        <v>6.627197</v>
      </c>
      <c r="G74" s="211">
        <v>6.071922</v>
      </c>
      <c r="H74" s="211">
        <v>27.1020833333333</v>
      </c>
      <c r="I74" s="212">
        <v>0.7984</v>
      </c>
      <c r="J74" s="213">
        <f t="shared" si="1"/>
        <v>0.227114095119591</v>
      </c>
      <c r="K74" s="211">
        <v>42.8121666666667</v>
      </c>
      <c r="L74" s="211">
        <v>42.8121666666667</v>
      </c>
      <c r="M74" s="214">
        <v>4822</v>
      </c>
    </row>
    <row r="75" ht="15.75" spans="1:13">
      <c r="A75" s="208" t="s">
        <v>12</v>
      </c>
      <c r="B75" s="209">
        <v>45731</v>
      </c>
      <c r="C75" s="210"/>
      <c r="D75" s="210"/>
      <c r="E75" s="211">
        <v>27117.19</v>
      </c>
      <c r="F75" s="211">
        <v>6.868108</v>
      </c>
      <c r="G75" s="211">
        <v>6.301211</v>
      </c>
      <c r="H75" s="211">
        <v>27.4570833333333</v>
      </c>
      <c r="I75" s="212">
        <v>0.7953</v>
      </c>
      <c r="J75" s="213">
        <f t="shared" si="1"/>
        <v>0.234318315360155</v>
      </c>
      <c r="K75" s="211">
        <v>43.7784166666667</v>
      </c>
      <c r="L75" s="211">
        <v>43.7784166666667</v>
      </c>
      <c r="M75" s="214">
        <v>4822</v>
      </c>
    </row>
    <row r="76" ht="15.75" spans="1:13">
      <c r="A76" s="208" t="s">
        <v>12</v>
      </c>
      <c r="B76" s="209">
        <v>45732</v>
      </c>
      <c r="C76" s="210"/>
      <c r="D76" s="210"/>
      <c r="E76" s="211">
        <v>26445.656</v>
      </c>
      <c r="F76" s="211">
        <v>6.682715</v>
      </c>
      <c r="G76" s="211">
        <v>6.147808</v>
      </c>
      <c r="H76" s="211">
        <v>27.7570833333333</v>
      </c>
      <c r="I76" s="212">
        <v>0.7958</v>
      </c>
      <c r="J76" s="213">
        <f t="shared" si="1"/>
        <v>0.228515622839762</v>
      </c>
      <c r="K76" s="211">
        <v>43.5554166666667</v>
      </c>
      <c r="L76" s="211">
        <v>43.5554166666667</v>
      </c>
      <c r="M76" s="214">
        <v>4822</v>
      </c>
    </row>
    <row r="77" ht="15.75" spans="1:13">
      <c r="A77" s="208" t="s">
        <v>12</v>
      </c>
      <c r="B77" s="209">
        <v>45733</v>
      </c>
      <c r="C77" s="210"/>
      <c r="D77" s="210"/>
      <c r="E77" s="211">
        <v>28880.862</v>
      </c>
      <c r="F77" s="211">
        <v>7.524201</v>
      </c>
      <c r="G77" s="211">
        <v>6.953144</v>
      </c>
      <c r="H77" s="211">
        <v>31.43125</v>
      </c>
      <c r="I77" s="212">
        <v>0.777</v>
      </c>
      <c r="J77" s="213">
        <f t="shared" si="1"/>
        <v>0.249558119037744</v>
      </c>
      <c r="K77" s="211">
        <v>50.5834166666667</v>
      </c>
      <c r="L77" s="211">
        <v>50.5834166666667</v>
      </c>
      <c r="M77" s="214">
        <v>4822</v>
      </c>
    </row>
    <row r="78" ht="15.75" spans="1:13">
      <c r="A78" s="208" t="s">
        <v>12</v>
      </c>
      <c r="B78" s="209">
        <v>45734</v>
      </c>
      <c r="C78" s="210"/>
      <c r="D78" s="210"/>
      <c r="E78" s="211">
        <v>26374.945</v>
      </c>
      <c r="F78" s="211">
        <v>6.673827</v>
      </c>
      <c r="G78" s="211">
        <v>6.16411</v>
      </c>
      <c r="H78" s="211">
        <v>28.62875</v>
      </c>
      <c r="I78" s="212">
        <v>0.7976</v>
      </c>
      <c r="J78" s="213">
        <f t="shared" si="1"/>
        <v>0.227904612539748</v>
      </c>
      <c r="K78" s="211">
        <v>44.3378333333333</v>
      </c>
      <c r="L78" s="211">
        <v>44.3378333333333</v>
      </c>
      <c r="M78" s="214">
        <v>4822</v>
      </c>
    </row>
    <row r="79" ht="15.75" spans="1:13">
      <c r="A79" s="208" t="s">
        <v>12</v>
      </c>
      <c r="B79" s="209">
        <v>45735</v>
      </c>
      <c r="C79" s="210"/>
      <c r="D79" s="210"/>
      <c r="E79" s="211">
        <v>26600.815</v>
      </c>
      <c r="F79" s="211">
        <v>6.747947</v>
      </c>
      <c r="G79" s="211">
        <v>6.251497</v>
      </c>
      <c r="H79" s="211">
        <v>28.5070833333333</v>
      </c>
      <c r="I79" s="212">
        <v>0.7948</v>
      </c>
      <c r="J79" s="213">
        <f t="shared" si="1"/>
        <v>0.229856344186368</v>
      </c>
      <c r="K79" s="211">
        <v>44.742</v>
      </c>
      <c r="L79" s="211">
        <v>44.742</v>
      </c>
      <c r="M79" s="214">
        <v>4822</v>
      </c>
    </row>
    <row r="80" ht="15.75" spans="1:13">
      <c r="A80" s="208" t="s">
        <v>12</v>
      </c>
      <c r="B80" s="209">
        <v>45736</v>
      </c>
      <c r="C80" s="210"/>
      <c r="D80" s="210"/>
      <c r="E80" s="211">
        <v>24103.579</v>
      </c>
      <c r="F80" s="211">
        <v>6.013249</v>
      </c>
      <c r="G80" s="211">
        <v>5.610982</v>
      </c>
      <c r="H80" s="211">
        <v>27.255</v>
      </c>
      <c r="I80" s="212">
        <v>0.8075</v>
      </c>
      <c r="J80" s="213">
        <f t="shared" si="1"/>
        <v>0.208277849785704</v>
      </c>
      <c r="K80" s="211">
        <v>41.30975</v>
      </c>
      <c r="L80" s="211">
        <v>41.30975</v>
      </c>
      <c r="M80" s="214">
        <v>4822</v>
      </c>
    </row>
    <row r="81" ht="15.75" spans="1:13">
      <c r="A81" s="208" t="s">
        <v>12</v>
      </c>
      <c r="B81" s="209">
        <v>45737</v>
      </c>
      <c r="C81" s="210"/>
      <c r="D81" s="210"/>
      <c r="E81" s="211">
        <v>27258.431</v>
      </c>
      <c r="F81" s="211">
        <v>6.901046</v>
      </c>
      <c r="G81" s="211">
        <v>6.421714</v>
      </c>
      <c r="H81" s="211">
        <v>27.6145833333333</v>
      </c>
      <c r="I81" s="212">
        <v>0.8001</v>
      </c>
      <c r="J81" s="213">
        <f t="shared" si="1"/>
        <v>0.235538771948016</v>
      </c>
      <c r="K81" s="211">
        <v>44.0956666666667</v>
      </c>
      <c r="L81" s="211">
        <v>44.0956666666667</v>
      </c>
      <c r="M81" s="214">
        <v>4822</v>
      </c>
    </row>
    <row r="82" ht="15.75" spans="1:13">
      <c r="A82" s="208" t="s">
        <v>12</v>
      </c>
      <c r="B82" s="209">
        <v>45738</v>
      </c>
      <c r="C82" s="210"/>
      <c r="D82" s="210"/>
      <c r="E82" s="211">
        <v>28056.488</v>
      </c>
      <c r="F82" s="211">
        <v>7.168297</v>
      </c>
      <c r="G82" s="211">
        <v>6.689833</v>
      </c>
      <c r="H82" s="211">
        <v>28.83625</v>
      </c>
      <c r="I82" s="212">
        <v>0.7937</v>
      </c>
      <c r="J82" s="213">
        <f t="shared" si="1"/>
        <v>0.242434743536569</v>
      </c>
      <c r="K82" s="211">
        <v>46.2373333333333</v>
      </c>
      <c r="L82" s="211">
        <v>46.2373333333333</v>
      </c>
      <c r="M82" s="214">
        <v>4822</v>
      </c>
    </row>
    <row r="83" ht="15.75" spans="1:13">
      <c r="A83" s="208" t="s">
        <v>12</v>
      </c>
      <c r="B83" s="209">
        <v>45739</v>
      </c>
      <c r="C83" s="210"/>
      <c r="D83" s="210"/>
      <c r="E83" s="211">
        <v>28936.377</v>
      </c>
      <c r="F83" s="211">
        <v>7.392476</v>
      </c>
      <c r="G83" s="211">
        <v>6.935495</v>
      </c>
      <c r="H83" s="211">
        <v>28.0941666666667</v>
      </c>
      <c r="I83" s="212">
        <v>0.7952</v>
      </c>
      <c r="J83" s="213">
        <f t="shared" si="1"/>
        <v>0.250037821443384</v>
      </c>
      <c r="K83" s="211">
        <v>45.74325</v>
      </c>
      <c r="L83" s="211">
        <v>45.74325</v>
      </c>
      <c r="M83" s="214">
        <v>4822</v>
      </c>
    </row>
    <row r="84" ht="15.75" spans="1:13">
      <c r="A84" s="208" t="s">
        <v>12</v>
      </c>
      <c r="B84" s="209">
        <v>45740</v>
      </c>
      <c r="C84" s="210"/>
      <c r="D84" s="210"/>
      <c r="E84" s="211">
        <v>28776.248</v>
      </c>
      <c r="F84" s="211">
        <v>7.360294</v>
      </c>
      <c r="G84" s="211">
        <v>6.9111858</v>
      </c>
      <c r="H84" s="211">
        <v>28.3895833333333</v>
      </c>
      <c r="I84" s="212">
        <v>0.7952</v>
      </c>
      <c r="J84" s="213">
        <f t="shared" si="1"/>
        <v>0.248654154569335</v>
      </c>
      <c r="K84" s="211">
        <v>46.14525</v>
      </c>
      <c r="L84" s="211">
        <v>46.14525</v>
      </c>
      <c r="M84" s="214">
        <v>4822</v>
      </c>
    </row>
    <row r="85" ht="15.75" spans="1:13">
      <c r="A85" s="208" t="s">
        <v>12</v>
      </c>
      <c r="B85" s="209">
        <v>45741</v>
      </c>
      <c r="C85" s="210"/>
      <c r="D85" s="210"/>
      <c r="E85" s="211">
        <v>28886.456</v>
      </c>
      <c r="F85" s="211">
        <v>7.378929</v>
      </c>
      <c r="G85" s="211">
        <v>6.946691</v>
      </c>
      <c r="H85" s="211">
        <v>28.25375</v>
      </c>
      <c r="I85" s="212">
        <v>0.7974</v>
      </c>
      <c r="J85" s="213">
        <f t="shared" si="1"/>
        <v>0.249606456518734</v>
      </c>
      <c r="K85" s="211">
        <v>45.9629166666667</v>
      </c>
      <c r="L85" s="211">
        <v>45.9629166666667</v>
      </c>
      <c r="M85" s="214">
        <v>4822</v>
      </c>
    </row>
    <row r="86" ht="15.75" spans="1:13">
      <c r="A86" s="208" t="s">
        <v>12</v>
      </c>
      <c r="B86" s="209">
        <v>45742</v>
      </c>
      <c r="C86" s="210"/>
      <c r="D86" s="210"/>
      <c r="E86" s="211">
        <v>27961.385</v>
      </c>
      <c r="F86" s="211">
        <v>7.106999</v>
      </c>
      <c r="G86" s="211">
        <v>6.6976738</v>
      </c>
      <c r="H86" s="211">
        <v>27.9270833333333</v>
      </c>
      <c r="I86" s="212">
        <v>0.7998</v>
      </c>
      <c r="J86" s="213">
        <f t="shared" si="1"/>
        <v>0.241612963154984</v>
      </c>
      <c r="K86" s="211">
        <v>44.8498333333333</v>
      </c>
      <c r="L86" s="211">
        <v>44.8498333333333</v>
      </c>
      <c r="M86" s="214">
        <v>4822</v>
      </c>
    </row>
    <row r="87" ht="15.75" spans="1:13">
      <c r="A87" s="208" t="s">
        <v>12</v>
      </c>
      <c r="B87" s="209">
        <v>45743</v>
      </c>
      <c r="C87" s="210"/>
      <c r="D87" s="210"/>
      <c r="E87" s="211">
        <v>26298.967</v>
      </c>
      <c r="F87" s="211">
        <v>6.707669</v>
      </c>
      <c r="G87" s="211">
        <v>6.3359038</v>
      </c>
      <c r="H87" s="211">
        <v>29.9691666666667</v>
      </c>
      <c r="I87" s="212">
        <v>0.7962</v>
      </c>
      <c r="J87" s="213">
        <f t="shared" si="1"/>
        <v>0.227248090349786</v>
      </c>
      <c r="K87" s="211">
        <v>46.4613333333333</v>
      </c>
      <c r="L87" s="211">
        <v>46.4613333333333</v>
      </c>
      <c r="M87" s="214">
        <v>4822</v>
      </c>
    </row>
    <row r="88" ht="15.75" spans="1:13">
      <c r="A88" s="208" t="s">
        <v>12</v>
      </c>
      <c r="B88" s="209">
        <v>45744</v>
      </c>
      <c r="C88" s="210"/>
      <c r="D88" s="210"/>
      <c r="E88" s="211">
        <v>27336.641</v>
      </c>
      <c r="F88" s="211">
        <v>6.978733</v>
      </c>
      <c r="G88" s="211">
        <v>6.6059238</v>
      </c>
      <c r="H88" s="211">
        <v>29.6329166666667</v>
      </c>
      <c r="I88" s="212">
        <v>0.7976</v>
      </c>
      <c r="J88" s="213">
        <f t="shared" si="1"/>
        <v>0.236214580741048</v>
      </c>
      <c r="K88" s="211">
        <v>46.42925</v>
      </c>
      <c r="L88" s="211">
        <v>46.42925</v>
      </c>
      <c r="M88" s="214">
        <v>4822</v>
      </c>
    </row>
    <row r="89" ht="15.75" spans="1:13">
      <c r="A89" s="208" t="s">
        <v>12</v>
      </c>
      <c r="B89" s="209">
        <v>45745</v>
      </c>
      <c r="C89" s="210"/>
      <c r="D89" s="210"/>
      <c r="E89" s="211">
        <v>25176.631</v>
      </c>
      <c r="F89" s="211">
        <v>6.373339</v>
      </c>
      <c r="G89" s="211">
        <v>6.064478</v>
      </c>
      <c r="H89" s="211">
        <v>28.9375</v>
      </c>
      <c r="I89" s="212">
        <v>0.8023</v>
      </c>
      <c r="J89" s="213">
        <f t="shared" si="1"/>
        <v>0.217550039748376</v>
      </c>
      <c r="K89" s="211">
        <v>44.3061666666667</v>
      </c>
      <c r="L89" s="211">
        <v>44.3061666666667</v>
      </c>
      <c r="M89" s="214">
        <v>4822</v>
      </c>
    </row>
    <row r="90" ht="15.75" spans="1:13">
      <c r="A90" s="208" t="s">
        <v>12</v>
      </c>
      <c r="B90" s="209">
        <v>45746</v>
      </c>
      <c r="C90" s="210"/>
      <c r="D90" s="210"/>
      <c r="E90" s="211">
        <v>26961.756</v>
      </c>
      <c r="F90" s="211">
        <v>6.86742</v>
      </c>
      <c r="G90" s="211">
        <v>6.5356011</v>
      </c>
      <c r="H90" s="211">
        <v>29.2958333333333</v>
      </c>
      <c r="I90" s="212">
        <v>0.8006</v>
      </c>
      <c r="J90" s="213">
        <f t="shared" si="1"/>
        <v>0.23297521775197</v>
      </c>
      <c r="K90" s="211">
        <v>45.8930833333333</v>
      </c>
      <c r="L90" s="211">
        <v>45.8930833333333</v>
      </c>
      <c r="M90" s="214">
        <v>4822</v>
      </c>
    </row>
    <row r="91" ht="15.75" spans="1:13">
      <c r="A91" s="208" t="s">
        <v>12</v>
      </c>
      <c r="B91" s="209">
        <v>45747</v>
      </c>
      <c r="C91" s="210"/>
      <c r="D91" s="210"/>
      <c r="E91" s="211">
        <v>28054.883</v>
      </c>
      <c r="F91" s="211">
        <v>7.221256</v>
      </c>
      <c r="G91" s="211">
        <v>6.889704</v>
      </c>
      <c r="H91" s="211">
        <v>30.6766666666667</v>
      </c>
      <c r="I91" s="212">
        <v>0.7921</v>
      </c>
      <c r="J91" s="213">
        <f t="shared" si="1"/>
        <v>0.242420874809899</v>
      </c>
      <c r="K91" s="211">
        <v>48.5705833333333</v>
      </c>
      <c r="L91" s="211">
        <v>48.5705833333333</v>
      </c>
      <c r="M91" s="214">
        <v>4822</v>
      </c>
    </row>
    <row r="92" ht="15.75" spans="1:13">
      <c r="A92" s="208" t="s">
        <v>12</v>
      </c>
      <c r="B92" s="209">
        <v>45748</v>
      </c>
      <c r="C92" s="210"/>
      <c r="D92" s="210"/>
      <c r="E92" s="211">
        <v>27506.316</v>
      </c>
      <c r="F92" s="211">
        <v>6.915661</v>
      </c>
      <c r="G92" s="211">
        <v>6.61372</v>
      </c>
      <c r="H92" s="211">
        <v>26.8708333333333</v>
      </c>
      <c r="I92" s="212">
        <v>0.8087</v>
      </c>
      <c r="J92" s="213">
        <f t="shared" si="1"/>
        <v>0.237680734135214</v>
      </c>
      <c r="K92" s="211">
        <v>42.5055833333333</v>
      </c>
      <c r="L92" s="211">
        <v>42.5055833333333</v>
      </c>
      <c r="M92" s="214">
        <v>4822</v>
      </c>
    </row>
    <row r="93" ht="15.75" spans="1:13">
      <c r="A93" s="208" t="s">
        <v>12</v>
      </c>
      <c r="B93" s="209">
        <v>45749</v>
      </c>
      <c r="C93" s="210"/>
      <c r="D93" s="210"/>
      <c r="E93" s="211">
        <v>28999.796</v>
      </c>
      <c r="F93" s="211">
        <v>7.359137</v>
      </c>
      <c r="G93" s="211">
        <v>7.0647042</v>
      </c>
      <c r="H93" s="211">
        <v>27.25125</v>
      </c>
      <c r="I93" s="212">
        <v>0.8047</v>
      </c>
      <c r="J93" s="213">
        <f t="shared" si="1"/>
        <v>0.250585821927278</v>
      </c>
      <c r="K93" s="211">
        <v>44.4295</v>
      </c>
      <c r="L93" s="211">
        <v>44.4295</v>
      </c>
      <c r="M93" s="214">
        <v>4822</v>
      </c>
    </row>
    <row r="94" ht="15.75" spans="1:13">
      <c r="A94" s="208" t="s">
        <v>12</v>
      </c>
      <c r="B94" s="209">
        <v>45750</v>
      </c>
      <c r="C94" s="210"/>
      <c r="D94" s="210"/>
      <c r="E94" s="211">
        <v>29313.506</v>
      </c>
      <c r="F94" s="211">
        <v>7.484233</v>
      </c>
      <c r="G94" s="211">
        <v>7.2098911</v>
      </c>
      <c r="H94" s="211">
        <v>28.3858333333333</v>
      </c>
      <c r="I94" s="212">
        <v>0.799</v>
      </c>
      <c r="J94" s="213">
        <f t="shared" si="1"/>
        <v>0.253296574726946</v>
      </c>
      <c r="K94" s="211">
        <v>45.8874166666667</v>
      </c>
      <c r="L94" s="211">
        <v>45.8874166666667</v>
      </c>
      <c r="M94" s="214">
        <v>4822</v>
      </c>
    </row>
    <row r="95" ht="15.75" spans="1:13">
      <c r="A95" s="208" t="s">
        <v>12</v>
      </c>
      <c r="B95" s="209">
        <v>45751</v>
      </c>
      <c r="C95" s="210"/>
      <c r="D95" s="210"/>
      <c r="E95" s="211">
        <v>30514.666</v>
      </c>
      <c r="F95" s="211">
        <v>7.815539</v>
      </c>
      <c r="G95" s="211">
        <v>7.5700704</v>
      </c>
      <c r="H95" s="211">
        <v>28.1895833333333</v>
      </c>
      <c r="I95" s="212">
        <v>0.7976</v>
      </c>
      <c r="J95" s="213">
        <f t="shared" si="1"/>
        <v>0.263675739665422</v>
      </c>
      <c r="K95" s="211">
        <v>46.1863333333333</v>
      </c>
      <c r="L95" s="211">
        <v>46.1863333333333</v>
      </c>
      <c r="M95" s="214">
        <v>4822</v>
      </c>
    </row>
    <row r="96" ht="15.75" spans="1:13">
      <c r="A96" s="208" t="s">
        <v>12</v>
      </c>
      <c r="B96" s="209">
        <v>45752</v>
      </c>
      <c r="C96" s="210"/>
      <c r="D96" s="210"/>
      <c r="E96" s="211">
        <v>22337.376</v>
      </c>
      <c r="F96" s="211">
        <v>5.691506</v>
      </c>
      <c r="G96" s="211">
        <v>5.5413959</v>
      </c>
      <c r="H96" s="211">
        <v>30.67125</v>
      </c>
      <c r="I96" s="212">
        <v>0.7989</v>
      </c>
      <c r="J96" s="213">
        <f t="shared" si="1"/>
        <v>0.193016175860639</v>
      </c>
      <c r="K96" s="211">
        <v>44.3226666666667</v>
      </c>
      <c r="L96" s="211">
        <v>44.3226666666667</v>
      </c>
      <c r="M96" s="214">
        <v>4822</v>
      </c>
    </row>
    <row r="97" ht="15.75" spans="1:13">
      <c r="A97" s="208" t="s">
        <v>12</v>
      </c>
      <c r="B97" s="209">
        <v>45753</v>
      </c>
      <c r="C97" s="210"/>
      <c r="D97" s="210"/>
      <c r="E97" s="211">
        <v>14267.216</v>
      </c>
      <c r="F97" s="211">
        <v>3.558106</v>
      </c>
      <c r="G97" s="211">
        <v>3.5028097</v>
      </c>
      <c r="H97" s="211">
        <v>30.3216666666667</v>
      </c>
      <c r="I97" s="212">
        <v>0.8105</v>
      </c>
      <c r="J97" s="213">
        <f t="shared" si="1"/>
        <v>0.123282317157473</v>
      </c>
      <c r="K97" s="211">
        <v>38.3055</v>
      </c>
      <c r="L97" s="211">
        <v>38.3055</v>
      </c>
      <c r="M97" s="214">
        <v>4822</v>
      </c>
    </row>
    <row r="98" ht="15.75" spans="1:13">
      <c r="A98" s="208" t="s">
        <v>12</v>
      </c>
      <c r="B98" s="209">
        <v>45754</v>
      </c>
      <c r="C98" s="210"/>
      <c r="D98" s="210"/>
      <c r="E98" s="211">
        <v>25053.296</v>
      </c>
      <c r="F98" s="211">
        <v>6.383646</v>
      </c>
      <c r="G98" s="211">
        <v>6.2046104</v>
      </c>
      <c r="H98" s="211">
        <v>31.2020833333333</v>
      </c>
      <c r="I98" s="212">
        <v>0.7999</v>
      </c>
      <c r="J98" s="213">
        <f t="shared" si="1"/>
        <v>0.216484308032628</v>
      </c>
      <c r="K98" s="211">
        <v>46.2905</v>
      </c>
      <c r="L98" s="211">
        <v>46.2905</v>
      </c>
      <c r="M98" s="214">
        <v>4822</v>
      </c>
    </row>
    <row r="99" ht="15.75" spans="1:13">
      <c r="A99" s="208" t="s">
        <v>12</v>
      </c>
      <c r="B99" s="209">
        <v>45755</v>
      </c>
      <c r="C99" s="210"/>
      <c r="D99" s="210"/>
      <c r="E99" s="211">
        <v>27142.936</v>
      </c>
      <c r="F99" s="211">
        <v>6.944863</v>
      </c>
      <c r="G99" s="211">
        <v>6.7494723</v>
      </c>
      <c r="H99" s="211">
        <v>30.9720833333333</v>
      </c>
      <c r="I99" s="212">
        <v>0.7975</v>
      </c>
      <c r="J99" s="213">
        <f t="shared" si="1"/>
        <v>0.234540785289645</v>
      </c>
      <c r="K99" s="211">
        <v>47.4356666666667</v>
      </c>
      <c r="L99" s="211">
        <v>47.4356666666667</v>
      </c>
      <c r="M99" s="214">
        <v>4822</v>
      </c>
    </row>
    <row r="100" ht="15.75" spans="1:13">
      <c r="A100" s="208" t="s">
        <v>12</v>
      </c>
      <c r="B100" s="209">
        <v>45756</v>
      </c>
      <c r="C100" s="210"/>
      <c r="D100" s="210"/>
      <c r="E100" s="211">
        <v>29064.586</v>
      </c>
      <c r="F100" s="211">
        <v>7.450057</v>
      </c>
      <c r="G100" s="211">
        <v>7.2839236</v>
      </c>
      <c r="H100" s="211">
        <v>30.01</v>
      </c>
      <c r="I100" s="212">
        <v>0.7964</v>
      </c>
      <c r="J100" s="213">
        <f t="shared" si="1"/>
        <v>0.251145669155261</v>
      </c>
      <c r="K100" s="211">
        <v>47.42425</v>
      </c>
      <c r="L100" s="211">
        <v>47.42425</v>
      </c>
      <c r="M100" s="214">
        <v>4822</v>
      </c>
    </row>
    <row r="101" ht="15.75" spans="1:13">
      <c r="A101" s="208" t="s">
        <v>12</v>
      </c>
      <c r="B101" s="209">
        <v>45757</v>
      </c>
      <c r="C101" s="210"/>
      <c r="D101" s="210"/>
      <c r="E101" s="211">
        <v>27685.316</v>
      </c>
      <c r="F101" s="211">
        <v>7.118627</v>
      </c>
      <c r="G101" s="211">
        <v>6.9580034</v>
      </c>
      <c r="H101" s="211">
        <v>31.8958333333333</v>
      </c>
      <c r="I101" s="212">
        <v>0.7941</v>
      </c>
      <c r="J101" s="213">
        <f t="shared" si="1"/>
        <v>0.239227464399281</v>
      </c>
      <c r="K101" s="211">
        <v>48.9940833333333</v>
      </c>
      <c r="L101" s="211">
        <v>48.9940833333333</v>
      </c>
      <c r="M101" s="214">
        <v>4822</v>
      </c>
    </row>
    <row r="102" ht="15.75" spans="1:13">
      <c r="A102" s="208" t="s">
        <v>12</v>
      </c>
      <c r="B102" s="209">
        <v>45758</v>
      </c>
      <c r="C102" s="210"/>
      <c r="D102" s="210"/>
      <c r="E102" s="211">
        <v>29573.276</v>
      </c>
      <c r="F102" s="211">
        <v>7.707124</v>
      </c>
      <c r="G102" s="211">
        <v>7.5965148</v>
      </c>
      <c r="H102" s="211">
        <v>32.6058333333333</v>
      </c>
      <c r="I102" s="212">
        <v>0.7854</v>
      </c>
      <c r="J102" s="213">
        <f t="shared" si="1"/>
        <v>0.255541234619107</v>
      </c>
      <c r="K102" s="211">
        <v>51.4463333333333</v>
      </c>
      <c r="L102" s="211">
        <v>51.4463333333333</v>
      </c>
      <c r="M102" s="214">
        <v>4822</v>
      </c>
    </row>
    <row r="103" ht="15.75" spans="1:13">
      <c r="A103" s="208" t="s">
        <v>12</v>
      </c>
      <c r="B103" s="209">
        <v>45759</v>
      </c>
      <c r="C103" s="210"/>
      <c r="D103" s="210"/>
      <c r="E103" s="211">
        <v>29267.846</v>
      </c>
      <c r="F103" s="211">
        <v>7.495354</v>
      </c>
      <c r="G103" s="211">
        <v>7.3836169</v>
      </c>
      <c r="H103" s="211">
        <v>29.5491666666667</v>
      </c>
      <c r="I103" s="212">
        <v>0.7973</v>
      </c>
      <c r="J103" s="213">
        <f t="shared" si="1"/>
        <v>0.252902028895341</v>
      </c>
      <c r="K103" s="211">
        <v>47.0719166666667</v>
      </c>
      <c r="L103" s="211">
        <v>47.0719166666667</v>
      </c>
      <c r="M103" s="214">
        <v>4822</v>
      </c>
    </row>
    <row r="104" ht="15.75" spans="1:13">
      <c r="A104" s="208" t="s">
        <v>12</v>
      </c>
      <c r="B104" s="209">
        <v>45760</v>
      </c>
      <c r="C104" s="210"/>
      <c r="D104" s="210"/>
      <c r="E104" s="211">
        <v>27961.276</v>
      </c>
      <c r="F104" s="211">
        <v>7.112054</v>
      </c>
      <c r="G104" s="211">
        <v>7.0015399</v>
      </c>
      <c r="H104" s="211">
        <v>29.0691666666667</v>
      </c>
      <c r="I104" s="212">
        <v>0.8022</v>
      </c>
      <c r="J104" s="213">
        <f t="shared" si="1"/>
        <v>0.241612021291304</v>
      </c>
      <c r="K104" s="211">
        <v>45.802</v>
      </c>
      <c r="L104" s="211">
        <v>45.802</v>
      </c>
      <c r="M104" s="214">
        <v>4822</v>
      </c>
    </row>
    <row r="105" ht="15.75" spans="1:13">
      <c r="A105" s="208" t="s">
        <v>12</v>
      </c>
      <c r="B105" s="209">
        <v>45761</v>
      </c>
      <c r="C105" s="210"/>
      <c r="D105" s="210"/>
      <c r="E105" s="211">
        <v>27102.646</v>
      </c>
      <c r="F105" s="211">
        <v>6.858221</v>
      </c>
      <c r="G105" s="211">
        <v>6.7567839</v>
      </c>
      <c r="H105" s="211">
        <v>28.6033333333333</v>
      </c>
      <c r="I105" s="212">
        <v>0.8068</v>
      </c>
      <c r="J105" s="213">
        <f t="shared" si="1"/>
        <v>0.234192641365962</v>
      </c>
      <c r="K105" s="211">
        <v>44.6079166666667</v>
      </c>
      <c r="L105" s="211">
        <v>44.6079166666667</v>
      </c>
      <c r="M105" s="214">
        <v>4822</v>
      </c>
    </row>
    <row r="106" ht="15.75" spans="1:13">
      <c r="A106" s="208" t="s">
        <v>12</v>
      </c>
      <c r="B106" s="209">
        <v>45762</v>
      </c>
      <c r="C106" s="210"/>
      <c r="D106" s="210"/>
      <c r="E106" s="211">
        <v>29104.526</v>
      </c>
      <c r="F106" s="211">
        <v>7.450633</v>
      </c>
      <c r="G106" s="211">
        <v>7.3816044</v>
      </c>
      <c r="H106" s="211">
        <v>29.3641666666667</v>
      </c>
      <c r="I106" s="212">
        <v>0.8002</v>
      </c>
      <c r="J106" s="213">
        <f t="shared" si="1"/>
        <v>0.251490788746025</v>
      </c>
      <c r="K106" s="211">
        <v>47.0079166666667</v>
      </c>
      <c r="L106" s="211">
        <v>47.0079166666667</v>
      </c>
      <c r="M106" s="214">
        <v>4822</v>
      </c>
    </row>
    <row r="107" ht="15.75" spans="1:13">
      <c r="A107" s="208" t="s">
        <v>12</v>
      </c>
      <c r="B107" s="209">
        <v>45763</v>
      </c>
      <c r="C107" s="210"/>
      <c r="D107" s="210"/>
      <c r="E107" s="211">
        <v>25319.186</v>
      </c>
      <c r="F107" s="211">
        <v>6.395295</v>
      </c>
      <c r="G107" s="211">
        <v>6.3227011</v>
      </c>
      <c r="H107" s="211">
        <v>28.9454166666667</v>
      </c>
      <c r="I107" s="212">
        <v>0.8119</v>
      </c>
      <c r="J107" s="213">
        <f t="shared" si="1"/>
        <v>0.218781850546108</v>
      </c>
      <c r="K107" s="211">
        <v>43.9406666666667</v>
      </c>
      <c r="L107" s="211">
        <v>43.9406666666667</v>
      </c>
      <c r="M107" s="214">
        <v>4822</v>
      </c>
    </row>
    <row r="108" ht="15.75" spans="1:13">
      <c r="A108" s="208" t="s">
        <v>12</v>
      </c>
      <c r="B108" s="209">
        <v>45764</v>
      </c>
      <c r="C108" s="210"/>
      <c r="D108" s="210"/>
      <c r="E108" s="211">
        <v>28590.006</v>
      </c>
      <c r="F108" s="211">
        <v>7.244916</v>
      </c>
      <c r="G108" s="211">
        <v>7.2028111</v>
      </c>
      <c r="H108" s="211">
        <v>27.7204166666667</v>
      </c>
      <c r="I108" s="212">
        <v>0.8084</v>
      </c>
      <c r="J108" s="213">
        <f t="shared" si="1"/>
        <v>0.247044846536707</v>
      </c>
      <c r="K108" s="211">
        <v>44.508</v>
      </c>
      <c r="L108" s="211">
        <v>44.508</v>
      </c>
      <c r="M108" s="214">
        <v>4822</v>
      </c>
    </row>
    <row r="109" ht="15.75" spans="1:13">
      <c r="A109" s="208" t="s">
        <v>12</v>
      </c>
      <c r="B109" s="209">
        <v>45765</v>
      </c>
      <c r="C109" s="210"/>
      <c r="D109" s="210"/>
      <c r="E109" s="211">
        <v>26821.226</v>
      </c>
      <c r="F109" s="211">
        <v>6.779468</v>
      </c>
      <c r="G109" s="211">
        <v>6.7388061</v>
      </c>
      <c r="H109" s="211">
        <v>28.4791666666667</v>
      </c>
      <c r="I109" s="212">
        <v>0.8094</v>
      </c>
      <c r="J109" s="213">
        <f t="shared" si="1"/>
        <v>0.231760904880409</v>
      </c>
      <c r="K109" s="211">
        <v>44.5438333333333</v>
      </c>
      <c r="L109" s="211">
        <v>44.5438333333333</v>
      </c>
      <c r="M109" s="214">
        <v>4822</v>
      </c>
    </row>
    <row r="110" ht="15.75" spans="1:13">
      <c r="A110" s="208" t="s">
        <v>12</v>
      </c>
      <c r="B110" s="209">
        <v>45766</v>
      </c>
      <c r="C110" s="210"/>
      <c r="D110" s="210"/>
      <c r="E110" s="211">
        <v>28069.836</v>
      </c>
      <c r="F110" s="211">
        <v>7.095133</v>
      </c>
      <c r="G110" s="211">
        <v>7.0711226</v>
      </c>
      <c r="H110" s="211">
        <v>27.6020833333333</v>
      </c>
      <c r="I110" s="212">
        <v>0.8107</v>
      </c>
      <c r="J110" s="213">
        <f t="shared" si="1"/>
        <v>0.242550082953131</v>
      </c>
      <c r="K110" s="211">
        <v>44.12625</v>
      </c>
      <c r="L110" s="211">
        <v>44.12625</v>
      </c>
      <c r="M110" s="214">
        <v>4822</v>
      </c>
    </row>
    <row r="111" ht="15.75" spans="1:13">
      <c r="A111" s="208" t="s">
        <v>12</v>
      </c>
      <c r="B111" s="209">
        <v>45767</v>
      </c>
      <c r="C111" s="210"/>
      <c r="D111" s="210"/>
      <c r="E111" s="211">
        <v>26977.136</v>
      </c>
      <c r="F111" s="211">
        <v>6.801804</v>
      </c>
      <c r="G111" s="211">
        <v>6.7933007</v>
      </c>
      <c r="H111" s="211">
        <v>28.1279166666667</v>
      </c>
      <c r="I111" s="212">
        <v>0.8094</v>
      </c>
      <c r="J111" s="213">
        <f t="shared" si="1"/>
        <v>0.233108115581363</v>
      </c>
      <c r="K111" s="211">
        <v>44.1654166666667</v>
      </c>
      <c r="L111" s="211">
        <v>44.1654166666667</v>
      </c>
      <c r="M111" s="214">
        <v>4822</v>
      </c>
    </row>
    <row r="112" ht="15.75" spans="1:13">
      <c r="A112" s="208" t="s">
        <v>12</v>
      </c>
      <c r="B112" s="209">
        <v>45768</v>
      </c>
      <c r="C112" s="210"/>
      <c r="D112" s="210"/>
      <c r="E112" s="211">
        <v>25948.656</v>
      </c>
      <c r="F112" s="211">
        <v>6.505893</v>
      </c>
      <c r="G112" s="211">
        <v>6.5086921</v>
      </c>
      <c r="H112" s="211">
        <v>27.7695833333333</v>
      </c>
      <c r="I112" s="212">
        <v>0.8156</v>
      </c>
      <c r="J112" s="213">
        <f t="shared" si="1"/>
        <v>0.224221070095396</v>
      </c>
      <c r="K112" s="211">
        <v>42.9365</v>
      </c>
      <c r="L112" s="211">
        <v>42.9365</v>
      </c>
      <c r="M112" s="214">
        <v>4822</v>
      </c>
    </row>
    <row r="113" ht="15.75" spans="1:13">
      <c r="A113" s="208" t="s">
        <v>12</v>
      </c>
      <c r="B113" s="209">
        <v>45769</v>
      </c>
      <c r="C113" s="210"/>
      <c r="D113" s="210"/>
      <c r="E113" s="211">
        <v>26885.006</v>
      </c>
      <c r="F113" s="211">
        <v>6.799815</v>
      </c>
      <c r="G113" s="211">
        <v>6.8119985</v>
      </c>
      <c r="H113" s="211">
        <v>28.60375</v>
      </c>
      <c r="I113" s="212">
        <v>0.8114</v>
      </c>
      <c r="J113" s="213">
        <f t="shared" si="1"/>
        <v>0.232312024747684</v>
      </c>
      <c r="K113" s="211">
        <v>44.696</v>
      </c>
      <c r="L113" s="211">
        <v>44.696</v>
      </c>
      <c r="M113" s="214">
        <v>4822</v>
      </c>
    </row>
    <row r="114" ht="15.75" spans="1:13">
      <c r="A114" s="208" t="s">
        <v>12</v>
      </c>
      <c r="B114" s="209">
        <v>45770</v>
      </c>
      <c r="C114" s="210"/>
      <c r="D114" s="210"/>
      <c r="E114" s="211">
        <v>25174.426</v>
      </c>
      <c r="F114" s="211">
        <v>6.322076</v>
      </c>
      <c r="G114" s="211">
        <v>6.3506053</v>
      </c>
      <c r="H114" s="211">
        <v>28.8233333333333</v>
      </c>
      <c r="I114" s="212">
        <v>0.8137</v>
      </c>
      <c r="J114" s="213">
        <f t="shared" si="1"/>
        <v>0.217530986450989</v>
      </c>
      <c r="K114" s="211">
        <v>43.6965</v>
      </c>
      <c r="L114" s="211">
        <v>43.6965</v>
      </c>
      <c r="M114" s="214">
        <v>4822</v>
      </c>
    </row>
    <row r="115" ht="15.75" spans="1:13">
      <c r="A115" s="208" t="s">
        <v>12</v>
      </c>
      <c r="B115" s="209">
        <v>45771</v>
      </c>
      <c r="C115" s="210"/>
      <c r="D115" s="210"/>
      <c r="E115" s="211">
        <v>26960.586</v>
      </c>
      <c r="F115" s="211">
        <v>6.779118</v>
      </c>
      <c r="G115" s="211">
        <v>6.8235769</v>
      </c>
      <c r="H115" s="211">
        <v>27.95125</v>
      </c>
      <c r="I115" s="212">
        <v>0.8154</v>
      </c>
      <c r="J115" s="213">
        <f t="shared" si="1"/>
        <v>0.232965107839071</v>
      </c>
      <c r="K115" s="211">
        <v>43.7149166666667</v>
      </c>
      <c r="L115" s="211">
        <v>43.7149166666667</v>
      </c>
      <c r="M115" s="214">
        <v>4822</v>
      </c>
    </row>
    <row r="116" ht="15.75" spans="1:13">
      <c r="A116" s="208" t="s">
        <v>12</v>
      </c>
      <c r="B116" s="209">
        <v>45772</v>
      </c>
      <c r="C116" s="210"/>
      <c r="D116" s="210"/>
      <c r="E116" s="211">
        <v>27614.366</v>
      </c>
      <c r="F116" s="211">
        <v>7.007247</v>
      </c>
      <c r="G116" s="211">
        <v>7.0805011</v>
      </c>
      <c r="H116" s="211">
        <v>29.10375</v>
      </c>
      <c r="I116" s="212">
        <v>0.8059</v>
      </c>
      <c r="J116" s="213">
        <f t="shared" si="1"/>
        <v>0.238614388911931</v>
      </c>
      <c r="K116" s="211">
        <v>45.83</v>
      </c>
      <c r="L116" s="211">
        <v>45.83</v>
      </c>
      <c r="M116" s="214">
        <v>4822</v>
      </c>
    </row>
    <row r="117" ht="15.75" spans="1:13">
      <c r="A117" s="208" t="s">
        <v>12</v>
      </c>
      <c r="B117" s="209">
        <v>45773</v>
      </c>
      <c r="C117" s="210"/>
      <c r="D117" s="210"/>
      <c r="E117" s="211">
        <v>26551.896</v>
      </c>
      <c r="F117" s="211">
        <v>6.704092</v>
      </c>
      <c r="G117" s="211">
        <v>6.7649602</v>
      </c>
      <c r="H117" s="211">
        <v>28.7233333333333</v>
      </c>
      <c r="I117" s="212">
        <v>0.8135</v>
      </c>
      <c r="J117" s="213">
        <f t="shared" si="1"/>
        <v>0.229433637494815</v>
      </c>
      <c r="K117" s="211">
        <v>44.5285</v>
      </c>
      <c r="L117" s="211">
        <v>44.5285</v>
      </c>
      <c r="M117" s="214">
        <v>4822</v>
      </c>
    </row>
    <row r="118" ht="15.75" spans="1:13">
      <c r="A118" s="208" t="s">
        <v>12</v>
      </c>
      <c r="B118" s="209">
        <v>45774</v>
      </c>
      <c r="C118" s="210"/>
      <c r="D118" s="210"/>
      <c r="E118" s="211">
        <v>27202.596</v>
      </c>
      <c r="F118" s="211">
        <v>6.908305</v>
      </c>
      <c r="G118" s="211">
        <v>6.9830947</v>
      </c>
      <c r="H118" s="211">
        <v>29.2229166666667</v>
      </c>
      <c r="I118" s="212">
        <v>0.8093</v>
      </c>
      <c r="J118" s="213">
        <f t="shared" si="1"/>
        <v>0.235056304437993</v>
      </c>
      <c r="K118" s="211">
        <v>45.74</v>
      </c>
      <c r="L118" s="211">
        <v>45.74</v>
      </c>
      <c r="M118" s="214">
        <v>4822</v>
      </c>
    </row>
    <row r="119" ht="15.75" spans="1:13">
      <c r="A119" s="208" t="s">
        <v>12</v>
      </c>
      <c r="B119" s="209">
        <v>45775</v>
      </c>
      <c r="C119" s="210"/>
      <c r="D119" s="210"/>
      <c r="E119" s="211">
        <v>25962.216</v>
      </c>
      <c r="F119" s="211">
        <v>6.51746</v>
      </c>
      <c r="G119" s="211">
        <v>6.6076387</v>
      </c>
      <c r="H119" s="211">
        <v>28.21875</v>
      </c>
      <c r="I119" s="212">
        <v>0.8187</v>
      </c>
      <c r="J119" s="213">
        <f t="shared" si="1"/>
        <v>0.224338241393613</v>
      </c>
      <c r="K119" s="211">
        <v>43.4614166666667</v>
      </c>
      <c r="L119" s="211">
        <v>43.4614166666667</v>
      </c>
      <c r="M119" s="214">
        <v>4822</v>
      </c>
    </row>
    <row r="120" ht="15.75" spans="1:13">
      <c r="A120" s="208" t="s">
        <v>12</v>
      </c>
      <c r="B120" s="209">
        <v>45776</v>
      </c>
      <c r="C120" s="210"/>
      <c r="D120" s="210"/>
      <c r="E120" s="211">
        <v>26991.306</v>
      </c>
      <c r="F120" s="211">
        <v>6.776475</v>
      </c>
      <c r="G120" s="211">
        <v>6.8806722</v>
      </c>
      <c r="H120" s="211">
        <v>27.2658333333333</v>
      </c>
      <c r="I120" s="212">
        <v>0.82</v>
      </c>
      <c r="J120" s="213">
        <f t="shared" si="1"/>
        <v>0.233230557859809</v>
      </c>
      <c r="K120" s="211">
        <v>43.0644166666667</v>
      </c>
      <c r="L120" s="211">
        <v>43.0644166666667</v>
      </c>
      <c r="M120" s="214">
        <v>4822</v>
      </c>
    </row>
    <row r="121" ht="15.75" spans="1:13">
      <c r="A121" s="208" t="s">
        <v>12</v>
      </c>
      <c r="B121" s="209">
        <v>45777</v>
      </c>
      <c r="C121" s="210"/>
      <c r="D121" s="210"/>
      <c r="E121" s="211">
        <v>25391.266</v>
      </c>
      <c r="F121" s="211">
        <v>6.319372</v>
      </c>
      <c r="G121" s="211">
        <v>6.4413758</v>
      </c>
      <c r="H121" s="211">
        <v>26.9808333333333</v>
      </c>
      <c r="I121" s="212">
        <v>0.8217</v>
      </c>
      <c r="J121" s="213">
        <f t="shared" si="1"/>
        <v>0.219404690308309</v>
      </c>
      <c r="K121" s="211">
        <v>41.6648333333333</v>
      </c>
      <c r="L121" s="211">
        <v>41.6648333333333</v>
      </c>
      <c r="M121" s="214">
        <v>4822</v>
      </c>
    </row>
    <row r="122" ht="15.75" spans="1:13">
      <c r="A122" s="208" t="s">
        <v>12</v>
      </c>
      <c r="B122" s="209">
        <v>45778</v>
      </c>
      <c r="C122" s="210"/>
      <c r="D122" s="210"/>
      <c r="E122" s="211">
        <v>27127.776</v>
      </c>
      <c r="F122" s="211">
        <v>6.8474</v>
      </c>
      <c r="G122" s="211">
        <v>6.9900535</v>
      </c>
      <c r="H122" s="211">
        <v>29.0195833333333</v>
      </c>
      <c r="I122" s="212">
        <v>0.8127</v>
      </c>
      <c r="J122" s="213">
        <f t="shared" si="1"/>
        <v>0.234409788469515</v>
      </c>
      <c r="K122" s="211">
        <v>44.8984166666667</v>
      </c>
      <c r="L122" s="211">
        <v>44.8984166666667</v>
      </c>
      <c r="M122" s="214">
        <v>4822</v>
      </c>
    </row>
    <row r="123" ht="15.75" spans="1:13">
      <c r="A123" s="208" t="s">
        <v>12</v>
      </c>
      <c r="B123" s="209">
        <v>45779</v>
      </c>
      <c r="C123" s="210"/>
      <c r="D123" s="210"/>
      <c r="E123" s="211">
        <v>25809.826</v>
      </c>
      <c r="F123" s="211">
        <v>6.506512</v>
      </c>
      <c r="G123" s="211">
        <v>6.6436785</v>
      </c>
      <c r="H123" s="211">
        <v>29.8466666666667</v>
      </c>
      <c r="I123" s="212">
        <v>0.8129</v>
      </c>
      <c r="J123" s="213">
        <f t="shared" si="1"/>
        <v>0.223021446840868</v>
      </c>
      <c r="K123" s="211">
        <v>44.8075</v>
      </c>
      <c r="L123" s="211">
        <v>44.8075</v>
      </c>
      <c r="M123" s="214">
        <v>4822</v>
      </c>
    </row>
    <row r="124" ht="15.75" spans="1:13">
      <c r="A124" s="208" t="s">
        <v>12</v>
      </c>
      <c r="B124" s="209">
        <v>45780</v>
      </c>
      <c r="C124" s="210"/>
      <c r="D124" s="210"/>
      <c r="E124" s="211">
        <v>27836.996</v>
      </c>
      <c r="F124" s="211">
        <v>7.068527</v>
      </c>
      <c r="G124" s="211">
        <v>7.2597019</v>
      </c>
      <c r="H124" s="211">
        <v>29.9529166666667</v>
      </c>
      <c r="I124" s="212">
        <v>0.8064</v>
      </c>
      <c r="J124" s="213">
        <f t="shared" si="1"/>
        <v>0.240538123876676</v>
      </c>
      <c r="K124" s="211">
        <v>46.3051666666667</v>
      </c>
      <c r="L124" s="211">
        <v>46.3051666666667</v>
      </c>
      <c r="M124" s="214">
        <v>4822</v>
      </c>
    </row>
    <row r="125" ht="15.75" spans="1:13">
      <c r="A125" s="208" t="s">
        <v>12</v>
      </c>
      <c r="B125" s="209">
        <v>45781</v>
      </c>
      <c r="C125" s="210"/>
      <c r="D125" s="210"/>
      <c r="E125" s="211">
        <v>28975.546</v>
      </c>
      <c r="F125" s="211">
        <v>7.3813</v>
      </c>
      <c r="G125" s="211">
        <v>7.6248088</v>
      </c>
      <c r="H125" s="211">
        <v>29.61</v>
      </c>
      <c r="I125" s="212">
        <v>0.8047</v>
      </c>
      <c r="J125" s="213">
        <f t="shared" si="1"/>
        <v>0.250376278860777</v>
      </c>
      <c r="K125" s="211">
        <v>46.5455</v>
      </c>
      <c r="L125" s="211">
        <v>46.5455</v>
      </c>
      <c r="M125" s="214">
        <v>4822</v>
      </c>
    </row>
    <row r="126" ht="15.75" spans="1:13">
      <c r="A126" s="208" t="s">
        <v>12</v>
      </c>
      <c r="B126" s="209">
        <v>45782</v>
      </c>
      <c r="C126" s="210"/>
      <c r="D126" s="210"/>
      <c r="E126" s="211">
        <v>26485.156</v>
      </c>
      <c r="F126" s="211">
        <v>6.693488</v>
      </c>
      <c r="G126" s="211">
        <v>6.8787162</v>
      </c>
      <c r="H126" s="211">
        <v>30.0295833333333</v>
      </c>
      <c r="I126" s="212">
        <v>0.8101</v>
      </c>
      <c r="J126" s="213">
        <f t="shared" si="1"/>
        <v>0.228856940412001</v>
      </c>
      <c r="K126" s="211">
        <v>45.5343333333333</v>
      </c>
      <c r="L126" s="211">
        <v>45.5343333333333</v>
      </c>
      <c r="M126" s="214">
        <v>4822</v>
      </c>
    </row>
    <row r="127" ht="15.75" spans="1:13">
      <c r="A127" s="208" t="s">
        <v>12</v>
      </c>
      <c r="B127" s="209">
        <v>45783</v>
      </c>
      <c r="C127" s="210"/>
      <c r="D127" s="210"/>
      <c r="E127" s="211">
        <v>28036.666</v>
      </c>
      <c r="F127" s="211">
        <v>7.134622</v>
      </c>
      <c r="G127" s="211">
        <v>7.3679944</v>
      </c>
      <c r="H127" s="211">
        <v>30.1291666666667</v>
      </c>
      <c r="I127" s="212">
        <v>0.8055</v>
      </c>
      <c r="J127" s="213">
        <f t="shared" si="1"/>
        <v>0.242263462601963</v>
      </c>
      <c r="K127" s="211">
        <v>46.6509166666667</v>
      </c>
      <c r="L127" s="211">
        <v>46.6509166666667</v>
      </c>
      <c r="M127" s="214">
        <v>4822</v>
      </c>
    </row>
    <row r="128" ht="15.75" spans="1:13">
      <c r="A128" s="208" t="s">
        <v>12</v>
      </c>
      <c r="B128" s="209">
        <v>45784</v>
      </c>
      <c r="C128" s="210"/>
      <c r="D128" s="210"/>
      <c r="E128" s="211">
        <v>27083.996</v>
      </c>
      <c r="F128" s="211">
        <v>6.821957</v>
      </c>
      <c r="G128" s="211">
        <v>7.0406415</v>
      </c>
      <c r="H128" s="211">
        <v>29.105</v>
      </c>
      <c r="I128" s="212">
        <v>0.8146</v>
      </c>
      <c r="J128" s="213">
        <f t="shared" si="1"/>
        <v>0.234031487626158</v>
      </c>
      <c r="K128" s="211">
        <v>44.66775</v>
      </c>
      <c r="L128" s="211">
        <v>44.66775</v>
      </c>
      <c r="M128" s="214">
        <v>4822</v>
      </c>
    </row>
    <row r="129" ht="15.75" spans="1:13">
      <c r="A129" s="208" t="s">
        <v>12</v>
      </c>
      <c r="B129" s="209">
        <v>45785</v>
      </c>
      <c r="C129" s="210"/>
      <c r="D129" s="210"/>
      <c r="E129" s="211">
        <v>24717.076</v>
      </c>
      <c r="F129" s="211">
        <v>6.168841</v>
      </c>
      <c r="G129" s="211">
        <v>6.361804</v>
      </c>
      <c r="H129" s="211">
        <v>28.5091666666667</v>
      </c>
      <c r="I129" s="212">
        <v>0.8208</v>
      </c>
      <c r="J129" s="213">
        <f t="shared" si="1"/>
        <v>0.21357904742154</v>
      </c>
      <c r="K129" s="211">
        <v>42.58775</v>
      </c>
      <c r="L129" s="211">
        <v>42.58775</v>
      </c>
      <c r="M129" s="214">
        <v>4822</v>
      </c>
    </row>
    <row r="130" ht="15.75" spans="1:13">
      <c r="A130" s="208" t="s">
        <v>12</v>
      </c>
      <c r="B130" s="209">
        <v>45786</v>
      </c>
      <c r="C130" s="210"/>
      <c r="D130" s="210"/>
      <c r="E130" s="211">
        <v>23955.006</v>
      </c>
      <c r="F130" s="211">
        <v>5.957612</v>
      </c>
      <c r="G130" s="211">
        <v>6.1448201</v>
      </c>
      <c r="H130" s="211">
        <v>28.19625</v>
      </c>
      <c r="I130" s="212">
        <v>0.8236</v>
      </c>
      <c r="J130" s="213">
        <f t="shared" si="1"/>
        <v>0.206994037743675</v>
      </c>
      <c r="K130" s="211">
        <v>41.76625</v>
      </c>
      <c r="L130" s="211">
        <v>41.76625</v>
      </c>
      <c r="M130" s="214">
        <v>4822</v>
      </c>
    </row>
    <row r="131" ht="15.75" spans="1:13">
      <c r="A131" s="208" t="s">
        <v>12</v>
      </c>
      <c r="B131" s="209">
        <v>45787</v>
      </c>
      <c r="C131" s="210"/>
      <c r="D131" s="210"/>
      <c r="E131" s="211">
        <v>23650.526</v>
      </c>
      <c r="F131" s="211">
        <v>5.882353</v>
      </c>
      <c r="G131" s="211">
        <v>6.0683592</v>
      </c>
      <c r="H131" s="211">
        <v>28.0808333333333</v>
      </c>
      <c r="I131" s="212">
        <v>0.8231</v>
      </c>
      <c r="J131" s="213">
        <f t="shared" ref="J131:J194" si="2">E131/24/M131</f>
        <v>0.204363040923545</v>
      </c>
      <c r="K131" s="211">
        <v>41.4600833333333</v>
      </c>
      <c r="L131" s="211">
        <v>41.4600833333333</v>
      </c>
      <c r="M131" s="214">
        <v>4822</v>
      </c>
    </row>
    <row r="132" ht="15.75" spans="1:13">
      <c r="A132" s="208" t="s">
        <v>12</v>
      </c>
      <c r="B132" s="209">
        <v>45788</v>
      </c>
      <c r="C132" s="210"/>
      <c r="D132" s="210"/>
      <c r="E132" s="211">
        <v>26258.556</v>
      </c>
      <c r="F132" s="211">
        <v>6.593191</v>
      </c>
      <c r="G132" s="211">
        <v>6.838471</v>
      </c>
      <c r="H132" s="211">
        <v>28.6270833333333</v>
      </c>
      <c r="I132" s="212">
        <v>0.8168</v>
      </c>
      <c r="J132" s="213">
        <f t="shared" si="2"/>
        <v>0.226898900871008</v>
      </c>
      <c r="K132" s="211">
        <v>43.8909166666667</v>
      </c>
      <c r="L132" s="211">
        <v>43.8909166666667</v>
      </c>
      <c r="M132" s="214">
        <v>4822</v>
      </c>
    </row>
    <row r="133" ht="15.75" spans="1:13">
      <c r="A133" s="208" t="s">
        <v>12</v>
      </c>
      <c r="B133" s="209">
        <v>45789</v>
      </c>
      <c r="C133" s="210"/>
      <c r="D133" s="210"/>
      <c r="E133" s="211">
        <v>25682.006</v>
      </c>
      <c r="F133" s="211">
        <v>6.406257</v>
      </c>
      <c r="G133" s="211">
        <v>6.650097</v>
      </c>
      <c r="H133" s="211">
        <v>27.4258333333333</v>
      </c>
      <c r="I133" s="212">
        <v>0.8227</v>
      </c>
      <c r="J133" s="213">
        <f t="shared" si="2"/>
        <v>0.221916960459007</v>
      </c>
      <c r="K133" s="211">
        <v>42.0269166666667</v>
      </c>
      <c r="L133" s="211">
        <v>42.0269166666667</v>
      </c>
      <c r="M133" s="214">
        <v>4822</v>
      </c>
    </row>
    <row r="134" ht="15.75" spans="1:13">
      <c r="A134" s="208" t="s">
        <v>12</v>
      </c>
      <c r="B134" s="209">
        <v>45790</v>
      </c>
      <c r="C134" s="210"/>
      <c r="D134" s="210"/>
      <c r="E134" s="211">
        <v>20641.736</v>
      </c>
      <c r="F134" s="211">
        <v>5.107325</v>
      </c>
      <c r="G134" s="211">
        <v>5.3198122</v>
      </c>
      <c r="H134" s="211">
        <v>28.2916666666667</v>
      </c>
      <c r="I134" s="212">
        <v>0.8262</v>
      </c>
      <c r="J134" s="213">
        <f t="shared" si="2"/>
        <v>0.17836423337481</v>
      </c>
      <c r="K134" s="211">
        <v>40.2593333333333</v>
      </c>
      <c r="L134" s="211">
        <v>40.2593333333333</v>
      </c>
      <c r="M134" s="214">
        <v>4822</v>
      </c>
    </row>
    <row r="135" ht="15.75" spans="1:13">
      <c r="A135" s="208" t="s">
        <v>12</v>
      </c>
      <c r="B135" s="209">
        <v>45791</v>
      </c>
      <c r="C135" s="210"/>
      <c r="D135" s="210"/>
      <c r="E135" s="211">
        <v>23939.676</v>
      </c>
      <c r="F135" s="211">
        <v>5.946216</v>
      </c>
      <c r="G135" s="211">
        <v>6.167095</v>
      </c>
      <c r="H135" s="211">
        <v>27.7508333333333</v>
      </c>
      <c r="I135" s="212">
        <v>0.8259</v>
      </c>
      <c r="J135" s="213">
        <f t="shared" si="2"/>
        <v>0.206861571961842</v>
      </c>
      <c r="K135" s="211">
        <v>41.2395</v>
      </c>
      <c r="L135" s="211">
        <v>41.2395</v>
      </c>
      <c r="M135" s="214">
        <v>4822</v>
      </c>
    </row>
    <row r="136" ht="15.75" spans="1:13">
      <c r="A136" s="208" t="s">
        <v>12</v>
      </c>
      <c r="B136" s="209">
        <v>45792</v>
      </c>
      <c r="C136" s="210"/>
      <c r="D136" s="210"/>
      <c r="E136" s="211">
        <v>22403.466</v>
      </c>
      <c r="F136" s="211">
        <v>5.581936</v>
      </c>
      <c r="G136" s="211">
        <v>5.7839152</v>
      </c>
      <c r="H136" s="211">
        <v>29.3745833333333</v>
      </c>
      <c r="I136" s="212">
        <v>0.8231</v>
      </c>
      <c r="J136" s="213">
        <f t="shared" si="2"/>
        <v>0.193587256325176</v>
      </c>
      <c r="K136" s="211">
        <v>42.317</v>
      </c>
      <c r="L136" s="211">
        <v>42.317</v>
      </c>
      <c r="M136" s="214">
        <v>4822</v>
      </c>
    </row>
    <row r="137" ht="15.75" spans="1:13">
      <c r="A137" s="208" t="s">
        <v>12</v>
      </c>
      <c r="B137" s="209">
        <v>45793</v>
      </c>
      <c r="C137" s="210"/>
      <c r="D137" s="210"/>
      <c r="E137" s="211">
        <v>19871.483</v>
      </c>
      <c r="F137" s="211">
        <v>4.9191714</v>
      </c>
      <c r="G137" s="211">
        <v>5.0823682</v>
      </c>
      <c r="H137" s="211">
        <v>28.7854166666667</v>
      </c>
      <c r="I137" s="212">
        <v>0.7853</v>
      </c>
      <c r="J137" s="213">
        <f t="shared" si="2"/>
        <v>0.171708514793308</v>
      </c>
      <c r="K137" s="211">
        <v>38.9340769230769</v>
      </c>
      <c r="L137" s="211">
        <v>38.9340769230769</v>
      </c>
      <c r="M137" s="214">
        <v>4822</v>
      </c>
    </row>
    <row r="138" ht="15.75" spans="1:13">
      <c r="A138" s="208" t="s">
        <v>12</v>
      </c>
      <c r="B138" s="209">
        <v>45794</v>
      </c>
      <c r="C138" s="210"/>
      <c r="D138" s="210"/>
      <c r="E138" s="211">
        <v>20956.256</v>
      </c>
      <c r="F138" s="211">
        <v>5.194481</v>
      </c>
      <c r="G138" s="211">
        <v>5.4040622</v>
      </c>
      <c r="H138" s="211">
        <v>28.6804166666667</v>
      </c>
      <c r="I138" s="212">
        <v>0.8263</v>
      </c>
      <c r="J138" s="213">
        <f t="shared" si="2"/>
        <v>0.181081985344947</v>
      </c>
      <c r="K138" s="211">
        <v>40.60225</v>
      </c>
      <c r="L138" s="211">
        <v>40.60225</v>
      </c>
      <c r="M138" s="214">
        <v>4822</v>
      </c>
    </row>
    <row r="139" ht="15.75" spans="1:13">
      <c r="A139" s="208" t="s">
        <v>12</v>
      </c>
      <c r="B139" s="209">
        <v>45795</v>
      </c>
      <c r="C139" s="210"/>
      <c r="D139" s="210"/>
      <c r="E139" s="211">
        <v>26512.336</v>
      </c>
      <c r="F139" s="211">
        <v>6.652501</v>
      </c>
      <c r="G139" s="211">
        <v>6.9718291</v>
      </c>
      <c r="H139" s="211">
        <v>28.4283333333333</v>
      </c>
      <c r="I139" s="212">
        <v>0.8168</v>
      </c>
      <c r="J139" s="213">
        <f t="shared" si="2"/>
        <v>0.229091801465505</v>
      </c>
      <c r="K139" s="211">
        <v>43.6478333333333</v>
      </c>
      <c r="L139" s="211">
        <v>43.6478333333333</v>
      </c>
      <c r="M139" s="214">
        <v>4822</v>
      </c>
    </row>
    <row r="140" ht="15.75" spans="1:13">
      <c r="A140" s="208" t="s">
        <v>12</v>
      </c>
      <c r="B140" s="209">
        <v>45796</v>
      </c>
      <c r="C140" s="210"/>
      <c r="D140" s="210"/>
      <c r="E140" s="211">
        <v>27485.725</v>
      </c>
      <c r="F140" s="211">
        <v>6.9328697</v>
      </c>
      <c r="G140" s="211">
        <v>7.2959834</v>
      </c>
      <c r="H140" s="211">
        <v>28.925</v>
      </c>
      <c r="I140" s="212">
        <v>0.7858</v>
      </c>
      <c r="J140" s="213">
        <f t="shared" si="2"/>
        <v>0.237502808309139</v>
      </c>
      <c r="K140" s="211">
        <v>43.2759230769231</v>
      </c>
      <c r="L140" s="211">
        <v>43.2759230769231</v>
      </c>
      <c r="M140" s="214">
        <v>4822</v>
      </c>
    </row>
    <row r="141" ht="15.75" spans="1:13">
      <c r="A141" s="208" t="s">
        <v>12</v>
      </c>
      <c r="B141" s="209">
        <v>45797</v>
      </c>
      <c r="C141" s="210"/>
      <c r="D141" s="210"/>
      <c r="E141" s="211">
        <v>23922.166</v>
      </c>
      <c r="F141" s="211">
        <v>6.046068</v>
      </c>
      <c r="G141" s="211">
        <v>6.3322021</v>
      </c>
      <c r="H141" s="211">
        <v>31.94125</v>
      </c>
      <c r="I141" s="212">
        <v>0.8115</v>
      </c>
      <c r="J141" s="213">
        <f t="shared" si="2"/>
        <v>0.206710268906401</v>
      </c>
      <c r="K141" s="211">
        <v>46.4376666666667</v>
      </c>
      <c r="L141" s="211">
        <v>46.4376666666667</v>
      </c>
      <c r="M141" s="214">
        <v>4822</v>
      </c>
    </row>
    <row r="142" ht="15.75" spans="1:13">
      <c r="A142" s="208" t="s">
        <v>12</v>
      </c>
      <c r="B142" s="209">
        <v>45798</v>
      </c>
      <c r="C142" s="210"/>
      <c r="D142" s="210"/>
      <c r="E142" s="211">
        <v>24168.306</v>
      </c>
      <c r="F142" s="211">
        <v>6.418245</v>
      </c>
      <c r="G142" s="211">
        <v>6.7383751</v>
      </c>
      <c r="H142" s="211">
        <v>31.37375</v>
      </c>
      <c r="I142" s="212">
        <v>0.8234</v>
      </c>
      <c r="J142" s="213">
        <f t="shared" si="2"/>
        <v>0.208837152633762</v>
      </c>
      <c r="K142" s="211">
        <v>46.2695</v>
      </c>
      <c r="L142" s="211">
        <v>46.2695</v>
      </c>
      <c r="M142" s="214">
        <v>4822</v>
      </c>
    </row>
    <row r="143" ht="15.75" spans="1:13">
      <c r="A143" s="208" t="s">
        <v>12</v>
      </c>
      <c r="B143" s="209">
        <v>45799</v>
      </c>
      <c r="C143" s="210"/>
      <c r="D143" s="210"/>
      <c r="E143" s="211">
        <v>183.498</v>
      </c>
      <c r="F143" s="211">
        <v>6.2679203</v>
      </c>
      <c r="G143" s="211">
        <v>6.5776973</v>
      </c>
      <c r="H143" s="211">
        <v>30.2745833333333</v>
      </c>
      <c r="I143" s="212">
        <v>0.6786</v>
      </c>
      <c r="J143" s="213">
        <f t="shared" si="2"/>
        <v>0.00158559726254666</v>
      </c>
      <c r="K143" s="211">
        <v>43.3608461538462</v>
      </c>
      <c r="L143" s="211">
        <v>43.3608461538462</v>
      </c>
      <c r="M143" s="214">
        <v>4822</v>
      </c>
    </row>
    <row r="144" ht="15.75" spans="1:13">
      <c r="A144" s="208" t="s">
        <v>12</v>
      </c>
      <c r="B144" s="209">
        <v>45800</v>
      </c>
      <c r="C144" s="210"/>
      <c r="D144" s="210"/>
      <c r="E144" s="211">
        <v>26474.503</v>
      </c>
      <c r="F144" s="211">
        <v>6.7030147</v>
      </c>
      <c r="G144" s="211">
        <v>7.0638273</v>
      </c>
      <c r="H144" s="211">
        <v>30.4970833333333</v>
      </c>
      <c r="I144" s="212">
        <v>0.7836</v>
      </c>
      <c r="J144" s="213">
        <f t="shared" si="2"/>
        <v>0.228764888358911</v>
      </c>
      <c r="K144" s="211">
        <v>44.6713846153846</v>
      </c>
      <c r="L144" s="211">
        <v>44.6713846153846</v>
      </c>
      <c r="M144" s="214">
        <v>4822</v>
      </c>
    </row>
    <row r="145" ht="15.75" spans="1:13">
      <c r="A145" s="208" t="s">
        <v>12</v>
      </c>
      <c r="B145" s="209">
        <v>45801</v>
      </c>
      <c r="C145" s="210"/>
      <c r="D145" s="210"/>
      <c r="E145" s="211">
        <v>28288.194</v>
      </c>
      <c r="F145" s="211">
        <v>7.1745725</v>
      </c>
      <c r="G145" s="211">
        <v>7.6235334</v>
      </c>
      <c r="H145" s="211">
        <v>29.5183333333333</v>
      </c>
      <c r="I145" s="212">
        <v>0.7839</v>
      </c>
      <c r="J145" s="213">
        <f t="shared" si="2"/>
        <v>0.244436903774367</v>
      </c>
      <c r="K145" s="211">
        <v>44.4289230769231</v>
      </c>
      <c r="L145" s="211">
        <v>44.4289230769231</v>
      </c>
      <c r="M145" s="214">
        <v>4822</v>
      </c>
    </row>
    <row r="146" ht="15.75" spans="1:13">
      <c r="A146" s="208" t="s">
        <v>12</v>
      </c>
      <c r="B146" s="209">
        <v>45802</v>
      </c>
      <c r="C146" s="210"/>
      <c r="D146" s="210"/>
      <c r="E146" s="211">
        <v>26784.442</v>
      </c>
      <c r="F146" s="211">
        <v>6.7599208</v>
      </c>
      <c r="G146" s="211">
        <v>7.1563976</v>
      </c>
      <c r="H146" s="211">
        <v>29.6858333333333</v>
      </c>
      <c r="I146" s="212">
        <v>0.7878</v>
      </c>
      <c r="J146" s="213">
        <f t="shared" si="2"/>
        <v>0.231443056131619</v>
      </c>
      <c r="K146" s="211">
        <v>43.8089230769231</v>
      </c>
      <c r="L146" s="211">
        <v>43.8089230769231</v>
      </c>
      <c r="M146" s="214">
        <v>4822</v>
      </c>
    </row>
    <row r="147" ht="15.75" spans="1:13">
      <c r="A147" s="208" t="s">
        <v>12</v>
      </c>
      <c r="B147" s="209">
        <v>45803</v>
      </c>
      <c r="C147" s="210"/>
      <c r="D147" s="210"/>
      <c r="E147" s="211">
        <v>22092.986</v>
      </c>
      <c r="F147" s="211">
        <v>5.504037</v>
      </c>
      <c r="G147" s="211">
        <v>5.7866904</v>
      </c>
      <c r="H147" s="211">
        <v>30.1604166666667</v>
      </c>
      <c r="I147" s="212">
        <v>0.8225</v>
      </c>
      <c r="J147" s="213">
        <f t="shared" si="2"/>
        <v>0.190904413797871</v>
      </c>
      <c r="K147" s="211">
        <v>42.8736666666667</v>
      </c>
      <c r="L147" s="211">
        <v>42.8736666666667</v>
      </c>
      <c r="M147" s="214">
        <v>4822</v>
      </c>
    </row>
    <row r="148" ht="15.75" spans="1:13">
      <c r="A148" s="208" t="s">
        <v>12</v>
      </c>
      <c r="B148" s="209">
        <v>45804</v>
      </c>
      <c r="C148" s="210"/>
      <c r="D148" s="210"/>
      <c r="E148" s="211">
        <v>26818.593</v>
      </c>
      <c r="F148" s="211">
        <v>6.8002011</v>
      </c>
      <c r="G148" s="211">
        <v>7.2119484</v>
      </c>
      <c r="H148" s="211">
        <v>30.6829166666667</v>
      </c>
      <c r="I148" s="212">
        <v>0.7836</v>
      </c>
      <c r="J148" s="213">
        <f t="shared" si="2"/>
        <v>0.23173815325591</v>
      </c>
      <c r="K148" s="211">
        <v>45.0343076923077</v>
      </c>
      <c r="L148" s="211">
        <v>45.0343076923077</v>
      </c>
      <c r="M148" s="214">
        <v>4822</v>
      </c>
    </row>
    <row r="149" ht="15.75" spans="1:13">
      <c r="A149" s="208" t="s">
        <v>12</v>
      </c>
      <c r="B149" s="209">
        <v>45805</v>
      </c>
      <c r="C149" s="210"/>
      <c r="D149" s="210"/>
      <c r="E149" s="211">
        <v>26777.018</v>
      </c>
      <c r="F149" s="211">
        <v>6.7953965</v>
      </c>
      <c r="G149" s="211">
        <v>7.2045986</v>
      </c>
      <c r="H149" s="211">
        <v>30.8733333333333</v>
      </c>
      <c r="I149" s="212">
        <v>0.7855</v>
      </c>
      <c r="J149" s="213">
        <f t="shared" si="2"/>
        <v>0.231378905709941</v>
      </c>
      <c r="K149" s="211">
        <v>45.2342307692308</v>
      </c>
      <c r="L149" s="211">
        <v>45.2342307692308</v>
      </c>
      <c r="M149" s="214">
        <v>4822</v>
      </c>
    </row>
    <row r="150" ht="15.75" spans="1:13">
      <c r="A150" s="208" t="s">
        <v>12</v>
      </c>
      <c r="B150" s="209">
        <v>45806</v>
      </c>
      <c r="C150" s="210"/>
      <c r="D150" s="210"/>
      <c r="E150" s="211">
        <v>22769.821</v>
      </c>
      <c r="F150" s="211">
        <v>5.6906716</v>
      </c>
      <c r="G150" s="211">
        <v>5.9796054</v>
      </c>
      <c r="H150" s="211">
        <v>29.7291666666667</v>
      </c>
      <c r="I150" s="212">
        <v>0.7917</v>
      </c>
      <c r="J150" s="213">
        <f t="shared" si="2"/>
        <v>0.196752912000553</v>
      </c>
      <c r="K150" s="211">
        <v>41.5108461538462</v>
      </c>
      <c r="L150" s="211">
        <v>41.5108461538462</v>
      </c>
      <c r="M150" s="214">
        <v>4822</v>
      </c>
    </row>
    <row r="151" ht="15.75" spans="1:13">
      <c r="A151" s="208" t="s">
        <v>12</v>
      </c>
      <c r="B151" s="209">
        <v>45807</v>
      </c>
      <c r="C151" s="210"/>
      <c r="D151" s="210"/>
      <c r="E151" s="211">
        <v>24596.876</v>
      </c>
      <c r="F151" s="211">
        <v>6.15967</v>
      </c>
      <c r="G151" s="211">
        <v>6.4989086</v>
      </c>
      <c r="H151" s="211">
        <v>29.1991666666667</v>
      </c>
      <c r="I151" s="212">
        <v>0.8218</v>
      </c>
      <c r="J151" s="213">
        <f t="shared" si="2"/>
        <v>0.212540405087792</v>
      </c>
      <c r="K151" s="211">
        <v>43.2339166666667</v>
      </c>
      <c r="L151" s="211">
        <v>43.2339166666667</v>
      </c>
      <c r="M151" s="214">
        <v>4822</v>
      </c>
    </row>
    <row r="152" ht="15.75" spans="1:13">
      <c r="A152" s="208" t="s">
        <v>12</v>
      </c>
      <c r="B152" s="209">
        <v>45808</v>
      </c>
      <c r="C152" s="210"/>
      <c r="D152" s="210"/>
      <c r="E152" s="211">
        <v>26707.056</v>
      </c>
      <c r="F152" s="211">
        <v>6.7261525</v>
      </c>
      <c r="G152" s="211">
        <v>7.1509778</v>
      </c>
      <c r="H152" s="211">
        <v>29.3158333333333</v>
      </c>
      <c r="I152" s="212">
        <v>0.792</v>
      </c>
      <c r="J152" s="213">
        <f t="shared" si="2"/>
        <v>0.230774367482372</v>
      </c>
      <c r="K152" s="211">
        <v>43.3666923076923</v>
      </c>
      <c r="L152" s="211">
        <v>43.3666923076923</v>
      </c>
      <c r="M152" s="214">
        <v>4822</v>
      </c>
    </row>
    <row r="153" ht="15.75" spans="1:13">
      <c r="A153" s="208" t="s">
        <v>12</v>
      </c>
      <c r="B153" s="209">
        <v>45809</v>
      </c>
      <c r="C153" s="210"/>
      <c r="D153" s="210"/>
      <c r="E153" s="211">
        <v>19708.921</v>
      </c>
      <c r="F153" s="211">
        <v>4.8392706</v>
      </c>
      <c r="G153" s="211">
        <v>5.1024947</v>
      </c>
      <c r="H153" s="211">
        <v>27.2566666666667</v>
      </c>
      <c r="I153" s="212">
        <v>0.8076</v>
      </c>
      <c r="J153" s="213">
        <f t="shared" si="2"/>
        <v>0.170303824484999</v>
      </c>
      <c r="K153" s="211">
        <v>37.0513846153846</v>
      </c>
      <c r="L153" s="211">
        <v>37.0513846153846</v>
      </c>
      <c r="M153" s="214">
        <v>4822</v>
      </c>
    </row>
    <row r="154" ht="15.75" spans="1:13">
      <c r="A154" s="208" t="s">
        <v>12</v>
      </c>
      <c r="B154" s="209">
        <v>45810</v>
      </c>
      <c r="C154" s="210"/>
      <c r="D154" s="210"/>
      <c r="E154" s="211">
        <v>21148.666</v>
      </c>
      <c r="F154" s="211">
        <v>5.255114</v>
      </c>
      <c r="G154" s="211">
        <v>5.567882</v>
      </c>
      <c r="H154" s="211">
        <v>28.46</v>
      </c>
      <c r="I154" s="212">
        <v>0.8285</v>
      </c>
      <c r="J154" s="213">
        <f t="shared" si="2"/>
        <v>0.182744590764551</v>
      </c>
      <c r="K154" s="211">
        <v>40.3881666666667</v>
      </c>
      <c r="L154" s="211">
        <v>40.3881666666667</v>
      </c>
      <c r="M154" s="214">
        <v>4822</v>
      </c>
    </row>
    <row r="155" ht="15.75" spans="1:13">
      <c r="A155" s="208" t="s">
        <v>12</v>
      </c>
      <c r="B155" s="209">
        <v>45811</v>
      </c>
      <c r="C155" s="210"/>
      <c r="D155" s="210"/>
      <c r="E155" s="211">
        <v>19096.806</v>
      </c>
      <c r="F155" s="211">
        <v>4.744154</v>
      </c>
      <c r="G155" s="211">
        <v>5.0452151</v>
      </c>
      <c r="H155" s="211">
        <v>28.0829166666667</v>
      </c>
      <c r="I155" s="212">
        <v>0.8286</v>
      </c>
      <c r="J155" s="213">
        <f t="shared" si="2"/>
        <v>0.165014568643716</v>
      </c>
      <c r="K155" s="211">
        <v>38.7720833333333</v>
      </c>
      <c r="L155" s="211">
        <v>38.7720833333333</v>
      </c>
      <c r="M155" s="214">
        <v>4822</v>
      </c>
    </row>
    <row r="156" ht="15.75" spans="1:13">
      <c r="A156" s="208" t="s">
        <v>12</v>
      </c>
      <c r="B156" s="209">
        <v>45812</v>
      </c>
      <c r="C156" s="210"/>
      <c r="D156" s="210"/>
      <c r="E156" s="211">
        <v>24504.406</v>
      </c>
      <c r="F156" s="211">
        <v>6.0974775</v>
      </c>
      <c r="G156" s="211">
        <v>6.4779065</v>
      </c>
      <c r="H156" s="211">
        <v>28.51125</v>
      </c>
      <c r="I156" s="212">
        <v>0.7966</v>
      </c>
      <c r="J156" s="213">
        <f t="shared" si="2"/>
        <v>0.211741376330706</v>
      </c>
      <c r="K156" s="211">
        <v>41.0249230769231</v>
      </c>
      <c r="L156" s="211">
        <v>41.0249230769231</v>
      </c>
      <c r="M156" s="214">
        <v>4822</v>
      </c>
    </row>
    <row r="157" ht="15.75" spans="1:13">
      <c r="A157" s="208" t="s">
        <v>12</v>
      </c>
      <c r="B157" s="209">
        <v>45813</v>
      </c>
      <c r="C157" s="210"/>
      <c r="D157" s="210"/>
      <c r="E157" s="211">
        <v>14386.909</v>
      </c>
      <c r="F157" s="211">
        <v>3.521314</v>
      </c>
      <c r="G157" s="211">
        <v>3.6880251</v>
      </c>
      <c r="H157" s="211">
        <v>28.8175</v>
      </c>
      <c r="I157" s="212">
        <v>0.8269</v>
      </c>
      <c r="J157" s="213">
        <f t="shared" si="2"/>
        <v>0.124316578528964</v>
      </c>
      <c r="K157" s="211">
        <v>36.72575</v>
      </c>
      <c r="L157" s="211">
        <v>36.72575</v>
      </c>
      <c r="M157" s="214">
        <v>4822</v>
      </c>
    </row>
    <row r="158" ht="15.75" spans="1:13">
      <c r="A158" s="208" t="s">
        <v>12</v>
      </c>
      <c r="B158" s="209">
        <v>45814</v>
      </c>
      <c r="C158" s="210"/>
      <c r="D158" s="210"/>
      <c r="E158" s="211">
        <v>18012.226</v>
      </c>
      <c r="F158" s="211">
        <v>4.431443</v>
      </c>
      <c r="G158" s="211">
        <v>4.6620843</v>
      </c>
      <c r="H158" s="211">
        <v>28.72</v>
      </c>
      <c r="I158" s="212">
        <v>0.8324</v>
      </c>
      <c r="J158" s="213">
        <f t="shared" si="2"/>
        <v>0.155642765795659</v>
      </c>
      <c r="K158" s="211">
        <v>38.6665</v>
      </c>
      <c r="L158" s="211">
        <v>38.6665</v>
      </c>
      <c r="M158" s="214">
        <v>4822</v>
      </c>
    </row>
    <row r="159" ht="15.75" spans="1:13">
      <c r="A159" s="208" t="s">
        <v>12</v>
      </c>
      <c r="B159" s="209">
        <v>45815</v>
      </c>
      <c r="C159" s="210"/>
      <c r="D159" s="210"/>
      <c r="E159" s="211">
        <v>13077.046</v>
      </c>
      <c r="F159" s="211">
        <v>3.193244</v>
      </c>
      <c r="G159" s="211">
        <v>3.3424945</v>
      </c>
      <c r="H159" s="211">
        <v>28.25</v>
      </c>
      <c r="I159" s="212">
        <v>0.8337</v>
      </c>
      <c r="J159" s="213">
        <f t="shared" si="2"/>
        <v>0.112998116272639</v>
      </c>
      <c r="K159" s="211">
        <v>35.2554166666667</v>
      </c>
      <c r="L159" s="211">
        <v>35.2554166666667</v>
      </c>
      <c r="M159" s="214">
        <v>4822</v>
      </c>
    </row>
    <row r="160" ht="15.75" spans="1:13">
      <c r="A160" s="208" t="s">
        <v>12</v>
      </c>
      <c r="B160" s="209">
        <v>45816</v>
      </c>
      <c r="C160" s="210"/>
      <c r="D160" s="210"/>
      <c r="E160" s="211">
        <v>16279.326</v>
      </c>
      <c r="F160" s="211">
        <v>3.966425</v>
      </c>
      <c r="G160" s="211">
        <v>4.1737948</v>
      </c>
      <c r="H160" s="211">
        <v>26.89625</v>
      </c>
      <c r="I160" s="212">
        <v>0.8361</v>
      </c>
      <c r="J160" s="213">
        <f t="shared" si="2"/>
        <v>0.14066886146827</v>
      </c>
      <c r="K160" s="211">
        <v>35.74925</v>
      </c>
      <c r="L160" s="211">
        <v>35.74925</v>
      </c>
      <c r="M160" s="214">
        <v>4822</v>
      </c>
    </row>
    <row r="161" ht="15.75" spans="1:13">
      <c r="A161" s="208" t="s">
        <v>12</v>
      </c>
      <c r="B161" s="209">
        <v>45817</v>
      </c>
      <c r="C161" s="210"/>
      <c r="D161" s="210"/>
      <c r="E161" s="211">
        <v>12329.016</v>
      </c>
      <c r="F161" s="211">
        <v>3.003427</v>
      </c>
      <c r="G161" s="211">
        <v>3.1492388</v>
      </c>
      <c r="H161" s="211">
        <v>27.52375</v>
      </c>
      <c r="I161" s="212">
        <v>0.8353</v>
      </c>
      <c r="J161" s="213">
        <f t="shared" si="2"/>
        <v>0.106534425549564</v>
      </c>
      <c r="K161" s="211">
        <v>34.08125</v>
      </c>
      <c r="L161" s="211">
        <v>34.08125</v>
      </c>
      <c r="M161" s="214">
        <v>4822</v>
      </c>
    </row>
    <row r="162" ht="15.75" spans="1:13">
      <c r="A162" s="208" t="s">
        <v>12</v>
      </c>
      <c r="B162" s="209">
        <v>45818</v>
      </c>
      <c r="C162" s="210"/>
      <c r="D162" s="210"/>
      <c r="E162" s="211">
        <v>13919.078</v>
      </c>
      <c r="F162" s="211">
        <v>3.41272</v>
      </c>
      <c r="G162" s="211">
        <v>3.586897</v>
      </c>
      <c r="H162" s="211">
        <v>28.1975</v>
      </c>
      <c r="I162" s="212">
        <v>0.8148</v>
      </c>
      <c r="J162" s="213">
        <f t="shared" si="2"/>
        <v>0.120274073690032</v>
      </c>
      <c r="K162" s="211">
        <v>35.4760833333333</v>
      </c>
      <c r="L162" s="211">
        <v>35.4760833333333</v>
      </c>
      <c r="M162" s="214">
        <v>4822</v>
      </c>
    </row>
    <row r="163" ht="15.75" spans="1:13">
      <c r="A163" s="208" t="s">
        <v>12</v>
      </c>
      <c r="B163" s="209">
        <v>45819</v>
      </c>
      <c r="C163" s="210"/>
      <c r="D163" s="210"/>
      <c r="E163" s="211">
        <v>18257.889</v>
      </c>
      <c r="F163" s="211">
        <v>4.508741</v>
      </c>
      <c r="G163" s="211">
        <v>4.7701986</v>
      </c>
      <c r="H163" s="211">
        <v>28.9975</v>
      </c>
      <c r="I163" s="212">
        <v>0.8033</v>
      </c>
      <c r="J163" s="213">
        <f t="shared" si="2"/>
        <v>0.157765527789299</v>
      </c>
      <c r="K163" s="211">
        <v>38.4955384615385</v>
      </c>
      <c r="L163" s="211">
        <v>38.4955384615385</v>
      </c>
      <c r="M163" s="214">
        <v>4822</v>
      </c>
    </row>
    <row r="164" ht="15.75" spans="1:13">
      <c r="A164" s="208" t="s">
        <v>12</v>
      </c>
      <c r="B164" s="209">
        <v>45820</v>
      </c>
      <c r="C164" s="210"/>
      <c r="D164" s="210"/>
      <c r="E164" s="211">
        <v>25475.783</v>
      </c>
      <c r="F164" s="211">
        <v>6.333127</v>
      </c>
      <c r="G164" s="211">
        <v>6.7506622</v>
      </c>
      <c r="H164" s="211">
        <v>26.84875</v>
      </c>
      <c r="I164" s="212">
        <v>0.8066</v>
      </c>
      <c r="J164" s="213">
        <f t="shared" si="2"/>
        <v>0.220134997580534</v>
      </c>
      <c r="K164" s="211">
        <v>39.601</v>
      </c>
      <c r="L164" s="211">
        <v>39.601</v>
      </c>
      <c r="M164" s="214">
        <v>4822</v>
      </c>
    </row>
    <row r="165" ht="15.75" spans="1:13">
      <c r="A165" s="208" t="s">
        <v>12</v>
      </c>
      <c r="B165" s="209">
        <v>45821</v>
      </c>
      <c r="C165" s="210"/>
      <c r="D165" s="210"/>
      <c r="E165" s="211">
        <v>25270.633</v>
      </c>
      <c r="F165" s="211">
        <v>6.3724726</v>
      </c>
      <c r="G165" s="211">
        <v>6.8188135</v>
      </c>
      <c r="H165" s="211">
        <v>30.795</v>
      </c>
      <c r="I165" s="212">
        <v>0.7898</v>
      </c>
      <c r="J165" s="213">
        <f t="shared" si="2"/>
        <v>0.218362306442693</v>
      </c>
      <c r="K165" s="211">
        <v>44.3712307692308</v>
      </c>
      <c r="L165" s="211">
        <v>44.3712307692308</v>
      </c>
      <c r="M165" s="214">
        <v>4822</v>
      </c>
    </row>
    <row r="166" ht="15.75" spans="1:13">
      <c r="A166" s="208" t="s">
        <v>12</v>
      </c>
      <c r="B166" s="209">
        <v>45822</v>
      </c>
      <c r="C166" s="210"/>
      <c r="D166" s="210"/>
      <c r="E166" s="211">
        <v>25855.382</v>
      </c>
      <c r="F166" s="211">
        <v>6.4825025</v>
      </c>
      <c r="G166" s="211">
        <v>6.9324744</v>
      </c>
      <c r="H166" s="211">
        <v>29.2729166666667</v>
      </c>
      <c r="I166" s="212">
        <v>0.7932</v>
      </c>
      <c r="J166" s="213">
        <f t="shared" si="2"/>
        <v>0.223415094013549</v>
      </c>
      <c r="K166" s="211">
        <v>42.4222307692308</v>
      </c>
      <c r="L166" s="211">
        <v>42.4222307692308</v>
      </c>
      <c r="M166" s="214">
        <v>4822</v>
      </c>
    </row>
    <row r="167" ht="15.75" spans="1:13">
      <c r="A167" s="208" t="s">
        <v>12</v>
      </c>
      <c r="B167" s="209">
        <v>45823</v>
      </c>
      <c r="C167" s="210"/>
      <c r="D167" s="210"/>
      <c r="E167" s="211">
        <v>23101.948</v>
      </c>
      <c r="F167" s="211">
        <v>5.7276737</v>
      </c>
      <c r="G167" s="211">
        <v>6.0685314</v>
      </c>
      <c r="H167" s="211">
        <v>27.6654166666667</v>
      </c>
      <c r="I167" s="212">
        <v>0.799</v>
      </c>
      <c r="J167" s="213">
        <f t="shared" si="2"/>
        <v>0.199622805198396</v>
      </c>
      <c r="K167" s="211">
        <v>39.3145384615385</v>
      </c>
      <c r="L167" s="211">
        <v>39.3145384615385</v>
      </c>
      <c r="M167" s="214">
        <v>4822</v>
      </c>
    </row>
    <row r="168" ht="15.75" spans="1:13">
      <c r="A168" s="208" t="s">
        <v>12</v>
      </c>
      <c r="B168" s="209">
        <v>45824</v>
      </c>
      <c r="C168" s="210"/>
      <c r="D168" s="210"/>
      <c r="E168" s="211">
        <v>24471.103</v>
      </c>
      <c r="F168" s="211">
        <v>6.1160976</v>
      </c>
      <c r="G168" s="211">
        <v>6.5049534</v>
      </c>
      <c r="H168" s="211">
        <v>29.0770833333333</v>
      </c>
      <c r="I168" s="212">
        <v>0.7976</v>
      </c>
      <c r="J168" s="213">
        <f t="shared" si="2"/>
        <v>0.211453606733029</v>
      </c>
      <c r="K168" s="211">
        <v>41.8003846153846</v>
      </c>
      <c r="L168" s="211">
        <v>41.8003846153846</v>
      </c>
      <c r="M168" s="214">
        <v>4822</v>
      </c>
    </row>
    <row r="169" ht="15.75" spans="1:13">
      <c r="A169" s="208" t="s">
        <v>12</v>
      </c>
      <c r="B169" s="209">
        <v>45825</v>
      </c>
      <c r="C169" s="210"/>
      <c r="D169" s="210"/>
      <c r="E169" s="211">
        <v>24027.107</v>
      </c>
      <c r="F169" s="211">
        <v>5.9863664</v>
      </c>
      <c r="G169" s="211">
        <v>6.38016</v>
      </c>
      <c r="H169" s="211">
        <v>29.17375</v>
      </c>
      <c r="I169" s="212">
        <v>0.7992</v>
      </c>
      <c r="J169" s="213">
        <f t="shared" si="2"/>
        <v>0.207617058965851</v>
      </c>
      <c r="K169" s="211">
        <v>41.3908461538462</v>
      </c>
      <c r="L169" s="211">
        <v>41.3908461538462</v>
      </c>
      <c r="M169" s="214">
        <v>4822</v>
      </c>
    </row>
    <row r="170" ht="15.75" spans="1:13">
      <c r="A170" s="208" t="s">
        <v>12</v>
      </c>
      <c r="B170" s="209">
        <v>45826</v>
      </c>
      <c r="C170" s="210"/>
      <c r="D170" s="210"/>
      <c r="E170" s="211">
        <v>21379.127</v>
      </c>
      <c r="F170" s="211">
        <v>5.3558618</v>
      </c>
      <c r="G170" s="211">
        <v>5.6661113</v>
      </c>
      <c r="H170" s="211">
        <v>30.1745833333333</v>
      </c>
      <c r="I170" s="212">
        <v>0.7935</v>
      </c>
      <c r="J170" s="213">
        <f t="shared" si="2"/>
        <v>0.184735993018111</v>
      </c>
      <c r="K170" s="211">
        <v>41.2167692307692</v>
      </c>
      <c r="L170" s="211">
        <v>41.2167692307692</v>
      </c>
      <c r="M170" s="214">
        <v>4822</v>
      </c>
    </row>
    <row r="171" ht="15.75" spans="1:13">
      <c r="A171" s="208" t="s">
        <v>12</v>
      </c>
      <c r="B171" s="209">
        <v>45827</v>
      </c>
      <c r="C171" s="210"/>
      <c r="D171" s="210"/>
      <c r="E171" s="211">
        <v>22785.486</v>
      </c>
      <c r="F171" s="211">
        <v>5.749726</v>
      </c>
      <c r="G171" s="211">
        <v>6.0840666</v>
      </c>
      <c r="H171" s="211">
        <v>31.5529166666667</v>
      </c>
      <c r="I171" s="212">
        <v>0.8147</v>
      </c>
      <c r="J171" s="213">
        <f t="shared" si="2"/>
        <v>0.196888272501037</v>
      </c>
      <c r="K171" s="211">
        <v>45.0931666666667</v>
      </c>
      <c r="L171" s="211">
        <v>45.0931666666667</v>
      </c>
      <c r="M171" s="214">
        <v>4822</v>
      </c>
    </row>
    <row r="172" ht="15.75" spans="1:13">
      <c r="A172" s="208" t="s">
        <v>12</v>
      </c>
      <c r="B172" s="209">
        <v>45828</v>
      </c>
      <c r="C172" s="210"/>
      <c r="D172" s="210"/>
      <c r="E172" s="211">
        <v>21425.675</v>
      </c>
      <c r="F172" s="211">
        <v>5.4266664</v>
      </c>
      <c r="G172" s="211">
        <v>5.7457845</v>
      </c>
      <c r="H172" s="211">
        <v>31.1254166666667</v>
      </c>
      <c r="I172" s="212">
        <v>0.7629</v>
      </c>
      <c r="J172" s="213">
        <f t="shared" si="2"/>
        <v>0.185138212014379</v>
      </c>
      <c r="K172" s="211">
        <v>42.3776923076923</v>
      </c>
      <c r="L172" s="211">
        <v>42.3776923076923</v>
      </c>
      <c r="M172" s="214">
        <v>4822</v>
      </c>
    </row>
    <row r="173" ht="15.75" spans="1:13">
      <c r="A173" s="208" t="s">
        <v>12</v>
      </c>
      <c r="B173" s="209">
        <v>45829</v>
      </c>
      <c r="C173" s="210"/>
      <c r="D173" s="210"/>
      <c r="E173" s="211">
        <v>21863.921</v>
      </c>
      <c r="F173" s="211">
        <v>5.4794764</v>
      </c>
      <c r="G173" s="211">
        <v>5.8085829</v>
      </c>
      <c r="H173" s="211">
        <v>30.5425</v>
      </c>
      <c r="I173" s="212">
        <v>0.7924</v>
      </c>
      <c r="J173" s="213">
        <f t="shared" si="2"/>
        <v>0.18892507431218</v>
      </c>
      <c r="K173" s="211">
        <v>41.5505384615385</v>
      </c>
      <c r="L173" s="211">
        <v>41.5505384615385</v>
      </c>
      <c r="M173" s="214">
        <v>4822</v>
      </c>
    </row>
    <row r="174" ht="15.75" spans="1:13">
      <c r="A174" s="208" t="s">
        <v>12</v>
      </c>
      <c r="B174" s="209">
        <v>45830</v>
      </c>
      <c r="C174" s="210"/>
      <c r="D174" s="210"/>
      <c r="E174" s="211">
        <v>24211.236</v>
      </c>
      <c r="F174" s="211">
        <v>6.07375</v>
      </c>
      <c r="G174" s="211">
        <v>6.456733</v>
      </c>
      <c r="H174" s="211">
        <v>30.3979166666667</v>
      </c>
      <c r="I174" s="212">
        <v>0.8208</v>
      </c>
      <c r="J174" s="213">
        <f t="shared" si="2"/>
        <v>0.209208108668602</v>
      </c>
      <c r="K174" s="211">
        <v>44.2341666666667</v>
      </c>
      <c r="L174" s="211">
        <v>44.2341666666667</v>
      </c>
      <c r="M174" s="214">
        <v>4822</v>
      </c>
    </row>
    <row r="175" ht="15.75" spans="1:13">
      <c r="A175" s="208" t="s">
        <v>12</v>
      </c>
      <c r="B175" s="209">
        <v>45831</v>
      </c>
      <c r="C175" s="210"/>
      <c r="D175" s="210"/>
      <c r="E175" s="211">
        <v>22997.606</v>
      </c>
      <c r="F175" s="211">
        <v>5.762125</v>
      </c>
      <c r="G175" s="211">
        <v>6.0761947</v>
      </c>
      <c r="H175" s="211">
        <v>29.7633333333333</v>
      </c>
      <c r="I175" s="212">
        <v>0.8185</v>
      </c>
      <c r="J175" s="213">
        <f t="shared" si="2"/>
        <v>0.198721191068713</v>
      </c>
      <c r="K175" s="211">
        <v>42.7905833333333</v>
      </c>
      <c r="L175" s="211">
        <v>42.7905833333333</v>
      </c>
      <c r="M175" s="214">
        <v>4822</v>
      </c>
    </row>
    <row r="176" ht="15.75" spans="1:13">
      <c r="A176" s="208" t="s">
        <v>12</v>
      </c>
      <c r="B176" s="209">
        <v>45832</v>
      </c>
      <c r="C176" s="210"/>
      <c r="D176" s="210"/>
      <c r="E176" s="211">
        <v>23107.776</v>
      </c>
      <c r="F176" s="211">
        <v>5.754609</v>
      </c>
      <c r="G176" s="211">
        <v>6.0873997</v>
      </c>
      <c r="H176" s="211">
        <v>28.8975</v>
      </c>
      <c r="I176" s="212">
        <v>0.8257</v>
      </c>
      <c r="J176" s="213">
        <f t="shared" si="2"/>
        <v>0.199673164661966</v>
      </c>
      <c r="K176" s="211">
        <v>41.7493333333333</v>
      </c>
      <c r="L176" s="211">
        <v>41.7493333333333</v>
      </c>
      <c r="M176" s="214">
        <v>4822</v>
      </c>
    </row>
    <row r="177" ht="15.75" spans="1:13">
      <c r="A177" s="208" t="s">
        <v>12</v>
      </c>
      <c r="B177" s="209">
        <v>45833</v>
      </c>
      <c r="C177" s="210"/>
      <c r="D177" s="210"/>
      <c r="E177" s="211">
        <v>17175.306</v>
      </c>
      <c r="F177" s="211">
        <v>4.221858</v>
      </c>
      <c r="G177" s="211">
        <v>4.4510788</v>
      </c>
      <c r="H177" s="211">
        <v>29.2833333333333</v>
      </c>
      <c r="I177" s="212">
        <v>0.8314</v>
      </c>
      <c r="J177" s="213">
        <f t="shared" si="2"/>
        <v>0.14841098092078</v>
      </c>
      <c r="K177" s="211">
        <v>38.8075</v>
      </c>
      <c r="L177" s="211">
        <v>38.8075</v>
      </c>
      <c r="M177" s="214">
        <v>4822</v>
      </c>
    </row>
    <row r="178" ht="15.75" spans="1:13">
      <c r="A178" s="208" t="s">
        <v>12</v>
      </c>
      <c r="B178" s="209">
        <v>45834</v>
      </c>
      <c r="C178" s="210"/>
      <c r="D178" s="210"/>
      <c r="E178" s="211">
        <v>19052.176</v>
      </c>
      <c r="F178" s="211">
        <v>4.700688</v>
      </c>
      <c r="G178" s="211">
        <v>4.9576226</v>
      </c>
      <c r="H178" s="211">
        <v>28.8145833333333</v>
      </c>
      <c r="I178" s="212">
        <v>0.8308</v>
      </c>
      <c r="J178" s="213">
        <f t="shared" si="2"/>
        <v>0.164628922991843</v>
      </c>
      <c r="K178" s="211">
        <v>39.3379166666667</v>
      </c>
      <c r="L178" s="211">
        <v>39.3379166666667</v>
      </c>
      <c r="M178" s="214">
        <v>4822</v>
      </c>
    </row>
    <row r="179" ht="15.75" spans="1:13">
      <c r="A179" s="208" t="s">
        <v>12</v>
      </c>
      <c r="B179" s="209">
        <v>45835</v>
      </c>
      <c r="C179" s="210"/>
      <c r="D179" s="210"/>
      <c r="E179" s="211">
        <v>19455.956</v>
      </c>
      <c r="F179" s="211">
        <v>4.804561</v>
      </c>
      <c r="G179" s="211">
        <v>5.0596908</v>
      </c>
      <c r="H179" s="211">
        <v>28.6204166666667</v>
      </c>
      <c r="I179" s="212">
        <v>0.8299</v>
      </c>
      <c r="J179" s="213">
        <f t="shared" si="2"/>
        <v>0.168117966265727</v>
      </c>
      <c r="K179" s="211">
        <v>39.47575</v>
      </c>
      <c r="L179" s="211">
        <v>39.47575</v>
      </c>
      <c r="M179" s="214">
        <v>4822</v>
      </c>
    </row>
    <row r="180" ht="15.75" spans="1:13">
      <c r="A180" s="208" t="s">
        <v>12</v>
      </c>
      <c r="B180" s="209">
        <v>45836</v>
      </c>
      <c r="C180" s="210"/>
      <c r="D180" s="210"/>
      <c r="E180" s="211">
        <v>24040.949</v>
      </c>
      <c r="F180" s="211">
        <v>5.9646242</v>
      </c>
      <c r="G180" s="211">
        <v>6.3464096</v>
      </c>
      <c r="H180" s="211">
        <v>27.6391666666667</v>
      </c>
      <c r="I180" s="212">
        <v>0.7979</v>
      </c>
      <c r="J180" s="213">
        <f t="shared" si="2"/>
        <v>0.207736667012305</v>
      </c>
      <c r="K180" s="211">
        <v>39.877</v>
      </c>
      <c r="L180" s="211">
        <v>39.877</v>
      </c>
      <c r="M180" s="214">
        <v>4822</v>
      </c>
    </row>
    <row r="181" ht="15.75" spans="1:13">
      <c r="A181" s="208" t="s">
        <v>12</v>
      </c>
      <c r="B181" s="209">
        <v>45837</v>
      </c>
      <c r="C181" s="210"/>
      <c r="D181" s="210"/>
      <c r="E181" s="211">
        <v>21694.506</v>
      </c>
      <c r="F181" s="211">
        <v>5.32298</v>
      </c>
      <c r="G181" s="211">
        <v>5.650192</v>
      </c>
      <c r="H181" s="211">
        <v>26.265</v>
      </c>
      <c r="I181" s="212">
        <v>0.8386</v>
      </c>
      <c r="J181" s="213">
        <f t="shared" si="2"/>
        <v>0.187461167565326</v>
      </c>
      <c r="K181" s="211">
        <v>38.0365833333333</v>
      </c>
      <c r="L181" s="211">
        <v>38.0365833333333</v>
      </c>
      <c r="M181" s="214">
        <v>4822</v>
      </c>
    </row>
    <row r="182" ht="15.75" spans="1:13">
      <c r="A182" s="208" t="s">
        <v>12</v>
      </c>
      <c r="B182" s="209">
        <v>45838</v>
      </c>
      <c r="C182" s="210"/>
      <c r="D182" s="210"/>
      <c r="E182" s="211">
        <v>25188.296</v>
      </c>
      <c r="F182" s="211">
        <v>6.280482</v>
      </c>
      <c r="G182" s="211">
        <v>6.6882899</v>
      </c>
      <c r="H182" s="211">
        <v>28.0754166666667</v>
      </c>
      <c r="I182" s="212">
        <v>0.8269</v>
      </c>
      <c r="J182" s="213">
        <f t="shared" si="2"/>
        <v>0.217650836444076</v>
      </c>
      <c r="K182" s="211">
        <v>42.3260833333333</v>
      </c>
      <c r="L182" s="211">
        <v>42.3260833333333</v>
      </c>
      <c r="M182" s="214">
        <v>4822</v>
      </c>
    </row>
    <row r="183" ht="15.75" spans="1:13">
      <c r="A183" s="208" t="s">
        <v>12</v>
      </c>
      <c r="B183" s="209">
        <v>45839</v>
      </c>
      <c r="C183" s="210"/>
      <c r="D183" s="210"/>
      <c r="E183" s="211">
        <v>23896.359</v>
      </c>
      <c r="F183" s="211">
        <v>5.9847381</v>
      </c>
      <c r="G183" s="211">
        <v>6.3146665</v>
      </c>
      <c r="H183" s="211">
        <v>28.7983333333333</v>
      </c>
      <c r="I183" s="212">
        <v>0.7945</v>
      </c>
      <c r="J183" s="213">
        <f t="shared" si="2"/>
        <v>0.206487271878888</v>
      </c>
      <c r="K183" s="211">
        <v>40.9813846153846</v>
      </c>
      <c r="L183" s="211">
        <v>40.9813846153846</v>
      </c>
      <c r="M183" s="214">
        <v>4822</v>
      </c>
    </row>
    <row r="184" ht="15.75" spans="1:13">
      <c r="A184" s="208" t="s">
        <v>12</v>
      </c>
      <c r="B184" s="209">
        <v>45840</v>
      </c>
      <c r="C184" s="210"/>
      <c r="D184" s="210"/>
      <c r="E184" s="211">
        <v>19227.139</v>
      </c>
      <c r="F184" s="211">
        <v>4.7524652</v>
      </c>
      <c r="G184" s="211">
        <v>5.0309011</v>
      </c>
      <c r="H184" s="211">
        <v>29.0920833333333</v>
      </c>
      <c r="I184" s="212">
        <v>0.8069</v>
      </c>
      <c r="J184" s="213">
        <f t="shared" si="2"/>
        <v>0.166140769735933</v>
      </c>
      <c r="K184" s="211">
        <v>38.7526153846154</v>
      </c>
      <c r="L184" s="211">
        <v>38.7526153846154</v>
      </c>
      <c r="M184" s="214">
        <v>4822</v>
      </c>
    </row>
    <row r="185" ht="15.75" spans="1:13">
      <c r="A185" s="208" t="s">
        <v>12</v>
      </c>
      <c r="B185" s="209">
        <v>45841</v>
      </c>
      <c r="C185" s="210"/>
      <c r="D185" s="210"/>
      <c r="E185" s="211">
        <v>12671.486</v>
      </c>
      <c r="F185" s="211">
        <v>3.12833</v>
      </c>
      <c r="G185" s="211">
        <v>3.2717314</v>
      </c>
      <c r="H185" s="211">
        <v>30.1041666666667</v>
      </c>
      <c r="I185" s="212">
        <v>0.8283</v>
      </c>
      <c r="J185" s="213">
        <f t="shared" si="2"/>
        <v>0.109493692105627</v>
      </c>
      <c r="K185" s="211">
        <v>37.1250833333333</v>
      </c>
      <c r="L185" s="211">
        <v>37.1250833333333</v>
      </c>
      <c r="M185" s="214">
        <v>4822</v>
      </c>
    </row>
    <row r="186" ht="15.75" spans="1:13">
      <c r="A186" s="208" t="s">
        <v>12</v>
      </c>
      <c r="B186" s="209">
        <v>45842</v>
      </c>
      <c r="C186" s="210"/>
      <c r="D186" s="210"/>
      <c r="E186" s="211">
        <v>7550.546</v>
      </c>
      <c r="F186" s="211">
        <v>1.864084</v>
      </c>
      <c r="G186" s="211">
        <v>1.9386961</v>
      </c>
      <c r="H186" s="211">
        <v>27.5791666666667</v>
      </c>
      <c r="I186" s="212">
        <v>0.8161</v>
      </c>
      <c r="J186" s="213">
        <f t="shared" si="2"/>
        <v>0.0652438994884557</v>
      </c>
      <c r="K186" s="211">
        <v>31.6108333333333</v>
      </c>
      <c r="L186" s="211">
        <v>31.6108333333333</v>
      </c>
      <c r="M186" s="214">
        <v>4822</v>
      </c>
    </row>
    <row r="187" ht="15.75" spans="1:13">
      <c r="A187" s="208" t="s">
        <v>12</v>
      </c>
      <c r="B187" s="209">
        <v>45843</v>
      </c>
      <c r="C187" s="210"/>
      <c r="D187" s="210"/>
      <c r="E187" s="211">
        <v>20645.516</v>
      </c>
      <c r="F187" s="211">
        <v>5.101441</v>
      </c>
      <c r="G187" s="211">
        <v>5.370382</v>
      </c>
      <c r="H187" s="211">
        <v>28.1795833333333</v>
      </c>
      <c r="I187" s="212">
        <v>0.8315</v>
      </c>
      <c r="J187" s="213">
        <f t="shared" si="2"/>
        <v>0.17839689617033</v>
      </c>
      <c r="K187" s="211">
        <v>39.66925</v>
      </c>
      <c r="L187" s="211">
        <v>39.66925</v>
      </c>
      <c r="M187" s="214">
        <v>4822</v>
      </c>
    </row>
    <row r="188" ht="15.75" spans="1:13">
      <c r="A188" s="208" t="s">
        <v>12</v>
      </c>
      <c r="B188" s="209">
        <v>45844</v>
      </c>
      <c r="C188" s="210"/>
      <c r="D188" s="210"/>
      <c r="E188" s="211">
        <v>24186.426</v>
      </c>
      <c r="F188" s="211">
        <v>5.98238</v>
      </c>
      <c r="G188" s="211">
        <v>6.3597546</v>
      </c>
      <c r="H188" s="211">
        <v>27.38</v>
      </c>
      <c r="I188" s="212">
        <v>0.8306</v>
      </c>
      <c r="J188" s="213">
        <f t="shared" si="2"/>
        <v>0.208993726669432</v>
      </c>
      <c r="K188" s="211">
        <v>40.5676666666667</v>
      </c>
      <c r="L188" s="211">
        <v>40.5676666666667</v>
      </c>
      <c r="M188" s="214">
        <v>4822</v>
      </c>
    </row>
    <row r="189" ht="15.75" spans="1:13">
      <c r="A189" s="208" t="s">
        <v>12</v>
      </c>
      <c r="B189" s="209">
        <v>45845</v>
      </c>
      <c r="C189" s="210"/>
      <c r="D189" s="210"/>
      <c r="E189" s="211">
        <v>15271.966</v>
      </c>
      <c r="F189" s="211">
        <v>3.748503</v>
      </c>
      <c r="G189" s="211">
        <v>3.9138027</v>
      </c>
      <c r="H189" s="211">
        <v>28.2479166666667</v>
      </c>
      <c r="I189" s="212">
        <v>0.8335</v>
      </c>
      <c r="J189" s="213">
        <f t="shared" si="2"/>
        <v>0.131964312871561</v>
      </c>
      <c r="K189" s="211">
        <v>36.6041666666667</v>
      </c>
      <c r="L189" s="211">
        <v>36.6041666666667</v>
      </c>
      <c r="M189" s="214">
        <v>4822</v>
      </c>
    </row>
    <row r="190" ht="15.75" spans="1:13">
      <c r="A190" s="208" t="s">
        <v>12</v>
      </c>
      <c r="B190" s="209">
        <v>45846</v>
      </c>
      <c r="C190" s="210"/>
      <c r="D190" s="210"/>
      <c r="E190" s="211">
        <v>16483.346</v>
      </c>
      <c r="F190" s="211">
        <v>4.049122</v>
      </c>
      <c r="G190" s="211">
        <v>4.2398093</v>
      </c>
      <c r="H190" s="211">
        <v>28.4725</v>
      </c>
      <c r="I190" s="212">
        <v>0.8351</v>
      </c>
      <c r="J190" s="213">
        <f t="shared" si="2"/>
        <v>0.14243178833126</v>
      </c>
      <c r="K190" s="211">
        <v>37.2715</v>
      </c>
      <c r="L190" s="211">
        <v>37.2715</v>
      </c>
      <c r="M190" s="214">
        <v>4822</v>
      </c>
    </row>
    <row r="191" ht="15.75" spans="1:13">
      <c r="A191" s="208" t="s">
        <v>12</v>
      </c>
      <c r="B191" s="209">
        <v>45847</v>
      </c>
      <c r="C191" s="210"/>
      <c r="D191" s="210"/>
      <c r="E191" s="211">
        <v>15291.136</v>
      </c>
      <c r="F191" s="211">
        <v>3.798065</v>
      </c>
      <c r="G191" s="211">
        <v>3.9679896</v>
      </c>
      <c r="H191" s="211">
        <v>31.3825</v>
      </c>
      <c r="I191" s="212">
        <v>0.8228</v>
      </c>
      <c r="J191" s="213">
        <f t="shared" si="2"/>
        <v>0.132129959905986</v>
      </c>
      <c r="K191" s="211">
        <v>40.1375833333333</v>
      </c>
      <c r="L191" s="211">
        <v>40.1375833333333</v>
      </c>
      <c r="M191" s="214">
        <v>4822</v>
      </c>
    </row>
    <row r="192" ht="15.75" spans="1:13">
      <c r="A192" s="208" t="s">
        <v>12</v>
      </c>
      <c r="B192" s="209">
        <v>45848</v>
      </c>
      <c r="C192" s="210"/>
      <c r="D192" s="210"/>
      <c r="E192" s="211">
        <v>18899.221</v>
      </c>
      <c r="F192" s="211">
        <v>4.67931</v>
      </c>
      <c r="G192" s="211">
        <v>4.995888</v>
      </c>
      <c r="H192" s="211">
        <v>28.595</v>
      </c>
      <c r="I192" s="212">
        <v>0.8123</v>
      </c>
      <c r="J192" s="213">
        <f t="shared" si="2"/>
        <v>0.163307246301673</v>
      </c>
      <c r="K192" s="211">
        <v>37.634</v>
      </c>
      <c r="L192" s="211">
        <v>37.634</v>
      </c>
      <c r="M192" s="214">
        <v>4822</v>
      </c>
    </row>
    <row r="193" ht="15.75" spans="1:13">
      <c r="A193" s="208" t="s">
        <v>12</v>
      </c>
      <c r="B193" s="209">
        <v>45849</v>
      </c>
      <c r="C193" s="210"/>
      <c r="D193" s="210"/>
      <c r="E193" s="211">
        <v>18270.436</v>
      </c>
      <c r="F193" s="211">
        <v>4.487635</v>
      </c>
      <c r="G193" s="211">
        <v>4.7124844</v>
      </c>
      <c r="H193" s="211">
        <v>28.3779166666667</v>
      </c>
      <c r="I193" s="212">
        <v>0.8353</v>
      </c>
      <c r="J193" s="213">
        <f t="shared" si="2"/>
        <v>0.157873945803954</v>
      </c>
      <c r="K193" s="211">
        <v>38.4596666666667</v>
      </c>
      <c r="L193" s="211">
        <v>38.4596666666667</v>
      </c>
      <c r="M193" s="214">
        <v>4822</v>
      </c>
    </row>
    <row r="194" ht="15.75" spans="1:13">
      <c r="A194" s="208" t="s">
        <v>12</v>
      </c>
      <c r="B194" s="209">
        <v>45850</v>
      </c>
      <c r="C194" s="210"/>
      <c r="D194" s="210"/>
      <c r="E194" s="211">
        <v>18047.346</v>
      </c>
      <c r="F194" s="211">
        <v>4.454498</v>
      </c>
      <c r="G194" s="211">
        <v>4.7011115</v>
      </c>
      <c r="H194" s="211">
        <v>27.8</v>
      </c>
      <c r="I194" s="212">
        <v>0.8257</v>
      </c>
      <c r="J194" s="213">
        <f t="shared" si="2"/>
        <v>0.155946236001659</v>
      </c>
      <c r="K194" s="211">
        <v>37.2766666666667</v>
      </c>
      <c r="L194" s="211">
        <v>37.2766666666667</v>
      </c>
      <c r="M194" s="214">
        <v>4822</v>
      </c>
    </row>
    <row r="195" ht="15.75" spans="1:13">
      <c r="A195" s="208" t="s">
        <v>12</v>
      </c>
      <c r="B195" s="209">
        <v>45851</v>
      </c>
      <c r="C195" s="210"/>
      <c r="D195" s="210"/>
      <c r="E195" s="211">
        <v>7889.266</v>
      </c>
      <c r="F195" s="211">
        <v>1.944642</v>
      </c>
      <c r="G195" s="211">
        <v>2.0195974</v>
      </c>
      <c r="H195" s="211">
        <v>27.4495833333333</v>
      </c>
      <c r="I195" s="212">
        <v>0.8239</v>
      </c>
      <c r="J195" s="213">
        <f t="shared" ref="J195:J258" si="3">E195/24/M195</f>
        <v>0.0681707624775335</v>
      </c>
      <c r="K195" s="211">
        <v>31.7744166666667</v>
      </c>
      <c r="L195" s="211">
        <v>31.7744166666667</v>
      </c>
      <c r="M195" s="214">
        <v>4822</v>
      </c>
    </row>
    <row r="196" ht="15.75" spans="1:13">
      <c r="A196" s="208" t="s">
        <v>12</v>
      </c>
      <c r="B196" s="209">
        <v>45852</v>
      </c>
      <c r="C196" s="210"/>
      <c r="D196" s="210"/>
      <c r="E196" s="211">
        <v>8948.176</v>
      </c>
      <c r="F196" s="211">
        <v>2.19249</v>
      </c>
      <c r="G196" s="211">
        <v>2.2737839</v>
      </c>
      <c r="H196" s="211">
        <v>26.585</v>
      </c>
      <c r="I196" s="212">
        <v>0.8278</v>
      </c>
      <c r="J196" s="213">
        <f t="shared" si="3"/>
        <v>0.0773207521083921</v>
      </c>
      <c r="K196" s="211">
        <v>31.5695</v>
      </c>
      <c r="L196" s="211">
        <v>31.5695</v>
      </c>
      <c r="M196" s="214">
        <v>4822</v>
      </c>
    </row>
    <row r="197" ht="15.75" spans="1:13">
      <c r="A197" s="208" t="s">
        <v>12</v>
      </c>
      <c r="B197" s="209">
        <v>45853</v>
      </c>
      <c r="C197" s="210"/>
      <c r="D197" s="210"/>
      <c r="E197" s="211">
        <v>14491.226</v>
      </c>
      <c r="F197" s="211">
        <v>3.528746</v>
      </c>
      <c r="G197" s="211">
        <v>3.6711237</v>
      </c>
      <c r="H197" s="211">
        <v>25.9958333333333</v>
      </c>
      <c r="I197" s="212">
        <v>0.8401</v>
      </c>
      <c r="J197" s="213">
        <f t="shared" si="3"/>
        <v>0.125217976634868</v>
      </c>
      <c r="K197" s="211">
        <v>33.6576666666667</v>
      </c>
      <c r="L197" s="211">
        <v>33.6576666666667</v>
      </c>
      <c r="M197" s="214">
        <v>4822</v>
      </c>
    </row>
    <row r="198" ht="15.75" spans="1:13">
      <c r="A198" s="208" t="s">
        <v>12</v>
      </c>
      <c r="B198" s="209">
        <v>45854</v>
      </c>
      <c r="C198" s="210"/>
      <c r="D198" s="210"/>
      <c r="E198" s="211">
        <v>21018.866</v>
      </c>
      <c r="F198" s="211">
        <v>5.156499</v>
      </c>
      <c r="G198" s="211">
        <v>5.4196535</v>
      </c>
      <c r="H198" s="211">
        <v>26.56625</v>
      </c>
      <c r="I198" s="212">
        <v>0.8382</v>
      </c>
      <c r="J198" s="213">
        <f t="shared" si="3"/>
        <v>0.181622995299323</v>
      </c>
      <c r="K198" s="211">
        <v>37.9149166666667</v>
      </c>
      <c r="L198" s="211">
        <v>37.9149166666667</v>
      </c>
      <c r="M198" s="214">
        <v>4822</v>
      </c>
    </row>
    <row r="199" ht="15.75" spans="1:13">
      <c r="A199" s="208" t="s">
        <v>12</v>
      </c>
      <c r="B199" s="209">
        <v>45855</v>
      </c>
      <c r="C199" s="210"/>
      <c r="D199" s="210"/>
      <c r="E199" s="211">
        <v>13805.106</v>
      </c>
      <c r="F199" s="211">
        <v>3.389809</v>
      </c>
      <c r="G199" s="211">
        <v>3.5443087</v>
      </c>
      <c r="H199" s="211">
        <v>27.0691666666667</v>
      </c>
      <c r="I199" s="212">
        <v>0.8268</v>
      </c>
      <c r="J199" s="213">
        <f t="shared" si="3"/>
        <v>0.119289247200332</v>
      </c>
      <c r="K199" s="211">
        <v>34.6215833333333</v>
      </c>
      <c r="L199" s="211">
        <v>34.6215833333333</v>
      </c>
      <c r="M199" s="214">
        <v>4822</v>
      </c>
    </row>
    <row r="200" ht="15.75" spans="1:13">
      <c r="A200" s="208" t="s">
        <v>12</v>
      </c>
      <c r="B200" s="209">
        <v>45856</v>
      </c>
      <c r="C200" s="210"/>
      <c r="D200" s="210"/>
      <c r="E200" s="211">
        <v>14115.126</v>
      </c>
      <c r="F200" s="211">
        <v>3.457888</v>
      </c>
      <c r="G200" s="211">
        <v>3.5940876</v>
      </c>
      <c r="H200" s="211">
        <v>27.8433333333333</v>
      </c>
      <c r="I200" s="212">
        <v>0.8336</v>
      </c>
      <c r="J200" s="213">
        <f t="shared" si="3"/>
        <v>0.121968114890087</v>
      </c>
      <c r="K200" s="211">
        <v>35.5589166666667</v>
      </c>
      <c r="L200" s="211">
        <v>35.5589166666667</v>
      </c>
      <c r="M200" s="214">
        <v>4822</v>
      </c>
    </row>
    <row r="201" ht="15.75" spans="1:13">
      <c r="A201" s="208" t="s">
        <v>12</v>
      </c>
      <c r="B201" s="209">
        <v>45857</v>
      </c>
      <c r="C201" s="210"/>
      <c r="D201" s="210"/>
      <c r="E201" s="211">
        <v>25040.496</v>
      </c>
      <c r="F201" s="211">
        <v>6.288233</v>
      </c>
      <c r="G201" s="211">
        <v>6.5485582</v>
      </c>
      <c r="H201" s="211">
        <v>27.59125</v>
      </c>
      <c r="I201" s="212">
        <v>0.8227</v>
      </c>
      <c r="J201" s="213">
        <f t="shared" si="3"/>
        <v>0.216373703857321</v>
      </c>
      <c r="K201" s="211">
        <v>41.5905</v>
      </c>
      <c r="L201" s="211">
        <v>41.5905</v>
      </c>
      <c r="M201" s="214">
        <v>4822</v>
      </c>
    </row>
    <row r="202" ht="15.75" spans="1:13">
      <c r="A202" s="208" t="s">
        <v>12</v>
      </c>
      <c r="B202" s="209">
        <v>45858</v>
      </c>
      <c r="C202" s="210"/>
      <c r="D202" s="210"/>
      <c r="E202" s="211">
        <v>24250.086</v>
      </c>
      <c r="F202" s="211">
        <v>6.03032</v>
      </c>
      <c r="G202" s="211">
        <v>6.3002964</v>
      </c>
      <c r="H202" s="211">
        <v>26.9125</v>
      </c>
      <c r="I202" s="212">
        <v>0.8312</v>
      </c>
      <c r="J202" s="213">
        <f t="shared" si="3"/>
        <v>0.209543809622563</v>
      </c>
      <c r="K202" s="211">
        <v>40.1345833333333</v>
      </c>
      <c r="L202" s="211">
        <v>40.1345833333333</v>
      </c>
      <c r="M202" s="214">
        <v>4822</v>
      </c>
    </row>
    <row r="203" ht="15.75" spans="1:13">
      <c r="A203" s="208" t="s">
        <v>12</v>
      </c>
      <c r="B203" s="209">
        <v>45859</v>
      </c>
      <c r="C203" s="210"/>
      <c r="D203" s="210"/>
      <c r="E203" s="211">
        <v>25407.346</v>
      </c>
      <c r="F203" s="211">
        <v>6.37062</v>
      </c>
      <c r="G203" s="211">
        <v>6.6715728</v>
      </c>
      <c r="H203" s="211">
        <v>28.9479166666667</v>
      </c>
      <c r="I203" s="212">
        <v>0.823</v>
      </c>
      <c r="J203" s="213">
        <f t="shared" si="3"/>
        <v>0.219543636803539</v>
      </c>
      <c r="K203" s="211">
        <v>43.3265</v>
      </c>
      <c r="L203" s="211">
        <v>43.3265</v>
      </c>
      <c r="M203" s="214">
        <v>4822</v>
      </c>
    </row>
    <row r="204" ht="15.75" spans="1:13">
      <c r="A204" s="208" t="s">
        <v>12</v>
      </c>
      <c r="B204" s="209">
        <v>45860</v>
      </c>
      <c r="C204" s="210"/>
      <c r="D204" s="210"/>
      <c r="E204" s="211">
        <v>20979.506</v>
      </c>
      <c r="F204" s="211">
        <v>5.182257</v>
      </c>
      <c r="G204" s="211">
        <v>5.4455247</v>
      </c>
      <c r="H204" s="211">
        <v>28.6841666666667</v>
      </c>
      <c r="I204" s="212">
        <v>0.8306</v>
      </c>
      <c r="J204" s="213">
        <f t="shared" si="3"/>
        <v>0.181282887460252</v>
      </c>
      <c r="K204" s="211">
        <v>40.2585</v>
      </c>
      <c r="L204" s="211">
        <v>40.2585</v>
      </c>
      <c r="M204" s="214">
        <v>4822</v>
      </c>
    </row>
    <row r="205" ht="15.75" spans="1:13">
      <c r="A205" s="208" t="s">
        <v>12</v>
      </c>
      <c r="B205" s="209">
        <v>45861</v>
      </c>
      <c r="C205" s="210"/>
      <c r="D205" s="210"/>
      <c r="E205" s="211">
        <v>13254.375</v>
      </c>
      <c r="F205" s="211">
        <v>3.249716</v>
      </c>
      <c r="G205" s="211">
        <v>3.3537884</v>
      </c>
      <c r="H205" s="211">
        <v>28.01125</v>
      </c>
      <c r="I205" s="212">
        <v>0.8057</v>
      </c>
      <c r="J205" s="213">
        <f t="shared" si="3"/>
        <v>0.114530407507258</v>
      </c>
      <c r="K205" s="211">
        <v>35.073</v>
      </c>
      <c r="L205" s="211">
        <v>35.073</v>
      </c>
      <c r="M205" s="214">
        <v>4822</v>
      </c>
    </row>
    <row r="206" ht="15.75" spans="1:13">
      <c r="A206" s="208" t="s">
        <v>12</v>
      </c>
      <c r="B206" s="209">
        <v>45862</v>
      </c>
      <c r="C206" s="210"/>
      <c r="D206" s="210"/>
      <c r="E206" s="211">
        <v>9700.526</v>
      </c>
      <c r="F206" s="211">
        <v>2.374129</v>
      </c>
      <c r="G206" s="211">
        <v>2.4519075</v>
      </c>
      <c r="H206" s="211">
        <v>27.12</v>
      </c>
      <c r="I206" s="212">
        <v>0.831</v>
      </c>
      <c r="J206" s="213">
        <f t="shared" si="3"/>
        <v>0.0838217717406332</v>
      </c>
      <c r="K206" s="211">
        <v>32.2360833333333</v>
      </c>
      <c r="L206" s="211">
        <v>32.2360833333333</v>
      </c>
      <c r="M206" s="214">
        <v>4822</v>
      </c>
    </row>
    <row r="207" ht="15.75" spans="1:13">
      <c r="A207" s="208" t="s">
        <v>12</v>
      </c>
      <c r="B207" s="209">
        <v>45863</v>
      </c>
      <c r="C207" s="210"/>
      <c r="D207" s="210"/>
      <c r="E207" s="211">
        <v>21447.266</v>
      </c>
      <c r="F207" s="211">
        <v>5.25582</v>
      </c>
      <c r="G207" s="211">
        <v>5.4876059</v>
      </c>
      <c r="H207" s="211">
        <v>26.3916666666667</v>
      </c>
      <c r="I207" s="212">
        <v>0.8386</v>
      </c>
      <c r="J207" s="213">
        <f t="shared" si="3"/>
        <v>0.185324778791649</v>
      </c>
      <c r="K207" s="211">
        <v>38.0128333333333</v>
      </c>
      <c r="L207" s="211">
        <v>38.0128333333333</v>
      </c>
      <c r="M207" s="214">
        <v>4822</v>
      </c>
    </row>
    <row r="208" ht="15.75" spans="1:13">
      <c r="A208" s="208" t="s">
        <v>12</v>
      </c>
      <c r="B208" s="209">
        <v>45864</v>
      </c>
      <c r="C208" s="210"/>
      <c r="D208" s="210"/>
      <c r="E208" s="211">
        <v>18395.116</v>
      </c>
      <c r="F208" s="211">
        <v>4.472476</v>
      </c>
      <c r="G208" s="211">
        <v>4.6611303</v>
      </c>
      <c r="H208" s="211">
        <v>25.17375</v>
      </c>
      <c r="I208" s="212">
        <v>0.8445</v>
      </c>
      <c r="J208" s="213">
        <f t="shared" si="3"/>
        <v>0.15895129959906</v>
      </c>
      <c r="K208" s="211">
        <v>34.7534166666667</v>
      </c>
      <c r="L208" s="211">
        <v>34.7534166666667</v>
      </c>
      <c r="M208" s="214">
        <v>4822</v>
      </c>
    </row>
    <row r="209" ht="15.75" spans="1:13">
      <c r="A209" s="208" t="s">
        <v>12</v>
      </c>
      <c r="B209" s="209">
        <v>45865</v>
      </c>
      <c r="C209" s="210"/>
      <c r="D209" s="210"/>
      <c r="E209" s="211">
        <v>9197.06</v>
      </c>
      <c r="F209" s="211">
        <v>2.24572</v>
      </c>
      <c r="G209" s="211">
        <v>2.3080754</v>
      </c>
      <c r="H209" s="211">
        <v>26.0479166666667</v>
      </c>
      <c r="I209" s="212">
        <v>0.8243</v>
      </c>
      <c r="J209" s="213">
        <f t="shared" si="3"/>
        <v>0.0794713466058344</v>
      </c>
      <c r="K209" s="211">
        <v>30.8558333333333</v>
      </c>
      <c r="L209" s="211">
        <v>30.8558333333333</v>
      </c>
      <c r="M209" s="214">
        <v>4822</v>
      </c>
    </row>
    <row r="210" ht="15.75" spans="1:13">
      <c r="A210" s="208" t="s">
        <v>12</v>
      </c>
      <c r="B210" s="209">
        <v>45866</v>
      </c>
      <c r="C210" s="210"/>
      <c r="D210" s="210"/>
      <c r="E210" s="211">
        <v>7694.996</v>
      </c>
      <c r="F210" s="211">
        <v>1.888391</v>
      </c>
      <c r="G210" s="211">
        <v>1.940366</v>
      </c>
      <c r="H210" s="211">
        <v>26.44125</v>
      </c>
      <c r="I210" s="212">
        <v>0.8226</v>
      </c>
      <c r="J210" s="213">
        <f t="shared" si="3"/>
        <v>0.0664920848887045</v>
      </c>
      <c r="K210" s="211">
        <v>30.2975</v>
      </c>
      <c r="L210" s="211">
        <v>30.2975</v>
      </c>
      <c r="M210" s="214">
        <v>4822</v>
      </c>
    </row>
    <row r="211" ht="15.75" spans="1:13">
      <c r="A211" s="208" t="s">
        <v>12</v>
      </c>
      <c r="B211" s="209">
        <v>45867</v>
      </c>
      <c r="C211" s="210"/>
      <c r="D211" s="210"/>
      <c r="E211" s="211">
        <v>9709.606</v>
      </c>
      <c r="F211" s="211">
        <v>2.38458</v>
      </c>
      <c r="G211" s="211">
        <v>2.4536004</v>
      </c>
      <c r="H211" s="211">
        <v>27.35625</v>
      </c>
      <c r="I211" s="212">
        <v>0.826</v>
      </c>
      <c r="J211" s="213">
        <f t="shared" si="3"/>
        <v>0.083900231577492</v>
      </c>
      <c r="K211" s="211">
        <v>32.6766666666667</v>
      </c>
      <c r="L211" s="211">
        <v>32.6766666666667</v>
      </c>
      <c r="M211" s="214">
        <v>4822</v>
      </c>
    </row>
    <row r="212" ht="15.75" spans="1:13">
      <c r="A212" s="208" t="s">
        <v>12</v>
      </c>
      <c r="B212" s="209">
        <v>45868</v>
      </c>
      <c r="C212" s="210"/>
      <c r="D212" s="210"/>
      <c r="E212" s="211">
        <v>26626.566</v>
      </c>
      <c r="F212" s="211">
        <v>6.612184</v>
      </c>
      <c r="G212" s="211">
        <v>6.8491946</v>
      </c>
      <c r="H212" s="211">
        <v>25.6304166666667</v>
      </c>
      <c r="I212" s="212">
        <v>0.8313</v>
      </c>
      <c r="J212" s="213">
        <f t="shared" si="3"/>
        <v>0.230078857320614</v>
      </c>
      <c r="K212" s="211">
        <v>40.0051666666667</v>
      </c>
      <c r="L212" s="211">
        <v>40.0051666666667</v>
      </c>
      <c r="M212" s="214">
        <v>4822</v>
      </c>
    </row>
    <row r="213" ht="15.75" spans="1:13">
      <c r="A213" s="208" t="s">
        <v>12</v>
      </c>
      <c r="B213" s="209">
        <v>45869</v>
      </c>
      <c r="C213" s="210"/>
      <c r="D213" s="210"/>
      <c r="E213" s="211">
        <v>26662.716</v>
      </c>
      <c r="F213" s="211">
        <v>6.65501</v>
      </c>
      <c r="G213" s="211">
        <v>6.897907</v>
      </c>
      <c r="H213" s="211">
        <v>27.0154166666667</v>
      </c>
      <c r="I213" s="212">
        <v>0.8265</v>
      </c>
      <c r="J213" s="213">
        <f t="shared" si="3"/>
        <v>0.230391227706346</v>
      </c>
      <c r="K213" s="211">
        <v>41.97125</v>
      </c>
      <c r="L213" s="211">
        <v>41.97125</v>
      </c>
      <c r="M213" s="214">
        <v>4822</v>
      </c>
    </row>
    <row r="214" ht="15.75" spans="1:13">
      <c r="A214" s="208" t="s">
        <v>12</v>
      </c>
      <c r="B214" s="209">
        <v>45870</v>
      </c>
      <c r="C214" s="210"/>
      <c r="D214" s="210"/>
      <c r="E214" s="211">
        <v>8830.298</v>
      </c>
      <c r="F214" s="211">
        <v>2.160524</v>
      </c>
      <c r="G214" s="211">
        <v>2.2183342</v>
      </c>
      <c r="H214" s="211">
        <v>26.21</v>
      </c>
      <c r="I214" s="212">
        <v>0.8223</v>
      </c>
      <c r="J214" s="213">
        <f t="shared" si="3"/>
        <v>0.0763021740633209</v>
      </c>
      <c r="K214" s="211">
        <v>30.8180833333333</v>
      </c>
      <c r="L214" s="211">
        <v>30.8180833333333</v>
      </c>
      <c r="M214" s="214">
        <v>4822</v>
      </c>
    </row>
    <row r="215" ht="15.75" spans="1:13">
      <c r="A215" s="208" t="s">
        <v>12</v>
      </c>
      <c r="B215" s="209">
        <v>45871</v>
      </c>
      <c r="C215" s="210"/>
      <c r="D215" s="210"/>
      <c r="E215" s="211">
        <v>21507.756</v>
      </c>
      <c r="F215" s="211">
        <v>5.29473</v>
      </c>
      <c r="G215" s="211">
        <v>5.4344178</v>
      </c>
      <c r="H215" s="211">
        <v>26.39125</v>
      </c>
      <c r="I215" s="212">
        <v>0.8342</v>
      </c>
      <c r="J215" s="213">
        <f t="shared" si="3"/>
        <v>0.18584746992949</v>
      </c>
      <c r="K215" s="211">
        <v>38.2329166666667</v>
      </c>
      <c r="L215" s="211">
        <v>38.2329166666667</v>
      </c>
      <c r="M215" s="214">
        <v>4822</v>
      </c>
    </row>
    <row r="216" ht="15.75" spans="1:13">
      <c r="A216" s="208" t="s">
        <v>12</v>
      </c>
      <c r="B216" s="209">
        <v>45872</v>
      </c>
      <c r="C216" s="210"/>
      <c r="D216" s="210"/>
      <c r="E216" s="211">
        <v>22256.306</v>
      </c>
      <c r="F216" s="211">
        <v>5.468659</v>
      </c>
      <c r="G216" s="211">
        <v>5.6112316</v>
      </c>
      <c r="H216" s="211">
        <v>25.3645833333333</v>
      </c>
      <c r="I216" s="212">
        <v>0.8358</v>
      </c>
      <c r="J216" s="213">
        <f t="shared" si="3"/>
        <v>0.192315653947186</v>
      </c>
      <c r="K216" s="211">
        <v>37.2980833333333</v>
      </c>
      <c r="L216" s="211">
        <v>37.2980833333333</v>
      </c>
      <c r="M216" s="214">
        <v>4822</v>
      </c>
    </row>
    <row r="217" ht="15.75" spans="1:13">
      <c r="A217" s="208" t="s">
        <v>12</v>
      </c>
      <c r="B217" s="209">
        <v>45873</v>
      </c>
      <c r="C217" s="210"/>
      <c r="D217" s="210"/>
      <c r="E217" s="211">
        <v>16509.196</v>
      </c>
      <c r="F217" s="211">
        <v>4.014071</v>
      </c>
      <c r="G217" s="211">
        <v>4.1152123</v>
      </c>
      <c r="H217" s="211">
        <v>25.03125</v>
      </c>
      <c r="I217" s="212">
        <v>0.8415</v>
      </c>
      <c r="J217" s="213">
        <f t="shared" si="3"/>
        <v>0.142655156919674</v>
      </c>
      <c r="K217" s="211">
        <v>33.81</v>
      </c>
      <c r="L217" s="211">
        <v>33.81</v>
      </c>
      <c r="M217" s="214">
        <v>4822</v>
      </c>
    </row>
    <row r="218" ht="15.75" spans="1:13">
      <c r="A218" s="208" t="s">
        <v>12</v>
      </c>
      <c r="B218" s="209">
        <v>45874</v>
      </c>
      <c r="C218" s="210"/>
      <c r="D218" s="210"/>
      <c r="E218" s="211">
        <v>15003.556</v>
      </c>
      <c r="F218" s="211">
        <v>3.6647</v>
      </c>
      <c r="G218" s="211">
        <v>3.7681244</v>
      </c>
      <c r="H218" s="211">
        <v>26.0754166666667</v>
      </c>
      <c r="I218" s="212">
        <v>0.834</v>
      </c>
      <c r="J218" s="213">
        <f t="shared" si="3"/>
        <v>0.129644995161067</v>
      </c>
      <c r="K218" s="211">
        <v>34.3105833333333</v>
      </c>
      <c r="L218" s="211">
        <v>34.3105833333333</v>
      </c>
      <c r="M218" s="214">
        <v>4822</v>
      </c>
    </row>
    <row r="219" ht="15.75" spans="1:13">
      <c r="A219" s="208" t="s">
        <v>12</v>
      </c>
      <c r="B219" s="209">
        <v>45875</v>
      </c>
      <c r="C219" s="210"/>
      <c r="D219" s="210"/>
      <c r="E219" s="211">
        <v>14225.676</v>
      </c>
      <c r="F219" s="211">
        <v>3.467373</v>
      </c>
      <c r="G219" s="211">
        <v>3.5607263</v>
      </c>
      <c r="H219" s="211">
        <v>25.8533333333333</v>
      </c>
      <c r="I219" s="212">
        <v>0.8392</v>
      </c>
      <c r="J219" s="213">
        <f t="shared" si="3"/>
        <v>0.122923372044795</v>
      </c>
      <c r="K219" s="211">
        <v>33.475</v>
      </c>
      <c r="L219" s="211">
        <v>33.475</v>
      </c>
      <c r="M219" s="214">
        <v>4822</v>
      </c>
    </row>
    <row r="220" ht="15.75" spans="1:13">
      <c r="A220" s="208" t="s">
        <v>12</v>
      </c>
      <c r="B220" s="209">
        <v>45876</v>
      </c>
      <c r="C220" s="210"/>
      <c r="D220" s="210"/>
      <c r="E220" s="211">
        <v>18891.976</v>
      </c>
      <c r="F220" s="211">
        <v>4.615697</v>
      </c>
      <c r="G220" s="211">
        <v>4.7228065</v>
      </c>
      <c r="H220" s="211">
        <v>25.6920833333333</v>
      </c>
      <c r="I220" s="212">
        <v>0.8381</v>
      </c>
      <c r="J220" s="213">
        <f t="shared" si="3"/>
        <v>0.163244642610259</v>
      </c>
      <c r="K220" s="211">
        <v>35.9251666666667</v>
      </c>
      <c r="L220" s="211">
        <v>35.9251666666667</v>
      </c>
      <c r="M220" s="214">
        <v>4822</v>
      </c>
    </row>
    <row r="221" ht="15.75" spans="1:13">
      <c r="A221" s="208" t="s">
        <v>12</v>
      </c>
      <c r="B221" s="209">
        <v>45877</v>
      </c>
      <c r="C221" s="210"/>
      <c r="D221" s="210"/>
      <c r="E221" s="211">
        <v>25605.306</v>
      </c>
      <c r="F221" s="211">
        <v>6.361606</v>
      </c>
      <c r="G221" s="211">
        <v>6.513541</v>
      </c>
      <c r="H221" s="211">
        <v>26.475</v>
      </c>
      <c r="I221" s="212">
        <v>0.8282</v>
      </c>
      <c r="J221" s="213">
        <f t="shared" si="3"/>
        <v>0.221254199502281</v>
      </c>
      <c r="K221" s="211">
        <v>40.7284166666667</v>
      </c>
      <c r="L221" s="211">
        <v>40.7284166666667</v>
      </c>
      <c r="M221" s="214">
        <v>4822</v>
      </c>
    </row>
    <row r="222" ht="15.75" spans="1:13">
      <c r="A222" s="208" t="s">
        <v>12</v>
      </c>
      <c r="B222" s="209">
        <v>45878</v>
      </c>
      <c r="C222" s="210"/>
      <c r="D222" s="210"/>
      <c r="E222" s="211">
        <v>22049.946</v>
      </c>
      <c r="F222" s="211">
        <v>5.507229</v>
      </c>
      <c r="G222" s="211">
        <v>5.5997851</v>
      </c>
      <c r="H222" s="211">
        <v>26.30625</v>
      </c>
      <c r="I222" s="212">
        <v>0.8218</v>
      </c>
      <c r="J222" s="213">
        <f t="shared" si="3"/>
        <v>0.190532507258399</v>
      </c>
      <c r="K222" s="211">
        <v>38.2693333333333</v>
      </c>
      <c r="L222" s="211">
        <v>38.2693333333333</v>
      </c>
      <c r="M222" s="214">
        <v>4822</v>
      </c>
    </row>
    <row r="223" ht="15.75" spans="1:13">
      <c r="A223" s="208" t="s">
        <v>12</v>
      </c>
      <c r="B223" s="209">
        <v>45879</v>
      </c>
      <c r="C223" s="210"/>
      <c r="D223" s="210"/>
      <c r="E223" s="211">
        <v>22643.266</v>
      </c>
      <c r="F223" s="211">
        <v>5.61216</v>
      </c>
      <c r="G223" s="211">
        <v>5.7347957</v>
      </c>
      <c r="H223" s="211">
        <v>26.6416666666667</v>
      </c>
      <c r="I223" s="212">
        <v>0.8309</v>
      </c>
      <c r="J223" s="213">
        <f t="shared" si="3"/>
        <v>0.195659356421955</v>
      </c>
      <c r="K223" s="211">
        <v>38.88875</v>
      </c>
      <c r="L223" s="211">
        <v>38.88875</v>
      </c>
      <c r="M223" s="214">
        <v>4822</v>
      </c>
    </row>
    <row r="224" ht="15.75" spans="1:13">
      <c r="A224" s="208" t="s">
        <v>12</v>
      </c>
      <c r="B224" s="209">
        <v>45880</v>
      </c>
      <c r="C224" s="210"/>
      <c r="D224" s="210"/>
      <c r="E224" s="211">
        <v>17421.026</v>
      </c>
      <c r="F224" s="211">
        <v>4.273375</v>
      </c>
      <c r="G224" s="211">
        <v>4.4016157</v>
      </c>
      <c r="H224" s="211">
        <v>26.8945833333333</v>
      </c>
      <c r="I224" s="212">
        <v>0.8381</v>
      </c>
      <c r="J224" s="213">
        <f t="shared" si="3"/>
        <v>0.150534235448638</v>
      </c>
      <c r="K224" s="211">
        <v>36.4185833333333</v>
      </c>
      <c r="L224" s="211">
        <v>36.4185833333333</v>
      </c>
      <c r="M224" s="214">
        <v>4822</v>
      </c>
    </row>
    <row r="225" ht="15.75" spans="1:13">
      <c r="A225" s="208" t="s">
        <v>12</v>
      </c>
      <c r="B225" s="209">
        <v>45881</v>
      </c>
      <c r="C225" s="210"/>
      <c r="D225" s="210"/>
      <c r="E225" s="211">
        <v>11066.925</v>
      </c>
      <c r="F225" s="211">
        <v>2.7176667</v>
      </c>
      <c r="G225" s="211">
        <v>2.7498106</v>
      </c>
      <c r="H225" s="211">
        <v>27.0216666666667</v>
      </c>
      <c r="I225" s="212">
        <v>0.7891</v>
      </c>
      <c r="J225" s="213">
        <f t="shared" si="3"/>
        <v>0.0956287588137702</v>
      </c>
      <c r="K225" s="211">
        <v>33.0311666666667</v>
      </c>
      <c r="L225" s="211">
        <v>33.0311666666667</v>
      </c>
      <c r="M225" s="214">
        <v>4822</v>
      </c>
    </row>
    <row r="226" ht="15.75" spans="1:13">
      <c r="A226" s="208" t="s">
        <v>12</v>
      </c>
      <c r="B226" s="209">
        <v>45882</v>
      </c>
      <c r="C226" s="210"/>
      <c r="D226" s="210"/>
      <c r="E226" s="211">
        <v>10148.616</v>
      </c>
      <c r="F226" s="211">
        <v>2.477894</v>
      </c>
      <c r="G226" s="211">
        <v>2.5189168</v>
      </c>
      <c r="H226" s="211">
        <v>26.6066666666667</v>
      </c>
      <c r="I226" s="212">
        <v>0.8304</v>
      </c>
      <c r="J226" s="213">
        <f t="shared" si="3"/>
        <v>0.0876936955620075</v>
      </c>
      <c r="K226" s="211">
        <v>31.8754166666667</v>
      </c>
      <c r="L226" s="211">
        <v>31.8754166666667</v>
      </c>
      <c r="M226" s="214">
        <v>4822</v>
      </c>
    </row>
    <row r="227" ht="15.75" spans="1:13">
      <c r="A227" s="208" t="s">
        <v>12</v>
      </c>
      <c r="B227" s="209">
        <v>45883</v>
      </c>
      <c r="C227" s="210"/>
      <c r="D227" s="210"/>
      <c r="E227" s="211">
        <v>26028.406</v>
      </c>
      <c r="F227" s="211">
        <v>6.521326</v>
      </c>
      <c r="G227" s="211">
        <v>6.60171</v>
      </c>
      <c r="H227" s="211">
        <v>27.2958333333333</v>
      </c>
      <c r="I227" s="212">
        <v>0.8229</v>
      </c>
      <c r="J227" s="213">
        <f t="shared" si="3"/>
        <v>0.22491018595327</v>
      </c>
      <c r="K227" s="211">
        <v>41.9080833333333</v>
      </c>
      <c r="L227" s="211">
        <v>41.9080833333333</v>
      </c>
      <c r="M227" s="214">
        <v>4822</v>
      </c>
    </row>
    <row r="228" ht="15.75" spans="1:13">
      <c r="A228" s="208" t="s">
        <v>12</v>
      </c>
      <c r="B228" s="209">
        <v>45884</v>
      </c>
      <c r="C228" s="210"/>
      <c r="D228" s="210"/>
      <c r="E228" s="211">
        <v>23365.986</v>
      </c>
      <c r="F228" s="211">
        <v>5.816999</v>
      </c>
      <c r="G228" s="211">
        <v>5.8729191</v>
      </c>
      <c r="H228" s="211">
        <v>27.05625</v>
      </c>
      <c r="I228" s="212">
        <v>0.8258</v>
      </c>
      <c r="J228" s="213">
        <f t="shared" si="3"/>
        <v>0.201904344670261</v>
      </c>
      <c r="K228" s="211">
        <v>39.9875833333333</v>
      </c>
      <c r="L228" s="211">
        <v>39.9875833333333</v>
      </c>
      <c r="M228" s="214">
        <v>4822</v>
      </c>
    </row>
    <row r="229" ht="15.75" spans="1:13">
      <c r="A229" s="208" t="s">
        <v>12</v>
      </c>
      <c r="B229" s="209">
        <v>45885</v>
      </c>
      <c r="C229" s="210"/>
      <c r="D229" s="210"/>
      <c r="E229" s="211">
        <v>11257.946</v>
      </c>
      <c r="F229" s="211">
        <v>2.754379</v>
      </c>
      <c r="G229" s="211">
        <v>2.7909079</v>
      </c>
      <c r="H229" s="211">
        <v>27.12875</v>
      </c>
      <c r="I229" s="212">
        <v>0.8274</v>
      </c>
      <c r="J229" s="213">
        <f t="shared" si="3"/>
        <v>0.0972793619521637</v>
      </c>
      <c r="K229" s="211">
        <v>33.2494166666667</v>
      </c>
      <c r="L229" s="211">
        <v>33.2494166666667</v>
      </c>
      <c r="M229" s="214">
        <v>4822</v>
      </c>
    </row>
    <row r="230" ht="15.75" spans="1:13">
      <c r="A230" s="208" t="s">
        <v>12</v>
      </c>
      <c r="B230" s="209">
        <v>45886</v>
      </c>
      <c r="C230" s="210"/>
      <c r="D230" s="210"/>
      <c r="E230" s="211">
        <v>14541.296</v>
      </c>
      <c r="F230" s="211">
        <v>3.593192</v>
      </c>
      <c r="G230" s="211">
        <v>3.640289</v>
      </c>
      <c r="H230" s="211">
        <v>27.5091666666667</v>
      </c>
      <c r="I230" s="212">
        <v>0.8244</v>
      </c>
      <c r="J230" s="213">
        <f t="shared" si="3"/>
        <v>0.125650629061247</v>
      </c>
      <c r="K230" s="211">
        <v>35.3709166666667</v>
      </c>
      <c r="L230" s="211">
        <v>35.3709166666667</v>
      </c>
      <c r="M230" s="214">
        <v>4822</v>
      </c>
    </row>
    <row r="231" ht="15.75" spans="1:13">
      <c r="A231" s="208" t="s">
        <v>12</v>
      </c>
      <c r="B231" s="209">
        <v>45887</v>
      </c>
      <c r="C231" s="210"/>
      <c r="D231" s="210"/>
      <c r="E231" s="211">
        <v>16796.396</v>
      </c>
      <c r="F231" s="211">
        <v>4.122359</v>
      </c>
      <c r="G231" s="211">
        <v>4.2015118</v>
      </c>
      <c r="H231" s="211">
        <v>28.3845833333333</v>
      </c>
      <c r="I231" s="212">
        <v>0.8328</v>
      </c>
      <c r="J231" s="213">
        <f t="shared" si="3"/>
        <v>0.145136838103138</v>
      </c>
      <c r="K231" s="211">
        <v>37.5528333333333</v>
      </c>
      <c r="L231" s="211">
        <v>37.5528333333333</v>
      </c>
      <c r="M231" s="214">
        <v>4822</v>
      </c>
    </row>
    <row r="232" ht="15.75" spans="1:13">
      <c r="A232" s="208" t="s">
        <v>12</v>
      </c>
      <c r="B232" s="209">
        <v>45888</v>
      </c>
      <c r="C232" s="210"/>
      <c r="D232" s="210"/>
      <c r="E232" s="211">
        <v>25347.476</v>
      </c>
      <c r="F232" s="211">
        <v>6.340512</v>
      </c>
      <c r="G232" s="211">
        <v>6.3699756</v>
      </c>
      <c r="H232" s="211">
        <v>28.68375</v>
      </c>
      <c r="I232" s="212">
        <v>0.8197</v>
      </c>
      <c r="J232" s="213">
        <f t="shared" si="3"/>
        <v>0.21902630305544</v>
      </c>
      <c r="K232" s="211">
        <v>42.8645</v>
      </c>
      <c r="L232" s="211">
        <v>42.8645</v>
      </c>
      <c r="M232" s="214">
        <v>4822</v>
      </c>
    </row>
    <row r="233" ht="15.75" spans="1:13">
      <c r="A233" s="208" t="s">
        <v>12</v>
      </c>
      <c r="B233" s="209">
        <v>45889</v>
      </c>
      <c r="C233" s="210"/>
      <c r="D233" s="210"/>
      <c r="E233" s="211">
        <v>25231.656</v>
      </c>
      <c r="F233" s="211">
        <v>6.291968</v>
      </c>
      <c r="G233" s="211">
        <v>6.3090821</v>
      </c>
      <c r="H233" s="211">
        <v>27.72125</v>
      </c>
      <c r="I233" s="212">
        <v>0.822</v>
      </c>
      <c r="J233" s="213">
        <f t="shared" si="3"/>
        <v>0.21802550808793</v>
      </c>
      <c r="K233" s="211">
        <v>41.6074166666667</v>
      </c>
      <c r="L233" s="211">
        <v>41.6074166666667</v>
      </c>
      <c r="M233" s="214">
        <v>4822</v>
      </c>
    </row>
    <row r="234" ht="15.75" spans="1:13">
      <c r="A234" s="208" t="s">
        <v>12</v>
      </c>
      <c r="B234" s="209">
        <v>45890</v>
      </c>
      <c r="C234" s="210"/>
      <c r="D234" s="210"/>
      <c r="E234" s="211">
        <v>15017.526</v>
      </c>
      <c r="F234" s="211">
        <v>3.67027</v>
      </c>
      <c r="G234" s="211">
        <v>3.7136171</v>
      </c>
      <c r="H234" s="211">
        <v>27.3625</v>
      </c>
      <c r="I234" s="212">
        <v>0.8327</v>
      </c>
      <c r="J234" s="213">
        <f t="shared" si="3"/>
        <v>0.129765709249274</v>
      </c>
      <c r="K234" s="211">
        <v>35.2798333333333</v>
      </c>
      <c r="L234" s="211">
        <v>35.2798333333333</v>
      </c>
      <c r="M234" s="214">
        <v>4822</v>
      </c>
    </row>
    <row r="235" ht="15.75" spans="1:13">
      <c r="A235" s="208" t="s">
        <v>12</v>
      </c>
      <c r="B235" s="209">
        <v>45891</v>
      </c>
      <c r="C235" s="210"/>
      <c r="D235" s="210"/>
      <c r="E235" s="211">
        <v>8475.615</v>
      </c>
      <c r="F235" s="211">
        <v>2.074705</v>
      </c>
      <c r="G235" s="211">
        <v>2.0873133</v>
      </c>
      <c r="H235" s="211">
        <v>26.3991666666667</v>
      </c>
      <c r="I235" s="212">
        <v>0.8088</v>
      </c>
      <c r="J235" s="213">
        <f t="shared" si="3"/>
        <v>0.0732373755703028</v>
      </c>
      <c r="K235" s="211">
        <v>30.5371666666667</v>
      </c>
      <c r="L235" s="211">
        <v>30.5371666666667</v>
      </c>
      <c r="M235" s="214">
        <v>4822</v>
      </c>
    </row>
    <row r="236" ht="15.75" spans="1:13">
      <c r="A236" s="208" t="s">
        <v>12</v>
      </c>
      <c r="B236" s="209">
        <v>45892</v>
      </c>
      <c r="C236" s="210"/>
      <c r="D236" s="210"/>
      <c r="E236" s="211">
        <v>20815.666</v>
      </c>
      <c r="F236" s="211">
        <v>5.1499</v>
      </c>
      <c r="G236" s="211">
        <v>5.1544118</v>
      </c>
      <c r="H236" s="211">
        <v>26.9670833333333</v>
      </c>
      <c r="I236" s="212">
        <v>0.8304</v>
      </c>
      <c r="J236" s="213">
        <f t="shared" si="3"/>
        <v>0.179867154016314</v>
      </c>
      <c r="K236" s="211">
        <v>38.4923333333333</v>
      </c>
      <c r="L236" s="211">
        <v>38.4923333333333</v>
      </c>
      <c r="M236" s="214">
        <v>4822</v>
      </c>
    </row>
    <row r="237" ht="15.75" spans="1:13">
      <c r="A237" s="208" t="s">
        <v>12</v>
      </c>
      <c r="B237" s="209">
        <v>45893</v>
      </c>
      <c r="C237" s="210"/>
      <c r="D237" s="210"/>
      <c r="E237" s="211">
        <v>17926.087</v>
      </c>
      <c r="F237" s="211">
        <v>4.537554</v>
      </c>
      <c r="G237" s="211">
        <v>4.5141739</v>
      </c>
      <c r="H237" s="211">
        <v>27.43625</v>
      </c>
      <c r="I237" s="212">
        <v>0.8</v>
      </c>
      <c r="J237" s="213">
        <f t="shared" si="3"/>
        <v>0.154898442900595</v>
      </c>
      <c r="K237" s="211">
        <v>38.6238181818182</v>
      </c>
      <c r="L237" s="211">
        <v>38.6238181818182</v>
      </c>
      <c r="M237" s="214">
        <v>4822</v>
      </c>
    </row>
    <row r="238" ht="15.75" spans="1:13">
      <c r="A238" s="208" t="s">
        <v>12</v>
      </c>
      <c r="B238" s="209">
        <v>45894</v>
      </c>
      <c r="C238" s="210"/>
      <c r="D238" s="210"/>
      <c r="E238" s="211">
        <v>23532.016</v>
      </c>
      <c r="F238" s="211">
        <v>5.877554</v>
      </c>
      <c r="G238" s="211">
        <v>5.8359726</v>
      </c>
      <c r="H238" s="211">
        <v>28.0858333333333</v>
      </c>
      <c r="I238" s="212">
        <v>0.8197</v>
      </c>
      <c r="J238" s="213">
        <f t="shared" si="3"/>
        <v>0.203339001797318</v>
      </c>
      <c r="K238" s="211">
        <v>41.2835833333333</v>
      </c>
      <c r="L238" s="211">
        <v>41.2835833333333</v>
      </c>
      <c r="M238" s="214">
        <v>4822</v>
      </c>
    </row>
    <row r="239" ht="15.75" spans="1:13">
      <c r="A239" s="208" t="s">
        <v>12</v>
      </c>
      <c r="B239" s="209">
        <v>45895</v>
      </c>
      <c r="C239" s="210"/>
      <c r="D239" s="210"/>
      <c r="E239" s="211">
        <v>22756.316</v>
      </c>
      <c r="F239" s="211">
        <v>5.668395</v>
      </c>
      <c r="G239" s="211">
        <v>5.6235195</v>
      </c>
      <c r="H239" s="211">
        <v>27.6333333333333</v>
      </c>
      <c r="I239" s="212">
        <v>0.8217</v>
      </c>
      <c r="J239" s="213">
        <f t="shared" si="3"/>
        <v>0.196636215954652</v>
      </c>
      <c r="K239" s="211">
        <v>40.2024166666667</v>
      </c>
      <c r="L239" s="211">
        <v>40.2024166666667</v>
      </c>
      <c r="M239" s="214">
        <v>4822</v>
      </c>
    </row>
    <row r="240" ht="15.75" spans="1:13">
      <c r="A240" s="208" t="s">
        <v>12</v>
      </c>
      <c r="B240" s="209">
        <v>45896</v>
      </c>
      <c r="C240" s="210"/>
      <c r="D240" s="210"/>
      <c r="E240" s="211">
        <v>11919.754</v>
      </c>
      <c r="F240" s="211">
        <v>2.952338</v>
      </c>
      <c r="G240" s="211">
        <v>2.9517138</v>
      </c>
      <c r="H240" s="211">
        <v>28.1670833333333</v>
      </c>
      <c r="I240" s="212">
        <v>0.8205</v>
      </c>
      <c r="J240" s="213">
        <f t="shared" si="3"/>
        <v>0.102998012581225</v>
      </c>
      <c r="K240" s="211">
        <v>35.3760909090909</v>
      </c>
      <c r="L240" s="211">
        <v>35.3760909090909</v>
      </c>
      <c r="M240" s="214">
        <v>4822</v>
      </c>
    </row>
    <row r="241" ht="15.75" spans="1:13">
      <c r="A241" s="208" t="s">
        <v>12</v>
      </c>
      <c r="B241" s="209">
        <v>45897</v>
      </c>
      <c r="C241" s="210"/>
      <c r="D241" s="210"/>
      <c r="E241" s="211">
        <v>10681.069</v>
      </c>
      <c r="F241" s="211">
        <v>2.623615</v>
      </c>
      <c r="G241" s="211">
        <v>2.6341171</v>
      </c>
      <c r="H241" s="211">
        <v>27.7516666666667</v>
      </c>
      <c r="I241" s="212">
        <v>0.8242</v>
      </c>
      <c r="J241" s="213">
        <f t="shared" si="3"/>
        <v>0.0922945959491221</v>
      </c>
      <c r="K241" s="211">
        <v>33.6396666666667</v>
      </c>
      <c r="L241" s="211">
        <v>33.6396666666667</v>
      </c>
      <c r="M241" s="214">
        <v>4822</v>
      </c>
    </row>
    <row r="242" ht="15.75" spans="1:13">
      <c r="A242" s="208" t="s">
        <v>12</v>
      </c>
      <c r="B242" s="209">
        <v>45898</v>
      </c>
      <c r="C242" s="210"/>
      <c r="D242" s="210"/>
      <c r="E242" s="211">
        <v>16982.186</v>
      </c>
      <c r="F242" s="211">
        <v>4.170685</v>
      </c>
      <c r="G242" s="211">
        <v>4.1617934</v>
      </c>
      <c r="H242" s="211">
        <v>27.7875</v>
      </c>
      <c r="I242" s="212">
        <v>0.8302</v>
      </c>
      <c r="J242" s="213">
        <f t="shared" si="3"/>
        <v>0.146742240425826</v>
      </c>
      <c r="K242" s="211">
        <v>36.8404166666667</v>
      </c>
      <c r="L242" s="211">
        <v>36.8404166666667</v>
      </c>
      <c r="M242" s="214">
        <v>4822</v>
      </c>
    </row>
    <row r="243" ht="15.75" spans="1:13">
      <c r="A243" s="208" t="s">
        <v>12</v>
      </c>
      <c r="B243" s="209">
        <v>45899</v>
      </c>
      <c r="C243" s="210"/>
      <c r="D243" s="210"/>
      <c r="E243" s="211">
        <v>10640.935</v>
      </c>
      <c r="F243" s="211">
        <v>2.613763</v>
      </c>
      <c r="G243" s="211">
        <v>2.6112816</v>
      </c>
      <c r="H243" s="211">
        <v>27.7941666666667</v>
      </c>
      <c r="I243" s="212">
        <v>0.8123</v>
      </c>
      <c r="J243" s="213">
        <f t="shared" si="3"/>
        <v>0.0919478000138255</v>
      </c>
      <c r="K243" s="211">
        <v>33.1105833333333</v>
      </c>
      <c r="L243" s="211">
        <v>33.1105833333333</v>
      </c>
      <c r="M243" s="214">
        <v>4822</v>
      </c>
    </row>
    <row r="244" ht="15.75" spans="1:13">
      <c r="A244" s="208" t="s">
        <v>12</v>
      </c>
      <c r="B244" s="209">
        <v>45900</v>
      </c>
      <c r="C244" s="210"/>
      <c r="D244" s="210"/>
      <c r="E244" s="211">
        <v>10220.254</v>
      </c>
      <c r="F244" s="211">
        <v>2.520783</v>
      </c>
      <c r="G244" s="211">
        <v>2.5174223</v>
      </c>
      <c r="H244" s="211">
        <v>28.82625</v>
      </c>
      <c r="I244" s="212">
        <v>0.8182</v>
      </c>
      <c r="J244" s="213">
        <f t="shared" si="3"/>
        <v>0.0883127160237799</v>
      </c>
      <c r="K244" s="211">
        <v>34.6768333333333</v>
      </c>
      <c r="L244" s="211">
        <v>34.6768333333333</v>
      </c>
      <c r="M244" s="214">
        <v>4822</v>
      </c>
    </row>
    <row r="245" ht="15.75" spans="1:13">
      <c r="A245" s="208" t="s">
        <v>12</v>
      </c>
      <c r="B245" s="209">
        <v>45901</v>
      </c>
      <c r="C245" s="210"/>
      <c r="D245" s="210"/>
      <c r="E245" s="211">
        <v>25727.066</v>
      </c>
      <c r="F245" s="211">
        <v>6.470738</v>
      </c>
      <c r="G245" s="211">
        <v>6.3391583</v>
      </c>
      <c r="H245" s="211">
        <v>28.9304166666667</v>
      </c>
      <c r="I245" s="212">
        <v>0.8106</v>
      </c>
      <c r="J245" s="213">
        <f t="shared" si="3"/>
        <v>0.222306321719895</v>
      </c>
      <c r="K245" s="211">
        <v>43.7981666666667</v>
      </c>
      <c r="L245" s="211">
        <v>43.7981666666667</v>
      </c>
      <c r="M245" s="214">
        <v>4822</v>
      </c>
    </row>
    <row r="246" ht="15.75" spans="1:13">
      <c r="A246" s="208" t="s">
        <v>12</v>
      </c>
      <c r="B246" s="209">
        <v>45902</v>
      </c>
      <c r="C246" s="210"/>
      <c r="D246" s="210"/>
      <c r="E246" s="211">
        <v>15714.686</v>
      </c>
      <c r="F246" s="211">
        <v>3.87691</v>
      </c>
      <c r="G246" s="211">
        <v>3.8449125</v>
      </c>
      <c r="H246" s="211">
        <v>29.0525</v>
      </c>
      <c r="I246" s="212">
        <v>0.8222</v>
      </c>
      <c r="J246" s="213">
        <f t="shared" si="3"/>
        <v>0.135789834785013</v>
      </c>
      <c r="K246" s="211">
        <v>37.8665833333333</v>
      </c>
      <c r="L246" s="211">
        <v>37.8665833333333</v>
      </c>
      <c r="M246" s="214">
        <v>4822</v>
      </c>
    </row>
    <row r="247" ht="15.75" spans="1:13">
      <c r="A247" s="208" t="s">
        <v>12</v>
      </c>
      <c r="B247" s="209">
        <v>45903</v>
      </c>
      <c r="C247" s="210"/>
      <c r="D247" s="210"/>
      <c r="E247" s="211">
        <v>21532.996</v>
      </c>
      <c r="F247" s="211">
        <v>5.372142</v>
      </c>
      <c r="G247" s="211">
        <v>5.2720477</v>
      </c>
      <c r="H247" s="211">
        <v>29.2825</v>
      </c>
      <c r="I247" s="212">
        <v>0.8198</v>
      </c>
      <c r="J247" s="213">
        <f t="shared" si="3"/>
        <v>0.186065567537675</v>
      </c>
      <c r="K247" s="211">
        <v>41.2305833333333</v>
      </c>
      <c r="L247" s="211">
        <v>41.2305833333333</v>
      </c>
      <c r="M247" s="214">
        <v>4822</v>
      </c>
    </row>
    <row r="248" ht="15.75" spans="1:13">
      <c r="A248" s="208" t="s">
        <v>12</v>
      </c>
      <c r="B248" s="209">
        <v>45904</v>
      </c>
      <c r="C248" s="210"/>
      <c r="D248" s="210"/>
      <c r="E248" s="211">
        <v>17080.081</v>
      </c>
      <c r="F248" s="211">
        <v>4.312316</v>
      </c>
      <c r="G248" s="211">
        <v>4.2099155</v>
      </c>
      <c r="H248" s="211">
        <v>30.0675</v>
      </c>
      <c r="I248" s="212">
        <v>0.7866</v>
      </c>
      <c r="J248" s="213">
        <f t="shared" si="3"/>
        <v>0.147588146343149</v>
      </c>
      <c r="K248" s="211">
        <v>39.3776666666667</v>
      </c>
      <c r="L248" s="211">
        <v>39.3776666666667</v>
      </c>
      <c r="M248" s="214">
        <v>4822</v>
      </c>
    </row>
    <row r="249" ht="15.75" spans="1:13">
      <c r="A249" s="208" t="s">
        <v>12</v>
      </c>
      <c r="B249" s="209">
        <v>45905</v>
      </c>
      <c r="C249" s="210"/>
      <c r="D249" s="210"/>
      <c r="E249" s="211">
        <v>11592.189</v>
      </c>
      <c r="F249" s="211">
        <v>2.8563</v>
      </c>
      <c r="G249" s="211">
        <v>2.8342005</v>
      </c>
      <c r="H249" s="211">
        <v>29.4916666666667</v>
      </c>
      <c r="I249" s="212">
        <v>0.8117</v>
      </c>
      <c r="J249" s="213">
        <f t="shared" si="3"/>
        <v>0.100167539402737</v>
      </c>
      <c r="K249" s="211">
        <v>35.6330833333333</v>
      </c>
      <c r="L249" s="211">
        <v>35.6330833333333</v>
      </c>
      <c r="M249" s="214">
        <v>4822</v>
      </c>
    </row>
    <row r="250" ht="15.75" spans="1:13">
      <c r="A250" s="208" t="s">
        <v>12</v>
      </c>
      <c r="B250" s="209">
        <v>45906</v>
      </c>
      <c r="C250" s="210"/>
      <c r="D250" s="210"/>
      <c r="E250" s="211">
        <v>11438.015</v>
      </c>
      <c r="F250" s="211">
        <v>2.813219</v>
      </c>
      <c r="G250" s="211">
        <v>2.7861112</v>
      </c>
      <c r="H250" s="211">
        <v>28.56375</v>
      </c>
      <c r="I250" s="212">
        <v>0.8039</v>
      </c>
      <c r="J250" s="213">
        <f t="shared" si="3"/>
        <v>0.0988353293930596</v>
      </c>
      <c r="K250" s="211">
        <v>34.9770833333333</v>
      </c>
      <c r="L250" s="211">
        <v>34.9770833333333</v>
      </c>
      <c r="M250" s="214">
        <v>4822</v>
      </c>
    </row>
    <row r="251" ht="15.75" spans="1:13">
      <c r="A251" s="208" t="s">
        <v>12</v>
      </c>
      <c r="B251" s="209">
        <v>45907</v>
      </c>
      <c r="C251" s="210"/>
      <c r="D251" s="210"/>
      <c r="E251" s="211">
        <v>25351.832</v>
      </c>
      <c r="F251" s="211">
        <v>6.265689</v>
      </c>
      <c r="G251" s="211">
        <v>6.0569424</v>
      </c>
      <c r="H251" s="211">
        <v>25.5220833333333</v>
      </c>
      <c r="I251" s="212">
        <v>0.8197</v>
      </c>
      <c r="J251" s="213">
        <f t="shared" si="3"/>
        <v>0.21906394303885</v>
      </c>
      <c r="K251" s="211">
        <v>39.05125</v>
      </c>
      <c r="L251" s="211">
        <v>39.05125</v>
      </c>
      <c r="M251" s="214">
        <v>4822</v>
      </c>
    </row>
    <row r="252" ht="15.75" spans="1:13">
      <c r="A252" s="208" t="s">
        <v>12</v>
      </c>
      <c r="B252" s="209">
        <v>45908</v>
      </c>
      <c r="C252" s="210"/>
      <c r="D252" s="210"/>
      <c r="E252" s="211">
        <v>17354.023</v>
      </c>
      <c r="F252" s="211">
        <v>4.264102</v>
      </c>
      <c r="G252" s="211">
        <v>4.1708032</v>
      </c>
      <c r="H252" s="211">
        <v>27.0595833333333</v>
      </c>
      <c r="I252" s="212">
        <v>0.8196</v>
      </c>
      <c r="J252" s="213">
        <f t="shared" si="3"/>
        <v>0.149955265795659</v>
      </c>
      <c r="K252" s="211">
        <v>36.8454166666667</v>
      </c>
      <c r="L252" s="211">
        <v>36.8454166666667</v>
      </c>
      <c r="M252" s="214">
        <v>4822</v>
      </c>
    </row>
    <row r="253" ht="15.75" spans="1:13">
      <c r="A253" s="208" t="s">
        <v>12</v>
      </c>
      <c r="B253" s="209">
        <v>45909</v>
      </c>
      <c r="C253" s="210"/>
      <c r="D253" s="210"/>
      <c r="E253" s="211">
        <v>12224.846</v>
      </c>
      <c r="F253" s="211">
        <v>2.990117</v>
      </c>
      <c r="G253" s="211">
        <v>2.9508582</v>
      </c>
      <c r="H253" s="211">
        <v>26.94375</v>
      </c>
      <c r="I253" s="212">
        <v>0.8084</v>
      </c>
      <c r="J253" s="213">
        <f t="shared" si="3"/>
        <v>0.105634297663487</v>
      </c>
      <c r="K253" s="211">
        <v>33.6909166666667</v>
      </c>
      <c r="L253" s="211">
        <v>33.6909166666667</v>
      </c>
      <c r="M253" s="214">
        <v>4822</v>
      </c>
    </row>
    <row r="254" ht="15.75" spans="1:13">
      <c r="A254" s="208" t="s">
        <v>12</v>
      </c>
      <c r="B254" s="209">
        <v>45910</v>
      </c>
      <c r="C254" s="210"/>
      <c r="D254" s="210"/>
      <c r="E254" s="211">
        <v>27526.073</v>
      </c>
      <c r="F254" s="211">
        <v>6.92159</v>
      </c>
      <c r="G254" s="211">
        <v>6.6306925</v>
      </c>
      <c r="H254" s="211">
        <v>26.9683333333333</v>
      </c>
      <c r="I254" s="212">
        <v>0.8057</v>
      </c>
      <c r="J254" s="213">
        <f t="shared" si="3"/>
        <v>0.237851453407991</v>
      </c>
      <c r="K254" s="211">
        <v>42.6999166666667</v>
      </c>
      <c r="L254" s="211">
        <v>42.6999166666667</v>
      </c>
      <c r="M254" s="214">
        <v>4822</v>
      </c>
    </row>
    <row r="255" ht="15.75" spans="1:13">
      <c r="A255" s="208" t="s">
        <v>12</v>
      </c>
      <c r="B255" s="209">
        <v>45911</v>
      </c>
      <c r="C255" s="210"/>
      <c r="D255" s="210"/>
      <c r="E255" s="211">
        <v>27662.067</v>
      </c>
      <c r="F255" s="211">
        <v>6.925549</v>
      </c>
      <c r="G255" s="211">
        <v>6.6193907</v>
      </c>
      <c r="H255" s="211">
        <v>26.1583333333333</v>
      </c>
      <c r="I255" s="212">
        <v>0.8094</v>
      </c>
      <c r="J255" s="213">
        <f t="shared" si="3"/>
        <v>0.239026570924927</v>
      </c>
      <c r="K255" s="211">
        <v>41.6170833333333</v>
      </c>
      <c r="L255" s="211">
        <v>41.6170833333333</v>
      </c>
      <c r="M255" s="214">
        <v>4822</v>
      </c>
    </row>
    <row r="256" ht="15.75" spans="1:13">
      <c r="A256" s="208" t="s">
        <v>12</v>
      </c>
      <c r="B256" s="209">
        <v>45912</v>
      </c>
      <c r="C256" s="210"/>
      <c r="D256" s="210"/>
      <c r="E256" s="211">
        <v>25714.47</v>
      </c>
      <c r="F256" s="211">
        <v>6.397526</v>
      </c>
      <c r="G256" s="211">
        <v>6.1152936</v>
      </c>
      <c r="H256" s="211">
        <v>26.5333333333333</v>
      </c>
      <c r="I256" s="212">
        <v>0.8164</v>
      </c>
      <c r="J256" s="213">
        <f t="shared" si="3"/>
        <v>0.222197480298631</v>
      </c>
      <c r="K256" s="211">
        <v>40.89025</v>
      </c>
      <c r="L256" s="211">
        <v>40.89025</v>
      </c>
      <c r="M256" s="214">
        <v>4822</v>
      </c>
    </row>
    <row r="257" ht="15.75" spans="1:13">
      <c r="A257" s="208" t="s">
        <v>12</v>
      </c>
      <c r="B257" s="209">
        <v>45913</v>
      </c>
      <c r="C257" s="210"/>
      <c r="D257" s="210"/>
      <c r="E257" s="211">
        <v>15564.786</v>
      </c>
      <c r="F257" s="211">
        <v>3.82972</v>
      </c>
      <c r="G257" s="211">
        <v>3.7220272</v>
      </c>
      <c r="H257" s="211">
        <v>26.74125</v>
      </c>
      <c r="I257" s="212">
        <v>0.823</v>
      </c>
      <c r="J257" s="213">
        <f t="shared" si="3"/>
        <v>0.134494556200747</v>
      </c>
      <c r="K257" s="211">
        <v>35.3329166666667</v>
      </c>
      <c r="L257" s="211">
        <v>35.3329166666667</v>
      </c>
      <c r="M257" s="214">
        <v>4822</v>
      </c>
    </row>
    <row r="258" ht="15.75" spans="1:13">
      <c r="A258" s="208" t="s">
        <v>12</v>
      </c>
      <c r="B258" s="209">
        <v>45914</v>
      </c>
      <c r="C258" s="210"/>
      <c r="D258" s="210"/>
      <c r="E258" s="211">
        <v>26552.933</v>
      </c>
      <c r="F258" s="211">
        <v>6.671116</v>
      </c>
      <c r="G258" s="211">
        <v>6.3321367</v>
      </c>
      <c r="H258" s="211">
        <v>27.8575</v>
      </c>
      <c r="I258" s="212">
        <v>0.8045</v>
      </c>
      <c r="J258" s="213">
        <f t="shared" si="3"/>
        <v>0.229442598161206</v>
      </c>
      <c r="K258" s="211">
        <v>43.12575</v>
      </c>
      <c r="L258" s="211">
        <v>43.12575</v>
      </c>
      <c r="M258" s="214">
        <v>4822</v>
      </c>
    </row>
    <row r="259" ht="15.75" spans="1:13">
      <c r="A259" s="208" t="s">
        <v>12</v>
      </c>
      <c r="B259" s="209">
        <v>45915</v>
      </c>
      <c r="C259" s="210"/>
      <c r="D259" s="210"/>
      <c r="E259" s="211">
        <v>28749.111</v>
      </c>
      <c r="F259" s="211">
        <v>7.248228</v>
      </c>
      <c r="G259" s="211">
        <v>6.8735797</v>
      </c>
      <c r="H259" s="211">
        <v>26.7179166666667</v>
      </c>
      <c r="I259" s="212">
        <v>0.8025</v>
      </c>
      <c r="J259" s="213">
        <f t="shared" ref="J259:J322" si="4">E259/24/M259</f>
        <v>0.248419665076732</v>
      </c>
      <c r="K259" s="211">
        <v>42.9594166666667</v>
      </c>
      <c r="L259" s="211">
        <v>42.9594166666667</v>
      </c>
      <c r="M259" s="214">
        <v>4822</v>
      </c>
    </row>
    <row r="260" ht="15.75" spans="1:13">
      <c r="A260" s="208" t="s">
        <v>12</v>
      </c>
      <c r="B260" s="209">
        <v>45916</v>
      </c>
      <c r="C260" s="210"/>
      <c r="D260" s="210"/>
      <c r="E260" s="211">
        <v>25111.492</v>
      </c>
      <c r="F260" s="211">
        <v>6.252891</v>
      </c>
      <c r="G260" s="211">
        <v>5.9304317</v>
      </c>
      <c r="H260" s="211">
        <v>25.9083333333333</v>
      </c>
      <c r="I260" s="212">
        <v>0.8048</v>
      </c>
      <c r="J260" s="213">
        <f t="shared" si="4"/>
        <v>0.216987176828425</v>
      </c>
      <c r="K260" s="211">
        <v>39.93</v>
      </c>
      <c r="L260" s="211">
        <v>39.93</v>
      </c>
      <c r="M260" s="214">
        <v>4822</v>
      </c>
    </row>
    <row r="261" ht="15.75" spans="1:13">
      <c r="A261" s="208" t="s">
        <v>12</v>
      </c>
      <c r="B261" s="209">
        <v>45917</v>
      </c>
      <c r="C261" s="210"/>
      <c r="D261" s="210"/>
      <c r="E261" s="211">
        <v>28251.121</v>
      </c>
      <c r="F261" s="211">
        <v>7.077621</v>
      </c>
      <c r="G261" s="211">
        <v>6.6681654</v>
      </c>
      <c r="H261" s="211">
        <v>25.7820833333333</v>
      </c>
      <c r="I261" s="212">
        <v>0.8033</v>
      </c>
      <c r="J261" s="213">
        <f t="shared" si="4"/>
        <v>0.244116557790682</v>
      </c>
      <c r="K261" s="211">
        <v>41.474</v>
      </c>
      <c r="L261" s="211">
        <v>41.474</v>
      </c>
      <c r="M261" s="214">
        <v>4822</v>
      </c>
    </row>
    <row r="262" ht="15.75" spans="1:13">
      <c r="A262" s="208" t="s">
        <v>12</v>
      </c>
      <c r="B262" s="209">
        <v>45918</v>
      </c>
      <c r="C262" s="210"/>
      <c r="D262" s="210"/>
      <c r="E262" s="211">
        <v>18809.104</v>
      </c>
      <c r="F262" s="211">
        <v>4.651656</v>
      </c>
      <c r="G262" s="211">
        <v>4.4692461</v>
      </c>
      <c r="H262" s="211">
        <v>27.77125</v>
      </c>
      <c r="I262" s="212">
        <v>0.8354</v>
      </c>
      <c r="J262" s="213">
        <f t="shared" si="4"/>
        <v>0.162528549702751</v>
      </c>
      <c r="K262" s="211">
        <v>39.3571818181818</v>
      </c>
      <c r="L262" s="211">
        <v>39.3571818181818</v>
      </c>
      <c r="M262" s="214">
        <v>4822</v>
      </c>
    </row>
    <row r="263" ht="15.75" spans="1:13">
      <c r="A263" s="208" t="s">
        <v>12</v>
      </c>
      <c r="B263" s="209">
        <v>45919</v>
      </c>
      <c r="C263" s="210"/>
      <c r="D263" s="210"/>
      <c r="E263" s="211">
        <v>25006.216</v>
      </c>
      <c r="F263" s="211">
        <v>6.215548</v>
      </c>
      <c r="G263" s="211">
        <v>5.8568037</v>
      </c>
      <c r="H263" s="211">
        <v>27.28875</v>
      </c>
      <c r="I263" s="212">
        <v>0.8117</v>
      </c>
      <c r="J263" s="213">
        <f t="shared" si="4"/>
        <v>0.216077492050325</v>
      </c>
      <c r="K263" s="211">
        <v>41.1528333333333</v>
      </c>
      <c r="L263" s="211">
        <v>41.1528333333333</v>
      </c>
      <c r="M263" s="214">
        <v>4822</v>
      </c>
    </row>
    <row r="264" ht="15.75" spans="1:13">
      <c r="A264" s="208" t="s">
        <v>12</v>
      </c>
      <c r="B264" s="209">
        <v>45920</v>
      </c>
      <c r="C264" s="210"/>
      <c r="D264" s="210"/>
      <c r="E264" s="211">
        <v>22843.422</v>
      </c>
      <c r="F264" s="211">
        <v>5.6792</v>
      </c>
      <c r="G264" s="211">
        <v>5.3623122</v>
      </c>
      <c r="H264" s="211">
        <v>27.1075</v>
      </c>
      <c r="I264" s="212">
        <v>0.8015</v>
      </c>
      <c r="J264" s="213">
        <f t="shared" si="4"/>
        <v>0.197388894649523</v>
      </c>
      <c r="K264" s="211">
        <v>40.018</v>
      </c>
      <c r="L264" s="211">
        <v>40.018</v>
      </c>
      <c r="M264" s="214">
        <v>4822</v>
      </c>
    </row>
    <row r="265" ht="15.75" spans="1:13">
      <c r="A265" s="208" t="s">
        <v>12</v>
      </c>
      <c r="B265" s="209">
        <v>45921</v>
      </c>
      <c r="C265" s="210"/>
      <c r="D265" s="210"/>
      <c r="E265" s="211">
        <v>28704.285</v>
      </c>
      <c r="F265" s="211">
        <v>7.26059</v>
      </c>
      <c r="G265" s="211">
        <v>6.7808147</v>
      </c>
      <c r="H265" s="211">
        <v>27.5266666666667</v>
      </c>
      <c r="I265" s="212">
        <v>0.7933</v>
      </c>
      <c r="J265" s="213">
        <f t="shared" si="4"/>
        <v>0.248032325798424</v>
      </c>
      <c r="K265" s="211">
        <v>44.0476666666667</v>
      </c>
      <c r="L265" s="211">
        <v>44.0476666666667</v>
      </c>
      <c r="M265" s="214">
        <v>4822</v>
      </c>
    </row>
    <row r="266" ht="15.75" spans="1:13">
      <c r="A266" s="208" t="s">
        <v>12</v>
      </c>
      <c r="B266" s="209">
        <v>45922</v>
      </c>
      <c r="C266" s="210"/>
      <c r="D266" s="210"/>
      <c r="E266" s="211">
        <v>27657.085</v>
      </c>
      <c r="F266" s="211">
        <v>6.959812</v>
      </c>
      <c r="G266" s="211">
        <v>6.4765739</v>
      </c>
      <c r="H266" s="211">
        <v>27.1995833333333</v>
      </c>
      <c r="I266" s="212">
        <v>0.7907</v>
      </c>
      <c r="J266" s="213">
        <f t="shared" si="4"/>
        <v>0.238983521706069</v>
      </c>
      <c r="K266" s="211">
        <v>42.9076666666667</v>
      </c>
      <c r="L266" s="211">
        <v>42.9076666666667</v>
      </c>
      <c r="M266" s="214">
        <v>4822</v>
      </c>
    </row>
    <row r="267" ht="15.75" spans="1:13">
      <c r="A267" s="208" t="s">
        <v>12</v>
      </c>
      <c r="B267" s="209">
        <v>45923</v>
      </c>
      <c r="C267" s="210"/>
      <c r="D267" s="210"/>
      <c r="E267" s="211">
        <v>19691.118</v>
      </c>
      <c r="F267" s="211">
        <v>4.8305553</v>
      </c>
      <c r="G267" s="211">
        <v>4.5905279</v>
      </c>
      <c r="H267" s="211">
        <v>26.2766666666667</v>
      </c>
      <c r="I267" s="212">
        <v>0.8012</v>
      </c>
      <c r="J267" s="213">
        <f t="shared" si="4"/>
        <v>0.170149989630859</v>
      </c>
      <c r="K267" s="211">
        <v>36.8705</v>
      </c>
      <c r="L267" s="211">
        <v>36.8705</v>
      </c>
      <c r="M267" s="214">
        <v>4822</v>
      </c>
    </row>
    <row r="268" ht="15.75" spans="1:13">
      <c r="A268" s="208" t="s">
        <v>12</v>
      </c>
      <c r="B268" s="209">
        <v>45924</v>
      </c>
      <c r="C268" s="210"/>
      <c r="D268" s="210"/>
      <c r="E268" s="211">
        <v>17142.494</v>
      </c>
      <c r="F268" s="211">
        <v>4.2259405</v>
      </c>
      <c r="G268" s="211">
        <v>4.0257337</v>
      </c>
      <c r="H268" s="211">
        <v>28.2758333333333</v>
      </c>
      <c r="I268" s="212">
        <v>0.8392</v>
      </c>
      <c r="J268" s="213">
        <f t="shared" si="4"/>
        <v>0.14812745403014</v>
      </c>
      <c r="K268" s="211">
        <v>37.96975</v>
      </c>
      <c r="L268" s="211">
        <v>37.96975</v>
      </c>
      <c r="M268" s="214">
        <v>4822</v>
      </c>
    </row>
    <row r="269" ht="15.75" spans="1:13">
      <c r="A269" s="208" t="s">
        <v>12</v>
      </c>
      <c r="B269" s="209">
        <v>45925</v>
      </c>
      <c r="C269" s="210"/>
      <c r="D269" s="210"/>
      <c r="E269" s="211">
        <v>19174.134</v>
      </c>
      <c r="F269" s="211">
        <v>4.807762</v>
      </c>
      <c r="G269" s="211">
        <v>4.5234812</v>
      </c>
      <c r="H269" s="211">
        <v>27.4741666666667</v>
      </c>
      <c r="I269" s="212">
        <v>0.8292</v>
      </c>
      <c r="J269" s="213">
        <f t="shared" si="4"/>
        <v>0.165682756117793</v>
      </c>
      <c r="K269" s="211">
        <v>39.1657272727273</v>
      </c>
      <c r="L269" s="211">
        <v>39.1657272727273</v>
      </c>
      <c r="M269" s="214">
        <v>4822</v>
      </c>
    </row>
    <row r="270" ht="15.75" spans="1:13">
      <c r="A270" s="208" t="s">
        <v>12</v>
      </c>
      <c r="B270" s="209">
        <v>45926</v>
      </c>
      <c r="C270" s="210"/>
      <c r="D270" s="210"/>
      <c r="E270" s="211">
        <v>29092.343</v>
      </c>
      <c r="F270" s="211">
        <v>7.3765577</v>
      </c>
      <c r="G270" s="211">
        <v>6.8176165</v>
      </c>
      <c r="H270" s="211">
        <v>27.4516666666667</v>
      </c>
      <c r="I270" s="212">
        <v>0.784</v>
      </c>
      <c r="J270" s="213">
        <f t="shared" si="4"/>
        <v>0.251385516037605</v>
      </c>
      <c r="K270" s="211">
        <v>44.1718333333333</v>
      </c>
      <c r="L270" s="211">
        <v>44.1718333333333</v>
      </c>
      <c r="M270" s="214">
        <v>4822</v>
      </c>
    </row>
    <row r="271" ht="15.75" spans="1:13">
      <c r="A271" s="208" t="s">
        <v>12</v>
      </c>
      <c r="B271" s="209">
        <v>45927</v>
      </c>
      <c r="C271" s="210"/>
      <c r="D271" s="210"/>
      <c r="E271" s="211">
        <v>26050.804</v>
      </c>
      <c r="F271" s="211">
        <v>6.5359121</v>
      </c>
      <c r="G271" s="211">
        <v>6.0171808</v>
      </c>
      <c r="H271" s="211">
        <v>27.3645833333333</v>
      </c>
      <c r="I271" s="212">
        <v>0.83</v>
      </c>
      <c r="J271" s="213">
        <f t="shared" si="4"/>
        <v>0.225103725978156</v>
      </c>
      <c r="K271" s="211">
        <v>42.1571666666667</v>
      </c>
      <c r="L271" s="211">
        <v>42.1571666666667</v>
      </c>
      <c r="M271" s="214">
        <v>4822</v>
      </c>
    </row>
    <row r="272" ht="15.75" spans="1:13">
      <c r="A272" s="208" t="s">
        <v>12</v>
      </c>
      <c r="B272" s="209">
        <v>45928</v>
      </c>
      <c r="C272" s="210"/>
      <c r="D272" s="210"/>
      <c r="E272" s="211">
        <v>25649.726</v>
      </c>
      <c r="F272" s="211">
        <v>6.386402</v>
      </c>
      <c r="G272" s="211">
        <v>5.8732788</v>
      </c>
      <c r="H272" s="211">
        <v>26.6716666666667</v>
      </c>
      <c r="I272" s="212">
        <v>0.7966</v>
      </c>
      <c r="J272" s="213">
        <f t="shared" si="4"/>
        <v>0.221638030554403</v>
      </c>
      <c r="K272" s="211">
        <v>40.9413333333333</v>
      </c>
      <c r="L272" s="211">
        <v>40.9413333333333</v>
      </c>
      <c r="M272" s="214">
        <v>4822</v>
      </c>
    </row>
    <row r="273" ht="15.75" spans="1:13">
      <c r="A273" s="208" t="s">
        <v>12</v>
      </c>
      <c r="B273" s="209">
        <v>45929</v>
      </c>
      <c r="C273" s="210"/>
      <c r="D273" s="210"/>
      <c r="E273" s="211">
        <v>23973.094</v>
      </c>
      <c r="F273" s="211">
        <v>5.96007</v>
      </c>
      <c r="G273" s="211">
        <v>5.4954804</v>
      </c>
      <c r="H273" s="211">
        <v>27.7075</v>
      </c>
      <c r="I273" s="212">
        <v>0.8325</v>
      </c>
      <c r="J273" s="213">
        <f t="shared" si="4"/>
        <v>0.207150335268906</v>
      </c>
      <c r="K273" s="211">
        <v>42.3082727272727</v>
      </c>
      <c r="L273" s="211">
        <v>42.3082727272727</v>
      </c>
      <c r="M273" s="214">
        <v>4822</v>
      </c>
    </row>
    <row r="274" ht="15.75" spans="1:13">
      <c r="A274" s="208" t="s">
        <v>12</v>
      </c>
      <c r="B274" s="209">
        <v>45930</v>
      </c>
      <c r="C274" s="210"/>
      <c r="D274" s="210"/>
      <c r="E274" s="211">
        <v>9969.864</v>
      </c>
      <c r="F274" s="211">
        <v>2.442585</v>
      </c>
      <c r="G274" s="211">
        <v>2.3542869</v>
      </c>
      <c r="H274" s="211">
        <v>27.20125</v>
      </c>
      <c r="I274" s="212">
        <v>0.8362</v>
      </c>
      <c r="J274" s="213">
        <f t="shared" si="4"/>
        <v>0.0861491082538366</v>
      </c>
      <c r="K274" s="211">
        <v>33.4326363636364</v>
      </c>
      <c r="L274" s="211">
        <v>33.4326363636364</v>
      </c>
      <c r="M274" s="214">
        <v>4822</v>
      </c>
    </row>
    <row r="275" ht="15.75" spans="1:13">
      <c r="A275" s="208" t="s">
        <v>12</v>
      </c>
      <c r="B275" s="209">
        <v>45931</v>
      </c>
      <c r="C275" s="210"/>
      <c r="D275" s="210"/>
      <c r="E275" s="211">
        <v>24947.813</v>
      </c>
      <c r="F275" s="211">
        <v>6.2621329</v>
      </c>
      <c r="G275" s="211">
        <v>5.7135358</v>
      </c>
      <c r="H275" s="211">
        <v>27.7158333333333</v>
      </c>
      <c r="I275" s="212">
        <v>0.7849</v>
      </c>
      <c r="J275" s="213">
        <f t="shared" si="4"/>
        <v>0.21557283457763</v>
      </c>
      <c r="K275" s="211">
        <v>42.762</v>
      </c>
      <c r="L275" s="211">
        <v>42.762</v>
      </c>
      <c r="M275" s="214">
        <v>4822</v>
      </c>
    </row>
    <row r="276" ht="15.75" spans="1:13">
      <c r="A276" s="208" t="s">
        <v>12</v>
      </c>
      <c r="B276" s="209">
        <v>45932</v>
      </c>
      <c r="C276" s="210"/>
      <c r="D276" s="210"/>
      <c r="E276" s="211">
        <v>26120.124</v>
      </c>
      <c r="F276" s="211">
        <v>6.57711</v>
      </c>
      <c r="G276" s="211">
        <v>5.9709961</v>
      </c>
      <c r="H276" s="211">
        <v>27.4404166666667</v>
      </c>
      <c r="I276" s="212">
        <v>0.8262</v>
      </c>
      <c r="J276" s="213">
        <f t="shared" si="4"/>
        <v>0.225702716715056</v>
      </c>
      <c r="K276" s="211">
        <v>44.4572727272727</v>
      </c>
      <c r="L276" s="211">
        <v>44.4572727272727</v>
      </c>
      <c r="M276" s="214">
        <v>4822</v>
      </c>
    </row>
    <row r="277" ht="15.75" spans="1:13">
      <c r="A277" s="208" t="s">
        <v>12</v>
      </c>
      <c r="B277" s="209">
        <v>45933</v>
      </c>
      <c r="C277" s="210"/>
      <c r="D277" s="210"/>
      <c r="E277" s="211">
        <v>25860.134</v>
      </c>
      <c r="F277" s="211">
        <v>6.52345</v>
      </c>
      <c r="G277" s="211">
        <v>5.9078011</v>
      </c>
      <c r="H277" s="211">
        <v>27.9704166666667</v>
      </c>
      <c r="I277" s="212">
        <v>0.8245</v>
      </c>
      <c r="J277" s="213">
        <f t="shared" si="4"/>
        <v>0.223456155813632</v>
      </c>
      <c r="K277" s="211">
        <v>44.9735454545455</v>
      </c>
      <c r="L277" s="211">
        <v>44.9735454545455</v>
      </c>
      <c r="M277" s="214">
        <v>4822</v>
      </c>
    </row>
    <row r="278" ht="15.75" spans="1:13">
      <c r="A278" s="208" t="s">
        <v>12</v>
      </c>
      <c r="B278" s="209">
        <v>45934</v>
      </c>
      <c r="C278" s="210"/>
      <c r="D278" s="210"/>
      <c r="E278" s="211">
        <v>24398.094</v>
      </c>
      <c r="F278" s="211">
        <v>6.14181</v>
      </c>
      <c r="G278" s="211">
        <v>5.5631858</v>
      </c>
      <c r="H278" s="211">
        <v>28.4675</v>
      </c>
      <c r="I278" s="212">
        <v>0.8253</v>
      </c>
      <c r="J278" s="213">
        <f t="shared" si="4"/>
        <v>0.210822739527167</v>
      </c>
      <c r="K278" s="211">
        <v>44.4402727272727</v>
      </c>
      <c r="L278" s="211">
        <v>44.4402727272727</v>
      </c>
      <c r="M278" s="214">
        <v>4822</v>
      </c>
    </row>
    <row r="279" ht="15.75" spans="1:13">
      <c r="A279" s="208" t="s">
        <v>12</v>
      </c>
      <c r="B279" s="209">
        <v>45935</v>
      </c>
      <c r="C279" s="210"/>
      <c r="D279" s="210"/>
      <c r="E279" s="211">
        <v>23649.024</v>
      </c>
      <c r="F279" s="211">
        <v>5.94511</v>
      </c>
      <c r="G279" s="211">
        <v>5.382211</v>
      </c>
      <c r="H279" s="211">
        <v>29.0066666666667</v>
      </c>
      <c r="I279" s="212">
        <v>0.8255</v>
      </c>
      <c r="J279" s="213">
        <f t="shared" si="4"/>
        <v>0.204350062214849</v>
      </c>
      <c r="K279" s="211">
        <v>44.4742727272727</v>
      </c>
      <c r="L279" s="211">
        <v>44.4742727272727</v>
      </c>
      <c r="M279" s="214">
        <v>4822</v>
      </c>
    </row>
    <row r="280" ht="15.75" spans="1:13">
      <c r="A280" s="208" t="s">
        <v>12</v>
      </c>
      <c r="B280" s="209">
        <v>45936</v>
      </c>
      <c r="C280" s="210"/>
      <c r="D280" s="210"/>
      <c r="E280" s="211">
        <v>21663.84</v>
      </c>
      <c r="F280" s="211">
        <v>5.445887</v>
      </c>
      <c r="G280" s="211">
        <v>4.9494015</v>
      </c>
      <c r="H280" s="211">
        <v>29.2104166666667</v>
      </c>
      <c r="I280" s="212">
        <v>0.7839</v>
      </c>
      <c r="J280" s="213">
        <f t="shared" si="4"/>
        <v>0.187196184155952</v>
      </c>
      <c r="K280" s="211">
        <v>42.2145</v>
      </c>
      <c r="L280" s="211">
        <v>42.2145</v>
      </c>
      <c r="M280" s="214">
        <v>4822</v>
      </c>
    </row>
    <row r="281" ht="15.75" spans="1:13">
      <c r="A281" s="208" t="s">
        <v>12</v>
      </c>
      <c r="B281" s="209">
        <v>45937</v>
      </c>
      <c r="C281" s="210"/>
      <c r="D281" s="210"/>
      <c r="E281" s="211">
        <v>25592.274</v>
      </c>
      <c r="F281" s="211">
        <v>6.48366</v>
      </c>
      <c r="G281" s="211">
        <v>5.8065925</v>
      </c>
      <c r="H281" s="211">
        <v>29.6125</v>
      </c>
      <c r="I281" s="212">
        <v>0.8192</v>
      </c>
      <c r="J281" s="213">
        <f t="shared" si="4"/>
        <v>0.221141590626296</v>
      </c>
      <c r="K281" s="211">
        <v>46.6916363636364</v>
      </c>
      <c r="L281" s="211">
        <v>46.6916363636364</v>
      </c>
      <c r="M281" s="214">
        <v>4822</v>
      </c>
    </row>
    <row r="282" ht="15.75" spans="1:13">
      <c r="A282" s="208" t="s">
        <v>12</v>
      </c>
      <c r="B282" s="209">
        <v>45938</v>
      </c>
      <c r="C282" s="210"/>
      <c r="D282" s="210"/>
      <c r="E282" s="211">
        <v>26731.284</v>
      </c>
      <c r="F282" s="211">
        <v>6.79412</v>
      </c>
      <c r="G282" s="211">
        <v>6.069537</v>
      </c>
      <c r="H282" s="211">
        <v>29.1608333333333</v>
      </c>
      <c r="I282" s="212">
        <v>0.818</v>
      </c>
      <c r="J282" s="213">
        <f t="shared" si="4"/>
        <v>0.230983720447947</v>
      </c>
      <c r="K282" s="211">
        <v>46.8704545454545</v>
      </c>
      <c r="L282" s="211">
        <v>46.8704545454545</v>
      </c>
      <c r="M282" s="214">
        <v>4822</v>
      </c>
    </row>
    <row r="283" ht="15.75" spans="1:13">
      <c r="A283" s="208" t="s">
        <v>12</v>
      </c>
      <c r="B283" s="209">
        <v>45939</v>
      </c>
      <c r="C283" s="210"/>
      <c r="D283" s="210"/>
      <c r="E283" s="211">
        <v>27382.054</v>
      </c>
      <c r="F283" s="211">
        <v>7.00008</v>
      </c>
      <c r="G283" s="211">
        <v>6.2421742</v>
      </c>
      <c r="H283" s="211">
        <v>29.7454166666667</v>
      </c>
      <c r="I283" s="212">
        <v>0.8136</v>
      </c>
      <c r="J283" s="213">
        <f t="shared" si="4"/>
        <v>0.236606992257708</v>
      </c>
      <c r="K283" s="211">
        <v>48.0120909090909</v>
      </c>
      <c r="L283" s="211">
        <v>48.0120909090909</v>
      </c>
      <c r="M283" s="214">
        <v>4822</v>
      </c>
    </row>
    <row r="284" ht="15.75" spans="1:13">
      <c r="A284" s="208" t="s">
        <v>12</v>
      </c>
      <c r="B284" s="209">
        <v>45940</v>
      </c>
      <c r="C284" s="210"/>
      <c r="D284" s="210"/>
      <c r="E284" s="211">
        <v>24884.314</v>
      </c>
      <c r="F284" s="211">
        <v>6.37603</v>
      </c>
      <c r="G284" s="211">
        <v>5.6913124</v>
      </c>
      <c r="H284" s="211">
        <v>31.5941666666667</v>
      </c>
      <c r="I284" s="212">
        <v>0.8105</v>
      </c>
      <c r="J284" s="213">
        <f t="shared" si="4"/>
        <v>0.215024142817641</v>
      </c>
      <c r="K284" s="211">
        <v>48.6097272727273</v>
      </c>
      <c r="L284" s="211">
        <v>48.6097272727273</v>
      </c>
      <c r="M284" s="214">
        <v>4822</v>
      </c>
    </row>
    <row r="285" ht="15.75" spans="1:13">
      <c r="A285" s="208" t="s">
        <v>12</v>
      </c>
      <c r="B285" s="209">
        <v>45941</v>
      </c>
      <c r="C285" s="210"/>
      <c r="D285" s="210"/>
      <c r="E285" s="211">
        <v>26490.844</v>
      </c>
      <c r="F285" s="211">
        <v>6.82848</v>
      </c>
      <c r="G285" s="211">
        <v>6.0537775</v>
      </c>
      <c r="H285" s="211">
        <v>32.3254166666667</v>
      </c>
      <c r="I285" s="212">
        <v>0.8061</v>
      </c>
      <c r="J285" s="213">
        <f t="shared" si="4"/>
        <v>0.228906090142403</v>
      </c>
      <c r="K285" s="211">
        <v>50.4060909090909</v>
      </c>
      <c r="L285" s="211">
        <v>50.4060909090909</v>
      </c>
      <c r="M285" s="214">
        <v>4822</v>
      </c>
    </row>
    <row r="286" ht="15.75" spans="1:13">
      <c r="A286" s="208" t="s">
        <v>12</v>
      </c>
      <c r="B286" s="209">
        <v>45942</v>
      </c>
      <c r="C286" s="210"/>
      <c r="D286" s="210"/>
      <c r="E286" s="211">
        <v>16586.284</v>
      </c>
      <c r="F286" s="211">
        <v>4.115747</v>
      </c>
      <c r="G286" s="211">
        <v>3.7594806</v>
      </c>
      <c r="H286" s="211">
        <v>30.7608333333333</v>
      </c>
      <c r="I286" s="212">
        <v>0.8301</v>
      </c>
      <c r="J286" s="213">
        <f t="shared" si="4"/>
        <v>0.143321270565464</v>
      </c>
      <c r="K286" s="211">
        <v>41.3414545454545</v>
      </c>
      <c r="L286" s="211">
        <v>41.3414545454545</v>
      </c>
      <c r="M286" s="214">
        <v>4822</v>
      </c>
    </row>
    <row r="287" ht="15.75" spans="1:13">
      <c r="A287" s="208" t="s">
        <v>12</v>
      </c>
      <c r="B287" s="209">
        <v>45943</v>
      </c>
      <c r="C287" s="210"/>
      <c r="D287" s="210"/>
      <c r="E287" s="211">
        <v>21834.914</v>
      </c>
      <c r="F287" s="211">
        <v>5.49395</v>
      </c>
      <c r="G287" s="211">
        <v>4.9033882</v>
      </c>
      <c r="H287" s="211">
        <v>30.5766666666667</v>
      </c>
      <c r="I287" s="212">
        <v>0.8211</v>
      </c>
      <c r="J287" s="213">
        <f t="shared" si="4"/>
        <v>0.188674426240841</v>
      </c>
      <c r="K287" s="211">
        <v>45.0160909090909</v>
      </c>
      <c r="L287" s="211">
        <v>45.0160909090909</v>
      </c>
      <c r="M287" s="214">
        <v>4822</v>
      </c>
    </row>
    <row r="288" ht="15.75" spans="1:13">
      <c r="A288" s="208" t="s">
        <v>12</v>
      </c>
      <c r="B288" s="209">
        <v>45944</v>
      </c>
      <c r="C288" s="210"/>
      <c r="D288" s="210"/>
      <c r="E288" s="211">
        <v>26009.564</v>
      </c>
      <c r="F288" s="211">
        <v>6.63485</v>
      </c>
      <c r="G288" s="211">
        <v>5.8311318</v>
      </c>
      <c r="H288" s="211">
        <v>30.3554166666667</v>
      </c>
      <c r="I288" s="212">
        <v>0.812</v>
      </c>
      <c r="J288" s="213">
        <f t="shared" si="4"/>
        <v>0.224747373150836</v>
      </c>
      <c r="K288" s="211">
        <v>47.7469090909091</v>
      </c>
      <c r="L288" s="211">
        <v>47.7469090909091</v>
      </c>
      <c r="M288" s="214">
        <v>4822</v>
      </c>
    </row>
    <row r="289" ht="15.75" spans="1:13">
      <c r="A289" s="208" t="s">
        <v>12</v>
      </c>
      <c r="B289" s="209">
        <v>45945</v>
      </c>
      <c r="C289" s="210"/>
      <c r="D289" s="210"/>
      <c r="E289" s="211">
        <v>23478.504</v>
      </c>
      <c r="F289" s="211">
        <v>5.91659</v>
      </c>
      <c r="G289" s="211">
        <v>5.2146981</v>
      </c>
      <c r="H289" s="211">
        <v>29.9254166666667</v>
      </c>
      <c r="I289" s="212">
        <v>0.8198</v>
      </c>
      <c r="J289" s="213">
        <f t="shared" si="4"/>
        <v>0.202876607216922</v>
      </c>
      <c r="K289" s="211">
        <v>45.2761818181818</v>
      </c>
      <c r="L289" s="211">
        <v>45.2761818181818</v>
      </c>
      <c r="M289" s="214">
        <v>4822</v>
      </c>
    </row>
    <row r="290" ht="15.75" spans="1:13">
      <c r="A290" s="208" t="s">
        <v>12</v>
      </c>
      <c r="B290" s="209">
        <v>45946</v>
      </c>
      <c r="C290" s="210"/>
      <c r="D290" s="210"/>
      <c r="E290" s="211">
        <v>23969.864</v>
      </c>
      <c r="F290" s="211">
        <v>6.0268</v>
      </c>
      <c r="G290" s="211">
        <v>5.298494</v>
      </c>
      <c r="H290" s="211">
        <v>28.8720833333333</v>
      </c>
      <c r="I290" s="212">
        <v>0.8222</v>
      </c>
      <c r="J290" s="213">
        <f t="shared" si="4"/>
        <v>0.207122424996544</v>
      </c>
      <c r="K290" s="211">
        <v>44.3375454545454</v>
      </c>
      <c r="L290" s="211">
        <v>44.3375454545454</v>
      </c>
      <c r="M290" s="214">
        <v>4822</v>
      </c>
    </row>
    <row r="291" ht="15.75" spans="1:13">
      <c r="A291" s="208" t="s">
        <v>12</v>
      </c>
      <c r="B291" s="209">
        <v>45947</v>
      </c>
      <c r="C291" s="210"/>
      <c r="D291" s="210"/>
      <c r="E291" s="211">
        <v>25563.864</v>
      </c>
      <c r="F291" s="211">
        <v>6.49386</v>
      </c>
      <c r="G291" s="211">
        <v>5.6685007</v>
      </c>
      <c r="H291" s="211">
        <v>29.4870833333333</v>
      </c>
      <c r="I291" s="212">
        <v>0.8144</v>
      </c>
      <c r="J291" s="213">
        <f t="shared" si="4"/>
        <v>0.22089610120282</v>
      </c>
      <c r="K291" s="211">
        <v>46.4764545454545</v>
      </c>
      <c r="L291" s="211">
        <v>46.4764545454545</v>
      </c>
      <c r="M291" s="214">
        <v>4822</v>
      </c>
    </row>
    <row r="292" ht="15.75" spans="1:13">
      <c r="A292" s="208" t="s">
        <v>12</v>
      </c>
      <c r="B292" s="209">
        <v>45948</v>
      </c>
      <c r="C292" s="210"/>
      <c r="D292" s="210"/>
      <c r="E292" s="211">
        <v>25337.704</v>
      </c>
      <c r="F292" s="211">
        <v>6.43173</v>
      </c>
      <c r="G292" s="211">
        <v>5.6071866</v>
      </c>
      <c r="H292" s="211">
        <v>29.37</v>
      </c>
      <c r="I292" s="212">
        <v>0.8145</v>
      </c>
      <c r="J292" s="213">
        <f t="shared" si="4"/>
        <v>0.218941863680354</v>
      </c>
      <c r="K292" s="211">
        <v>46.0801818181818</v>
      </c>
      <c r="L292" s="211">
        <v>46.0801818181818</v>
      </c>
      <c r="M292" s="214">
        <v>4822</v>
      </c>
    </row>
    <row r="293" ht="15.75" spans="1:13">
      <c r="A293" s="208" t="s">
        <v>12</v>
      </c>
      <c r="B293" s="209">
        <v>45949</v>
      </c>
      <c r="C293" s="210"/>
      <c r="D293" s="210"/>
      <c r="E293" s="211">
        <v>25096.384</v>
      </c>
      <c r="F293" s="211">
        <v>6.34175</v>
      </c>
      <c r="G293" s="211">
        <v>5.5118928</v>
      </c>
      <c r="H293" s="211">
        <v>28.67375</v>
      </c>
      <c r="I293" s="212">
        <v>0.8172</v>
      </c>
      <c r="J293" s="213">
        <f t="shared" si="4"/>
        <v>0.216856629337757</v>
      </c>
      <c r="K293" s="211">
        <v>44.7882727272727</v>
      </c>
      <c r="L293" s="211">
        <v>44.7882727272727</v>
      </c>
      <c r="M293" s="214">
        <v>4822</v>
      </c>
    </row>
    <row r="294" ht="15.75" spans="1:13">
      <c r="A294" s="208" t="s">
        <v>12</v>
      </c>
      <c r="B294" s="209">
        <v>45950</v>
      </c>
      <c r="C294" s="210"/>
      <c r="D294" s="210"/>
      <c r="E294" s="211">
        <v>19323.414</v>
      </c>
      <c r="F294" s="211">
        <v>4.828391</v>
      </c>
      <c r="G294" s="211">
        <v>4.2858282</v>
      </c>
      <c r="H294" s="211">
        <v>29.9870833333333</v>
      </c>
      <c r="I294" s="212">
        <v>0.821</v>
      </c>
      <c r="J294" s="213">
        <f t="shared" si="4"/>
        <v>0.166972677312319</v>
      </c>
      <c r="K294" s="211">
        <v>42.667</v>
      </c>
      <c r="L294" s="211">
        <v>42.667</v>
      </c>
      <c r="M294" s="214">
        <v>4822</v>
      </c>
    </row>
    <row r="295" ht="15.75" spans="1:13">
      <c r="A295" s="208" t="s">
        <v>12</v>
      </c>
      <c r="B295" s="209">
        <v>45951</v>
      </c>
      <c r="C295" s="210"/>
      <c r="D295" s="210"/>
      <c r="E295" s="211">
        <v>21167.044</v>
      </c>
      <c r="F295" s="211">
        <v>5.30916</v>
      </c>
      <c r="G295" s="211">
        <v>4.658922</v>
      </c>
      <c r="H295" s="211">
        <v>29.7879166666667</v>
      </c>
      <c r="I295" s="212">
        <v>0.8188</v>
      </c>
      <c r="J295" s="213">
        <f t="shared" si="4"/>
        <v>0.18290339416563</v>
      </c>
      <c r="K295" s="211">
        <v>43.6204545454545</v>
      </c>
      <c r="L295" s="211">
        <v>43.6204545454545</v>
      </c>
      <c r="M295" s="214">
        <v>4822</v>
      </c>
    </row>
    <row r="296" ht="15.75" spans="1:13">
      <c r="A296" s="208" t="s">
        <v>12</v>
      </c>
      <c r="B296" s="209">
        <v>45952</v>
      </c>
      <c r="C296" s="210"/>
      <c r="D296" s="210"/>
      <c r="E296" s="211">
        <v>24773.314</v>
      </c>
      <c r="F296" s="211">
        <v>6.26336</v>
      </c>
      <c r="G296" s="211">
        <v>5.399976</v>
      </c>
      <c r="H296" s="211">
        <v>28.7866666666667</v>
      </c>
      <c r="I296" s="212">
        <v>0.8141</v>
      </c>
      <c r="J296" s="213">
        <f t="shared" si="4"/>
        <v>0.214064997234896</v>
      </c>
      <c r="K296" s="211">
        <v>44.9537272727273</v>
      </c>
      <c r="L296" s="211">
        <v>44.9537272727273</v>
      </c>
      <c r="M296" s="214">
        <v>4822</v>
      </c>
    </row>
    <row r="297" ht="15.75" spans="1:13">
      <c r="A297" s="208" t="s">
        <v>12</v>
      </c>
      <c r="B297" s="209">
        <v>45953</v>
      </c>
      <c r="C297" s="210"/>
      <c r="D297" s="210"/>
      <c r="E297" s="211">
        <v>24626.544</v>
      </c>
      <c r="F297" s="211">
        <v>6.20972</v>
      </c>
      <c r="G297" s="211">
        <v>5.340421</v>
      </c>
      <c r="H297" s="211">
        <v>28.2391666666667</v>
      </c>
      <c r="I297" s="212">
        <v>0.8156</v>
      </c>
      <c r="J297" s="213">
        <f t="shared" si="4"/>
        <v>0.212796764827872</v>
      </c>
      <c r="K297" s="211">
        <v>44.2371818181818</v>
      </c>
      <c r="L297" s="211">
        <v>44.2371818181818</v>
      </c>
      <c r="M297" s="214">
        <v>4822</v>
      </c>
    </row>
    <row r="298" ht="15.75" spans="1:13">
      <c r="A298" s="208" t="s">
        <v>12</v>
      </c>
      <c r="B298" s="209">
        <v>45954</v>
      </c>
      <c r="C298" s="210"/>
      <c r="D298" s="210"/>
      <c r="E298" s="211">
        <v>26032.544</v>
      </c>
      <c r="F298" s="211">
        <v>6.60894</v>
      </c>
      <c r="G298" s="211">
        <v>5.651108</v>
      </c>
      <c r="H298" s="211">
        <v>28.5875</v>
      </c>
      <c r="I298" s="212">
        <v>0.8099</v>
      </c>
      <c r="J298" s="213">
        <f t="shared" si="4"/>
        <v>0.224945942209318</v>
      </c>
      <c r="K298" s="211">
        <v>45.7400909090909</v>
      </c>
      <c r="L298" s="211">
        <v>45.7400909090909</v>
      </c>
      <c r="M298" s="214">
        <v>4822</v>
      </c>
    </row>
    <row r="299" ht="15.75" spans="1:13">
      <c r="A299" s="208" t="s">
        <v>12</v>
      </c>
      <c r="B299" s="209">
        <v>45955</v>
      </c>
      <c r="C299" s="210"/>
      <c r="D299" s="210"/>
      <c r="E299" s="211">
        <v>23898.594</v>
      </c>
      <c r="F299" s="211">
        <v>5.99645</v>
      </c>
      <c r="G299" s="211">
        <v>5.1305808</v>
      </c>
      <c r="H299" s="211">
        <v>27.8129166666667</v>
      </c>
      <c r="I299" s="212">
        <v>0.8173</v>
      </c>
      <c r="J299" s="213">
        <f t="shared" si="4"/>
        <v>0.206506584404811</v>
      </c>
      <c r="K299" s="211">
        <v>43.0825454545455</v>
      </c>
      <c r="L299" s="211">
        <v>43.0825454545455</v>
      </c>
      <c r="M299" s="214">
        <v>4822</v>
      </c>
    </row>
    <row r="300" ht="15.75" spans="1:13">
      <c r="A300" s="208" t="s">
        <v>12</v>
      </c>
      <c r="B300" s="209">
        <v>45956</v>
      </c>
      <c r="C300" s="210"/>
      <c r="D300" s="210"/>
      <c r="E300" s="211">
        <v>15662.681</v>
      </c>
      <c r="F300" s="211">
        <v>3.8778404</v>
      </c>
      <c r="G300" s="211">
        <v>3.4322483</v>
      </c>
      <c r="H300" s="211">
        <v>26.935</v>
      </c>
      <c r="I300" s="212">
        <v>0.7826</v>
      </c>
      <c r="J300" s="213">
        <f t="shared" si="4"/>
        <v>0.13534046211807</v>
      </c>
      <c r="K300" s="211">
        <v>37.0696363636364</v>
      </c>
      <c r="L300" s="211">
        <v>37.0696363636364</v>
      </c>
      <c r="M300" s="214">
        <v>4822</v>
      </c>
    </row>
    <row r="301" ht="15.75" spans="1:13">
      <c r="A301" s="208" t="s">
        <v>12</v>
      </c>
      <c r="B301" s="209">
        <v>45957</v>
      </c>
      <c r="C301" s="210"/>
      <c r="D301" s="210"/>
      <c r="E301" s="211">
        <v>19409.255</v>
      </c>
      <c r="F301" s="211">
        <v>4.826669</v>
      </c>
      <c r="G301" s="211">
        <v>4.1838018</v>
      </c>
      <c r="H301" s="211">
        <v>27.5004166666667</v>
      </c>
      <c r="I301" s="212">
        <v>0.8124</v>
      </c>
      <c r="J301" s="213">
        <f t="shared" si="4"/>
        <v>0.167714425203926</v>
      </c>
      <c r="K301" s="211">
        <v>40.344</v>
      </c>
      <c r="L301" s="211">
        <v>40.344</v>
      </c>
      <c r="M301" s="214">
        <v>4822</v>
      </c>
    </row>
    <row r="302" ht="15.75" spans="1:13">
      <c r="A302" s="208" t="s">
        <v>12</v>
      </c>
      <c r="B302" s="209">
        <v>45958</v>
      </c>
      <c r="C302" s="210"/>
      <c r="D302" s="210"/>
      <c r="E302" s="211">
        <v>24198.744</v>
      </c>
      <c r="F302" s="211">
        <v>6.06426</v>
      </c>
      <c r="G302" s="211">
        <v>5.1574839</v>
      </c>
      <c r="H302" s="211">
        <v>26.65125</v>
      </c>
      <c r="I302" s="212">
        <v>0.816</v>
      </c>
      <c r="J302" s="213">
        <f t="shared" si="4"/>
        <v>0.209100165906263</v>
      </c>
      <c r="K302" s="211">
        <v>41.984</v>
      </c>
      <c r="L302" s="211">
        <v>41.984</v>
      </c>
      <c r="M302" s="214">
        <v>4822</v>
      </c>
    </row>
    <row r="303" ht="15.75" spans="1:13">
      <c r="A303" s="208" t="s">
        <v>12</v>
      </c>
      <c r="B303" s="209">
        <v>45959</v>
      </c>
      <c r="C303" s="210"/>
      <c r="D303" s="210"/>
      <c r="E303" s="211">
        <v>19707.014</v>
      </c>
      <c r="F303" s="211">
        <v>4.9371</v>
      </c>
      <c r="G303" s="211">
        <v>4.2978831</v>
      </c>
      <c r="H303" s="211">
        <v>28.0904166666667</v>
      </c>
      <c r="I303" s="212">
        <v>0.8141</v>
      </c>
      <c r="J303" s="213">
        <f t="shared" si="4"/>
        <v>0.170287346191069</v>
      </c>
      <c r="K303" s="211">
        <v>40.7653636363636</v>
      </c>
      <c r="L303" s="211">
        <v>40.7653636363636</v>
      </c>
      <c r="M303" s="214">
        <v>4822</v>
      </c>
    </row>
    <row r="304" ht="15.75" spans="1:13">
      <c r="A304" s="208" t="s">
        <v>12</v>
      </c>
      <c r="B304" s="209">
        <v>45960</v>
      </c>
      <c r="C304" s="210"/>
      <c r="D304" s="210"/>
      <c r="E304" s="211">
        <v>21128.364</v>
      </c>
      <c r="F304" s="211">
        <v>5.29414</v>
      </c>
      <c r="G304" s="211">
        <v>4.5398916</v>
      </c>
      <c r="H304" s="211">
        <v>28.3158333333333</v>
      </c>
      <c r="I304" s="212">
        <v>0.8153</v>
      </c>
      <c r="J304" s="213">
        <f t="shared" si="4"/>
        <v>0.182569162173372</v>
      </c>
      <c r="K304" s="211">
        <v>41.6531818181818</v>
      </c>
      <c r="L304" s="211">
        <v>41.6531818181818</v>
      </c>
      <c r="M304" s="214">
        <v>4822</v>
      </c>
    </row>
    <row r="305" ht="15.75" spans="1:13">
      <c r="A305" s="208" t="s">
        <v>12</v>
      </c>
      <c r="B305" s="209">
        <v>45961</v>
      </c>
      <c r="C305" s="210"/>
      <c r="D305" s="210"/>
      <c r="E305" s="211">
        <v>24552.674</v>
      </c>
      <c r="F305" s="211">
        <v>6.20155</v>
      </c>
      <c r="G305" s="211">
        <v>5.2166031</v>
      </c>
      <c r="H305" s="211">
        <v>28.03375</v>
      </c>
      <c r="I305" s="212">
        <v>0.8066</v>
      </c>
      <c r="J305" s="213">
        <f t="shared" si="4"/>
        <v>0.212158457763031</v>
      </c>
      <c r="K305" s="211">
        <v>44.1482727272727</v>
      </c>
      <c r="L305" s="211">
        <v>44.1482727272727</v>
      </c>
      <c r="M305" s="214">
        <v>4822</v>
      </c>
    </row>
    <row r="306" ht="15.75" spans="1:13">
      <c r="A306" s="208" t="s">
        <v>12</v>
      </c>
      <c r="B306" s="209">
        <v>45962</v>
      </c>
      <c r="C306" s="210"/>
      <c r="D306" s="210"/>
      <c r="E306" s="211">
        <v>20628.564</v>
      </c>
      <c r="F306" s="211">
        <v>5.089526</v>
      </c>
      <c r="G306" s="211">
        <v>4.3517918</v>
      </c>
      <c r="H306" s="211">
        <v>24.6758333333333</v>
      </c>
      <c r="I306" s="212">
        <v>0.8245</v>
      </c>
      <c r="J306" s="213">
        <f t="shared" si="4"/>
        <v>0.178250414765657</v>
      </c>
      <c r="K306" s="211">
        <v>37.9398181818182</v>
      </c>
      <c r="L306" s="211">
        <v>37.9398181818182</v>
      </c>
      <c r="M306" s="214">
        <v>4822</v>
      </c>
    </row>
    <row r="307" ht="15.75" spans="1:13">
      <c r="A307" s="208" t="s">
        <v>12</v>
      </c>
      <c r="B307" s="209">
        <v>45963</v>
      </c>
      <c r="C307" s="210"/>
      <c r="D307" s="210"/>
      <c r="E307" s="211">
        <v>25338.104</v>
      </c>
      <c r="F307" s="211">
        <v>6.40876</v>
      </c>
      <c r="G307" s="211">
        <v>5.3660021</v>
      </c>
      <c r="H307" s="211">
        <v>25.8283333333333</v>
      </c>
      <c r="I307" s="212">
        <v>0.8061</v>
      </c>
      <c r="J307" s="213">
        <f t="shared" si="4"/>
        <v>0.218945320060832</v>
      </c>
      <c r="K307" s="211">
        <v>43.4190909090909</v>
      </c>
      <c r="L307" s="211">
        <v>43.4190909090909</v>
      </c>
      <c r="M307" s="214">
        <v>4822</v>
      </c>
    </row>
    <row r="308" ht="15.75" spans="1:13">
      <c r="A308" s="208" t="s">
        <v>12</v>
      </c>
      <c r="B308" s="209">
        <v>45964</v>
      </c>
      <c r="C308" s="210"/>
      <c r="D308" s="210"/>
      <c r="E308" s="211">
        <v>26016.344</v>
      </c>
      <c r="F308" s="211">
        <v>6.60072</v>
      </c>
      <c r="G308" s="211">
        <v>5.5078818</v>
      </c>
      <c r="H308" s="211">
        <v>26.4308333333333</v>
      </c>
      <c r="I308" s="212">
        <v>0.8023</v>
      </c>
      <c r="J308" s="213">
        <f t="shared" si="4"/>
        <v>0.224805958799945</v>
      </c>
      <c r="K308" s="211">
        <v>43.97</v>
      </c>
      <c r="L308" s="211">
        <v>43.97</v>
      </c>
      <c r="M308" s="214">
        <v>4822</v>
      </c>
    </row>
    <row r="309" ht="15.75" spans="1:13">
      <c r="A309" s="208" t="s">
        <v>12</v>
      </c>
      <c r="B309" s="209">
        <v>45965</v>
      </c>
      <c r="C309" s="210"/>
      <c r="D309" s="210"/>
      <c r="E309" s="211">
        <v>22452.724</v>
      </c>
      <c r="F309" s="211">
        <v>5.630868</v>
      </c>
      <c r="G309" s="211">
        <v>4.7389061</v>
      </c>
      <c r="H309" s="211">
        <v>26.6325</v>
      </c>
      <c r="I309" s="212">
        <v>0.8089</v>
      </c>
      <c r="J309" s="213">
        <f t="shared" si="4"/>
        <v>0.194012892299184</v>
      </c>
      <c r="K309" s="211">
        <v>41.6170909090909</v>
      </c>
      <c r="L309" s="211">
        <v>41.6170909090909</v>
      </c>
      <c r="M309" s="214">
        <v>4822</v>
      </c>
    </row>
    <row r="310" ht="15.75" spans="1:13">
      <c r="A310" s="208" t="s">
        <v>12</v>
      </c>
      <c r="B310" s="209">
        <v>45966</v>
      </c>
      <c r="C310" s="210"/>
      <c r="D310" s="210"/>
      <c r="E310" s="211">
        <v>25171.784</v>
      </c>
      <c r="F310" s="211">
        <v>6.38499</v>
      </c>
      <c r="G310" s="211">
        <v>5.2971778</v>
      </c>
      <c r="H310" s="211">
        <v>27.0020833333333</v>
      </c>
      <c r="I310" s="212">
        <v>0.8006</v>
      </c>
      <c r="J310" s="213">
        <f t="shared" si="4"/>
        <v>0.217508157057929</v>
      </c>
      <c r="K310" s="211">
        <v>44.095</v>
      </c>
      <c r="L310" s="211">
        <v>44.095</v>
      </c>
      <c r="M310" s="214">
        <v>4822</v>
      </c>
    </row>
    <row r="311" ht="15.75" spans="1:13">
      <c r="A311" s="208" t="s">
        <v>12</v>
      </c>
      <c r="B311" s="209">
        <v>45967</v>
      </c>
      <c r="C311" s="210"/>
      <c r="D311" s="210"/>
      <c r="E311" s="211">
        <v>25749.314</v>
      </c>
      <c r="F311" s="211">
        <v>6.54821</v>
      </c>
      <c r="G311" s="211">
        <v>5.4163088</v>
      </c>
      <c r="H311" s="211">
        <v>27.1845833333333</v>
      </c>
      <c r="I311" s="212">
        <v>0.7975</v>
      </c>
      <c r="J311" s="213">
        <f t="shared" si="4"/>
        <v>0.222498565602101</v>
      </c>
      <c r="K311" s="211">
        <v>44.5959090909091</v>
      </c>
      <c r="L311" s="211">
        <v>44.5959090909091</v>
      </c>
      <c r="M311" s="214">
        <v>4822</v>
      </c>
    </row>
    <row r="312" ht="15.75" spans="1:13">
      <c r="A312" s="208" t="s">
        <v>12</v>
      </c>
      <c r="B312" s="209">
        <v>45968</v>
      </c>
      <c r="C312" s="210"/>
      <c r="D312" s="210"/>
      <c r="E312" s="211">
        <v>24388.814</v>
      </c>
      <c r="F312" s="211">
        <v>6.17919</v>
      </c>
      <c r="G312" s="211">
        <v>5.1051128</v>
      </c>
      <c r="H312" s="211">
        <v>27.76</v>
      </c>
      <c r="I312" s="212">
        <v>0.7986</v>
      </c>
      <c r="J312" s="213">
        <f t="shared" si="4"/>
        <v>0.210742551500069</v>
      </c>
      <c r="K312" s="211">
        <v>44.1097272727273</v>
      </c>
      <c r="L312" s="211">
        <v>44.1097272727273</v>
      </c>
      <c r="M312" s="214">
        <v>4822</v>
      </c>
    </row>
    <row r="313" ht="15.75" spans="1:13">
      <c r="A313" s="208" t="s">
        <v>12</v>
      </c>
      <c r="B313" s="209">
        <v>45969</v>
      </c>
      <c r="C313" s="210"/>
      <c r="D313" s="210"/>
      <c r="E313" s="211">
        <v>20256.454</v>
      </c>
      <c r="F313" s="211">
        <v>5.123457</v>
      </c>
      <c r="G313" s="211">
        <v>4.3513908</v>
      </c>
      <c r="H313" s="211">
        <v>29.415</v>
      </c>
      <c r="I313" s="212">
        <v>0.798</v>
      </c>
      <c r="J313" s="213">
        <f t="shared" si="4"/>
        <v>0.175035030416148</v>
      </c>
      <c r="K313" s="211">
        <v>43.1701818181818</v>
      </c>
      <c r="L313" s="211">
        <v>43.1701818181818</v>
      </c>
      <c r="M313" s="214">
        <v>4822</v>
      </c>
    </row>
    <row r="314" ht="15.75" spans="1:13">
      <c r="A314" s="208" t="s">
        <v>12</v>
      </c>
      <c r="B314" s="209">
        <v>45970</v>
      </c>
      <c r="C314" s="210"/>
      <c r="D314" s="210"/>
      <c r="E314" s="211">
        <v>21566.444</v>
      </c>
      <c r="F314" s="211">
        <v>5.465588</v>
      </c>
      <c r="G314" s="211">
        <v>4.5448701</v>
      </c>
      <c r="H314" s="211">
        <v>30.2241666666667</v>
      </c>
      <c r="I314" s="212">
        <v>0.7951</v>
      </c>
      <c r="J314" s="213">
        <f t="shared" si="4"/>
        <v>0.186354590073275</v>
      </c>
      <c r="K314" s="211">
        <v>44.7079090909091</v>
      </c>
      <c r="L314" s="211">
        <v>44.7079090909091</v>
      </c>
      <c r="M314" s="214">
        <v>4822</v>
      </c>
    </row>
    <row r="315" ht="15.75" spans="1:13">
      <c r="A315" s="208" t="s">
        <v>12</v>
      </c>
      <c r="B315" s="209">
        <v>45971</v>
      </c>
      <c r="C315" s="210"/>
      <c r="D315" s="210"/>
      <c r="E315" s="211">
        <v>22355.564</v>
      </c>
      <c r="F315" s="211">
        <v>5.694064</v>
      </c>
      <c r="G315" s="211">
        <v>4.7174738</v>
      </c>
      <c r="H315" s="211">
        <v>30.7808333333333</v>
      </c>
      <c r="I315" s="212">
        <v>0.7901</v>
      </c>
      <c r="J315" s="213">
        <f t="shared" si="4"/>
        <v>0.19317333748099</v>
      </c>
      <c r="K315" s="211">
        <v>46.1260909090909</v>
      </c>
      <c r="L315" s="211">
        <v>46.1260909090909</v>
      </c>
      <c r="M315" s="214">
        <v>4822</v>
      </c>
    </row>
    <row r="316" ht="15.75" spans="1:13">
      <c r="A316" s="208" t="s">
        <v>12</v>
      </c>
      <c r="B316" s="209">
        <v>45972</v>
      </c>
      <c r="C316" s="210"/>
      <c r="D316" s="210"/>
      <c r="E316" s="211">
        <v>21198.774</v>
      </c>
      <c r="F316" s="211">
        <v>5.411119</v>
      </c>
      <c r="G316" s="211">
        <v>4.497609</v>
      </c>
      <c r="H316" s="211">
        <v>32.0129166666667</v>
      </c>
      <c r="I316" s="212">
        <v>0.7872</v>
      </c>
      <c r="J316" s="213">
        <f t="shared" si="4"/>
        <v>0.183177571547076</v>
      </c>
      <c r="K316" s="211">
        <v>46.9545454545454</v>
      </c>
      <c r="L316" s="211">
        <v>46.9545454545454</v>
      </c>
      <c r="M316" s="214">
        <v>4822</v>
      </c>
    </row>
    <row r="317" ht="15.75" spans="1:13">
      <c r="A317" s="208" t="s">
        <v>12</v>
      </c>
      <c r="B317" s="209">
        <v>45973</v>
      </c>
      <c r="C317" s="210"/>
      <c r="D317" s="210"/>
      <c r="E317" s="211">
        <v>24938.704</v>
      </c>
      <c r="F317" s="211">
        <v>6.364536</v>
      </c>
      <c r="G317" s="211">
        <v>5.221916</v>
      </c>
      <c r="H317" s="211">
        <v>28.9566666666667</v>
      </c>
      <c r="I317" s="212">
        <v>0.7872</v>
      </c>
      <c r="J317" s="213">
        <f t="shared" si="4"/>
        <v>0.215494124153187</v>
      </c>
      <c r="K317" s="211">
        <v>45.8047272727273</v>
      </c>
      <c r="L317" s="211">
        <v>45.8047272727273</v>
      </c>
      <c r="M317" s="214">
        <v>4822</v>
      </c>
    </row>
    <row r="318" ht="15.75" spans="1:13">
      <c r="A318" s="208" t="s">
        <v>12</v>
      </c>
      <c r="B318" s="209">
        <v>45974</v>
      </c>
      <c r="C318" s="210"/>
      <c r="D318" s="210"/>
      <c r="E318" s="211">
        <v>24332.594</v>
      </c>
      <c r="F318" s="211">
        <v>6.146777</v>
      </c>
      <c r="G318" s="211">
        <v>5.024812</v>
      </c>
      <c r="H318" s="211">
        <v>26.8825</v>
      </c>
      <c r="I318" s="212">
        <v>0.7933</v>
      </c>
      <c r="J318" s="213">
        <f t="shared" si="4"/>
        <v>0.210256757223835</v>
      </c>
      <c r="K318" s="211">
        <v>43.1673636363636</v>
      </c>
      <c r="L318" s="211">
        <v>43.1673636363636</v>
      </c>
      <c r="M318" s="214">
        <v>4822</v>
      </c>
    </row>
    <row r="319" ht="15.75" spans="1:13">
      <c r="A319" s="208" t="s">
        <v>12</v>
      </c>
      <c r="B319" s="209">
        <v>45975</v>
      </c>
      <c r="C319" s="210"/>
      <c r="D319" s="210"/>
      <c r="E319" s="211">
        <v>21241.874</v>
      </c>
      <c r="F319" s="211">
        <v>5.294783</v>
      </c>
      <c r="G319" s="211">
        <v>4.378098</v>
      </c>
      <c r="H319" s="211">
        <v>26.3833333333333</v>
      </c>
      <c r="I319" s="212">
        <v>0.8018</v>
      </c>
      <c r="J319" s="213">
        <f t="shared" si="4"/>
        <v>0.18354999654362</v>
      </c>
      <c r="K319" s="211">
        <v>40.3741818181818</v>
      </c>
      <c r="L319" s="211">
        <v>40.3741818181818</v>
      </c>
      <c r="M319" s="214">
        <v>4822</v>
      </c>
    </row>
    <row r="320" ht="15.75" spans="1:13">
      <c r="A320" s="208" t="s">
        <v>12</v>
      </c>
      <c r="B320" s="209">
        <v>45976</v>
      </c>
      <c r="C320" s="210"/>
      <c r="D320" s="210"/>
      <c r="E320" s="211">
        <v>18777.166</v>
      </c>
      <c r="F320" s="211">
        <v>4.6728284</v>
      </c>
      <c r="G320" s="211">
        <v>3.9381093</v>
      </c>
      <c r="H320" s="211">
        <v>27.3908333333333</v>
      </c>
      <c r="I320" s="212">
        <v>0.7715</v>
      </c>
      <c r="J320" s="213">
        <f t="shared" si="4"/>
        <v>0.162252575003456</v>
      </c>
      <c r="K320" s="211">
        <v>40.0465454545455</v>
      </c>
      <c r="L320" s="211">
        <v>40.0465454545455</v>
      </c>
      <c r="M320" s="214">
        <v>4822</v>
      </c>
    </row>
    <row r="321" ht="15.75" spans="1:13">
      <c r="A321" s="208" t="s">
        <v>12</v>
      </c>
      <c r="B321" s="209">
        <v>45977</v>
      </c>
      <c r="C321" s="210"/>
      <c r="D321" s="210"/>
      <c r="E321" s="211">
        <v>22497.258</v>
      </c>
      <c r="F321" s="211">
        <v>5.68776</v>
      </c>
      <c r="G321" s="211">
        <v>4.641978</v>
      </c>
      <c r="H321" s="211">
        <v>28.3133333333333</v>
      </c>
      <c r="I321" s="212">
        <v>0.7886</v>
      </c>
      <c r="J321" s="213">
        <f t="shared" si="4"/>
        <v>0.194397708419743</v>
      </c>
      <c r="K321" s="211">
        <v>43.484</v>
      </c>
      <c r="L321" s="211">
        <v>43.484</v>
      </c>
      <c r="M321" s="214">
        <v>4822</v>
      </c>
    </row>
    <row r="322" ht="15.75" spans="1:13">
      <c r="A322" s="208" t="s">
        <v>12</v>
      </c>
      <c r="B322" s="209">
        <v>45978</v>
      </c>
      <c r="C322" s="210"/>
      <c r="D322" s="210"/>
      <c r="E322" s="211">
        <v>24135.834</v>
      </c>
      <c r="F322" s="211">
        <v>6.116685</v>
      </c>
      <c r="G322" s="211">
        <v>4.958212</v>
      </c>
      <c r="H322" s="211">
        <v>27.42375</v>
      </c>
      <c r="I322" s="212">
        <v>0.7879</v>
      </c>
      <c r="J322" s="213">
        <f t="shared" si="4"/>
        <v>0.208556563666528</v>
      </c>
      <c r="K322" s="211">
        <v>43.4959090909091</v>
      </c>
      <c r="L322" s="211">
        <v>43.4959090909091</v>
      </c>
      <c r="M322" s="214">
        <v>4822</v>
      </c>
    </row>
    <row r="323" ht="15.75" spans="1:13">
      <c r="A323" s="208" t="s">
        <v>12</v>
      </c>
      <c r="B323" s="209">
        <v>45979</v>
      </c>
      <c r="C323" s="210"/>
      <c r="D323" s="210"/>
      <c r="E323" s="211">
        <v>23303.922</v>
      </c>
      <c r="F323" s="211">
        <v>5.909442</v>
      </c>
      <c r="G323" s="211">
        <v>4.805618</v>
      </c>
      <c r="H323" s="211">
        <v>27.96625</v>
      </c>
      <c r="I323" s="212">
        <v>0.7864</v>
      </c>
      <c r="J323" s="213">
        <f t="shared" ref="J323:J366" si="5">E323/24/M323</f>
        <v>0.201368052675238</v>
      </c>
      <c r="K323" s="211">
        <v>43.5522727272727</v>
      </c>
      <c r="L323" s="211">
        <v>43.5522727272727</v>
      </c>
      <c r="M323" s="214">
        <v>4822</v>
      </c>
    </row>
    <row r="324" ht="15.75" spans="1:13">
      <c r="A324" s="208" t="s">
        <v>12</v>
      </c>
      <c r="B324" s="209">
        <v>45980</v>
      </c>
      <c r="C324" s="210"/>
      <c r="D324" s="210"/>
      <c r="E324" s="211">
        <v>19145.66</v>
      </c>
      <c r="F324" s="211">
        <v>4.87836</v>
      </c>
      <c r="G324" s="211">
        <v>4.029593</v>
      </c>
      <c r="H324" s="211">
        <v>31.3616666666667</v>
      </c>
      <c r="I324" s="212">
        <v>0.7772</v>
      </c>
      <c r="J324" s="213">
        <f t="shared" si="5"/>
        <v>0.165436713673441</v>
      </c>
      <c r="K324" s="211">
        <v>44.3884545454546</v>
      </c>
      <c r="L324" s="211">
        <v>44.3884545454546</v>
      </c>
      <c r="M324" s="214">
        <v>4822</v>
      </c>
    </row>
    <row r="325" ht="15.75" spans="1:13">
      <c r="A325" s="208" t="s">
        <v>12</v>
      </c>
      <c r="B325" s="209">
        <v>45981</v>
      </c>
      <c r="C325" s="210"/>
      <c r="D325" s="210"/>
      <c r="E325" s="211">
        <v>16418.777</v>
      </c>
      <c r="F325" s="211">
        <v>4.122297</v>
      </c>
      <c r="G325" s="211">
        <v>3.489383</v>
      </c>
      <c r="H325" s="211">
        <v>30.3508333333333</v>
      </c>
      <c r="I325" s="212">
        <v>0.7862</v>
      </c>
      <c r="J325" s="213">
        <f t="shared" si="5"/>
        <v>0.141873850753491</v>
      </c>
      <c r="K325" s="211">
        <v>41.124</v>
      </c>
      <c r="L325" s="211">
        <v>41.124</v>
      </c>
      <c r="M325" s="214">
        <v>4822</v>
      </c>
    </row>
    <row r="326" ht="15.75" spans="1:13">
      <c r="A326" s="208" t="s">
        <v>12</v>
      </c>
      <c r="B326" s="209">
        <v>45982</v>
      </c>
      <c r="C326" s="210"/>
      <c r="D326" s="210"/>
      <c r="E326" s="211">
        <v>21749.853</v>
      </c>
      <c r="F326" s="211">
        <v>5.472927</v>
      </c>
      <c r="G326" s="211">
        <v>4.439698</v>
      </c>
      <c r="H326" s="211">
        <v>27.9025</v>
      </c>
      <c r="I326" s="212">
        <v>0.7862</v>
      </c>
      <c r="J326" s="213">
        <f t="shared" si="5"/>
        <v>0.187939418291166</v>
      </c>
      <c r="K326" s="211">
        <v>42.1337272727273</v>
      </c>
      <c r="L326" s="211">
        <v>42.1337272727273</v>
      </c>
      <c r="M326" s="214">
        <v>4822</v>
      </c>
    </row>
    <row r="327" ht="15.75" spans="1:13">
      <c r="A327" s="208" t="s">
        <v>12</v>
      </c>
      <c r="B327" s="209">
        <v>45983</v>
      </c>
      <c r="C327" s="210"/>
      <c r="D327" s="210"/>
      <c r="E327" s="211">
        <v>21659.871</v>
      </c>
      <c r="F327" s="211">
        <v>5.465758</v>
      </c>
      <c r="G327" s="211">
        <v>4.431192</v>
      </c>
      <c r="H327" s="211">
        <v>28.41</v>
      </c>
      <c r="I327" s="212">
        <v>0.7831</v>
      </c>
      <c r="J327" s="213">
        <f t="shared" si="5"/>
        <v>0.187161888220655</v>
      </c>
      <c r="K327" s="211">
        <v>42.8248181818182</v>
      </c>
      <c r="L327" s="211">
        <v>42.8248181818182</v>
      </c>
      <c r="M327" s="214">
        <v>4822</v>
      </c>
    </row>
    <row r="328" ht="15.75" spans="1:13">
      <c r="A328" s="208" t="s">
        <v>12</v>
      </c>
      <c r="B328" s="209">
        <v>45984</v>
      </c>
      <c r="C328" s="210"/>
      <c r="D328" s="210"/>
      <c r="E328" s="211">
        <v>21502.525</v>
      </c>
      <c r="F328" s="211">
        <v>5.470393</v>
      </c>
      <c r="G328" s="211">
        <v>4.41438</v>
      </c>
      <c r="H328" s="211">
        <v>29.9475</v>
      </c>
      <c r="I328" s="212">
        <v>0.7776</v>
      </c>
      <c r="J328" s="213">
        <f t="shared" si="5"/>
        <v>0.185802269113784</v>
      </c>
      <c r="K328" s="211">
        <v>44.9133636363636</v>
      </c>
      <c r="L328" s="211">
        <v>44.9133636363636</v>
      </c>
      <c r="M328" s="214">
        <v>4822</v>
      </c>
    </row>
    <row r="329" ht="15.75" spans="1:13">
      <c r="A329" s="208" t="s">
        <v>12</v>
      </c>
      <c r="B329" s="209">
        <v>45985</v>
      </c>
      <c r="C329" s="210"/>
      <c r="D329" s="210"/>
      <c r="E329" s="211">
        <v>25773.094</v>
      </c>
      <c r="F329" s="211">
        <v>6.576916</v>
      </c>
      <c r="G329" s="211">
        <v>5.236193</v>
      </c>
      <c r="H329" s="211">
        <v>26.8616666666667</v>
      </c>
      <c r="I329" s="212">
        <v>0.7747</v>
      </c>
      <c r="J329" s="213">
        <f t="shared" si="5"/>
        <v>0.22270404742154</v>
      </c>
      <c r="K329" s="211">
        <v>43.9141818181818</v>
      </c>
      <c r="L329" s="211">
        <v>43.9141818181818</v>
      </c>
      <c r="M329" s="214">
        <v>4822</v>
      </c>
    </row>
    <row r="330" ht="15.75" spans="1:13">
      <c r="A330" s="208" t="s">
        <v>12</v>
      </c>
      <c r="B330" s="209">
        <v>45986</v>
      </c>
      <c r="C330" s="210"/>
      <c r="D330" s="210"/>
      <c r="E330" s="211">
        <v>25352.092</v>
      </c>
      <c r="F330" s="211">
        <v>6.439401</v>
      </c>
      <c r="G330" s="211">
        <v>5.123688</v>
      </c>
      <c r="H330" s="211">
        <v>25.8041666666667</v>
      </c>
      <c r="I330" s="212">
        <v>0.7767</v>
      </c>
      <c r="J330" s="213">
        <f t="shared" si="5"/>
        <v>0.219066189686161</v>
      </c>
      <c r="K330" s="211">
        <v>42.7267272727273</v>
      </c>
      <c r="L330" s="211">
        <v>42.7267272727273</v>
      </c>
      <c r="M330" s="214">
        <v>4822</v>
      </c>
    </row>
    <row r="331" ht="15.75" spans="1:13">
      <c r="A331" s="208" t="s">
        <v>12</v>
      </c>
      <c r="B331" s="209">
        <v>45987</v>
      </c>
      <c r="C331" s="210"/>
      <c r="D331" s="210"/>
      <c r="E331" s="211">
        <v>25319.616</v>
      </c>
      <c r="F331" s="211">
        <v>6.498242</v>
      </c>
      <c r="G331" s="211">
        <v>5.157803</v>
      </c>
      <c r="H331" s="211">
        <v>28.1408333333333</v>
      </c>
      <c r="I331" s="212">
        <v>0.7686</v>
      </c>
      <c r="J331" s="213">
        <f t="shared" si="5"/>
        <v>0.218785566155122</v>
      </c>
      <c r="K331" s="211">
        <v>45.4959090909091</v>
      </c>
      <c r="L331" s="211">
        <v>45.4959090909091</v>
      </c>
      <c r="M331" s="214">
        <v>4822</v>
      </c>
    </row>
    <row r="332" ht="15.75" spans="1:13">
      <c r="A332" s="208" t="s">
        <v>12</v>
      </c>
      <c r="B332" s="209">
        <v>45988</v>
      </c>
      <c r="C332" s="210"/>
      <c r="D332" s="210"/>
      <c r="E332" s="211">
        <v>20208.671</v>
      </c>
      <c r="F332" s="211">
        <v>5.075704</v>
      </c>
      <c r="G332" s="211">
        <v>4.095272</v>
      </c>
      <c r="H332" s="211">
        <v>27.5479166666667</v>
      </c>
      <c r="I332" s="212">
        <v>0.7806</v>
      </c>
      <c r="J332" s="213">
        <f t="shared" si="5"/>
        <v>0.174622139845154</v>
      </c>
      <c r="K332" s="211">
        <v>40.707</v>
      </c>
      <c r="L332" s="211">
        <v>40.707</v>
      </c>
      <c r="M332" s="214">
        <v>4822</v>
      </c>
    </row>
    <row r="333" ht="15.75" spans="1:13">
      <c r="A333" s="208" t="s">
        <v>12</v>
      </c>
      <c r="B333" s="209">
        <v>45989</v>
      </c>
      <c r="C333" s="210"/>
      <c r="D333" s="210"/>
      <c r="E333" s="211">
        <v>23861.184</v>
      </c>
      <c r="F333" s="211">
        <v>6.034943</v>
      </c>
      <c r="G333" s="211">
        <v>4.79223</v>
      </c>
      <c r="H333" s="211">
        <v>26.2479166666667</v>
      </c>
      <c r="I333" s="212">
        <v>0.7762</v>
      </c>
      <c r="J333" s="213">
        <f t="shared" si="5"/>
        <v>0.206183326420572</v>
      </c>
      <c r="K333" s="211">
        <v>42.0153636363636</v>
      </c>
      <c r="L333" s="211">
        <v>42.0153636363636</v>
      </c>
      <c r="M333" s="214">
        <v>4822</v>
      </c>
    </row>
    <row r="334" ht="15.75" spans="1:13">
      <c r="A334" s="208" t="s">
        <v>12</v>
      </c>
      <c r="B334" s="209">
        <v>45990</v>
      </c>
      <c r="C334" s="210"/>
      <c r="D334" s="210"/>
      <c r="E334" s="211">
        <v>20838.689</v>
      </c>
      <c r="F334" s="211">
        <v>5.189541</v>
      </c>
      <c r="G334" s="211">
        <v>4.14749</v>
      </c>
      <c r="H334" s="211">
        <v>25.2620833333333</v>
      </c>
      <c r="I334" s="212">
        <v>0.7881</v>
      </c>
      <c r="J334" s="213">
        <f t="shared" si="5"/>
        <v>0.180066094635697</v>
      </c>
      <c r="K334" s="211">
        <v>38.7480909090909</v>
      </c>
      <c r="L334" s="211">
        <v>38.7480909090909</v>
      </c>
      <c r="M334" s="214">
        <v>4822</v>
      </c>
    </row>
    <row r="335" ht="15.75" spans="1:13">
      <c r="A335" s="208" t="s">
        <v>12</v>
      </c>
      <c r="B335" s="209">
        <v>45991</v>
      </c>
      <c r="C335" s="210"/>
      <c r="D335" s="210"/>
      <c r="E335" s="211">
        <v>20938.59</v>
      </c>
      <c r="F335" s="211">
        <v>5.233377</v>
      </c>
      <c r="G335" s="211">
        <v>4.179217</v>
      </c>
      <c r="H335" s="211">
        <v>25.8</v>
      </c>
      <c r="I335" s="212">
        <v>0.7829</v>
      </c>
      <c r="J335" s="213">
        <f t="shared" si="5"/>
        <v>0.18092933430112</v>
      </c>
      <c r="K335" s="211">
        <v>39.7596363636364</v>
      </c>
      <c r="L335" s="211">
        <v>39.7596363636364</v>
      </c>
      <c r="M335" s="214">
        <v>4822</v>
      </c>
    </row>
    <row r="336" ht="15.75" spans="1:13">
      <c r="A336" s="208" t="s">
        <v>12</v>
      </c>
      <c r="B336" s="209">
        <v>45992</v>
      </c>
      <c r="C336" s="210"/>
      <c r="D336" s="210"/>
      <c r="E336" s="211">
        <v>25763.033</v>
      </c>
      <c r="F336" s="211">
        <v>6.570984</v>
      </c>
      <c r="G336" s="211">
        <v>5.169202</v>
      </c>
      <c r="H336" s="211">
        <v>25.1729166666667</v>
      </c>
      <c r="I336" s="212">
        <v>0.771</v>
      </c>
      <c r="J336" s="213">
        <f t="shared" si="5"/>
        <v>0.222617110811558</v>
      </c>
      <c r="K336" s="211">
        <v>42.9214545454545</v>
      </c>
      <c r="L336" s="211">
        <v>42.9214545454545</v>
      </c>
      <c r="M336" s="214">
        <v>4822</v>
      </c>
    </row>
    <row r="337" ht="15.75" spans="1:13">
      <c r="A337" s="208" t="s">
        <v>12</v>
      </c>
      <c r="B337" s="209">
        <v>45993</v>
      </c>
      <c r="C337" s="210"/>
      <c r="D337" s="210"/>
      <c r="E337" s="211">
        <v>20210.839</v>
      </c>
      <c r="F337" s="211">
        <v>5.01183</v>
      </c>
      <c r="G337" s="211">
        <v>4.075184</v>
      </c>
      <c r="H337" s="211">
        <v>23.6666666666667</v>
      </c>
      <c r="I337" s="212">
        <v>0.784</v>
      </c>
      <c r="J337" s="213">
        <f t="shared" si="5"/>
        <v>0.174640873427347</v>
      </c>
      <c r="K337" s="211">
        <v>37.0918181818182</v>
      </c>
      <c r="L337" s="211">
        <v>37.0918181818182</v>
      </c>
      <c r="M337" s="214">
        <v>4822</v>
      </c>
    </row>
    <row r="338" ht="15.75" spans="1:13">
      <c r="A338" s="208" t="s">
        <v>12</v>
      </c>
      <c r="B338" s="209">
        <v>45994</v>
      </c>
      <c r="C338" s="210"/>
      <c r="D338" s="210"/>
      <c r="E338" s="211">
        <v>22911.298</v>
      </c>
      <c r="F338" s="211">
        <v>5.808277</v>
      </c>
      <c r="G338" s="211">
        <v>4.58619</v>
      </c>
      <c r="H338" s="211">
        <v>26.63125</v>
      </c>
      <c r="I338" s="212">
        <v>0.7737</v>
      </c>
      <c r="J338" s="213">
        <f t="shared" si="5"/>
        <v>0.197975407852896</v>
      </c>
      <c r="K338" s="211">
        <v>42.4953636363636</v>
      </c>
      <c r="L338" s="211">
        <v>42.4953636363636</v>
      </c>
      <c r="M338" s="214">
        <v>4822</v>
      </c>
    </row>
    <row r="339" ht="15.75" spans="1:13">
      <c r="A339" s="208" t="s">
        <v>12</v>
      </c>
      <c r="B339" s="209">
        <v>45995</v>
      </c>
      <c r="C339" s="210"/>
      <c r="D339" s="210"/>
      <c r="E339" s="211">
        <v>-57.008</v>
      </c>
      <c r="F339" s="211">
        <v>3.591315</v>
      </c>
      <c r="G339" s="211">
        <v>3.0753624</v>
      </c>
      <c r="H339" s="211">
        <v>26.6041666666667</v>
      </c>
      <c r="I339" s="212">
        <v>0</v>
      </c>
      <c r="J339" s="213">
        <f t="shared" si="5"/>
        <v>-0.000492603345776303</v>
      </c>
      <c r="K339" s="211">
        <v>37.3639</v>
      </c>
      <c r="L339" s="211">
        <v>37.3639</v>
      </c>
      <c r="M339" s="214">
        <v>4822</v>
      </c>
    </row>
    <row r="340" ht="15.75" spans="1:13">
      <c r="A340" s="208" t="s">
        <v>12</v>
      </c>
      <c r="B340" s="209">
        <v>45996</v>
      </c>
      <c r="C340" s="210"/>
      <c r="D340" s="210"/>
      <c r="E340" s="211">
        <v>21535.101</v>
      </c>
      <c r="F340" s="211">
        <v>5.394049</v>
      </c>
      <c r="G340" s="211">
        <v>4.279795</v>
      </c>
      <c r="H340" s="211">
        <v>24.91</v>
      </c>
      <c r="I340" s="212">
        <v>0.7775</v>
      </c>
      <c r="J340" s="213">
        <f t="shared" si="5"/>
        <v>0.186083756739942</v>
      </c>
      <c r="K340" s="211">
        <v>39.2561818181818</v>
      </c>
      <c r="L340" s="211">
        <v>39.2561818181818</v>
      </c>
      <c r="M340" s="214">
        <v>4822</v>
      </c>
    </row>
    <row r="341" ht="15.75" spans="1:13">
      <c r="A341" s="208" t="s">
        <v>12</v>
      </c>
      <c r="B341" s="209">
        <v>45997</v>
      </c>
      <c r="C341" s="210"/>
      <c r="D341" s="210"/>
      <c r="E341" s="211">
        <v>24499.762</v>
      </c>
      <c r="F341" s="211">
        <v>6.201921</v>
      </c>
      <c r="G341" s="211">
        <v>4.860317</v>
      </c>
      <c r="H341" s="211">
        <v>24.33875</v>
      </c>
      <c r="I341" s="212">
        <v>0.7716</v>
      </c>
      <c r="J341" s="213">
        <f t="shared" si="5"/>
        <v>0.211701247753353</v>
      </c>
      <c r="K341" s="211">
        <v>41.0723636363636</v>
      </c>
      <c r="L341" s="211">
        <v>41.0723636363636</v>
      </c>
      <c r="M341" s="214">
        <v>4822</v>
      </c>
    </row>
    <row r="342" ht="15.75" spans="1:13">
      <c r="A342" s="208" t="s">
        <v>12</v>
      </c>
      <c r="B342" s="209">
        <v>45998</v>
      </c>
      <c r="C342" s="210"/>
      <c r="D342" s="210"/>
      <c r="E342" s="211">
        <v>26219.438</v>
      </c>
      <c r="F342" s="211">
        <v>6.700368</v>
      </c>
      <c r="G342" s="211">
        <v>5.224006</v>
      </c>
      <c r="H342" s="211">
        <v>24.5175</v>
      </c>
      <c r="I342" s="212">
        <v>0.7637</v>
      </c>
      <c r="J342" s="213">
        <f t="shared" si="5"/>
        <v>0.226560884142126</v>
      </c>
      <c r="K342" s="211">
        <v>42.5651818181818</v>
      </c>
      <c r="L342" s="211">
        <v>42.5651818181818</v>
      </c>
      <c r="M342" s="214">
        <v>4822</v>
      </c>
    </row>
    <row r="343" ht="15.75" spans="1:13">
      <c r="A343" s="208" t="s">
        <v>12</v>
      </c>
      <c r="B343" s="209">
        <v>45999</v>
      </c>
      <c r="C343" s="210"/>
      <c r="D343" s="210"/>
      <c r="E343" s="211">
        <v>25153.157</v>
      </c>
      <c r="F343" s="211">
        <v>6.414369</v>
      </c>
      <c r="G343" s="211">
        <v>4.998686</v>
      </c>
      <c r="H343" s="211">
        <v>25.3316666666667</v>
      </c>
      <c r="I343" s="212">
        <v>0.7641</v>
      </c>
      <c r="J343" s="213">
        <f t="shared" si="5"/>
        <v>0.217347202060003</v>
      </c>
      <c r="K343" s="211">
        <v>42.6505454545455</v>
      </c>
      <c r="L343" s="211">
        <v>42.6505454545455</v>
      </c>
      <c r="M343" s="214">
        <v>4822</v>
      </c>
    </row>
    <row r="344" ht="15.75" spans="1:13">
      <c r="A344" s="208" t="s">
        <v>12</v>
      </c>
      <c r="B344" s="209">
        <v>46000</v>
      </c>
      <c r="C344" s="210"/>
      <c r="D344" s="210"/>
      <c r="E344" s="211">
        <v>22773.545</v>
      </c>
      <c r="F344" s="211">
        <v>5.70469</v>
      </c>
      <c r="G344" s="211">
        <v>4.48061</v>
      </c>
      <c r="H344" s="211">
        <v>23.8341666666667</v>
      </c>
      <c r="I344" s="212">
        <v>0.7766</v>
      </c>
      <c r="J344" s="213">
        <f t="shared" si="5"/>
        <v>0.196785090902807</v>
      </c>
      <c r="K344" s="211">
        <v>38.9265454545455</v>
      </c>
      <c r="L344" s="211">
        <v>38.9265454545455</v>
      </c>
      <c r="M344" s="214">
        <v>4822</v>
      </c>
    </row>
    <row r="345" ht="15.75" spans="1:13">
      <c r="A345" s="208" t="s">
        <v>12</v>
      </c>
      <c r="B345" s="209">
        <v>46001</v>
      </c>
      <c r="C345" s="210"/>
      <c r="D345" s="210"/>
      <c r="E345" s="211">
        <v>23343.058</v>
      </c>
      <c r="F345" s="211">
        <v>5.899886</v>
      </c>
      <c r="G345" s="211">
        <v>4.62337</v>
      </c>
      <c r="H345" s="211">
        <v>24.9229166666667</v>
      </c>
      <c r="I345" s="212">
        <v>0.7676</v>
      </c>
      <c r="J345" s="213">
        <f t="shared" si="5"/>
        <v>0.201706224941242</v>
      </c>
      <c r="K345" s="211">
        <v>40.9117272727273</v>
      </c>
      <c r="L345" s="211">
        <v>40.9117272727273</v>
      </c>
      <c r="M345" s="214">
        <v>4822</v>
      </c>
    </row>
    <row r="346" ht="15.75" spans="1:13">
      <c r="A346" s="208" t="s">
        <v>12</v>
      </c>
      <c r="B346" s="209">
        <v>46002</v>
      </c>
      <c r="C346" s="210"/>
      <c r="D346" s="210"/>
      <c r="E346" s="211">
        <v>18888.086</v>
      </c>
      <c r="F346" s="211">
        <v>4.667667</v>
      </c>
      <c r="G346" s="211">
        <v>3.762808</v>
      </c>
      <c r="H346" s="211">
        <v>23.31375</v>
      </c>
      <c r="I346" s="212">
        <v>0.7853</v>
      </c>
      <c r="J346" s="213">
        <f t="shared" si="5"/>
        <v>0.163211029310106</v>
      </c>
      <c r="K346" s="211">
        <v>35.6817272727273</v>
      </c>
      <c r="L346" s="211">
        <v>35.6817272727273</v>
      </c>
      <c r="M346" s="214">
        <v>4822</v>
      </c>
    </row>
    <row r="347" ht="15.75" spans="1:13">
      <c r="A347" s="208" t="s">
        <v>12</v>
      </c>
      <c r="B347" s="209">
        <v>46003</v>
      </c>
      <c r="C347" s="210"/>
      <c r="D347" s="210"/>
      <c r="E347" s="211">
        <v>21113.85</v>
      </c>
      <c r="F347" s="211">
        <v>5.320264</v>
      </c>
      <c r="G347" s="211">
        <v>4.2157244</v>
      </c>
      <c r="H347" s="211">
        <v>25.7841666666667</v>
      </c>
      <c r="I347" s="212">
        <v>0.7642</v>
      </c>
      <c r="J347" s="213">
        <f t="shared" si="5"/>
        <v>0.182443747407715</v>
      </c>
      <c r="K347" s="211">
        <v>40.5058181818182</v>
      </c>
      <c r="L347" s="211">
        <v>40.5058181818182</v>
      </c>
      <c r="M347" s="214">
        <v>4822</v>
      </c>
    </row>
    <row r="348" ht="15.75" spans="1:13">
      <c r="A348" s="208" t="s">
        <v>12</v>
      </c>
      <c r="B348" s="209">
        <v>46004</v>
      </c>
      <c r="C348" s="210"/>
      <c r="D348" s="210"/>
      <c r="E348" s="211">
        <v>20092.198</v>
      </c>
      <c r="F348" s="211">
        <v>4.992324</v>
      </c>
      <c r="G348" s="211">
        <v>3.9840254</v>
      </c>
      <c r="H348" s="211">
        <v>24.1516666666667</v>
      </c>
      <c r="I348" s="212">
        <v>0.7806</v>
      </c>
      <c r="J348" s="213">
        <f t="shared" si="5"/>
        <v>0.173615702336513</v>
      </c>
      <c r="K348" s="211">
        <v>37.0017272727273</v>
      </c>
      <c r="L348" s="211">
        <v>37.0017272727273</v>
      </c>
      <c r="M348" s="214">
        <v>4822</v>
      </c>
    </row>
    <row r="349" ht="15.75" spans="1:13">
      <c r="A349" s="208" t="s">
        <v>12</v>
      </c>
      <c r="B349" s="209">
        <v>46005</v>
      </c>
      <c r="C349" s="210"/>
      <c r="D349" s="210"/>
      <c r="E349" s="211">
        <v>23889.859</v>
      </c>
      <c r="F349" s="211">
        <v>6.087721</v>
      </c>
      <c r="G349" s="211">
        <v>4.7455156</v>
      </c>
      <c r="H349" s="211">
        <v>26.29375</v>
      </c>
      <c r="I349" s="212">
        <v>0.7568</v>
      </c>
      <c r="J349" s="213">
        <f t="shared" si="5"/>
        <v>0.206431105696115</v>
      </c>
      <c r="K349" s="211">
        <v>42.8141818181818</v>
      </c>
      <c r="L349" s="211">
        <v>42.8141818181818</v>
      </c>
      <c r="M349" s="214">
        <v>4822</v>
      </c>
    </row>
    <row r="350" ht="15.75" spans="1:13">
      <c r="A350" s="208" t="s">
        <v>12</v>
      </c>
      <c r="B350" s="209">
        <v>46006</v>
      </c>
      <c r="C350" s="210"/>
      <c r="D350" s="210"/>
      <c r="E350" s="211">
        <v>18492.142</v>
      </c>
      <c r="F350" s="211">
        <v>4.6292079</v>
      </c>
      <c r="G350" s="211">
        <v>3.7611928</v>
      </c>
      <c r="H350" s="211">
        <v>27.2291666666667</v>
      </c>
      <c r="I350" s="212">
        <v>0.8102</v>
      </c>
      <c r="J350" s="213">
        <f t="shared" si="5"/>
        <v>0.159789696529794</v>
      </c>
      <c r="K350" s="211">
        <v>39.1471818181818</v>
      </c>
      <c r="L350" s="211">
        <v>39.1471818181818</v>
      </c>
      <c r="M350" s="214">
        <v>4822</v>
      </c>
    </row>
    <row r="351" ht="15.75" spans="1:13">
      <c r="A351" s="208" t="s">
        <v>12</v>
      </c>
      <c r="B351" s="209">
        <v>46007</v>
      </c>
      <c r="C351" s="210"/>
      <c r="D351" s="210"/>
      <c r="E351" s="211">
        <v>20231.334</v>
      </c>
      <c r="F351" s="211">
        <v>5.148237</v>
      </c>
      <c r="G351" s="211">
        <v>4.1023578</v>
      </c>
      <c r="H351" s="211">
        <v>29.5020833333333</v>
      </c>
      <c r="I351" s="212">
        <v>0.7581</v>
      </c>
      <c r="J351" s="213">
        <f t="shared" si="5"/>
        <v>0.174817969722107</v>
      </c>
      <c r="K351" s="211">
        <v>43.8832727272727</v>
      </c>
      <c r="L351" s="211">
        <v>43.8832727272727</v>
      </c>
      <c r="M351" s="214">
        <v>4822</v>
      </c>
    </row>
    <row r="352" ht="15.75" spans="1:13">
      <c r="A352" s="208" t="s">
        <v>12</v>
      </c>
      <c r="B352" s="209">
        <v>46008</v>
      </c>
      <c r="C352" s="210"/>
      <c r="D352" s="210"/>
      <c r="E352" s="211">
        <v>21672.524</v>
      </c>
      <c r="F352" s="211">
        <v>5.459725</v>
      </c>
      <c r="G352" s="211">
        <v>4.2702781</v>
      </c>
      <c r="H352" s="211">
        <v>26.9304166666667</v>
      </c>
      <c r="I352" s="212">
        <v>0.7633</v>
      </c>
      <c r="J352" s="213">
        <f t="shared" si="5"/>
        <v>0.187271222176137</v>
      </c>
      <c r="K352" s="211">
        <v>40.985</v>
      </c>
      <c r="L352" s="211">
        <v>40.985</v>
      </c>
      <c r="M352" s="214">
        <v>4822</v>
      </c>
    </row>
    <row r="353" ht="15.75" spans="1:13">
      <c r="A353" s="208" t="s">
        <v>12</v>
      </c>
      <c r="B353" s="209">
        <v>46009</v>
      </c>
      <c r="C353" s="210"/>
      <c r="D353" s="210"/>
      <c r="E353" s="211">
        <v>22201.885</v>
      </c>
      <c r="F353" s="211">
        <v>5.667745</v>
      </c>
      <c r="G353" s="211">
        <v>4.4307968</v>
      </c>
      <c r="H353" s="217">
        <v>28.7129166666667</v>
      </c>
      <c r="I353" s="212">
        <v>0.7501</v>
      </c>
      <c r="J353" s="213">
        <f t="shared" si="5"/>
        <v>0.191845404742154</v>
      </c>
      <c r="K353" s="211">
        <v>44.2184545454545</v>
      </c>
      <c r="L353" s="211">
        <v>44.2184545454545</v>
      </c>
      <c r="M353" s="214">
        <v>4822</v>
      </c>
    </row>
    <row r="354" ht="15.75" spans="1:13">
      <c r="A354" s="208" t="s">
        <v>12</v>
      </c>
      <c r="B354" s="209">
        <v>46010</v>
      </c>
      <c r="C354" s="210"/>
      <c r="D354" s="210"/>
      <c r="E354" s="211">
        <v>23524.712</v>
      </c>
      <c r="F354" s="211">
        <v>6.00758</v>
      </c>
      <c r="G354" s="211">
        <v>4.6781156</v>
      </c>
      <c r="H354" s="211">
        <v>27.84375</v>
      </c>
      <c r="I354" s="212">
        <v>0.8004</v>
      </c>
      <c r="J354" s="213">
        <f t="shared" si="5"/>
        <v>0.203275888289783</v>
      </c>
      <c r="K354" s="211">
        <v>43.5978181818182</v>
      </c>
      <c r="L354" s="211">
        <v>43.5978181818182</v>
      </c>
      <c r="M354" s="214">
        <v>4822</v>
      </c>
    </row>
    <row r="355" ht="15.75" spans="1:13">
      <c r="A355" s="208" t="s">
        <v>12</v>
      </c>
      <c r="B355" s="209">
        <v>46011</v>
      </c>
      <c r="C355" s="210"/>
      <c r="D355" s="210"/>
      <c r="E355" s="211">
        <v>19224.062</v>
      </c>
      <c r="F355" s="211">
        <v>4.817475</v>
      </c>
      <c r="G355" s="211">
        <v>3.8806754</v>
      </c>
      <c r="H355" s="211">
        <v>27.5120833333333</v>
      </c>
      <c r="I355" s="212">
        <v>0.8137</v>
      </c>
      <c r="J355" s="213">
        <f t="shared" si="5"/>
        <v>0.166114181529103</v>
      </c>
      <c r="K355" s="211">
        <v>40.5006363636364</v>
      </c>
      <c r="L355" s="211">
        <v>40.5006363636364</v>
      </c>
      <c r="M355" s="214">
        <v>4822</v>
      </c>
    </row>
    <row r="356" ht="15.75" spans="1:13">
      <c r="A356" s="208" t="s">
        <v>12</v>
      </c>
      <c r="B356" s="209">
        <v>46012</v>
      </c>
      <c r="C356" s="210"/>
      <c r="D356" s="210"/>
      <c r="E356" s="211">
        <v>21682.872</v>
      </c>
      <c r="F356" s="211">
        <v>5.3951022</v>
      </c>
      <c r="G356" s="211">
        <v>4.2414192</v>
      </c>
      <c r="H356" s="211">
        <v>23.5204166666667</v>
      </c>
      <c r="I356" s="212">
        <v>0.821</v>
      </c>
      <c r="J356" s="213">
        <f t="shared" si="5"/>
        <v>0.187360638739112</v>
      </c>
      <c r="K356" s="211">
        <v>37.3847272727273</v>
      </c>
      <c r="L356" s="211">
        <v>37.3847272727273</v>
      </c>
      <c r="M356" s="214">
        <v>4822</v>
      </c>
    </row>
    <row r="357" ht="15.75" spans="1:13">
      <c r="A357" s="208" t="s">
        <v>12</v>
      </c>
      <c r="B357" s="209">
        <v>46013</v>
      </c>
      <c r="C357" s="210"/>
      <c r="D357" s="210"/>
      <c r="E357" s="211">
        <v>23300.552</v>
      </c>
      <c r="F357" s="211">
        <v>5.9264104</v>
      </c>
      <c r="G357" s="211">
        <v>4.6145227</v>
      </c>
      <c r="H357" s="211">
        <v>26.1058333333333</v>
      </c>
      <c r="I357" s="212">
        <v>0.8041</v>
      </c>
      <c r="J357" s="213">
        <f t="shared" si="5"/>
        <v>0.201338932669708</v>
      </c>
      <c r="K357" s="211">
        <v>42.509</v>
      </c>
      <c r="L357" s="211">
        <v>42.509</v>
      </c>
      <c r="M357" s="214">
        <v>4822</v>
      </c>
    </row>
    <row r="358" ht="15.75" spans="1:13">
      <c r="A358" s="208" t="s">
        <v>12</v>
      </c>
      <c r="B358" s="209">
        <v>46014</v>
      </c>
      <c r="C358" s="210"/>
      <c r="D358" s="210"/>
      <c r="E358" s="211">
        <v>24649.022</v>
      </c>
      <c r="F358" s="211">
        <v>6.2350039</v>
      </c>
      <c r="G358" s="211">
        <v>4.8396104</v>
      </c>
      <c r="H358" s="211">
        <v>24.24875</v>
      </c>
      <c r="I358" s="212">
        <v>0.8091</v>
      </c>
      <c r="J358" s="213">
        <f t="shared" si="5"/>
        <v>0.212990996128854</v>
      </c>
      <c r="K358" s="211">
        <v>40.6538181818182</v>
      </c>
      <c r="L358" s="211">
        <v>40.6538181818182</v>
      </c>
      <c r="M358" s="214">
        <v>4822</v>
      </c>
    </row>
    <row r="359" ht="15.75" spans="1:13">
      <c r="A359" s="208" t="s">
        <v>12</v>
      </c>
      <c r="B359" s="209">
        <v>46015</v>
      </c>
      <c r="C359" s="210"/>
      <c r="D359" s="210"/>
      <c r="E359" s="211">
        <v>23193.582</v>
      </c>
      <c r="F359" s="211">
        <v>5.7759016</v>
      </c>
      <c r="G359" s="211">
        <v>4.5020956</v>
      </c>
      <c r="H359" s="211">
        <v>21.3625</v>
      </c>
      <c r="I359" s="212">
        <v>0.8217</v>
      </c>
      <c r="J359" s="213">
        <f t="shared" si="5"/>
        <v>0.200414610120282</v>
      </c>
      <c r="K359" s="211">
        <v>36.8413636363636</v>
      </c>
      <c r="L359" s="211">
        <v>36.8413636363636</v>
      </c>
      <c r="M359" s="214">
        <v>4822</v>
      </c>
    </row>
    <row r="360" ht="15.75" spans="1:13">
      <c r="A360" s="208" t="s">
        <v>12</v>
      </c>
      <c r="B360" s="209">
        <v>46016</v>
      </c>
      <c r="C360" s="210"/>
      <c r="D360" s="210"/>
      <c r="E360" s="211">
        <v>21779.972</v>
      </c>
      <c r="F360" s="211">
        <v>5.3791496</v>
      </c>
      <c r="G360" s="211">
        <v>4.2147012</v>
      </c>
      <c r="H360" s="211">
        <v>20.6479166666667</v>
      </c>
      <c r="I360" s="212">
        <v>0.8286</v>
      </c>
      <c r="J360" s="213">
        <f t="shared" si="5"/>
        <v>0.188199675100235</v>
      </c>
      <c r="K360" s="211">
        <v>35.0076363636364</v>
      </c>
      <c r="L360" s="211">
        <v>35.0076363636364</v>
      </c>
      <c r="M360" s="214">
        <v>4822</v>
      </c>
    </row>
    <row r="361" ht="15.75" spans="1:13">
      <c r="A361" s="208" t="s">
        <v>12</v>
      </c>
      <c r="B361" s="209">
        <v>46017</v>
      </c>
      <c r="C361" s="210"/>
      <c r="D361" s="210"/>
      <c r="E361" s="211">
        <v>19079.052</v>
      </c>
      <c r="F361" s="211">
        <v>4.7125729</v>
      </c>
      <c r="G361" s="211">
        <v>3.7868863</v>
      </c>
      <c r="H361" s="211">
        <v>22.1120833333333</v>
      </c>
      <c r="I361" s="212">
        <v>0.8292</v>
      </c>
      <c r="J361" s="213">
        <f t="shared" si="5"/>
        <v>0.164861157196184</v>
      </c>
      <c r="K361" s="211">
        <v>34.9355454545454</v>
      </c>
      <c r="L361" s="211">
        <v>34.9355454545454</v>
      </c>
      <c r="M361" s="214">
        <v>4822</v>
      </c>
    </row>
    <row r="362" ht="15.75" spans="1:13">
      <c r="A362" s="208" t="s">
        <v>12</v>
      </c>
      <c r="B362" s="209">
        <v>46018</v>
      </c>
      <c r="C362" s="210"/>
      <c r="D362" s="210"/>
      <c r="E362" s="211">
        <v>21338.422</v>
      </c>
      <c r="F362" s="211">
        <v>5.2867286</v>
      </c>
      <c r="G362" s="211">
        <v>4.1551062</v>
      </c>
      <c r="H362" s="211">
        <v>22.4733333333333</v>
      </c>
      <c r="I362" s="212">
        <v>0.826</v>
      </c>
      <c r="J362" s="213">
        <f t="shared" si="5"/>
        <v>0.184384263099682</v>
      </c>
      <c r="K362" s="211">
        <v>36.6053636363636</v>
      </c>
      <c r="L362" s="211">
        <v>36.6053636363636</v>
      </c>
      <c r="M362" s="214">
        <v>4822</v>
      </c>
    </row>
    <row r="363" ht="15.75" spans="1:13">
      <c r="A363" s="208" t="s">
        <v>12</v>
      </c>
      <c r="B363" s="209">
        <v>46019</v>
      </c>
      <c r="C363" s="210"/>
      <c r="D363" s="210"/>
      <c r="E363" s="211">
        <v>21234.212</v>
      </c>
      <c r="F363" s="211">
        <v>5.27499</v>
      </c>
      <c r="G363" s="211">
        <v>4.1945926</v>
      </c>
      <c r="H363" s="211">
        <v>22.81875</v>
      </c>
      <c r="I363" s="212">
        <v>0.8238</v>
      </c>
      <c r="J363" s="213">
        <f t="shared" si="5"/>
        <v>0.183483789575556</v>
      </c>
      <c r="K363" s="211">
        <v>38.9588</v>
      </c>
      <c r="L363" s="211">
        <v>38.9588</v>
      </c>
      <c r="M363" s="214">
        <v>4822</v>
      </c>
    </row>
    <row r="364" ht="15.75" spans="1:13">
      <c r="A364" s="208" t="s">
        <v>12</v>
      </c>
      <c r="B364" s="209">
        <v>46020</v>
      </c>
      <c r="C364" s="210"/>
      <c r="D364" s="210"/>
      <c r="E364" s="211">
        <v>19727.552</v>
      </c>
      <c r="F364" s="211">
        <v>4.91718</v>
      </c>
      <c r="G364" s="211">
        <v>3.9473057</v>
      </c>
      <c r="H364" s="211">
        <v>25.67625</v>
      </c>
      <c r="I364" s="212">
        <v>0.8206</v>
      </c>
      <c r="J364" s="213">
        <f t="shared" si="5"/>
        <v>0.17046481404673</v>
      </c>
      <c r="K364" s="211">
        <v>40.854</v>
      </c>
      <c r="L364" s="211">
        <v>40.854</v>
      </c>
      <c r="M364" s="214">
        <v>4822</v>
      </c>
    </row>
    <row r="365" ht="15.75" spans="1:13">
      <c r="A365" s="208" t="s">
        <v>12</v>
      </c>
      <c r="B365" s="209">
        <v>46021</v>
      </c>
      <c r="C365" s="210"/>
      <c r="D365" s="210"/>
      <c r="E365" s="211">
        <v>21472.372</v>
      </c>
      <c r="F365" s="211">
        <v>5.3891507</v>
      </c>
      <c r="G365" s="211">
        <v>4.2421849</v>
      </c>
      <c r="H365" s="211">
        <v>26.0954166666667</v>
      </c>
      <c r="I365" s="212">
        <v>0.8172</v>
      </c>
      <c r="J365" s="213">
        <f t="shared" si="5"/>
        <v>0.185541718512374</v>
      </c>
      <c r="K365" s="211">
        <v>40.2376363636364</v>
      </c>
      <c r="L365" s="211">
        <v>40.2376363636364</v>
      </c>
      <c r="M365" s="214">
        <v>4822</v>
      </c>
    </row>
    <row r="366" ht="15.75" spans="1:13">
      <c r="A366" s="208" t="s">
        <v>12</v>
      </c>
      <c r="B366" s="209">
        <v>46022</v>
      </c>
      <c r="C366" s="210"/>
      <c r="D366" s="210"/>
      <c r="E366" s="211">
        <v>21626.042</v>
      </c>
      <c r="F366" s="211">
        <v>5.4422333</v>
      </c>
      <c r="G366" s="211">
        <v>4.2868251</v>
      </c>
      <c r="H366" s="211">
        <v>25.5570833333333</v>
      </c>
      <c r="I366" s="212">
        <v>0.8152</v>
      </c>
      <c r="J366" s="213">
        <f t="shared" si="5"/>
        <v>0.186869573482649</v>
      </c>
      <c r="K366" s="211">
        <v>40.7587272727273</v>
      </c>
      <c r="L366" s="211">
        <v>40.7587272727273</v>
      </c>
      <c r="M366" s="214">
        <v>4822</v>
      </c>
    </row>
    <row r="367" ht="16.5" spans="1:13">
      <c r="A367" s="208"/>
      <c r="B367" s="209"/>
      <c r="C367" s="218"/>
      <c r="D367" s="218"/>
      <c r="E367" s="217"/>
      <c r="F367" s="217"/>
      <c r="G367" s="217"/>
      <c r="H367" s="211"/>
      <c r="I367" s="219"/>
      <c r="J367" s="218"/>
      <c r="K367" s="217"/>
      <c r="L367" s="217"/>
      <c r="M367" s="214"/>
    </row>
  </sheetData>
  <sheetProtection algorithmName="SHA-512" hashValue="7xF1gcrnAZih4hWQRLqpJoqA+iMrEtQ9YnbrU2bLpDKzpwP/nTkWjob1AK+W84X9PRfDfPjiLXWUIkNzqfys2w==" saltValue="GsxFGP2w1IhfhNgMg0bkKQ==" spinCount="100000" sheet="1" objects="1" scenarios="1"/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7"/>
  <sheetViews>
    <sheetView workbookViewId="0">
      <selection activeCell="A5" sqref="A5:B6"/>
    </sheetView>
  </sheetViews>
  <sheetFormatPr defaultColWidth="0" defaultRowHeight="14.25"/>
  <cols>
    <col min="1" max="1" width="14" customWidth="1"/>
    <col min="2" max="3" width="13.75" customWidth="1"/>
    <col min="4" max="4" width="13" customWidth="1"/>
    <col min="5" max="5" width="12" customWidth="1"/>
    <col min="6" max="6" width="13.75" customWidth="1"/>
    <col min="7" max="7" width="12.25" customWidth="1"/>
    <col min="8" max="8" width="12" customWidth="1"/>
    <col min="9" max="9" width="13.75" customWidth="1"/>
    <col min="10" max="10" width="12.25" customWidth="1"/>
    <col min="11" max="11" width="12" customWidth="1"/>
    <col min="12" max="12" width="5.125" customWidth="1"/>
    <col min="13" max="16384" width="8.25" hidden="1"/>
  </cols>
  <sheetData>
    <row r="1" ht="14.45" customHeight="1" spans="1:12">
      <c r="A1" s="160" t="s">
        <v>13</v>
      </c>
      <c r="B1" s="161"/>
      <c r="C1" s="161"/>
      <c r="D1" s="161"/>
      <c r="E1" s="161"/>
      <c r="F1" s="161"/>
      <c r="G1" s="161"/>
      <c r="H1" s="161"/>
      <c r="I1" s="161"/>
      <c r="J1" s="161"/>
      <c r="K1" s="162"/>
    </row>
    <row r="2" ht="14.45" customHeight="1" spans="1:12">
      <c r="A2" s="163"/>
      <c r="B2" s="164"/>
      <c r="C2" s="164"/>
      <c r="D2" s="164"/>
      <c r="E2" s="164"/>
      <c r="F2" s="164"/>
      <c r="G2" s="164"/>
      <c r="H2" s="164"/>
      <c r="I2" s="164"/>
      <c r="J2" s="164"/>
      <c r="K2" s="165"/>
    </row>
    <row r="3" ht="15.75" spans="1:12">
      <c r="A3" s="166"/>
      <c r="B3" s="167">
        <f>DATE(YEAR(B4),MONTH(B4),1)</f>
        <v>46143</v>
      </c>
      <c r="C3" s="168">
        <f>VLOOKUP(L3,[1]Basic_Data!$A$28:$B$48,2,0)</f>
        <v>45748</v>
      </c>
      <c r="D3" s="166"/>
      <c r="G3" s="166"/>
      <c r="H3" s="166"/>
      <c r="I3" s="166"/>
      <c r="J3" s="166"/>
      <c r="K3" s="169"/>
      <c r="L3" s="170" t="s">
        <v>14</v>
      </c>
    </row>
    <row r="4" ht="17.25" spans="1:12">
      <c r="A4" s="171" t="s">
        <v>1</v>
      </c>
      <c r="B4" s="172">
        <v>46173</v>
      </c>
      <c r="C4" s="173" t="s">
        <v>15</v>
      </c>
      <c r="D4" s="174"/>
      <c r="E4" s="175">
        <f>Basic_Data!G18</f>
        <v>4125</v>
      </c>
      <c r="F4" s="173" t="s">
        <v>16</v>
      </c>
      <c r="G4" s="174"/>
      <c r="H4" s="176">
        <f>Basic_Data!H18</f>
        <v>4822.16</v>
      </c>
      <c r="I4" s="173" t="s">
        <v>17</v>
      </c>
      <c r="J4" s="174"/>
      <c r="K4" s="177">
        <f>Basic_Data!C3</f>
        <v>45818</v>
      </c>
    </row>
    <row r="5" ht="17.25" spans="1:12">
      <c r="A5" s="178" t="s">
        <v>0</v>
      </c>
      <c r="B5" s="178"/>
      <c r="C5" s="179" t="s">
        <v>18</v>
      </c>
      <c r="D5" s="179"/>
      <c r="E5" s="179"/>
      <c r="F5" s="179" t="s">
        <v>19</v>
      </c>
      <c r="G5" s="179"/>
      <c r="H5" s="179"/>
      <c r="I5" s="179" t="s">
        <v>20</v>
      </c>
      <c r="J5" s="179"/>
      <c r="K5" s="179"/>
    </row>
    <row r="6" ht="17.25" spans="1:12">
      <c r="A6" s="180"/>
      <c r="B6" s="180"/>
      <c r="C6" s="180" t="s">
        <v>21</v>
      </c>
      <c r="D6" s="180" t="s">
        <v>22</v>
      </c>
      <c r="E6" s="180" t="s">
        <v>23</v>
      </c>
      <c r="F6" s="180" t="s">
        <v>21</v>
      </c>
      <c r="G6" s="180" t="s">
        <v>22</v>
      </c>
      <c r="H6" s="180" t="s">
        <v>23</v>
      </c>
      <c r="I6" s="180" t="s">
        <v>21</v>
      </c>
      <c r="J6" s="180" t="s">
        <v>22</v>
      </c>
      <c r="K6" s="180" t="s">
        <v>23</v>
      </c>
    </row>
    <row r="7" ht="15.75" spans="1:12">
      <c r="A7" s="181" t="s">
        <v>24</v>
      </c>
      <c r="B7" s="182"/>
      <c r="C7" s="183">
        <f>SUMIFS(Budgeted_data!$E:$E,Budgeted_data!$B:$B,'E-Mail_Copy'!$B$4)</f>
        <v>0</v>
      </c>
      <c r="D7" s="184">
        <f>SUMIFS(Data_Entry!$AB:$AB,Data_Entry!$C:$C,'E-Mail_Copy'!$B$4)</f>
        <v>22749.9999999997</v>
      </c>
      <c r="E7" s="185" t="e">
        <f>(D7-C7)/C7</f>
        <v>#DIV/0!</v>
      </c>
      <c r="F7" s="183">
        <f>SUMIFS(Budgeted_data!$E:$E,Budgeted_data!$B:$B,"&gt;="&amp;'E-Mail_Copy'!$B$3,Budgeted_data!$B:$B,"&lt;="&amp;'E-Mail_Copy'!$B$4)</f>
        <v>0</v>
      </c>
      <c r="G7" s="184">
        <f>SUMIFS(Data_Entry!$AB:$AB,Data_Entry!$C:$C,"&gt;="&amp;'E-Mail_Copy'!$B$3,Data_Entry!$C:$C,"&lt;="&amp;'E-Mail_Copy'!$B$4)</f>
        <v>795299.999999999</v>
      </c>
      <c r="H7" s="185" t="e">
        <f>(G7-F7)/F7</f>
        <v>#DIV/0!</v>
      </c>
      <c r="I7" s="186">
        <f>SUMIFS(Budgeted_data!$E:$E,Budgeted_data!$B:$B,"&gt;="&amp;'E-Mail_Copy'!$C$3,Budgeted_data!$B:$B,"&lt;="&amp;'E-Mail_Copy'!$B$4)</f>
        <v>5977312.533</v>
      </c>
      <c r="J7" s="184">
        <f>SUMIFS(Data_Entry!$AB:$AB,Data_Entry!$C:$C,"&gt;="&amp;'E-Mail_Copy'!$C$3,Data_Entry!$C:$C,"&lt;="&amp;'E-Mail_Copy'!$B$4)</f>
        <v>6866600</v>
      </c>
      <c r="K7" s="185">
        <f>(J7-I7)/I7</f>
        <v>0.148777140577869</v>
      </c>
    </row>
    <row r="8" ht="16.5" spans="1:12">
      <c r="A8" s="187" t="s">
        <v>25</v>
      </c>
      <c r="B8" s="188"/>
      <c r="C8" s="189">
        <f>SUMIFS(Budgeted_data!$F:$F,Budgeted_data!$B:$B,'E-Mail_Copy'!$B$4)</f>
        <v>0</v>
      </c>
      <c r="D8" s="190">
        <f>SUMIFS(Data_Entry!$AD:$AD,Data_Entry!$C:$C,'E-Mail_Copy'!B4)</f>
        <v>4.77</v>
      </c>
      <c r="E8" s="191" t="e">
        <f t="shared" ref="E8:E13" si="0">(D8-C8)/C8</f>
        <v>#DIV/0!</v>
      </c>
      <c r="F8" s="189">
        <f>SUMIFS(Budgeted_data!$F:$F,Budgeted_data!$B:$B,"&gt;="&amp;'E-Mail_Copy'!$B$3,Budgeted_data!$B:$B,"&lt;="&amp;'E-Mail_Copy'!$B$4)</f>
        <v>0</v>
      </c>
      <c r="G8" s="190">
        <f>SUMIFS(Data_Entry!$AD:$AD,Data_Entry!$C:$C,"&gt;="&amp;'E-Mail_Copy'!$B$3,Data_Entry!$C:$C,"&lt;="&amp;'E-Mail_Copy'!$B$4)</f>
        <v>159.04</v>
      </c>
      <c r="H8" s="191" t="e">
        <f t="shared" ref="H8:H13" si="1">(G8-F8)/F8</f>
        <v>#DIV/0!</v>
      </c>
      <c r="I8" s="192">
        <f>SUMIFS(Budgeted_data!$F:$F,Budgeted_data!$B:$B,"&gt;="&amp;'E-Mail_Copy'!$C$3,Budgeted_data!$B:$B,"&lt;="&amp;'E-Mail_Copy'!$B$4)</f>
        <v>1508.8250332</v>
      </c>
      <c r="J8" s="190">
        <f>SUMIFS(Data_Entry!$AD:$AD,Data_Entry!$C:$C,"&gt;="&amp;'E-Mail_Copy'!$C$3,Data_Entry!$C:$C,"&lt;="&amp;'E-Mail_Copy'!$B$4)</f>
        <v>1115.72</v>
      </c>
      <c r="K8" s="191">
        <f t="shared" ref="K8:K13" si="2">(J8-I8)/I8</f>
        <v>-0.260537189236767</v>
      </c>
    </row>
    <row r="9" ht="16.5" spans="1:12">
      <c r="A9" s="187" t="s">
        <v>26</v>
      </c>
      <c r="B9" s="188"/>
      <c r="C9" s="189">
        <f>SUMIFS(Budgeted_data!$G:$G,Budgeted_data!$B:$B,'E-Mail_Copy'!$B$4)</f>
        <v>0</v>
      </c>
      <c r="D9" s="190">
        <f>SUMIFS(Data_Entry!$AC:$AC,Data_Entry!$C:$C,'E-Mail_Copy'!$B$4)</f>
        <v>0</v>
      </c>
      <c r="E9" s="191" t="e">
        <f t="shared" si="0"/>
        <v>#DIV/0!</v>
      </c>
      <c r="F9" s="189">
        <f>SUMIFS(Budgeted_data!$G:$G,Budgeted_data!$B:$B,"&gt;="&amp;'E-Mail_Copy'!$B$3,Budgeted_data!$B:$B,"&lt;="&amp;'E-Mail_Copy'!$B$4)</f>
        <v>0</v>
      </c>
      <c r="G9" s="190">
        <f>SUMIFS(Data_Entry!$AC:$AC,Data_Entry!$C:$C,"&gt;="&amp;'E-Mail_Copy'!$B$3,Data_Entry!$C:$C,"&lt;="&amp;'E-Mail_Copy'!$B$4)</f>
        <v>0</v>
      </c>
      <c r="H9" s="191" t="e">
        <f t="shared" si="1"/>
        <v>#DIV/0!</v>
      </c>
      <c r="I9" s="192">
        <f>SUMIFS(Budgeted_data!$G:$G,Budgeted_data!$B:$B,"&gt;="&amp;'E-Mail_Copy'!$C$3,Budgeted_data!$B:$B,"&lt;="&amp;'E-Mail_Copy'!$B$4)</f>
        <v>1435.8387423</v>
      </c>
      <c r="J9" s="190">
        <f>SUMIFS(Data_Entry!$AC:$AC,Data_Entry!$C:$C,"&gt;="&amp;'E-Mail_Copy'!$C$3,Data_Entry!$C:$C,"&lt;="&amp;'E-Mail_Copy'!$B$4)</f>
        <v>0</v>
      </c>
      <c r="K9" s="191">
        <f t="shared" si="2"/>
        <v>-1</v>
      </c>
    </row>
    <row r="10" ht="15" spans="1:12">
      <c r="A10" s="187" t="s">
        <v>27</v>
      </c>
      <c r="B10" s="188"/>
      <c r="C10" s="193" t="e">
        <f>C7/C8/H4</f>
        <v>#DIV/0!</v>
      </c>
      <c r="D10" s="193">
        <f>D7/D8/H4</f>
        <v>0.989057192947334</v>
      </c>
      <c r="E10" s="191" t="e">
        <f t="shared" si="0"/>
        <v>#DIV/0!</v>
      </c>
      <c r="F10" s="193" t="e">
        <f>F7/F8/H4/(B4-B3+1)</f>
        <v>#DIV/0!</v>
      </c>
      <c r="G10" s="193">
        <f>G7/G8/H4/(B4-B3+1)</f>
        <v>0.0334519397052145</v>
      </c>
      <c r="H10" s="191" t="e">
        <f t="shared" si="1"/>
        <v>#DIV/0!</v>
      </c>
      <c r="I10" s="194">
        <f>I7/I8/H4/(($B$4-$C$3)+1)</f>
        <v>0.00192848323584094</v>
      </c>
      <c r="J10" s="194">
        <f>J7/J8/H4/(($B$4-$C$3)+1)</f>
        <v>0.00299595520569195</v>
      </c>
      <c r="K10" s="191">
        <f t="shared" si="2"/>
        <v>0.553529297020581</v>
      </c>
    </row>
    <row r="11" ht="15" spans="1:12">
      <c r="A11" s="187" t="s">
        <v>28</v>
      </c>
      <c r="B11" s="188"/>
      <c r="C11" s="193">
        <f>C7/E4/24</f>
        <v>0</v>
      </c>
      <c r="D11" s="195">
        <f>D7/24/E4</f>
        <v>0.229797979797977</v>
      </c>
      <c r="E11" s="191" t="e">
        <f t="shared" si="0"/>
        <v>#DIV/0!</v>
      </c>
      <c r="F11" s="193">
        <f>F7/24/E4/(B4-B3+1)</f>
        <v>0</v>
      </c>
      <c r="G11" s="195">
        <f>G7/24/E4/(B4-B3+1)</f>
        <v>0.259139784946236</v>
      </c>
      <c r="H11" s="191" t="e">
        <f t="shared" si="1"/>
        <v>#DIV/0!</v>
      </c>
      <c r="I11" s="194">
        <f>I7/24/$E$4/(($B$4-$C$3)+1)</f>
        <v>0.141729798762271</v>
      </c>
      <c r="J11" s="194">
        <f>J7/24/$E$4/(($B$4-$C$3)+1)</f>
        <v>0.162815952956798</v>
      </c>
      <c r="K11" s="191">
        <f t="shared" si="2"/>
        <v>0.148777140577866</v>
      </c>
    </row>
    <row r="12" ht="15" spans="1:12">
      <c r="A12" s="187" t="s">
        <v>29</v>
      </c>
      <c r="B12" s="188"/>
      <c r="C12" s="189" t="e">
        <f>AVERAGEIFS(Budgeted_data!$L:$L,Budgeted_data!$B:$B,'E-Mail_Copy'!$B$4)</f>
        <v>#DIV/0!</v>
      </c>
      <c r="D12" s="190" t="e">
        <f>AVERAGEIFS(Data_Entry!$AG:$AG,Data_Entry!$C:$C,'E-Mail_Copy'!$B$4)</f>
        <v>#DIV/0!</v>
      </c>
      <c r="E12" s="191" t="e">
        <f t="shared" si="0"/>
        <v>#DIV/0!</v>
      </c>
      <c r="F12" s="189" t="e">
        <f>AVERAGEIFS(Budgeted_data!$L:$L,Budgeted_data!$B:$B,"&gt;="&amp;'E-Mail_Copy'!$B$3,Budgeted_data!$B:$B,"&lt;="&amp;'E-Mail_Copy'!$B$4)</f>
        <v>#DIV/0!</v>
      </c>
      <c r="G12" s="190" t="e">
        <f>AVERAGEIFS(Data_Entry!$AG:$AG,Data_Entry!$C:$C,"&gt;="&amp;'E-Mail_Copy'!$B$3,Data_Entry!$C:$C,"&lt;="&amp;'E-Mail_Copy'!$B$4)</f>
        <v>#DIV/0!</v>
      </c>
      <c r="H12" s="191" t="e">
        <f t="shared" si="1"/>
        <v>#DIV/0!</v>
      </c>
      <c r="I12" s="189">
        <f>AVERAGEIFS(Budgeted_data!$L:$L,Budgeted_data!$B:$B,"&gt;="&amp;'E-Mail_Copy'!$C$3,Budgeted_data!$B:$B,"&lt;="&amp;'E-Mail_Copy'!$B$4)</f>
        <v>40.9871537151939</v>
      </c>
      <c r="J12" s="190" t="e">
        <f>AVERAGEIFS(Data_Entry!$AG:$AG,Data_Entry!$C:$C,"&gt;="&amp;'E-Mail_Copy'!$C$3,Data_Entry!$C:$C,"&lt;="&amp;'E-Mail_Copy'!$B$4)</f>
        <v>#DIV/0!</v>
      </c>
      <c r="K12" s="191" t="e">
        <f t="shared" si="2"/>
        <v>#DIV/0!</v>
      </c>
    </row>
    <row r="13" ht="17.25" spans="1:12">
      <c r="A13" s="196" t="s">
        <v>30</v>
      </c>
      <c r="B13" s="197"/>
      <c r="C13" s="198" t="e">
        <f>AVERAGEIFS(Budgeted_data!$H:$H,Budgeted_data!$B:$B,'E-Mail_Copy'!$B$4)</f>
        <v>#DIV/0!</v>
      </c>
      <c r="D13" s="199">
        <f>AVERAGEIFS(Data_Entry!$AE:$AE,Data_Entry!$C:$C,'E-Mail_Copy'!$B$4)</f>
        <v>33.34</v>
      </c>
      <c r="E13" s="200" t="e">
        <f t="shared" si="0"/>
        <v>#DIV/0!</v>
      </c>
      <c r="F13" s="198" t="e">
        <f>AVERAGEIFS(Budgeted_data!$H:$H,Budgeted_data!$B:$B,"&gt;="&amp;'E-Mail_Copy'!$B$3,Budgeted_data!$B:$B,"&lt;="&amp;'E-Mail_Copy'!$B$4)</f>
        <v>#DIV/0!</v>
      </c>
      <c r="G13" s="199">
        <f>AVERAGEIFS(Data_Entry!$AE:$AE,Data_Entry!$C:$C,"&gt;="&amp;'E-Mail_Copy'!$B$3,Data_Entry!$C:$C,"&lt;="&amp;'E-Mail_Copy'!$B$4)</f>
        <v>34.2632258064516</v>
      </c>
      <c r="H13" s="200" t="e">
        <f t="shared" si="1"/>
        <v>#DIV/0!</v>
      </c>
      <c r="I13" s="201">
        <f>AVERAGEIFS(Budgeted_data!$H:$H,Budgeted_data!$B:$B,"&gt;="&amp;'E-Mail_Copy'!$C$3,Budgeted_data!$B:$B,"&lt;="&amp;'E-Mail_Copy'!$B$4)</f>
        <v>27.9063075757576</v>
      </c>
      <c r="J13" s="199">
        <f>AVERAGEIFS(Data_Entry!$AE:$AE,Data_Entry!$C:$C,"&gt;="&amp;'E-Mail_Copy'!$C$3,Data_Entry!$C:$C,"&lt;="&amp;'E-Mail_Copy'!$B$4)</f>
        <v>29.5296968641115</v>
      </c>
      <c r="K13" s="200">
        <f t="shared" si="2"/>
        <v>0.0581728443989541</v>
      </c>
    </row>
    <row r="14" ht="15" spans="1:12">
      <c r="C14" t="s">
        <v>31</v>
      </c>
    </row>
    <row r="17" spans="9:9">
      <c r="I17" s="202"/>
    </row>
  </sheetData>
  <sheetProtection algorithmName="SHA-512" hashValue="v2z4bzUQk5vY2o898Le/xyZdMZVnisiig7zlNg3uXvBMfeeaILd3i489cQRdn2+6BG2DJXxUOPA6c4d+UI0OGA==" saltValue="52l3XP34SSVRmbrfiHmpNA==" spinCount="100000" sheet="1" objects="1" scenarios="1"/>
  <protectedRanges>
    <protectedRange sqref="L3" name="Range1_8"/>
  </protectedRanges>
  <mergeCells count="15">
    <mergeCell ref="C4:D4"/>
    <mergeCell ref="F4:G4"/>
    <mergeCell ref="I4:J4"/>
    <mergeCell ref="C5:E5"/>
    <mergeCell ref="F5:H5"/>
    <mergeCell ref="I5:K5"/>
    <mergeCell ref="A7:B7"/>
    <mergeCell ref="A8:B8"/>
    <mergeCell ref="A9:B9"/>
    <mergeCell ref="A10:B10"/>
    <mergeCell ref="A11:B11"/>
    <mergeCell ref="A12:B12"/>
    <mergeCell ref="A13:B13"/>
    <mergeCell ref="A1:K2"/>
    <mergeCell ref="A5:B6"/>
  </mergeCells>
  <pageMargins left="0.7" right="0.7" top="0.75" bottom="0.75" header="0.3" footer="0.3"/>
  <pageSetup paperSize="1" scale="56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006"/>
  <sheetViews>
    <sheetView workbookViewId="0">
      <selection activeCell="E39" sqref="E39"/>
    </sheetView>
  </sheetViews>
  <sheetFormatPr defaultColWidth="12" defaultRowHeight="15"/>
  <cols>
    <col min="1" max="1" width="27.625" style="84" customWidth="1"/>
    <col min="2" max="2" width="9" style="84" customWidth="1"/>
    <col min="3" max="7" width="6.75" style="84" customWidth="1"/>
    <col min="8" max="9" width="6.25" style="84" customWidth="1"/>
    <col min="10" max="11" width="6.75" style="84" customWidth="1"/>
    <col min="12" max="12" width="6.875" style="84" customWidth="1"/>
    <col min="13" max="14" width="6.75" style="84" customWidth="1"/>
    <col min="15" max="31" width="6.25" style="84" customWidth="1"/>
    <col min="32" max="32" width="7" style="84" customWidth="1"/>
    <col min="33" max="16384" width="12" style="84"/>
  </cols>
  <sheetData>
    <row r="1" ht="14.25" customHeight="1" spans="1:33">
      <c r="A1" s="152" t="s">
        <v>32</v>
      </c>
    </row>
    <row r="2" ht="14.25" customHeight="1"/>
    <row r="3" ht="14.25" customHeight="1" spans="1:33">
      <c r="A3" s="153" t="s">
        <v>33</v>
      </c>
      <c r="B3" s="154">
        <f>'E-Mail_Copy'!B4</f>
        <v>46173</v>
      </c>
      <c r="C3" s="154">
        <f>B3+1</f>
        <v>46174</v>
      </c>
      <c r="D3" s="154">
        <f t="shared" ref="D3:AF3" si="0">C3+1</f>
        <v>46175</v>
      </c>
      <c r="E3" s="154">
        <f t="shared" si="0"/>
        <v>46176</v>
      </c>
      <c r="F3" s="154">
        <f t="shared" si="0"/>
        <v>46177</v>
      </c>
      <c r="G3" s="154">
        <f t="shared" si="0"/>
        <v>46178</v>
      </c>
      <c r="H3" s="154">
        <f t="shared" si="0"/>
        <v>46179</v>
      </c>
      <c r="I3" s="154">
        <f t="shared" si="0"/>
        <v>46180</v>
      </c>
      <c r="J3" s="154">
        <f t="shared" si="0"/>
        <v>46181</v>
      </c>
      <c r="K3" s="154">
        <f t="shared" si="0"/>
        <v>46182</v>
      </c>
      <c r="L3" s="154">
        <f t="shared" si="0"/>
        <v>46183</v>
      </c>
      <c r="M3" s="154">
        <f t="shared" si="0"/>
        <v>46184</v>
      </c>
      <c r="N3" s="154">
        <f t="shared" si="0"/>
        <v>46185</v>
      </c>
      <c r="O3" s="154">
        <f t="shared" si="0"/>
        <v>46186</v>
      </c>
      <c r="P3" s="154">
        <f t="shared" si="0"/>
        <v>46187</v>
      </c>
      <c r="Q3" s="154">
        <f t="shared" si="0"/>
        <v>46188</v>
      </c>
      <c r="R3" s="154">
        <f t="shared" si="0"/>
        <v>46189</v>
      </c>
      <c r="S3" s="154">
        <f t="shared" si="0"/>
        <v>46190</v>
      </c>
      <c r="T3" s="154">
        <f t="shared" si="0"/>
        <v>46191</v>
      </c>
      <c r="U3" s="154">
        <f t="shared" si="0"/>
        <v>46192</v>
      </c>
      <c r="V3" s="154">
        <f t="shared" si="0"/>
        <v>46193</v>
      </c>
      <c r="W3" s="154">
        <f t="shared" si="0"/>
        <v>46194</v>
      </c>
      <c r="X3" s="154">
        <f t="shared" si="0"/>
        <v>46195</v>
      </c>
      <c r="Y3" s="154">
        <f t="shared" si="0"/>
        <v>46196</v>
      </c>
      <c r="Z3" s="154">
        <f t="shared" si="0"/>
        <v>46197</v>
      </c>
      <c r="AA3" s="154">
        <f t="shared" si="0"/>
        <v>46198</v>
      </c>
      <c r="AB3" s="154">
        <f t="shared" si="0"/>
        <v>46199</v>
      </c>
      <c r="AC3" s="154">
        <f t="shared" si="0"/>
        <v>46200</v>
      </c>
      <c r="AD3" s="154">
        <f t="shared" si="0"/>
        <v>46201</v>
      </c>
      <c r="AE3" s="154">
        <f t="shared" si="0"/>
        <v>46202</v>
      </c>
      <c r="AF3" s="154">
        <f t="shared" si="0"/>
        <v>46203</v>
      </c>
      <c r="AG3" s="153" t="s">
        <v>34</v>
      </c>
    </row>
    <row r="4" ht="14.25" customHeight="1" spans="1:33">
      <c r="A4" s="155" t="s">
        <v>35</v>
      </c>
      <c r="B4" s="156">
        <f>IFERROR(VLOOKUP(B$3,Data_Entry!$C:$AB,Data_Entry!$A2,0),"")</f>
        <v>1570.81</v>
      </c>
      <c r="C4" s="156">
        <f>IFERROR(VLOOKUP(C$3,Data_Entry!$C:$AB,Data_Entry!$A2,0),"")</f>
        <v>1624.57</v>
      </c>
      <c r="D4" s="156">
        <f>IFERROR(VLOOKUP(D$3,Data_Entry!$C:$AB,Data_Entry!$A2,0),"")</f>
        <v>1230.72</v>
      </c>
      <c r="E4" s="156">
        <f>IFERROR(VLOOKUP(E$3,Data_Entry!$C:$AB,Data_Entry!$A2,0),"")</f>
        <v>1649.4</v>
      </c>
      <c r="F4" s="156">
        <f>IFERROR(VLOOKUP(F$3,Data_Entry!$C:$AB,Data_Entry!$A2,0),"")</f>
        <v>1308.79</v>
      </c>
      <c r="G4" s="156">
        <f>IFERROR(VLOOKUP(G$3,Data_Entry!$C:$AB,Data_Entry!$A2,0),"")</f>
        <v>1592.87</v>
      </c>
      <c r="H4" s="156">
        <f>IFERROR(VLOOKUP(H$3,Data_Entry!$C:$AB,Data_Entry!$A2,0),"")</f>
        <v>0</v>
      </c>
      <c r="I4" s="156">
        <f>IFERROR(VLOOKUP(I$3,Data_Entry!$C:$AB,Data_Entry!$A2,0),"")</f>
        <v>0</v>
      </c>
      <c r="J4" s="156">
        <f>IFERROR(VLOOKUP(J$3,Data_Entry!$C:$AB,Data_Entry!$A2,0),"")</f>
        <v>0</v>
      </c>
      <c r="K4" s="156">
        <f>IFERROR(VLOOKUP(K$3,Data_Entry!$C:$AB,Data_Entry!$A2,0),"")</f>
        <v>0</v>
      </c>
      <c r="L4" s="156">
        <f>IFERROR(VLOOKUP(L$3,Data_Entry!$C:$AB,Data_Entry!$A2,0),"")</f>
        <v>0</v>
      </c>
      <c r="M4" s="156">
        <f>IFERROR(VLOOKUP(M$3,Data_Entry!$C:$AB,Data_Entry!$A2,0),"")</f>
        <v>0</v>
      </c>
      <c r="N4" s="156">
        <f>IFERROR(VLOOKUP(N$3,Data_Entry!$C:$AB,Data_Entry!$A2,0),"")</f>
        <v>0</v>
      </c>
      <c r="O4" s="156">
        <f>IFERROR(VLOOKUP(O$3,Data_Entry!$C:$AB,Data_Entry!$A2,0),"")</f>
        <v>0</v>
      </c>
      <c r="P4" s="156">
        <f>IFERROR(VLOOKUP(P$3,Data_Entry!$C:$AB,Data_Entry!$A2,0),"")</f>
        <v>0</v>
      </c>
      <c r="Q4" s="156">
        <f>IFERROR(VLOOKUP(Q$3,Data_Entry!$C:$AB,Data_Entry!$A2,0),"")</f>
        <v>0</v>
      </c>
      <c r="R4" s="156">
        <f>IFERROR(VLOOKUP(R$3,Data_Entry!$C:$AB,Data_Entry!$A2,0),"")</f>
        <v>0</v>
      </c>
      <c r="S4" s="156">
        <f>IFERROR(VLOOKUP(S$3,Data_Entry!$C:$AB,Data_Entry!$A2,0),"")</f>
        <v>0</v>
      </c>
      <c r="T4" s="156">
        <f>IFERROR(VLOOKUP(T$3,Data_Entry!$C:$AB,Data_Entry!$A2,0),"")</f>
        <v>0</v>
      </c>
      <c r="U4" s="156">
        <f>IFERROR(VLOOKUP(U$3,Data_Entry!$C:$AB,Data_Entry!$A2,0),"")</f>
        <v>0</v>
      </c>
      <c r="V4" s="156">
        <f>IFERROR(VLOOKUP(V$3,Data_Entry!$C:$AB,Data_Entry!$A2,0),"")</f>
        <v>0</v>
      </c>
      <c r="W4" s="156">
        <f>IFERROR(VLOOKUP(W$3,Data_Entry!$C:$AB,Data_Entry!$A2,0),"")</f>
        <v>0</v>
      </c>
      <c r="X4" s="156">
        <f>IFERROR(VLOOKUP(X$3,Data_Entry!$C:$AB,Data_Entry!$A2,0),"")</f>
        <v>0</v>
      </c>
      <c r="Y4" s="156">
        <f>IFERROR(VLOOKUP(Y$3,Data_Entry!$C:$AB,Data_Entry!$A2,0),"")</f>
        <v>0</v>
      </c>
      <c r="Z4" s="156">
        <f>IFERROR(VLOOKUP(Z$3,Data_Entry!$C:$AB,Data_Entry!$A2,0),"")</f>
        <v>0</v>
      </c>
      <c r="AA4" s="156">
        <f>IFERROR(VLOOKUP(AA$3,Data_Entry!$C:$AB,Data_Entry!$A2,0),"")</f>
        <v>0</v>
      </c>
      <c r="AB4" s="156">
        <f>IFERROR(VLOOKUP(AB$3,Data_Entry!$C:$AB,Data_Entry!$A2,0),"")</f>
        <v>0</v>
      </c>
      <c r="AC4" s="156">
        <f>IFERROR(VLOOKUP(AC$3,Data_Entry!$C:$AB,Data_Entry!$A2,0),"")</f>
        <v>0</v>
      </c>
      <c r="AD4" s="156">
        <f>IFERROR(VLOOKUP(AD$3,Data_Entry!$C:$AB,Data_Entry!$A2,0),"")</f>
        <v>0</v>
      </c>
      <c r="AE4" s="156">
        <f>IFERROR(VLOOKUP(AE$3,Data_Entry!$C:$AB,Data_Entry!$A2,0),"")</f>
        <v>0</v>
      </c>
      <c r="AF4" s="156">
        <f>IFERROR(VLOOKUP(AF$3,Data_Entry!$C:$AB,Data_Entry!$A2,0),"")</f>
        <v>0</v>
      </c>
      <c r="AG4" s="156">
        <f t="shared" ref="AG4:AG18" si="1">IFERROR(SUM(B4:AF4),"")</f>
        <v>8977.16</v>
      </c>
    </row>
    <row r="5" ht="14.25" customHeight="1" spans="1:33">
      <c r="A5" s="155" t="s">
        <v>36</v>
      </c>
      <c r="B5" s="156">
        <f>IFERROR(VLOOKUP(B$3,Data_Entry!$C:$AB,Data_Entry!$A3,0),"")</f>
        <v>1564.48</v>
      </c>
      <c r="C5" s="156">
        <f>IFERROR(VLOOKUP(C$3,Data_Entry!$C:$AB,Data_Entry!$A3,0),"")</f>
        <v>1634.93</v>
      </c>
      <c r="D5" s="156">
        <f>IFERROR(VLOOKUP(D$3,Data_Entry!$C:$AB,Data_Entry!$A3,0),"")</f>
        <v>1285.78</v>
      </c>
      <c r="E5" s="156">
        <f>IFERROR(VLOOKUP(E$3,Data_Entry!$C:$AB,Data_Entry!$A3,0),"")</f>
        <v>1223.33</v>
      </c>
      <c r="F5" s="156">
        <f>IFERROR(VLOOKUP(F$3,Data_Entry!$C:$AB,Data_Entry!$A3,0),"")</f>
        <v>1251.58</v>
      </c>
      <c r="G5" s="156">
        <f>IFERROR(VLOOKUP(G$3,Data_Entry!$C:$AB,Data_Entry!$A3,0),"")</f>
        <v>1594.63</v>
      </c>
      <c r="H5" s="156">
        <f>IFERROR(VLOOKUP(H$3,Data_Entry!$C:$AB,Data_Entry!$A3,0),"")</f>
        <v>0</v>
      </c>
      <c r="I5" s="156">
        <f>IFERROR(VLOOKUP(I$3,Data_Entry!$C:$AB,Data_Entry!$A3,0),"")</f>
        <v>0</v>
      </c>
      <c r="J5" s="156">
        <f>IFERROR(VLOOKUP(J$3,Data_Entry!$C:$AB,Data_Entry!$A3,0),"")</f>
        <v>0</v>
      </c>
      <c r="K5" s="156">
        <f>IFERROR(VLOOKUP(K$3,Data_Entry!$C:$AB,Data_Entry!$A3,0),"")</f>
        <v>0</v>
      </c>
      <c r="L5" s="156">
        <f>IFERROR(VLOOKUP(L$3,Data_Entry!$C:$AB,Data_Entry!$A3,0),"")</f>
        <v>0</v>
      </c>
      <c r="M5" s="156">
        <f>IFERROR(VLOOKUP(M$3,Data_Entry!$C:$AB,Data_Entry!$A3,0),"")</f>
        <v>0</v>
      </c>
      <c r="N5" s="156">
        <f>IFERROR(VLOOKUP(N$3,Data_Entry!$C:$AB,Data_Entry!$A3,0),"")</f>
        <v>0</v>
      </c>
      <c r="O5" s="156">
        <f>IFERROR(VLOOKUP(O$3,Data_Entry!$C:$AB,Data_Entry!$A3,0),"")</f>
        <v>0</v>
      </c>
      <c r="P5" s="156">
        <f>IFERROR(VLOOKUP(P$3,Data_Entry!$C:$AB,Data_Entry!$A3,0),"")</f>
        <v>0</v>
      </c>
      <c r="Q5" s="156">
        <f>IFERROR(VLOOKUP(Q$3,Data_Entry!$C:$AB,Data_Entry!$A3,0),"")</f>
        <v>0</v>
      </c>
      <c r="R5" s="156">
        <f>IFERROR(VLOOKUP(R$3,Data_Entry!$C:$AB,Data_Entry!$A3,0),"")</f>
        <v>0</v>
      </c>
      <c r="S5" s="156">
        <f>IFERROR(VLOOKUP(S$3,Data_Entry!$C:$AB,Data_Entry!$A3,0),"")</f>
        <v>0</v>
      </c>
      <c r="T5" s="156">
        <f>IFERROR(VLOOKUP(T$3,Data_Entry!$C:$AB,Data_Entry!$A3,0),"")</f>
        <v>0</v>
      </c>
      <c r="U5" s="156">
        <f>IFERROR(VLOOKUP(U$3,Data_Entry!$C:$AB,Data_Entry!$A3,0),"")</f>
        <v>0</v>
      </c>
      <c r="V5" s="156">
        <f>IFERROR(VLOOKUP(V$3,Data_Entry!$C:$AB,Data_Entry!$A3,0),"")</f>
        <v>0</v>
      </c>
      <c r="W5" s="156">
        <f>IFERROR(VLOOKUP(W$3,Data_Entry!$C:$AB,Data_Entry!$A3,0),"")</f>
        <v>0</v>
      </c>
      <c r="X5" s="156">
        <f>IFERROR(VLOOKUP(X$3,Data_Entry!$C:$AB,Data_Entry!$A3,0),"")</f>
        <v>0</v>
      </c>
      <c r="Y5" s="156">
        <f>IFERROR(VLOOKUP(Y$3,Data_Entry!$C:$AB,Data_Entry!$A3,0),"")</f>
        <v>0</v>
      </c>
      <c r="Z5" s="156">
        <f>IFERROR(VLOOKUP(Z$3,Data_Entry!$C:$AB,Data_Entry!$A3,0),"")</f>
        <v>0</v>
      </c>
      <c r="AA5" s="156">
        <f>IFERROR(VLOOKUP(AA$3,Data_Entry!$C:$AB,Data_Entry!$A3,0),"")</f>
        <v>0</v>
      </c>
      <c r="AB5" s="156">
        <f>IFERROR(VLOOKUP(AB$3,Data_Entry!$C:$AB,Data_Entry!$A3,0),"")</f>
        <v>0</v>
      </c>
      <c r="AC5" s="156">
        <f>IFERROR(VLOOKUP(AC$3,Data_Entry!$C:$AB,Data_Entry!$A3,0),"")</f>
        <v>0</v>
      </c>
      <c r="AD5" s="156">
        <f>IFERROR(VLOOKUP(AD$3,Data_Entry!$C:$AB,Data_Entry!$A3,0),"")</f>
        <v>0</v>
      </c>
      <c r="AE5" s="156">
        <f>IFERROR(VLOOKUP(AE$3,Data_Entry!$C:$AB,Data_Entry!$A3,0),"")</f>
        <v>0</v>
      </c>
      <c r="AF5" s="156">
        <f>IFERROR(VLOOKUP(AF$3,Data_Entry!$C:$AB,Data_Entry!$A3,0),"")</f>
        <v>0</v>
      </c>
      <c r="AG5" s="156">
        <f t="shared" si="1"/>
        <v>8554.73</v>
      </c>
    </row>
    <row r="6" ht="14.25" customHeight="1" spans="1:33">
      <c r="A6" s="155" t="s">
        <v>37</v>
      </c>
      <c r="B6" s="156">
        <f>IFERROR(VLOOKUP(B$3,Data_Entry!$C:$AB,Data_Entry!$A4,0),"")</f>
        <v>1575.03</v>
      </c>
      <c r="C6" s="156">
        <f>IFERROR(VLOOKUP(C$3,Data_Entry!$C:$AB,Data_Entry!$A4,0),"")</f>
        <v>1630.4</v>
      </c>
      <c r="D6" s="156">
        <f>IFERROR(VLOOKUP(D$3,Data_Entry!$C:$AB,Data_Entry!$A4,0),"")</f>
        <v>1457.01</v>
      </c>
      <c r="E6" s="156">
        <f>IFERROR(VLOOKUP(E$3,Data_Entry!$C:$AB,Data_Entry!$A4,0),"")</f>
        <v>1685.12</v>
      </c>
      <c r="F6" s="156">
        <f>IFERROR(VLOOKUP(F$3,Data_Entry!$C:$AB,Data_Entry!$A4,0),"")</f>
        <v>1567.34</v>
      </c>
      <c r="G6" s="156">
        <f>IFERROR(VLOOKUP(G$3,Data_Entry!$C:$AB,Data_Entry!$A4,0),"")</f>
        <v>1600.23</v>
      </c>
      <c r="H6" s="156">
        <f>IFERROR(VLOOKUP(H$3,Data_Entry!$C:$AB,Data_Entry!$A4,0),"")</f>
        <v>0</v>
      </c>
      <c r="I6" s="156">
        <f>IFERROR(VLOOKUP(I$3,Data_Entry!$C:$AB,Data_Entry!$A4,0),"")</f>
        <v>0</v>
      </c>
      <c r="J6" s="156">
        <f>IFERROR(VLOOKUP(J$3,Data_Entry!$C:$AB,Data_Entry!$A4,0),"")</f>
        <v>0</v>
      </c>
      <c r="K6" s="156">
        <f>IFERROR(VLOOKUP(K$3,Data_Entry!$C:$AB,Data_Entry!$A4,0),"")</f>
        <v>0</v>
      </c>
      <c r="L6" s="156">
        <f>IFERROR(VLOOKUP(L$3,Data_Entry!$C:$AB,Data_Entry!$A4,0),"")</f>
        <v>0</v>
      </c>
      <c r="M6" s="156">
        <f>IFERROR(VLOOKUP(M$3,Data_Entry!$C:$AB,Data_Entry!$A4,0),"")</f>
        <v>0</v>
      </c>
      <c r="N6" s="156">
        <f>IFERROR(VLOOKUP(N$3,Data_Entry!$C:$AB,Data_Entry!$A4,0),"")</f>
        <v>0</v>
      </c>
      <c r="O6" s="156">
        <f>IFERROR(VLOOKUP(O$3,Data_Entry!$C:$AB,Data_Entry!$A4,0),"")</f>
        <v>0</v>
      </c>
      <c r="P6" s="156">
        <f>IFERROR(VLOOKUP(P$3,Data_Entry!$C:$AB,Data_Entry!$A4,0),"")</f>
        <v>0</v>
      </c>
      <c r="Q6" s="156">
        <f>IFERROR(VLOOKUP(Q$3,Data_Entry!$C:$AB,Data_Entry!$A4,0),"")</f>
        <v>0</v>
      </c>
      <c r="R6" s="156">
        <f>IFERROR(VLOOKUP(R$3,Data_Entry!$C:$AB,Data_Entry!$A4,0),"")</f>
        <v>0</v>
      </c>
      <c r="S6" s="156">
        <f>IFERROR(VLOOKUP(S$3,Data_Entry!$C:$AB,Data_Entry!$A4,0),"")</f>
        <v>0</v>
      </c>
      <c r="T6" s="156">
        <f>IFERROR(VLOOKUP(T$3,Data_Entry!$C:$AB,Data_Entry!$A4,0),"")</f>
        <v>0</v>
      </c>
      <c r="U6" s="156">
        <f>IFERROR(VLOOKUP(U$3,Data_Entry!$C:$AB,Data_Entry!$A4,0),"")</f>
        <v>0</v>
      </c>
      <c r="V6" s="156">
        <f>IFERROR(VLOOKUP(V$3,Data_Entry!$C:$AB,Data_Entry!$A4,0),"")</f>
        <v>0</v>
      </c>
      <c r="W6" s="156">
        <f>IFERROR(VLOOKUP(W$3,Data_Entry!$C:$AB,Data_Entry!$A4,0),"")</f>
        <v>0</v>
      </c>
      <c r="X6" s="156">
        <f>IFERROR(VLOOKUP(X$3,Data_Entry!$C:$AB,Data_Entry!$A4,0),"")</f>
        <v>0</v>
      </c>
      <c r="Y6" s="156">
        <f>IFERROR(VLOOKUP(Y$3,Data_Entry!$C:$AB,Data_Entry!$A4,0),"")</f>
        <v>0</v>
      </c>
      <c r="Z6" s="156">
        <f>IFERROR(VLOOKUP(Z$3,Data_Entry!$C:$AB,Data_Entry!$A4,0),"")</f>
        <v>0</v>
      </c>
      <c r="AA6" s="156">
        <f>IFERROR(VLOOKUP(AA$3,Data_Entry!$C:$AB,Data_Entry!$A4,0),"")</f>
        <v>0</v>
      </c>
      <c r="AB6" s="156">
        <f>IFERROR(VLOOKUP(AB$3,Data_Entry!$C:$AB,Data_Entry!$A4,0),"")</f>
        <v>0</v>
      </c>
      <c r="AC6" s="156">
        <f>IFERROR(VLOOKUP(AC$3,Data_Entry!$C:$AB,Data_Entry!$A4,0),"")</f>
        <v>0</v>
      </c>
      <c r="AD6" s="156">
        <f>IFERROR(VLOOKUP(AD$3,Data_Entry!$C:$AB,Data_Entry!$A4,0),"")</f>
        <v>0</v>
      </c>
      <c r="AE6" s="156">
        <f>IFERROR(VLOOKUP(AE$3,Data_Entry!$C:$AB,Data_Entry!$A4,0),"")</f>
        <v>0</v>
      </c>
      <c r="AF6" s="156">
        <f>IFERROR(VLOOKUP(AF$3,Data_Entry!$C:$AB,Data_Entry!$A4,0),"")</f>
        <v>0</v>
      </c>
      <c r="AG6" s="156">
        <f t="shared" si="1"/>
        <v>9515.13</v>
      </c>
    </row>
    <row r="7" ht="14.25" customHeight="1" spans="1:33">
      <c r="A7" s="155" t="s">
        <v>38</v>
      </c>
      <c r="B7" s="156">
        <f>IFERROR(VLOOKUP(B$3,Data_Entry!$C:$AB,Data_Entry!$A5,0),"")</f>
        <v>1580.77</v>
      </c>
      <c r="C7" s="156">
        <f>IFERROR(VLOOKUP(C$3,Data_Entry!$C:$AB,Data_Entry!$A5,0),"")</f>
        <v>1625.51</v>
      </c>
      <c r="D7" s="156">
        <f>IFERROR(VLOOKUP(D$3,Data_Entry!$C:$AB,Data_Entry!$A5,0),"")</f>
        <v>1491.58</v>
      </c>
      <c r="E7" s="156">
        <f>IFERROR(VLOOKUP(E$3,Data_Entry!$C:$AB,Data_Entry!$A5,0),"")</f>
        <v>1733.43</v>
      </c>
      <c r="F7" s="156">
        <f>IFERROR(VLOOKUP(F$3,Data_Entry!$C:$AB,Data_Entry!$A5,0),"")</f>
        <v>1571.79</v>
      </c>
      <c r="G7" s="156">
        <f>IFERROR(VLOOKUP(G$3,Data_Entry!$C:$AB,Data_Entry!$A5,0),"")</f>
        <v>1601.66</v>
      </c>
      <c r="H7" s="156">
        <f>IFERROR(VLOOKUP(H$3,Data_Entry!$C:$AB,Data_Entry!$A5,0),"")</f>
        <v>0</v>
      </c>
      <c r="I7" s="156">
        <f>IFERROR(VLOOKUP(I$3,Data_Entry!$C:$AB,Data_Entry!$A5,0),"")</f>
        <v>0</v>
      </c>
      <c r="J7" s="156">
        <f>IFERROR(VLOOKUP(J$3,Data_Entry!$C:$AB,Data_Entry!$A5,0),"")</f>
        <v>0</v>
      </c>
      <c r="K7" s="156">
        <f>IFERROR(VLOOKUP(K$3,Data_Entry!$C:$AB,Data_Entry!$A5,0),"")</f>
        <v>0</v>
      </c>
      <c r="L7" s="156">
        <f>IFERROR(VLOOKUP(L$3,Data_Entry!$C:$AB,Data_Entry!$A5,0),"")</f>
        <v>0</v>
      </c>
      <c r="M7" s="156">
        <f>IFERROR(VLOOKUP(M$3,Data_Entry!$C:$AB,Data_Entry!$A5,0),"")</f>
        <v>0</v>
      </c>
      <c r="N7" s="156">
        <f>IFERROR(VLOOKUP(N$3,Data_Entry!$C:$AB,Data_Entry!$A5,0),"")</f>
        <v>0</v>
      </c>
      <c r="O7" s="156">
        <f>IFERROR(VLOOKUP(O$3,Data_Entry!$C:$AB,Data_Entry!$A5,0),"")</f>
        <v>0</v>
      </c>
      <c r="P7" s="156">
        <f>IFERROR(VLOOKUP(P$3,Data_Entry!$C:$AB,Data_Entry!$A5,0),"")</f>
        <v>0</v>
      </c>
      <c r="Q7" s="156">
        <f>IFERROR(VLOOKUP(Q$3,Data_Entry!$C:$AB,Data_Entry!$A5,0),"")</f>
        <v>0</v>
      </c>
      <c r="R7" s="156">
        <f>IFERROR(VLOOKUP(R$3,Data_Entry!$C:$AB,Data_Entry!$A5,0),"")</f>
        <v>0</v>
      </c>
      <c r="S7" s="156">
        <f>IFERROR(VLOOKUP(S$3,Data_Entry!$C:$AB,Data_Entry!$A5,0),"")</f>
        <v>0</v>
      </c>
      <c r="T7" s="156">
        <f>IFERROR(VLOOKUP(T$3,Data_Entry!$C:$AB,Data_Entry!$A5,0),"")</f>
        <v>0</v>
      </c>
      <c r="U7" s="156">
        <f>IFERROR(VLOOKUP(U$3,Data_Entry!$C:$AB,Data_Entry!$A5,0),"")</f>
        <v>0</v>
      </c>
      <c r="V7" s="156">
        <f>IFERROR(VLOOKUP(V$3,Data_Entry!$C:$AB,Data_Entry!$A5,0),"")</f>
        <v>0</v>
      </c>
      <c r="W7" s="156">
        <f>IFERROR(VLOOKUP(W$3,Data_Entry!$C:$AB,Data_Entry!$A5,0),"")</f>
        <v>0</v>
      </c>
      <c r="X7" s="156">
        <f>IFERROR(VLOOKUP(X$3,Data_Entry!$C:$AB,Data_Entry!$A5,0),"")</f>
        <v>0</v>
      </c>
      <c r="Y7" s="156">
        <f>IFERROR(VLOOKUP(Y$3,Data_Entry!$C:$AB,Data_Entry!$A5,0),"")</f>
        <v>0</v>
      </c>
      <c r="Z7" s="156">
        <f>IFERROR(VLOOKUP(Z$3,Data_Entry!$C:$AB,Data_Entry!$A5,0),"")</f>
        <v>0</v>
      </c>
      <c r="AA7" s="156">
        <f>IFERROR(VLOOKUP(AA$3,Data_Entry!$C:$AB,Data_Entry!$A5,0),"")</f>
        <v>0</v>
      </c>
      <c r="AB7" s="156">
        <f>IFERROR(VLOOKUP(AB$3,Data_Entry!$C:$AB,Data_Entry!$A5,0),"")</f>
        <v>0</v>
      </c>
      <c r="AC7" s="156">
        <f>IFERROR(VLOOKUP(AC$3,Data_Entry!$C:$AB,Data_Entry!$A5,0),"")</f>
        <v>0</v>
      </c>
      <c r="AD7" s="156">
        <f>IFERROR(VLOOKUP(AD$3,Data_Entry!$C:$AB,Data_Entry!$A5,0),"")</f>
        <v>0</v>
      </c>
      <c r="AE7" s="156">
        <f>IFERROR(VLOOKUP(AE$3,Data_Entry!$C:$AB,Data_Entry!$A5,0),"")</f>
        <v>0</v>
      </c>
      <c r="AF7" s="156">
        <f>IFERROR(VLOOKUP(AF$3,Data_Entry!$C:$AB,Data_Entry!$A5,0),"")</f>
        <v>0</v>
      </c>
      <c r="AG7" s="156">
        <f t="shared" si="1"/>
        <v>9604.74</v>
      </c>
    </row>
    <row r="8" ht="14.25" customHeight="1" spans="1:33">
      <c r="A8" s="155" t="s">
        <v>39</v>
      </c>
      <c r="B8" s="156">
        <f>IFERROR(VLOOKUP(B$3,Data_Entry!$C:$AB,Data_Entry!$A6,0),"")</f>
        <v>1539.11</v>
      </c>
      <c r="C8" s="156">
        <f>IFERROR(VLOOKUP(C$3,Data_Entry!$C:$AB,Data_Entry!$A6,0),"")</f>
        <v>1614.91</v>
      </c>
      <c r="D8" s="156">
        <f>IFERROR(VLOOKUP(D$3,Data_Entry!$C:$AB,Data_Entry!$A6,0),"")</f>
        <v>1501.86</v>
      </c>
      <c r="E8" s="156">
        <f>IFERROR(VLOOKUP(E$3,Data_Entry!$C:$AB,Data_Entry!$A6,0),"")</f>
        <v>1734.76</v>
      </c>
      <c r="F8" s="156">
        <f>IFERROR(VLOOKUP(F$3,Data_Entry!$C:$AB,Data_Entry!$A6,0),"")</f>
        <v>1564.08</v>
      </c>
      <c r="G8" s="156">
        <f>IFERROR(VLOOKUP(G$3,Data_Entry!$C:$AB,Data_Entry!$A6,0),"")</f>
        <v>1587.14</v>
      </c>
      <c r="H8" s="156">
        <f>IFERROR(VLOOKUP(H$3,Data_Entry!$C:$AB,Data_Entry!$A6,0),"")</f>
        <v>0</v>
      </c>
      <c r="I8" s="156">
        <f>IFERROR(VLOOKUP(I$3,Data_Entry!$C:$AB,Data_Entry!$A6,0),"")</f>
        <v>0</v>
      </c>
      <c r="J8" s="156">
        <f>IFERROR(VLOOKUP(J$3,Data_Entry!$C:$AB,Data_Entry!$A6,0),"")</f>
        <v>0</v>
      </c>
      <c r="K8" s="156">
        <f>IFERROR(VLOOKUP(K$3,Data_Entry!$C:$AB,Data_Entry!$A6,0),"")</f>
        <v>0</v>
      </c>
      <c r="L8" s="156">
        <f>IFERROR(VLOOKUP(L$3,Data_Entry!$C:$AB,Data_Entry!$A6,0),"")</f>
        <v>0</v>
      </c>
      <c r="M8" s="156">
        <f>IFERROR(VLOOKUP(M$3,Data_Entry!$C:$AB,Data_Entry!$A6,0),"")</f>
        <v>0</v>
      </c>
      <c r="N8" s="156">
        <f>IFERROR(VLOOKUP(N$3,Data_Entry!$C:$AB,Data_Entry!$A6,0),"")</f>
        <v>0</v>
      </c>
      <c r="O8" s="156">
        <f>IFERROR(VLOOKUP(O$3,Data_Entry!$C:$AB,Data_Entry!$A6,0),"")</f>
        <v>0</v>
      </c>
      <c r="P8" s="156">
        <f>IFERROR(VLOOKUP(P$3,Data_Entry!$C:$AB,Data_Entry!$A6,0),"")</f>
        <v>0</v>
      </c>
      <c r="Q8" s="156">
        <f>IFERROR(VLOOKUP(Q$3,Data_Entry!$C:$AB,Data_Entry!$A6,0),"")</f>
        <v>0</v>
      </c>
      <c r="R8" s="156">
        <f>IFERROR(VLOOKUP(R$3,Data_Entry!$C:$AB,Data_Entry!$A6,0),"")</f>
        <v>0</v>
      </c>
      <c r="S8" s="156">
        <f>IFERROR(VLOOKUP(S$3,Data_Entry!$C:$AB,Data_Entry!$A6,0),"")</f>
        <v>0</v>
      </c>
      <c r="T8" s="156">
        <f>IFERROR(VLOOKUP(T$3,Data_Entry!$C:$AB,Data_Entry!$A6,0),"")</f>
        <v>0</v>
      </c>
      <c r="U8" s="156">
        <f>IFERROR(VLOOKUP(U$3,Data_Entry!$C:$AB,Data_Entry!$A6,0),"")</f>
        <v>0</v>
      </c>
      <c r="V8" s="156">
        <f>IFERROR(VLOOKUP(V$3,Data_Entry!$C:$AB,Data_Entry!$A6,0),"")</f>
        <v>0</v>
      </c>
      <c r="W8" s="156">
        <f>IFERROR(VLOOKUP(W$3,Data_Entry!$C:$AB,Data_Entry!$A6,0),"")</f>
        <v>0</v>
      </c>
      <c r="X8" s="156">
        <f>IFERROR(VLOOKUP(X$3,Data_Entry!$C:$AB,Data_Entry!$A6,0),"")</f>
        <v>0</v>
      </c>
      <c r="Y8" s="156">
        <f>IFERROR(VLOOKUP(Y$3,Data_Entry!$C:$AB,Data_Entry!$A6,0),"")</f>
        <v>0</v>
      </c>
      <c r="Z8" s="156">
        <f>IFERROR(VLOOKUP(Z$3,Data_Entry!$C:$AB,Data_Entry!$A6,0),"")</f>
        <v>0</v>
      </c>
      <c r="AA8" s="156">
        <f>IFERROR(VLOOKUP(AA$3,Data_Entry!$C:$AB,Data_Entry!$A6,0),"")</f>
        <v>0</v>
      </c>
      <c r="AB8" s="156">
        <f>IFERROR(VLOOKUP(AB$3,Data_Entry!$C:$AB,Data_Entry!$A6,0),"")</f>
        <v>0</v>
      </c>
      <c r="AC8" s="156">
        <f>IFERROR(VLOOKUP(AC$3,Data_Entry!$C:$AB,Data_Entry!$A6,0),"")</f>
        <v>0</v>
      </c>
      <c r="AD8" s="156">
        <f>IFERROR(VLOOKUP(AD$3,Data_Entry!$C:$AB,Data_Entry!$A6,0),"")</f>
        <v>0</v>
      </c>
      <c r="AE8" s="156">
        <f>IFERROR(VLOOKUP(AE$3,Data_Entry!$C:$AB,Data_Entry!$A6,0),"")</f>
        <v>0</v>
      </c>
      <c r="AF8" s="156">
        <f>IFERROR(VLOOKUP(AF$3,Data_Entry!$C:$AB,Data_Entry!$A6,0),"")</f>
        <v>0</v>
      </c>
      <c r="AG8" s="156">
        <f t="shared" si="1"/>
        <v>9541.86</v>
      </c>
    </row>
    <row r="9" ht="14.25" customHeight="1" spans="1:33">
      <c r="A9" s="155" t="s">
        <v>40</v>
      </c>
      <c r="B9" s="156">
        <f>IFERROR(VLOOKUP(B$3,Data_Entry!$C:$AB,Data_Entry!$A7,0),"")</f>
        <v>1575.84</v>
      </c>
      <c r="C9" s="156">
        <f>IFERROR(VLOOKUP(C$3,Data_Entry!$C:$AB,Data_Entry!$A7,0),"")</f>
        <v>1622.77</v>
      </c>
      <c r="D9" s="156">
        <f>IFERROR(VLOOKUP(D$3,Data_Entry!$C:$AB,Data_Entry!$A7,0),"")</f>
        <v>1460.8</v>
      </c>
      <c r="E9" s="156">
        <f>IFERROR(VLOOKUP(E$3,Data_Entry!$C:$AB,Data_Entry!$A7,0),"")</f>
        <v>1688.58</v>
      </c>
      <c r="F9" s="156">
        <f>IFERROR(VLOOKUP(F$3,Data_Entry!$C:$AB,Data_Entry!$A7,0),"")</f>
        <v>1573.66</v>
      </c>
      <c r="G9" s="156">
        <f>IFERROR(VLOOKUP(G$3,Data_Entry!$C:$AB,Data_Entry!$A7,0),"")</f>
        <v>1602.68</v>
      </c>
      <c r="H9" s="156">
        <f>IFERROR(VLOOKUP(H$3,Data_Entry!$C:$AB,Data_Entry!$A7,0),"")</f>
        <v>0</v>
      </c>
      <c r="I9" s="156">
        <f>IFERROR(VLOOKUP(I$3,Data_Entry!$C:$AB,Data_Entry!$A7,0),"")</f>
        <v>0</v>
      </c>
      <c r="J9" s="156">
        <f>IFERROR(VLOOKUP(J$3,Data_Entry!$C:$AB,Data_Entry!$A7,0),"")</f>
        <v>0</v>
      </c>
      <c r="K9" s="156">
        <f>IFERROR(VLOOKUP(K$3,Data_Entry!$C:$AB,Data_Entry!$A7,0),"")</f>
        <v>0</v>
      </c>
      <c r="L9" s="156">
        <f>IFERROR(VLOOKUP(L$3,Data_Entry!$C:$AB,Data_Entry!$A7,0),"")</f>
        <v>0</v>
      </c>
      <c r="M9" s="156">
        <f>IFERROR(VLOOKUP(M$3,Data_Entry!$C:$AB,Data_Entry!$A7,0),"")</f>
        <v>0</v>
      </c>
      <c r="N9" s="156">
        <f>IFERROR(VLOOKUP(N$3,Data_Entry!$C:$AB,Data_Entry!$A7,0),"")</f>
        <v>0</v>
      </c>
      <c r="O9" s="156">
        <f>IFERROR(VLOOKUP(O$3,Data_Entry!$C:$AB,Data_Entry!$A7,0),"")</f>
        <v>0</v>
      </c>
      <c r="P9" s="156">
        <f>IFERROR(VLOOKUP(P$3,Data_Entry!$C:$AB,Data_Entry!$A7,0),"")</f>
        <v>0</v>
      </c>
      <c r="Q9" s="156">
        <f>IFERROR(VLOOKUP(Q$3,Data_Entry!$C:$AB,Data_Entry!$A7,0),"")</f>
        <v>0</v>
      </c>
      <c r="R9" s="156">
        <f>IFERROR(VLOOKUP(R$3,Data_Entry!$C:$AB,Data_Entry!$A7,0),"")</f>
        <v>0</v>
      </c>
      <c r="S9" s="156">
        <f>IFERROR(VLOOKUP(S$3,Data_Entry!$C:$AB,Data_Entry!$A7,0),"")</f>
        <v>0</v>
      </c>
      <c r="T9" s="156">
        <f>IFERROR(VLOOKUP(T$3,Data_Entry!$C:$AB,Data_Entry!$A7,0),"")</f>
        <v>0</v>
      </c>
      <c r="U9" s="156">
        <f>IFERROR(VLOOKUP(U$3,Data_Entry!$C:$AB,Data_Entry!$A7,0),"")</f>
        <v>0</v>
      </c>
      <c r="V9" s="156">
        <f>IFERROR(VLOOKUP(V$3,Data_Entry!$C:$AB,Data_Entry!$A7,0),"")</f>
        <v>0</v>
      </c>
      <c r="W9" s="156">
        <f>IFERROR(VLOOKUP(W$3,Data_Entry!$C:$AB,Data_Entry!$A7,0),"")</f>
        <v>0</v>
      </c>
      <c r="X9" s="156">
        <f>IFERROR(VLOOKUP(X$3,Data_Entry!$C:$AB,Data_Entry!$A7,0),"")</f>
        <v>0</v>
      </c>
      <c r="Y9" s="156">
        <f>IFERROR(VLOOKUP(Y$3,Data_Entry!$C:$AB,Data_Entry!$A7,0),"")</f>
        <v>0</v>
      </c>
      <c r="Z9" s="156">
        <f>IFERROR(VLOOKUP(Z$3,Data_Entry!$C:$AB,Data_Entry!$A7,0),"")</f>
        <v>0</v>
      </c>
      <c r="AA9" s="156">
        <f>IFERROR(VLOOKUP(AA$3,Data_Entry!$C:$AB,Data_Entry!$A7,0),"")</f>
        <v>0</v>
      </c>
      <c r="AB9" s="156">
        <f>IFERROR(VLOOKUP(AB$3,Data_Entry!$C:$AB,Data_Entry!$A7,0),"")</f>
        <v>0</v>
      </c>
      <c r="AC9" s="156">
        <f>IFERROR(VLOOKUP(AC$3,Data_Entry!$C:$AB,Data_Entry!$A7,0),"")</f>
        <v>0</v>
      </c>
      <c r="AD9" s="156">
        <f>IFERROR(VLOOKUP(AD$3,Data_Entry!$C:$AB,Data_Entry!$A7,0),"")</f>
        <v>0</v>
      </c>
      <c r="AE9" s="156">
        <f>IFERROR(VLOOKUP(AE$3,Data_Entry!$C:$AB,Data_Entry!$A7,0),"")</f>
        <v>0</v>
      </c>
      <c r="AF9" s="156">
        <f>IFERROR(VLOOKUP(AF$3,Data_Entry!$C:$AB,Data_Entry!$A7,0),"")</f>
        <v>0</v>
      </c>
      <c r="AG9" s="156">
        <f t="shared" si="1"/>
        <v>9524.33</v>
      </c>
    </row>
    <row r="10" ht="14.25" customHeight="1" spans="1:33">
      <c r="A10" s="155" t="s">
        <v>41</v>
      </c>
      <c r="B10" s="156">
        <f>IFERROR(VLOOKUP(B$3,Data_Entry!$C:$AB,Data_Entry!$A8,0),"")</f>
        <v>1574.55</v>
      </c>
      <c r="C10" s="156">
        <f>IFERROR(VLOOKUP(C$3,Data_Entry!$C:$AB,Data_Entry!$A8,0),"")</f>
        <v>1631.91</v>
      </c>
      <c r="D10" s="156">
        <f>IFERROR(VLOOKUP(D$3,Data_Entry!$C:$AB,Data_Entry!$A8,0),"")</f>
        <v>1490.55</v>
      </c>
      <c r="E10" s="156">
        <f>IFERROR(VLOOKUP(E$3,Data_Entry!$C:$AB,Data_Entry!$A8,0),"")</f>
        <v>1724.34</v>
      </c>
      <c r="F10" s="156">
        <f>IFERROR(VLOOKUP(F$3,Data_Entry!$C:$AB,Data_Entry!$A8,0),"")</f>
        <v>1564.87</v>
      </c>
      <c r="G10" s="156">
        <f>IFERROR(VLOOKUP(G$3,Data_Entry!$C:$AB,Data_Entry!$A8,0),"")</f>
        <v>1584.38</v>
      </c>
      <c r="H10" s="156">
        <f>IFERROR(VLOOKUP(H$3,Data_Entry!$C:$AB,Data_Entry!$A8,0),"")</f>
        <v>0</v>
      </c>
      <c r="I10" s="156">
        <f>IFERROR(VLOOKUP(I$3,Data_Entry!$C:$AB,Data_Entry!$A8,0),"")</f>
        <v>0</v>
      </c>
      <c r="J10" s="156">
        <f>IFERROR(VLOOKUP(J$3,Data_Entry!$C:$AB,Data_Entry!$A8,0),"")</f>
        <v>0</v>
      </c>
      <c r="K10" s="156">
        <f>IFERROR(VLOOKUP(K$3,Data_Entry!$C:$AB,Data_Entry!$A8,0),"")</f>
        <v>0</v>
      </c>
      <c r="L10" s="156">
        <f>IFERROR(VLOOKUP(L$3,Data_Entry!$C:$AB,Data_Entry!$A8,0),"")</f>
        <v>0</v>
      </c>
      <c r="M10" s="156">
        <f>IFERROR(VLOOKUP(M$3,Data_Entry!$C:$AB,Data_Entry!$A8,0),"")</f>
        <v>0</v>
      </c>
      <c r="N10" s="156">
        <f>IFERROR(VLOOKUP(N$3,Data_Entry!$C:$AB,Data_Entry!$A8,0),"")</f>
        <v>0</v>
      </c>
      <c r="O10" s="156">
        <f>IFERROR(VLOOKUP(O$3,Data_Entry!$C:$AB,Data_Entry!$A8,0),"")</f>
        <v>0</v>
      </c>
      <c r="P10" s="156">
        <f>IFERROR(VLOOKUP(P$3,Data_Entry!$C:$AB,Data_Entry!$A8,0),"")</f>
        <v>0</v>
      </c>
      <c r="Q10" s="156">
        <f>IFERROR(VLOOKUP(Q$3,Data_Entry!$C:$AB,Data_Entry!$A8,0),"")</f>
        <v>0</v>
      </c>
      <c r="R10" s="156">
        <f>IFERROR(VLOOKUP(R$3,Data_Entry!$C:$AB,Data_Entry!$A8,0),"")</f>
        <v>0</v>
      </c>
      <c r="S10" s="156">
        <f>IFERROR(VLOOKUP(S$3,Data_Entry!$C:$AB,Data_Entry!$A8,0),"")</f>
        <v>0</v>
      </c>
      <c r="T10" s="156">
        <f>IFERROR(VLOOKUP(T$3,Data_Entry!$C:$AB,Data_Entry!$A8,0),"")</f>
        <v>0</v>
      </c>
      <c r="U10" s="156">
        <f>IFERROR(VLOOKUP(U$3,Data_Entry!$C:$AB,Data_Entry!$A8,0),"")</f>
        <v>0</v>
      </c>
      <c r="V10" s="156">
        <f>IFERROR(VLOOKUP(V$3,Data_Entry!$C:$AB,Data_Entry!$A8,0),"")</f>
        <v>0</v>
      </c>
      <c r="W10" s="156">
        <f>IFERROR(VLOOKUP(W$3,Data_Entry!$C:$AB,Data_Entry!$A8,0),"")</f>
        <v>0</v>
      </c>
      <c r="X10" s="156">
        <f>IFERROR(VLOOKUP(X$3,Data_Entry!$C:$AB,Data_Entry!$A8,0),"")</f>
        <v>0</v>
      </c>
      <c r="Y10" s="156">
        <f>IFERROR(VLOOKUP(Y$3,Data_Entry!$C:$AB,Data_Entry!$A8,0),"")</f>
        <v>0</v>
      </c>
      <c r="Z10" s="156">
        <f>IFERROR(VLOOKUP(Z$3,Data_Entry!$C:$AB,Data_Entry!$A8,0),"")</f>
        <v>0</v>
      </c>
      <c r="AA10" s="156">
        <f>IFERROR(VLOOKUP(AA$3,Data_Entry!$C:$AB,Data_Entry!$A8,0),"")</f>
        <v>0</v>
      </c>
      <c r="AB10" s="156">
        <f>IFERROR(VLOOKUP(AB$3,Data_Entry!$C:$AB,Data_Entry!$A8,0),"")</f>
        <v>0</v>
      </c>
      <c r="AC10" s="156">
        <f>IFERROR(VLOOKUP(AC$3,Data_Entry!$C:$AB,Data_Entry!$A8,0),"")</f>
        <v>0</v>
      </c>
      <c r="AD10" s="156">
        <f>IFERROR(VLOOKUP(AD$3,Data_Entry!$C:$AB,Data_Entry!$A8,0),"")</f>
        <v>0</v>
      </c>
      <c r="AE10" s="156">
        <f>IFERROR(VLOOKUP(AE$3,Data_Entry!$C:$AB,Data_Entry!$A8,0),"")</f>
        <v>0</v>
      </c>
      <c r="AF10" s="156">
        <f>IFERROR(VLOOKUP(AF$3,Data_Entry!$C:$AB,Data_Entry!$A8,0),"")</f>
        <v>0</v>
      </c>
      <c r="AG10" s="156">
        <f t="shared" si="1"/>
        <v>9570.6</v>
      </c>
    </row>
    <row r="11" ht="14.25" customHeight="1" spans="1:33">
      <c r="A11" s="155" t="s">
        <v>42</v>
      </c>
      <c r="B11" s="156">
        <f>IFERROR(VLOOKUP(B$3,Data_Entry!$C:$AB,Data_Entry!$A9,0),"")</f>
        <v>1582.79</v>
      </c>
      <c r="C11" s="156">
        <f>IFERROR(VLOOKUP(C$3,Data_Entry!$C:$AB,Data_Entry!$A9,0),"")</f>
        <v>1659.98</v>
      </c>
      <c r="D11" s="156">
        <f>IFERROR(VLOOKUP(D$3,Data_Entry!$C:$AB,Data_Entry!$A9,0),"")</f>
        <v>1559.32</v>
      </c>
      <c r="E11" s="156">
        <f>IFERROR(VLOOKUP(E$3,Data_Entry!$C:$AB,Data_Entry!$A9,0),"")</f>
        <v>1799.98</v>
      </c>
      <c r="F11" s="156">
        <f>IFERROR(VLOOKUP(F$3,Data_Entry!$C:$AB,Data_Entry!$A9,0),"")</f>
        <v>1628.2</v>
      </c>
      <c r="G11" s="156">
        <f>IFERROR(VLOOKUP(G$3,Data_Entry!$C:$AB,Data_Entry!$A9,0),"")</f>
        <v>1642.05</v>
      </c>
      <c r="H11" s="156">
        <f>IFERROR(VLOOKUP(H$3,Data_Entry!$C:$AB,Data_Entry!$A9,0),"")</f>
        <v>0</v>
      </c>
      <c r="I11" s="156">
        <f>IFERROR(VLOOKUP(I$3,Data_Entry!$C:$AB,Data_Entry!$A9,0),"")</f>
        <v>0</v>
      </c>
      <c r="J11" s="156">
        <f>IFERROR(VLOOKUP(J$3,Data_Entry!$C:$AB,Data_Entry!$A9,0),"")</f>
        <v>0</v>
      </c>
      <c r="K11" s="156">
        <f>IFERROR(VLOOKUP(K$3,Data_Entry!$C:$AB,Data_Entry!$A9,0),"")</f>
        <v>0</v>
      </c>
      <c r="L11" s="156">
        <f>IFERROR(VLOOKUP(L$3,Data_Entry!$C:$AB,Data_Entry!$A9,0),"")</f>
        <v>0</v>
      </c>
      <c r="M11" s="156">
        <f>IFERROR(VLOOKUP(M$3,Data_Entry!$C:$AB,Data_Entry!$A9,0),"")</f>
        <v>0</v>
      </c>
      <c r="N11" s="156">
        <f>IFERROR(VLOOKUP(N$3,Data_Entry!$C:$AB,Data_Entry!$A9,0),"")</f>
        <v>0</v>
      </c>
      <c r="O11" s="156">
        <f>IFERROR(VLOOKUP(O$3,Data_Entry!$C:$AB,Data_Entry!$A9,0),"")</f>
        <v>0</v>
      </c>
      <c r="P11" s="156">
        <f>IFERROR(VLOOKUP(P$3,Data_Entry!$C:$AB,Data_Entry!$A9,0),"")</f>
        <v>0</v>
      </c>
      <c r="Q11" s="156">
        <f>IFERROR(VLOOKUP(Q$3,Data_Entry!$C:$AB,Data_Entry!$A9,0),"")</f>
        <v>0</v>
      </c>
      <c r="R11" s="156">
        <f>IFERROR(VLOOKUP(R$3,Data_Entry!$C:$AB,Data_Entry!$A9,0),"")</f>
        <v>0</v>
      </c>
      <c r="S11" s="156">
        <f>IFERROR(VLOOKUP(S$3,Data_Entry!$C:$AB,Data_Entry!$A9,0),"")</f>
        <v>0</v>
      </c>
      <c r="T11" s="156">
        <f>IFERROR(VLOOKUP(T$3,Data_Entry!$C:$AB,Data_Entry!$A9,0),"")</f>
        <v>0</v>
      </c>
      <c r="U11" s="156">
        <f>IFERROR(VLOOKUP(U$3,Data_Entry!$C:$AB,Data_Entry!$A9,0),"")</f>
        <v>0</v>
      </c>
      <c r="V11" s="156">
        <f>IFERROR(VLOOKUP(V$3,Data_Entry!$C:$AB,Data_Entry!$A9,0),"")</f>
        <v>0</v>
      </c>
      <c r="W11" s="156">
        <f>IFERROR(VLOOKUP(W$3,Data_Entry!$C:$AB,Data_Entry!$A9,0),"")</f>
        <v>0</v>
      </c>
      <c r="X11" s="156">
        <f>IFERROR(VLOOKUP(X$3,Data_Entry!$C:$AB,Data_Entry!$A9,0),"")</f>
        <v>0</v>
      </c>
      <c r="Y11" s="156">
        <f>IFERROR(VLOOKUP(Y$3,Data_Entry!$C:$AB,Data_Entry!$A9,0),"")</f>
        <v>0</v>
      </c>
      <c r="Z11" s="156">
        <f>IFERROR(VLOOKUP(Z$3,Data_Entry!$C:$AB,Data_Entry!$A9,0),"")</f>
        <v>0</v>
      </c>
      <c r="AA11" s="156">
        <f>IFERROR(VLOOKUP(AA$3,Data_Entry!$C:$AB,Data_Entry!$A9,0),"")</f>
        <v>0</v>
      </c>
      <c r="AB11" s="156">
        <f>IFERROR(VLOOKUP(AB$3,Data_Entry!$C:$AB,Data_Entry!$A9,0),"")</f>
        <v>0</v>
      </c>
      <c r="AC11" s="156">
        <f>IFERROR(VLOOKUP(AC$3,Data_Entry!$C:$AB,Data_Entry!$A9,0),"")</f>
        <v>0</v>
      </c>
      <c r="AD11" s="156">
        <f>IFERROR(VLOOKUP(AD$3,Data_Entry!$C:$AB,Data_Entry!$A9,0),"")</f>
        <v>0</v>
      </c>
      <c r="AE11" s="156">
        <f>IFERROR(VLOOKUP(AE$3,Data_Entry!$C:$AB,Data_Entry!$A9,0),"")</f>
        <v>0</v>
      </c>
      <c r="AF11" s="156">
        <f>IFERROR(VLOOKUP(AF$3,Data_Entry!$C:$AB,Data_Entry!$A9,0),"")</f>
        <v>0</v>
      </c>
      <c r="AG11" s="156">
        <f t="shared" si="1"/>
        <v>9872.32</v>
      </c>
    </row>
    <row r="12" ht="14.25" customHeight="1" spans="1:33">
      <c r="A12" s="155" t="s">
        <v>43</v>
      </c>
      <c r="B12" s="156">
        <f>IFERROR(VLOOKUP(B$3,Data_Entry!$C:$AB,Data_Entry!$A10,0),"")</f>
        <v>1493.82</v>
      </c>
      <c r="C12" s="156">
        <f>IFERROR(VLOOKUP(C$3,Data_Entry!$C:$AB,Data_Entry!$A10,0),"")</f>
        <v>1564.89</v>
      </c>
      <c r="D12" s="156">
        <f>IFERROR(VLOOKUP(D$3,Data_Entry!$C:$AB,Data_Entry!$A10,0),"")</f>
        <v>1458.21</v>
      </c>
      <c r="E12" s="156">
        <f>IFERROR(VLOOKUP(E$3,Data_Entry!$C:$AB,Data_Entry!$A10,0),"")</f>
        <v>1683.11</v>
      </c>
      <c r="F12" s="156">
        <f>IFERROR(VLOOKUP(F$3,Data_Entry!$C:$AB,Data_Entry!$A10,0),"")</f>
        <v>1537.8</v>
      </c>
      <c r="G12" s="156">
        <f>IFERROR(VLOOKUP(G$3,Data_Entry!$C:$AB,Data_Entry!$A10,0),"")</f>
        <v>1555.85</v>
      </c>
      <c r="H12" s="156">
        <f>IFERROR(VLOOKUP(H$3,Data_Entry!$C:$AB,Data_Entry!$A10,0),"")</f>
        <v>0</v>
      </c>
      <c r="I12" s="156">
        <f>IFERROR(VLOOKUP(I$3,Data_Entry!$C:$AB,Data_Entry!$A10,0),"")</f>
        <v>0</v>
      </c>
      <c r="J12" s="156">
        <f>IFERROR(VLOOKUP(J$3,Data_Entry!$C:$AB,Data_Entry!$A10,0),"")</f>
        <v>0</v>
      </c>
      <c r="K12" s="156">
        <f>IFERROR(VLOOKUP(K$3,Data_Entry!$C:$AB,Data_Entry!$A10,0),"")</f>
        <v>0</v>
      </c>
      <c r="L12" s="156">
        <f>IFERROR(VLOOKUP(L$3,Data_Entry!$C:$AB,Data_Entry!$A10,0),"")</f>
        <v>0</v>
      </c>
      <c r="M12" s="156">
        <f>IFERROR(VLOOKUP(M$3,Data_Entry!$C:$AB,Data_Entry!$A10,0),"")</f>
        <v>0</v>
      </c>
      <c r="N12" s="156">
        <f>IFERROR(VLOOKUP(N$3,Data_Entry!$C:$AB,Data_Entry!$A10,0),"")</f>
        <v>0</v>
      </c>
      <c r="O12" s="156">
        <f>IFERROR(VLOOKUP(O$3,Data_Entry!$C:$AB,Data_Entry!$A10,0),"")</f>
        <v>0</v>
      </c>
      <c r="P12" s="156">
        <f>IFERROR(VLOOKUP(P$3,Data_Entry!$C:$AB,Data_Entry!$A10,0),"")</f>
        <v>0</v>
      </c>
      <c r="Q12" s="156">
        <f>IFERROR(VLOOKUP(Q$3,Data_Entry!$C:$AB,Data_Entry!$A10,0),"")</f>
        <v>0</v>
      </c>
      <c r="R12" s="156">
        <f>IFERROR(VLOOKUP(R$3,Data_Entry!$C:$AB,Data_Entry!$A10,0),"")</f>
        <v>0</v>
      </c>
      <c r="S12" s="156">
        <f>IFERROR(VLOOKUP(S$3,Data_Entry!$C:$AB,Data_Entry!$A10,0),"")</f>
        <v>0</v>
      </c>
      <c r="T12" s="156">
        <f>IFERROR(VLOOKUP(T$3,Data_Entry!$C:$AB,Data_Entry!$A10,0),"")</f>
        <v>0</v>
      </c>
      <c r="U12" s="156">
        <f>IFERROR(VLOOKUP(U$3,Data_Entry!$C:$AB,Data_Entry!$A10,0),"")</f>
        <v>0</v>
      </c>
      <c r="V12" s="156">
        <f>IFERROR(VLOOKUP(V$3,Data_Entry!$C:$AB,Data_Entry!$A10,0),"")</f>
        <v>0</v>
      </c>
      <c r="W12" s="156">
        <f>IFERROR(VLOOKUP(W$3,Data_Entry!$C:$AB,Data_Entry!$A10,0),"")</f>
        <v>0</v>
      </c>
      <c r="X12" s="156">
        <f>IFERROR(VLOOKUP(X$3,Data_Entry!$C:$AB,Data_Entry!$A10,0),"")</f>
        <v>0</v>
      </c>
      <c r="Y12" s="156">
        <f>IFERROR(VLOOKUP(Y$3,Data_Entry!$C:$AB,Data_Entry!$A10,0),"")</f>
        <v>0</v>
      </c>
      <c r="Z12" s="156">
        <f>IFERROR(VLOOKUP(Z$3,Data_Entry!$C:$AB,Data_Entry!$A10,0),"")</f>
        <v>0</v>
      </c>
      <c r="AA12" s="156">
        <f>IFERROR(VLOOKUP(AA$3,Data_Entry!$C:$AB,Data_Entry!$A10,0),"")</f>
        <v>0</v>
      </c>
      <c r="AB12" s="156">
        <f>IFERROR(VLOOKUP(AB$3,Data_Entry!$C:$AB,Data_Entry!$A10,0),"")</f>
        <v>0</v>
      </c>
      <c r="AC12" s="156">
        <f>IFERROR(VLOOKUP(AC$3,Data_Entry!$C:$AB,Data_Entry!$A10,0),"")</f>
        <v>0</v>
      </c>
      <c r="AD12" s="156">
        <f>IFERROR(VLOOKUP(AD$3,Data_Entry!$C:$AB,Data_Entry!$A10,0),"")</f>
        <v>0</v>
      </c>
      <c r="AE12" s="156">
        <f>IFERROR(VLOOKUP(AE$3,Data_Entry!$C:$AB,Data_Entry!$A10,0),"")</f>
        <v>0</v>
      </c>
      <c r="AF12" s="156">
        <f>IFERROR(VLOOKUP(AF$3,Data_Entry!$C:$AB,Data_Entry!$A10,0),"")</f>
        <v>0</v>
      </c>
      <c r="AG12" s="156">
        <f t="shared" si="1"/>
        <v>9293.68</v>
      </c>
    </row>
    <row r="13" ht="14.25" customHeight="1" spans="1:33">
      <c r="A13" s="155" t="s">
        <v>44</v>
      </c>
      <c r="B13" s="156">
        <f>IFERROR(VLOOKUP(B$3,Data_Entry!$C:$AB,Data_Entry!$A11,0),"")</f>
        <v>1494.13</v>
      </c>
      <c r="C13" s="156">
        <f>IFERROR(VLOOKUP(C$3,Data_Entry!$C:$AB,Data_Entry!$A11,0),"")</f>
        <v>1578.12</v>
      </c>
      <c r="D13" s="156">
        <f>IFERROR(VLOOKUP(D$3,Data_Entry!$C:$AB,Data_Entry!$A11,0),"")</f>
        <v>1449.12</v>
      </c>
      <c r="E13" s="156">
        <f>IFERROR(VLOOKUP(E$3,Data_Entry!$C:$AB,Data_Entry!$A11,0),"")</f>
        <v>1672.37</v>
      </c>
      <c r="F13" s="156">
        <f>IFERROR(VLOOKUP(F$3,Data_Entry!$C:$AB,Data_Entry!$A11,0),"")</f>
        <v>1534.23</v>
      </c>
      <c r="G13" s="156">
        <f>IFERROR(VLOOKUP(G$3,Data_Entry!$C:$AB,Data_Entry!$A11,0),"")</f>
        <v>1556.26</v>
      </c>
      <c r="H13" s="156">
        <f>IFERROR(VLOOKUP(H$3,Data_Entry!$C:$AB,Data_Entry!$A11,0),"")</f>
        <v>0</v>
      </c>
      <c r="I13" s="156">
        <f>IFERROR(VLOOKUP(I$3,Data_Entry!$C:$AB,Data_Entry!$A11,0),"")</f>
        <v>0</v>
      </c>
      <c r="J13" s="156">
        <f>IFERROR(VLOOKUP(J$3,Data_Entry!$C:$AB,Data_Entry!$A11,0),"")</f>
        <v>0</v>
      </c>
      <c r="K13" s="156">
        <f>IFERROR(VLOOKUP(K$3,Data_Entry!$C:$AB,Data_Entry!$A11,0),"")</f>
        <v>0</v>
      </c>
      <c r="L13" s="156">
        <f>IFERROR(VLOOKUP(L$3,Data_Entry!$C:$AB,Data_Entry!$A11,0),"")</f>
        <v>0</v>
      </c>
      <c r="M13" s="156">
        <f>IFERROR(VLOOKUP(M$3,Data_Entry!$C:$AB,Data_Entry!$A11,0),"")</f>
        <v>0</v>
      </c>
      <c r="N13" s="156">
        <f>IFERROR(VLOOKUP(N$3,Data_Entry!$C:$AB,Data_Entry!$A11,0),"")</f>
        <v>0</v>
      </c>
      <c r="O13" s="156">
        <f>IFERROR(VLOOKUP(O$3,Data_Entry!$C:$AB,Data_Entry!$A11,0),"")</f>
        <v>0</v>
      </c>
      <c r="P13" s="156">
        <f>IFERROR(VLOOKUP(P$3,Data_Entry!$C:$AB,Data_Entry!$A11,0),"")</f>
        <v>0</v>
      </c>
      <c r="Q13" s="156">
        <f>IFERROR(VLOOKUP(Q$3,Data_Entry!$C:$AB,Data_Entry!$A11,0),"")</f>
        <v>0</v>
      </c>
      <c r="R13" s="156">
        <f>IFERROR(VLOOKUP(R$3,Data_Entry!$C:$AB,Data_Entry!$A11,0),"")</f>
        <v>0</v>
      </c>
      <c r="S13" s="156">
        <f>IFERROR(VLOOKUP(S$3,Data_Entry!$C:$AB,Data_Entry!$A11,0),"")</f>
        <v>0</v>
      </c>
      <c r="T13" s="156">
        <f>IFERROR(VLOOKUP(T$3,Data_Entry!$C:$AB,Data_Entry!$A11,0),"")</f>
        <v>0</v>
      </c>
      <c r="U13" s="156">
        <f>IFERROR(VLOOKUP(U$3,Data_Entry!$C:$AB,Data_Entry!$A11,0),"")</f>
        <v>0</v>
      </c>
      <c r="V13" s="156">
        <f>IFERROR(VLOOKUP(V$3,Data_Entry!$C:$AB,Data_Entry!$A11,0),"")</f>
        <v>0</v>
      </c>
      <c r="W13" s="156">
        <f>IFERROR(VLOOKUP(W$3,Data_Entry!$C:$AB,Data_Entry!$A11,0),"")</f>
        <v>0</v>
      </c>
      <c r="X13" s="156">
        <f>IFERROR(VLOOKUP(X$3,Data_Entry!$C:$AB,Data_Entry!$A11,0),"")</f>
        <v>0</v>
      </c>
      <c r="Y13" s="156">
        <f>IFERROR(VLOOKUP(Y$3,Data_Entry!$C:$AB,Data_Entry!$A11,0),"")</f>
        <v>0</v>
      </c>
      <c r="Z13" s="156">
        <f>IFERROR(VLOOKUP(Z$3,Data_Entry!$C:$AB,Data_Entry!$A11,0),"")</f>
        <v>0</v>
      </c>
      <c r="AA13" s="156">
        <f>IFERROR(VLOOKUP(AA$3,Data_Entry!$C:$AB,Data_Entry!$A11,0),"")</f>
        <v>0</v>
      </c>
      <c r="AB13" s="156">
        <f>IFERROR(VLOOKUP(AB$3,Data_Entry!$C:$AB,Data_Entry!$A11,0),"")</f>
        <v>0</v>
      </c>
      <c r="AC13" s="156">
        <f>IFERROR(VLOOKUP(AC$3,Data_Entry!$C:$AB,Data_Entry!$A11,0),"")</f>
        <v>0</v>
      </c>
      <c r="AD13" s="156">
        <f>IFERROR(VLOOKUP(AD$3,Data_Entry!$C:$AB,Data_Entry!$A11,0),"")</f>
        <v>0</v>
      </c>
      <c r="AE13" s="156">
        <f>IFERROR(VLOOKUP(AE$3,Data_Entry!$C:$AB,Data_Entry!$A11,0),"")</f>
        <v>0</v>
      </c>
      <c r="AF13" s="156">
        <f>IFERROR(VLOOKUP(AF$3,Data_Entry!$C:$AB,Data_Entry!$A11,0),"")</f>
        <v>0</v>
      </c>
      <c r="AG13" s="156">
        <f t="shared" si="1"/>
        <v>9284.23</v>
      </c>
    </row>
    <row r="14" ht="14.25" customHeight="1" spans="1:33">
      <c r="A14" s="155" t="s">
        <v>45</v>
      </c>
      <c r="B14" s="156">
        <f>IFERROR(VLOOKUP(B$3,Data_Entry!$C:$AB,Data_Entry!$A12,0),"")</f>
        <v>1495.98</v>
      </c>
      <c r="C14" s="156">
        <f>IFERROR(VLOOKUP(C$3,Data_Entry!$C:$AB,Data_Entry!$A12,0),"")</f>
        <v>1566.52</v>
      </c>
      <c r="D14" s="156">
        <f>IFERROR(VLOOKUP(D$3,Data_Entry!$C:$AB,Data_Entry!$A12,0),"")</f>
        <v>1449.37</v>
      </c>
      <c r="E14" s="156">
        <f>IFERROR(VLOOKUP(E$3,Data_Entry!$C:$AB,Data_Entry!$A12,0),"")</f>
        <v>1678.1</v>
      </c>
      <c r="F14" s="156">
        <f>IFERROR(VLOOKUP(F$3,Data_Entry!$C:$AB,Data_Entry!$A12,0),"")</f>
        <v>1527</v>
      </c>
      <c r="G14" s="156">
        <f>IFERROR(VLOOKUP(G$3,Data_Entry!$C:$AB,Data_Entry!$A12,0),"")</f>
        <v>1561.11</v>
      </c>
      <c r="H14" s="156">
        <f>IFERROR(VLOOKUP(H$3,Data_Entry!$C:$AB,Data_Entry!$A12,0),"")</f>
        <v>0</v>
      </c>
      <c r="I14" s="156">
        <f>IFERROR(VLOOKUP(I$3,Data_Entry!$C:$AB,Data_Entry!$A12,0),"")</f>
        <v>0</v>
      </c>
      <c r="J14" s="156">
        <f>IFERROR(VLOOKUP(J$3,Data_Entry!$C:$AB,Data_Entry!$A12,0),"")</f>
        <v>0</v>
      </c>
      <c r="K14" s="156">
        <f>IFERROR(VLOOKUP(K$3,Data_Entry!$C:$AB,Data_Entry!$A12,0),"")</f>
        <v>0</v>
      </c>
      <c r="L14" s="156">
        <f>IFERROR(VLOOKUP(L$3,Data_Entry!$C:$AB,Data_Entry!$A12,0),"")</f>
        <v>0</v>
      </c>
      <c r="M14" s="156">
        <f>IFERROR(VLOOKUP(M$3,Data_Entry!$C:$AB,Data_Entry!$A12,0),"")</f>
        <v>0</v>
      </c>
      <c r="N14" s="156">
        <f>IFERROR(VLOOKUP(N$3,Data_Entry!$C:$AB,Data_Entry!$A12,0),"")</f>
        <v>0</v>
      </c>
      <c r="O14" s="156">
        <f>IFERROR(VLOOKUP(O$3,Data_Entry!$C:$AB,Data_Entry!$A12,0),"")</f>
        <v>0</v>
      </c>
      <c r="P14" s="156">
        <f>IFERROR(VLOOKUP(P$3,Data_Entry!$C:$AB,Data_Entry!$A12,0),"")</f>
        <v>0</v>
      </c>
      <c r="Q14" s="156">
        <f>IFERROR(VLOOKUP(Q$3,Data_Entry!$C:$AB,Data_Entry!$A12,0),"")</f>
        <v>0</v>
      </c>
      <c r="R14" s="156">
        <f>IFERROR(VLOOKUP(R$3,Data_Entry!$C:$AB,Data_Entry!$A12,0),"")</f>
        <v>0</v>
      </c>
      <c r="S14" s="156">
        <f>IFERROR(VLOOKUP(S$3,Data_Entry!$C:$AB,Data_Entry!$A12,0),"")</f>
        <v>0</v>
      </c>
      <c r="T14" s="156">
        <f>IFERROR(VLOOKUP(T$3,Data_Entry!$C:$AB,Data_Entry!$A12,0),"")</f>
        <v>0</v>
      </c>
      <c r="U14" s="156">
        <f>IFERROR(VLOOKUP(U$3,Data_Entry!$C:$AB,Data_Entry!$A12,0),"")</f>
        <v>0</v>
      </c>
      <c r="V14" s="156">
        <f>IFERROR(VLOOKUP(V$3,Data_Entry!$C:$AB,Data_Entry!$A12,0),"")</f>
        <v>0</v>
      </c>
      <c r="W14" s="156">
        <f>IFERROR(VLOOKUP(W$3,Data_Entry!$C:$AB,Data_Entry!$A12,0),"")</f>
        <v>0</v>
      </c>
      <c r="X14" s="156">
        <f>IFERROR(VLOOKUP(X$3,Data_Entry!$C:$AB,Data_Entry!$A12,0),"")</f>
        <v>0</v>
      </c>
      <c r="Y14" s="156">
        <f>IFERROR(VLOOKUP(Y$3,Data_Entry!$C:$AB,Data_Entry!$A12,0),"")</f>
        <v>0</v>
      </c>
      <c r="Z14" s="156">
        <f>IFERROR(VLOOKUP(Z$3,Data_Entry!$C:$AB,Data_Entry!$A12,0),"")</f>
        <v>0</v>
      </c>
      <c r="AA14" s="156">
        <f>IFERROR(VLOOKUP(AA$3,Data_Entry!$C:$AB,Data_Entry!$A12,0),"")</f>
        <v>0</v>
      </c>
      <c r="AB14" s="156">
        <f>IFERROR(VLOOKUP(AB$3,Data_Entry!$C:$AB,Data_Entry!$A12,0),"")</f>
        <v>0</v>
      </c>
      <c r="AC14" s="156">
        <f>IFERROR(VLOOKUP(AC$3,Data_Entry!$C:$AB,Data_Entry!$A12,0),"")</f>
        <v>0</v>
      </c>
      <c r="AD14" s="156">
        <f>IFERROR(VLOOKUP(AD$3,Data_Entry!$C:$AB,Data_Entry!$A12,0),"")</f>
        <v>0</v>
      </c>
      <c r="AE14" s="156">
        <f>IFERROR(VLOOKUP(AE$3,Data_Entry!$C:$AB,Data_Entry!$A12,0),"")</f>
        <v>0</v>
      </c>
      <c r="AF14" s="156">
        <f>IFERROR(VLOOKUP(AF$3,Data_Entry!$C:$AB,Data_Entry!$A12,0),"")</f>
        <v>0</v>
      </c>
      <c r="AG14" s="156">
        <f t="shared" si="1"/>
        <v>9278.08</v>
      </c>
    </row>
    <row r="15" ht="14.25" customHeight="1" spans="1:33">
      <c r="A15" s="155" t="s">
        <v>46</v>
      </c>
      <c r="B15" s="156">
        <f>IFERROR(VLOOKUP(B$3,Data_Entry!$C:$AB,Data_Entry!$A13,0),"")</f>
        <v>1506.82</v>
      </c>
      <c r="C15" s="156">
        <f>IFERROR(VLOOKUP(C$3,Data_Entry!$C:$AB,Data_Entry!$A13,0),"")</f>
        <v>1564.44</v>
      </c>
      <c r="D15" s="156">
        <f>IFERROR(VLOOKUP(D$3,Data_Entry!$C:$AB,Data_Entry!$A13,0),"")</f>
        <v>1435.62</v>
      </c>
      <c r="E15" s="156">
        <f>IFERROR(VLOOKUP(E$3,Data_Entry!$C:$AB,Data_Entry!$A13,0),"")</f>
        <v>1695.73</v>
      </c>
      <c r="F15" s="156">
        <f>IFERROR(VLOOKUP(F$3,Data_Entry!$C:$AB,Data_Entry!$A13,0),"")</f>
        <v>1531.11</v>
      </c>
      <c r="G15" s="156">
        <f>IFERROR(VLOOKUP(G$3,Data_Entry!$C:$AB,Data_Entry!$A13,0),"")</f>
        <v>1562.41</v>
      </c>
      <c r="H15" s="156">
        <f>IFERROR(VLOOKUP(H$3,Data_Entry!$C:$AB,Data_Entry!$A13,0),"")</f>
        <v>0</v>
      </c>
      <c r="I15" s="156">
        <f>IFERROR(VLOOKUP(I$3,Data_Entry!$C:$AB,Data_Entry!$A13,0),"")</f>
        <v>0</v>
      </c>
      <c r="J15" s="156">
        <f>IFERROR(VLOOKUP(J$3,Data_Entry!$C:$AB,Data_Entry!$A13,0),"")</f>
        <v>0</v>
      </c>
      <c r="K15" s="156">
        <f>IFERROR(VLOOKUP(K$3,Data_Entry!$C:$AB,Data_Entry!$A13,0),"")</f>
        <v>0</v>
      </c>
      <c r="L15" s="156">
        <f>IFERROR(VLOOKUP(L$3,Data_Entry!$C:$AB,Data_Entry!$A13,0),"")</f>
        <v>0</v>
      </c>
      <c r="M15" s="156">
        <f>IFERROR(VLOOKUP(M$3,Data_Entry!$C:$AB,Data_Entry!$A13,0),"")</f>
        <v>0</v>
      </c>
      <c r="N15" s="156">
        <f>IFERROR(VLOOKUP(N$3,Data_Entry!$C:$AB,Data_Entry!$A13,0),"")</f>
        <v>0</v>
      </c>
      <c r="O15" s="156">
        <f>IFERROR(VLOOKUP(O$3,Data_Entry!$C:$AB,Data_Entry!$A13,0),"")</f>
        <v>0</v>
      </c>
      <c r="P15" s="156">
        <f>IFERROR(VLOOKUP(P$3,Data_Entry!$C:$AB,Data_Entry!$A13,0),"")</f>
        <v>0</v>
      </c>
      <c r="Q15" s="156">
        <f>IFERROR(VLOOKUP(Q$3,Data_Entry!$C:$AB,Data_Entry!$A13,0),"")</f>
        <v>0</v>
      </c>
      <c r="R15" s="156">
        <f>IFERROR(VLOOKUP(R$3,Data_Entry!$C:$AB,Data_Entry!$A13,0),"")</f>
        <v>0</v>
      </c>
      <c r="S15" s="156">
        <f>IFERROR(VLOOKUP(S$3,Data_Entry!$C:$AB,Data_Entry!$A13,0),"")</f>
        <v>0</v>
      </c>
      <c r="T15" s="156">
        <f>IFERROR(VLOOKUP(T$3,Data_Entry!$C:$AB,Data_Entry!$A13,0),"")</f>
        <v>0</v>
      </c>
      <c r="U15" s="156">
        <f>IFERROR(VLOOKUP(U$3,Data_Entry!$C:$AB,Data_Entry!$A13,0),"")</f>
        <v>0</v>
      </c>
      <c r="V15" s="156">
        <f>IFERROR(VLOOKUP(V$3,Data_Entry!$C:$AB,Data_Entry!$A13,0),"")</f>
        <v>0</v>
      </c>
      <c r="W15" s="156">
        <f>IFERROR(VLOOKUP(W$3,Data_Entry!$C:$AB,Data_Entry!$A13,0),"")</f>
        <v>0</v>
      </c>
      <c r="X15" s="156">
        <f>IFERROR(VLOOKUP(X$3,Data_Entry!$C:$AB,Data_Entry!$A13,0),"")</f>
        <v>0</v>
      </c>
      <c r="Y15" s="156">
        <f>IFERROR(VLOOKUP(Y$3,Data_Entry!$C:$AB,Data_Entry!$A13,0),"")</f>
        <v>0</v>
      </c>
      <c r="Z15" s="156">
        <f>IFERROR(VLOOKUP(Z$3,Data_Entry!$C:$AB,Data_Entry!$A13,0),"")</f>
        <v>0</v>
      </c>
      <c r="AA15" s="156">
        <f>IFERROR(VLOOKUP(AA$3,Data_Entry!$C:$AB,Data_Entry!$A13,0),"")</f>
        <v>0</v>
      </c>
      <c r="AB15" s="156">
        <f>IFERROR(VLOOKUP(AB$3,Data_Entry!$C:$AB,Data_Entry!$A13,0),"")</f>
        <v>0</v>
      </c>
      <c r="AC15" s="156">
        <f>IFERROR(VLOOKUP(AC$3,Data_Entry!$C:$AB,Data_Entry!$A13,0),"")</f>
        <v>0</v>
      </c>
      <c r="AD15" s="156">
        <f>IFERROR(VLOOKUP(AD$3,Data_Entry!$C:$AB,Data_Entry!$A13,0),"")</f>
        <v>0</v>
      </c>
      <c r="AE15" s="156">
        <f>IFERROR(VLOOKUP(AE$3,Data_Entry!$C:$AB,Data_Entry!$A13,0),"")</f>
        <v>0</v>
      </c>
      <c r="AF15" s="156">
        <f>IFERROR(VLOOKUP(AF$3,Data_Entry!$C:$AB,Data_Entry!$A13,0),"")</f>
        <v>0</v>
      </c>
      <c r="AG15" s="156">
        <f t="shared" si="1"/>
        <v>9296.13</v>
      </c>
    </row>
    <row r="16" ht="14.25" customHeight="1" spans="1:33">
      <c r="A16" s="155" t="s">
        <v>47</v>
      </c>
      <c r="B16" s="156">
        <f>IFERROR(VLOOKUP(B$3,Data_Entry!$C:$AB,Data_Entry!$A14,0),"")</f>
        <v>1512.01</v>
      </c>
      <c r="C16" s="156">
        <f>IFERROR(VLOOKUP(C$3,Data_Entry!$C:$AB,Data_Entry!$A14,0),"")</f>
        <v>1563.4</v>
      </c>
      <c r="D16" s="156">
        <f>IFERROR(VLOOKUP(D$3,Data_Entry!$C:$AB,Data_Entry!$A14,0),"")</f>
        <v>1400.29</v>
      </c>
      <c r="E16" s="156">
        <f>IFERROR(VLOOKUP(E$3,Data_Entry!$C:$AB,Data_Entry!$A14,0),"")</f>
        <v>1651.8</v>
      </c>
      <c r="F16" s="156">
        <f>IFERROR(VLOOKUP(F$3,Data_Entry!$C:$AB,Data_Entry!$A14,0),"")</f>
        <v>1537.78</v>
      </c>
      <c r="G16" s="156">
        <f>IFERROR(VLOOKUP(G$3,Data_Entry!$C:$AB,Data_Entry!$A14,0),"")</f>
        <v>1574.2</v>
      </c>
      <c r="H16" s="156">
        <f>IFERROR(VLOOKUP(H$3,Data_Entry!$C:$AB,Data_Entry!$A14,0),"")</f>
        <v>0</v>
      </c>
      <c r="I16" s="156">
        <f>IFERROR(VLOOKUP(I$3,Data_Entry!$C:$AB,Data_Entry!$A14,0),"")</f>
        <v>0</v>
      </c>
      <c r="J16" s="156">
        <f>IFERROR(VLOOKUP(J$3,Data_Entry!$C:$AB,Data_Entry!$A14,0),"")</f>
        <v>0</v>
      </c>
      <c r="K16" s="156">
        <f>IFERROR(VLOOKUP(K$3,Data_Entry!$C:$AB,Data_Entry!$A14,0),"")</f>
        <v>0</v>
      </c>
      <c r="L16" s="156">
        <f>IFERROR(VLOOKUP(L$3,Data_Entry!$C:$AB,Data_Entry!$A14,0),"")</f>
        <v>0</v>
      </c>
      <c r="M16" s="156">
        <f>IFERROR(VLOOKUP(M$3,Data_Entry!$C:$AB,Data_Entry!$A14,0),"")</f>
        <v>0</v>
      </c>
      <c r="N16" s="156">
        <f>IFERROR(VLOOKUP(N$3,Data_Entry!$C:$AB,Data_Entry!$A14,0),"")</f>
        <v>0</v>
      </c>
      <c r="O16" s="156">
        <f>IFERROR(VLOOKUP(O$3,Data_Entry!$C:$AB,Data_Entry!$A14,0),"")</f>
        <v>0</v>
      </c>
      <c r="P16" s="156">
        <f>IFERROR(VLOOKUP(P$3,Data_Entry!$C:$AB,Data_Entry!$A14,0),"")</f>
        <v>0</v>
      </c>
      <c r="Q16" s="156">
        <f>IFERROR(VLOOKUP(Q$3,Data_Entry!$C:$AB,Data_Entry!$A14,0),"")</f>
        <v>0</v>
      </c>
      <c r="R16" s="156">
        <f>IFERROR(VLOOKUP(R$3,Data_Entry!$C:$AB,Data_Entry!$A14,0),"")</f>
        <v>0</v>
      </c>
      <c r="S16" s="156">
        <f>IFERROR(VLOOKUP(S$3,Data_Entry!$C:$AB,Data_Entry!$A14,0),"")</f>
        <v>0</v>
      </c>
      <c r="T16" s="156">
        <f>IFERROR(VLOOKUP(T$3,Data_Entry!$C:$AB,Data_Entry!$A14,0),"")</f>
        <v>0</v>
      </c>
      <c r="U16" s="156">
        <f>IFERROR(VLOOKUP(U$3,Data_Entry!$C:$AB,Data_Entry!$A14,0),"")</f>
        <v>0</v>
      </c>
      <c r="V16" s="156">
        <f>IFERROR(VLOOKUP(V$3,Data_Entry!$C:$AB,Data_Entry!$A14,0),"")</f>
        <v>0</v>
      </c>
      <c r="W16" s="156">
        <f>IFERROR(VLOOKUP(W$3,Data_Entry!$C:$AB,Data_Entry!$A14,0),"")</f>
        <v>0</v>
      </c>
      <c r="X16" s="156">
        <f>IFERROR(VLOOKUP(X$3,Data_Entry!$C:$AB,Data_Entry!$A14,0),"")</f>
        <v>0</v>
      </c>
      <c r="Y16" s="156">
        <f>IFERROR(VLOOKUP(Y$3,Data_Entry!$C:$AB,Data_Entry!$A14,0),"")</f>
        <v>0</v>
      </c>
      <c r="Z16" s="156">
        <f>IFERROR(VLOOKUP(Z$3,Data_Entry!$C:$AB,Data_Entry!$A14,0),"")</f>
        <v>0</v>
      </c>
      <c r="AA16" s="156">
        <f>IFERROR(VLOOKUP(AA$3,Data_Entry!$C:$AB,Data_Entry!$A14,0),"")</f>
        <v>0</v>
      </c>
      <c r="AB16" s="156">
        <f>IFERROR(VLOOKUP(AB$3,Data_Entry!$C:$AB,Data_Entry!$A14,0),"")</f>
        <v>0</v>
      </c>
      <c r="AC16" s="156">
        <f>IFERROR(VLOOKUP(AC$3,Data_Entry!$C:$AB,Data_Entry!$A14,0),"")</f>
        <v>0</v>
      </c>
      <c r="AD16" s="156">
        <f>IFERROR(VLOOKUP(AD$3,Data_Entry!$C:$AB,Data_Entry!$A14,0),"")</f>
        <v>0</v>
      </c>
      <c r="AE16" s="156">
        <f>IFERROR(VLOOKUP(AE$3,Data_Entry!$C:$AB,Data_Entry!$A14,0),"")</f>
        <v>0</v>
      </c>
      <c r="AF16" s="156">
        <f>IFERROR(VLOOKUP(AF$3,Data_Entry!$C:$AB,Data_Entry!$A14,0),"")</f>
        <v>0</v>
      </c>
      <c r="AG16" s="156">
        <f t="shared" si="1"/>
        <v>9239.48</v>
      </c>
    </row>
    <row r="17" ht="14.25" customHeight="1" spans="1:33">
      <c r="A17" s="155" t="s">
        <v>48</v>
      </c>
      <c r="B17" s="156">
        <f>IFERROR(VLOOKUP(B$3,Data_Entry!$C:$AB,Data_Entry!$A15,0),"")</f>
        <v>1506.31</v>
      </c>
      <c r="C17" s="156">
        <f>IFERROR(VLOOKUP(C$3,Data_Entry!$C:$AB,Data_Entry!$A15,0),"")</f>
        <v>1561.95</v>
      </c>
      <c r="D17" s="156">
        <f>IFERROR(VLOOKUP(D$3,Data_Entry!$C:$AB,Data_Entry!$A15,0),"")</f>
        <v>1388.32</v>
      </c>
      <c r="E17" s="156">
        <f>IFERROR(VLOOKUP(E$3,Data_Entry!$C:$AB,Data_Entry!$A15,0),"")</f>
        <v>1624.28</v>
      </c>
      <c r="F17" s="156">
        <f>IFERROR(VLOOKUP(F$3,Data_Entry!$C:$AB,Data_Entry!$A15,0),"")</f>
        <v>1513.6</v>
      </c>
      <c r="G17" s="156">
        <f>IFERROR(VLOOKUP(G$3,Data_Entry!$C:$AB,Data_Entry!$A15,0),"")</f>
        <v>1560.35</v>
      </c>
      <c r="H17" s="156">
        <f>IFERROR(VLOOKUP(H$3,Data_Entry!$C:$AB,Data_Entry!$A15,0),"")</f>
        <v>0</v>
      </c>
      <c r="I17" s="156">
        <f>IFERROR(VLOOKUP(I$3,Data_Entry!$C:$AB,Data_Entry!$A15,0),"")</f>
        <v>0</v>
      </c>
      <c r="J17" s="156">
        <f>IFERROR(VLOOKUP(J$3,Data_Entry!$C:$AB,Data_Entry!$A15,0),"")</f>
        <v>0</v>
      </c>
      <c r="K17" s="156">
        <f>IFERROR(VLOOKUP(K$3,Data_Entry!$C:$AB,Data_Entry!$A15,0),"")</f>
        <v>0</v>
      </c>
      <c r="L17" s="156">
        <f>IFERROR(VLOOKUP(L$3,Data_Entry!$C:$AB,Data_Entry!$A15,0),"")</f>
        <v>0</v>
      </c>
      <c r="M17" s="156">
        <f>IFERROR(VLOOKUP(M$3,Data_Entry!$C:$AB,Data_Entry!$A15,0),"")</f>
        <v>0</v>
      </c>
      <c r="N17" s="156">
        <f>IFERROR(VLOOKUP(N$3,Data_Entry!$C:$AB,Data_Entry!$A15,0),"")</f>
        <v>0</v>
      </c>
      <c r="O17" s="156">
        <f>IFERROR(VLOOKUP(O$3,Data_Entry!$C:$AB,Data_Entry!$A15,0),"")</f>
        <v>0</v>
      </c>
      <c r="P17" s="156">
        <f>IFERROR(VLOOKUP(P$3,Data_Entry!$C:$AB,Data_Entry!$A15,0),"")</f>
        <v>0</v>
      </c>
      <c r="Q17" s="156">
        <f>IFERROR(VLOOKUP(Q$3,Data_Entry!$C:$AB,Data_Entry!$A15,0),"")</f>
        <v>0</v>
      </c>
      <c r="R17" s="156">
        <f>IFERROR(VLOOKUP(R$3,Data_Entry!$C:$AB,Data_Entry!$A15,0),"")</f>
        <v>0</v>
      </c>
      <c r="S17" s="156">
        <f>IFERROR(VLOOKUP(S$3,Data_Entry!$C:$AB,Data_Entry!$A15,0),"")</f>
        <v>0</v>
      </c>
      <c r="T17" s="156">
        <f>IFERROR(VLOOKUP(T$3,Data_Entry!$C:$AB,Data_Entry!$A15,0),"")</f>
        <v>0</v>
      </c>
      <c r="U17" s="156">
        <f>IFERROR(VLOOKUP(U$3,Data_Entry!$C:$AB,Data_Entry!$A15,0),"")</f>
        <v>0</v>
      </c>
      <c r="V17" s="156">
        <f>IFERROR(VLOOKUP(V$3,Data_Entry!$C:$AB,Data_Entry!$A15,0),"")</f>
        <v>0</v>
      </c>
      <c r="W17" s="156">
        <f>IFERROR(VLOOKUP(W$3,Data_Entry!$C:$AB,Data_Entry!$A15,0),"")</f>
        <v>0</v>
      </c>
      <c r="X17" s="156">
        <f>IFERROR(VLOOKUP(X$3,Data_Entry!$C:$AB,Data_Entry!$A15,0),"")</f>
        <v>0</v>
      </c>
      <c r="Y17" s="156">
        <f>IFERROR(VLOOKUP(Y$3,Data_Entry!$C:$AB,Data_Entry!$A15,0),"")</f>
        <v>0</v>
      </c>
      <c r="Z17" s="156">
        <f>IFERROR(VLOOKUP(Z$3,Data_Entry!$C:$AB,Data_Entry!$A15,0),"")</f>
        <v>0</v>
      </c>
      <c r="AA17" s="156">
        <f>IFERROR(VLOOKUP(AA$3,Data_Entry!$C:$AB,Data_Entry!$A15,0),"")</f>
        <v>0</v>
      </c>
      <c r="AB17" s="156">
        <f>IFERROR(VLOOKUP(AB$3,Data_Entry!$C:$AB,Data_Entry!$A15,0),"")</f>
        <v>0</v>
      </c>
      <c r="AC17" s="156">
        <f>IFERROR(VLOOKUP(AC$3,Data_Entry!$C:$AB,Data_Entry!$A15,0),"")</f>
        <v>0</v>
      </c>
      <c r="AD17" s="156">
        <f>IFERROR(VLOOKUP(AD$3,Data_Entry!$C:$AB,Data_Entry!$A15,0),"")</f>
        <v>0</v>
      </c>
      <c r="AE17" s="156">
        <f>IFERROR(VLOOKUP(AE$3,Data_Entry!$C:$AB,Data_Entry!$A15,0),"")</f>
        <v>0</v>
      </c>
      <c r="AF17" s="156">
        <f>IFERROR(VLOOKUP(AF$3,Data_Entry!$C:$AB,Data_Entry!$A15,0),"")</f>
        <v>0</v>
      </c>
      <c r="AG17" s="156">
        <f t="shared" si="1"/>
        <v>9154.81</v>
      </c>
    </row>
    <row r="18" ht="14.25" customHeight="1" spans="1:33">
      <c r="A18" s="155" t="s">
        <v>49</v>
      </c>
      <c r="B18" s="156">
        <f>IFERROR(VLOOKUP(B$3,Data_Entry!$C:$AB,Data_Entry!$A16,0),"")</f>
        <v>1501.72</v>
      </c>
      <c r="C18" s="156">
        <f>IFERROR(VLOOKUP(C$3,Data_Entry!$C:$AB,Data_Entry!$A16,0),"")</f>
        <v>1563.67</v>
      </c>
      <c r="D18" s="156">
        <f>IFERROR(VLOOKUP(D$3,Data_Entry!$C:$AB,Data_Entry!$A16,0),"")</f>
        <v>1391.26</v>
      </c>
      <c r="E18" s="156">
        <f>IFERROR(VLOOKUP(E$3,Data_Entry!$C:$AB,Data_Entry!$A16,0),"")</f>
        <v>1651.57</v>
      </c>
      <c r="F18" s="156">
        <f>IFERROR(VLOOKUP(F$3,Data_Entry!$C:$AB,Data_Entry!$A16,0),"")</f>
        <v>1520.65</v>
      </c>
      <c r="G18" s="156">
        <f>IFERROR(VLOOKUP(G$3,Data_Entry!$C:$AB,Data_Entry!$A16,0),"")</f>
        <v>1557.74</v>
      </c>
      <c r="H18" s="156">
        <f>IFERROR(VLOOKUP(H$3,Data_Entry!$C:$AB,Data_Entry!$A16,0),"")</f>
        <v>0</v>
      </c>
      <c r="I18" s="156">
        <f>IFERROR(VLOOKUP(I$3,Data_Entry!$C:$AB,Data_Entry!$A16,0),"")</f>
        <v>0</v>
      </c>
      <c r="J18" s="156">
        <f>IFERROR(VLOOKUP(J$3,Data_Entry!$C:$AB,Data_Entry!$A16,0),"")</f>
        <v>0</v>
      </c>
      <c r="K18" s="156">
        <f>IFERROR(VLOOKUP(K$3,Data_Entry!$C:$AB,Data_Entry!$A16,0),"")</f>
        <v>0</v>
      </c>
      <c r="L18" s="156">
        <f>IFERROR(VLOOKUP(L$3,Data_Entry!$C:$AB,Data_Entry!$A16,0),"")</f>
        <v>0</v>
      </c>
      <c r="M18" s="156">
        <f>IFERROR(VLOOKUP(M$3,Data_Entry!$C:$AB,Data_Entry!$A16,0),"")</f>
        <v>0</v>
      </c>
      <c r="N18" s="156">
        <f>IFERROR(VLOOKUP(N$3,Data_Entry!$C:$AB,Data_Entry!$A16,0),"")</f>
        <v>0</v>
      </c>
      <c r="O18" s="156">
        <f>IFERROR(VLOOKUP(O$3,Data_Entry!$C:$AB,Data_Entry!$A16,0),"")</f>
        <v>0</v>
      </c>
      <c r="P18" s="156">
        <f>IFERROR(VLOOKUP(P$3,Data_Entry!$C:$AB,Data_Entry!$A16,0),"")</f>
        <v>0</v>
      </c>
      <c r="Q18" s="156">
        <f>IFERROR(VLOOKUP(Q$3,Data_Entry!$C:$AB,Data_Entry!$A16,0),"")</f>
        <v>0</v>
      </c>
      <c r="R18" s="156">
        <f>IFERROR(VLOOKUP(R$3,Data_Entry!$C:$AB,Data_Entry!$A16,0),"")</f>
        <v>0</v>
      </c>
      <c r="S18" s="156">
        <f>IFERROR(VLOOKUP(S$3,Data_Entry!$C:$AB,Data_Entry!$A16,0),"")</f>
        <v>0</v>
      </c>
      <c r="T18" s="156">
        <f>IFERROR(VLOOKUP(T$3,Data_Entry!$C:$AB,Data_Entry!$A16,0),"")</f>
        <v>0</v>
      </c>
      <c r="U18" s="156">
        <f>IFERROR(VLOOKUP(U$3,Data_Entry!$C:$AB,Data_Entry!$A16,0),"")</f>
        <v>0</v>
      </c>
      <c r="V18" s="156">
        <f>IFERROR(VLOOKUP(V$3,Data_Entry!$C:$AB,Data_Entry!$A16,0),"")</f>
        <v>0</v>
      </c>
      <c r="W18" s="156">
        <f>IFERROR(VLOOKUP(W$3,Data_Entry!$C:$AB,Data_Entry!$A16,0),"")</f>
        <v>0</v>
      </c>
      <c r="X18" s="156">
        <f>IFERROR(VLOOKUP(X$3,Data_Entry!$C:$AB,Data_Entry!$A16,0),"")</f>
        <v>0</v>
      </c>
      <c r="Y18" s="156">
        <f>IFERROR(VLOOKUP(Y$3,Data_Entry!$C:$AB,Data_Entry!$A16,0),"")</f>
        <v>0</v>
      </c>
      <c r="Z18" s="156">
        <f>IFERROR(VLOOKUP(Z$3,Data_Entry!$C:$AB,Data_Entry!$A16,0),"")</f>
        <v>0</v>
      </c>
      <c r="AA18" s="156">
        <f>IFERROR(VLOOKUP(AA$3,Data_Entry!$C:$AB,Data_Entry!$A16,0),"")</f>
        <v>0</v>
      </c>
      <c r="AB18" s="156">
        <f>IFERROR(VLOOKUP(AB$3,Data_Entry!$C:$AB,Data_Entry!$A16,0),"")</f>
        <v>0</v>
      </c>
      <c r="AC18" s="156">
        <f>IFERROR(VLOOKUP(AC$3,Data_Entry!$C:$AB,Data_Entry!$A16,0),"")</f>
        <v>0</v>
      </c>
      <c r="AD18" s="156">
        <f>IFERROR(VLOOKUP(AD$3,Data_Entry!$C:$AB,Data_Entry!$A16,0),"")</f>
        <v>0</v>
      </c>
      <c r="AE18" s="156">
        <f>IFERROR(VLOOKUP(AE$3,Data_Entry!$C:$AB,Data_Entry!$A16,0),"")</f>
        <v>0</v>
      </c>
      <c r="AF18" s="156">
        <f>IFERROR(VLOOKUP(AF$3,Data_Entry!$C:$AB,Data_Entry!$A16,0),"")</f>
        <v>0</v>
      </c>
      <c r="AG18" s="156">
        <f t="shared" si="1"/>
        <v>9186.61</v>
      </c>
    </row>
    <row r="19" ht="14.25" customHeight="1" spans="1:33">
      <c r="A19" s="157" t="s">
        <v>50</v>
      </c>
      <c r="B19" s="156">
        <f>SUM(B4:B18)</f>
        <v>23074.17</v>
      </c>
      <c r="C19" s="156">
        <f t="shared" ref="C19:AG19" si="2">SUM(C4:C18)</f>
        <v>24007.97</v>
      </c>
      <c r="D19" s="156">
        <f t="shared" si="2"/>
        <v>21449.81</v>
      </c>
      <c r="E19" s="156">
        <f t="shared" si="2"/>
        <v>24895.9</v>
      </c>
      <c r="F19" s="156">
        <f t="shared" si="2"/>
        <v>22732.48</v>
      </c>
      <c r="G19" s="156">
        <f t="shared" si="2"/>
        <v>23733.56</v>
      </c>
      <c r="H19" s="156">
        <f t="shared" si="2"/>
        <v>0</v>
      </c>
      <c r="I19" s="156">
        <f t="shared" si="2"/>
        <v>0</v>
      </c>
      <c r="J19" s="156">
        <f t="shared" si="2"/>
        <v>0</v>
      </c>
      <c r="K19" s="156">
        <f t="shared" si="2"/>
        <v>0</v>
      </c>
      <c r="L19" s="156">
        <f t="shared" si="2"/>
        <v>0</v>
      </c>
      <c r="M19" s="156">
        <f t="shared" si="2"/>
        <v>0</v>
      </c>
      <c r="N19" s="156">
        <f t="shared" si="2"/>
        <v>0</v>
      </c>
      <c r="O19" s="156">
        <f t="shared" si="2"/>
        <v>0</v>
      </c>
      <c r="P19" s="156">
        <f t="shared" si="2"/>
        <v>0</v>
      </c>
      <c r="Q19" s="156">
        <f t="shared" si="2"/>
        <v>0</v>
      </c>
      <c r="R19" s="156">
        <f t="shared" si="2"/>
        <v>0</v>
      </c>
      <c r="S19" s="156">
        <f t="shared" si="2"/>
        <v>0</v>
      </c>
      <c r="T19" s="156">
        <f t="shared" si="2"/>
        <v>0</v>
      </c>
      <c r="U19" s="156">
        <f t="shared" si="2"/>
        <v>0</v>
      </c>
      <c r="V19" s="156">
        <f t="shared" si="2"/>
        <v>0</v>
      </c>
      <c r="W19" s="156">
        <f t="shared" si="2"/>
        <v>0</v>
      </c>
      <c r="X19" s="156">
        <f t="shared" si="2"/>
        <v>0</v>
      </c>
      <c r="Y19" s="156">
        <f t="shared" si="2"/>
        <v>0</v>
      </c>
      <c r="Z19" s="156">
        <f t="shared" si="2"/>
        <v>0</v>
      </c>
      <c r="AA19" s="156">
        <f t="shared" si="2"/>
        <v>0</v>
      </c>
      <c r="AB19" s="156">
        <f t="shared" si="2"/>
        <v>0</v>
      </c>
      <c r="AC19" s="156">
        <f t="shared" si="2"/>
        <v>0</v>
      </c>
      <c r="AD19" s="156">
        <f t="shared" si="2"/>
        <v>0</v>
      </c>
      <c r="AE19" s="156">
        <f t="shared" si="2"/>
        <v>0</v>
      </c>
      <c r="AF19" s="156">
        <f t="shared" si="2"/>
        <v>0</v>
      </c>
      <c r="AG19" s="156">
        <f t="shared" si="2"/>
        <v>139893.89</v>
      </c>
    </row>
    <row r="20" ht="14.25" customHeight="1" spans="1:33">
      <c r="A20" s="157" t="s">
        <v>51</v>
      </c>
      <c r="B20" s="156">
        <f>IFERROR(VLOOKUP(B$3,Data_Entry!$C:$AB,22,0)," ")</f>
        <v>22799.9999999997</v>
      </c>
      <c r="C20" s="156">
        <f>IFERROR(VLOOKUP(C$3,Data_Entry!$C:$AB,22,0)," ")</f>
        <v>23750</v>
      </c>
      <c r="D20" s="156">
        <f>IFERROR(VLOOKUP(D$3,Data_Entry!$C:$AB,22,0)," ")</f>
        <v>21250</v>
      </c>
      <c r="E20" s="156">
        <f>IFERROR(VLOOKUP(E$3,Data_Entry!$C:$AB,22,0)," ")</f>
        <v>24600.0000000004</v>
      </c>
      <c r="F20" s="156">
        <f>IFERROR(VLOOKUP(F$3,Data_Entry!$C:$AB,22,0)," ")</f>
        <v>22500</v>
      </c>
      <c r="G20" s="156">
        <f>IFERROR(VLOOKUP(G$3,Data_Entry!$C:$AB,22,0)," ")</f>
        <v>23500.0000000002</v>
      </c>
      <c r="H20" s="156">
        <f>IFERROR(VLOOKUP(H$3,Data_Entry!$C:$AB,22,0)," ")</f>
        <v>0</v>
      </c>
      <c r="I20" s="156">
        <f>IFERROR(VLOOKUP(I$3,Data_Entry!$C:$AB,22,0)," ")</f>
        <v>0</v>
      </c>
      <c r="J20" s="156">
        <f>IFERROR(VLOOKUP(J$3,Data_Entry!$C:$AB,22,0)," ")</f>
        <v>0</v>
      </c>
      <c r="K20" s="156">
        <f>IFERROR(VLOOKUP(K$3,Data_Entry!$C:$AB,22,0)," ")</f>
        <v>0</v>
      </c>
      <c r="L20" s="156">
        <f>IFERROR(VLOOKUP(L$3,Data_Entry!$C:$AB,22,0)," ")</f>
        <v>0</v>
      </c>
      <c r="M20" s="156">
        <f>IFERROR(VLOOKUP(M$3,Data_Entry!$C:$AB,22,0)," ")</f>
        <v>0</v>
      </c>
      <c r="N20" s="156">
        <f>IFERROR(VLOOKUP(N$3,Data_Entry!$C:$AB,22,0)," ")</f>
        <v>0</v>
      </c>
      <c r="O20" s="156">
        <f>IFERROR(VLOOKUP(O$3,Data_Entry!$C:$AB,22,0)," ")</f>
        <v>0</v>
      </c>
      <c r="P20" s="156">
        <f>IFERROR(VLOOKUP(P$3,Data_Entry!$C:$AB,22,0)," ")</f>
        <v>0</v>
      </c>
      <c r="Q20" s="156">
        <f>IFERROR(VLOOKUP(Q$3,Data_Entry!$C:$AB,22,0)," ")</f>
        <v>0</v>
      </c>
      <c r="R20" s="156">
        <f>IFERROR(VLOOKUP(R$3,Data_Entry!$C:$AB,22,0)," ")</f>
        <v>0</v>
      </c>
      <c r="S20" s="156">
        <f>IFERROR(VLOOKUP(S$3,Data_Entry!$C:$AB,22,0)," ")</f>
        <v>0</v>
      </c>
      <c r="T20" s="156">
        <f>IFERROR(VLOOKUP(T$3,Data_Entry!$C:$AB,22,0)," ")</f>
        <v>0</v>
      </c>
      <c r="U20" s="156">
        <f>IFERROR(VLOOKUP(U$3,Data_Entry!$C:$AB,22,0)," ")</f>
        <v>0</v>
      </c>
      <c r="V20" s="156">
        <f>IFERROR(VLOOKUP(V$3,Data_Entry!$C:$AB,22,0)," ")</f>
        <v>0</v>
      </c>
      <c r="W20" s="156">
        <f>IFERROR(VLOOKUP(W$3,Data_Entry!$C:$AB,22,0)," ")</f>
        <v>0</v>
      </c>
      <c r="X20" s="156">
        <f>IFERROR(VLOOKUP(X$3,Data_Entry!$C:$AB,22,0)," ")</f>
        <v>0</v>
      </c>
      <c r="Y20" s="156">
        <f>IFERROR(VLOOKUP(Y$3,Data_Entry!$C:$AB,22,0)," ")</f>
        <v>0</v>
      </c>
      <c r="Z20" s="156">
        <f>IFERROR(VLOOKUP(Z$3,Data_Entry!$C:$AB,22,0)," ")</f>
        <v>0</v>
      </c>
      <c r="AA20" s="156">
        <f>IFERROR(VLOOKUP(AA$3,Data_Entry!$C:$AB,22,0)," ")</f>
        <v>0</v>
      </c>
      <c r="AB20" s="156">
        <f>IFERROR(VLOOKUP(AB$3,Data_Entry!$C:$AB,22,0)," ")</f>
        <v>0</v>
      </c>
      <c r="AC20" s="156">
        <f>IFERROR(VLOOKUP(AC$3,Data_Entry!$C:$AB,22,0)," ")</f>
        <v>0</v>
      </c>
      <c r="AD20" s="156">
        <f>IFERROR(VLOOKUP(AD$3,Data_Entry!$C:$AB,22,0)," ")</f>
        <v>0</v>
      </c>
      <c r="AE20" s="156">
        <f>IFERROR(VLOOKUP(AE$3,Data_Entry!$C:$AB,22,0)," ")</f>
        <v>0</v>
      </c>
      <c r="AF20" s="156">
        <f>IFERROR(VLOOKUP(AF$3,Data_Entry!$C:$AB,22,0)," ")</f>
        <v>0</v>
      </c>
      <c r="AG20" s="156" t="str">
        <f>IFERROR(VLOOKUP(AG$3,[1]Data_Entry!$C:$AB,14,0)," ")</f>
        <v> </v>
      </c>
    </row>
    <row r="21" ht="14.25" customHeight="1" spans="1:33">
      <c r="A21" s="157" t="s">
        <v>52</v>
      </c>
      <c r="B21" s="156">
        <f>IFERROR(VLOOKUP(B$3,Data_Entry!$C:$AB,25,0)," ")</f>
        <v>49.9999999999989</v>
      </c>
      <c r="C21" s="156">
        <f>IFERROR(VLOOKUP(C$3,Data_Entry!$C:$AB,25,0)," ")</f>
        <v>50</v>
      </c>
      <c r="D21" s="156">
        <f>IFERROR(VLOOKUP(D$3,Data_Entry!$C:$AB,25,0)," ")</f>
        <v>50</v>
      </c>
      <c r="E21" s="156">
        <f>IFERROR(VLOOKUP(E$3,Data_Entry!$C:$AB,25,0)," ")</f>
        <v>50</v>
      </c>
      <c r="F21" s="156">
        <f>IFERROR(VLOOKUP(F$3,Data_Entry!$C:$AB,25,0)," ")</f>
        <v>50</v>
      </c>
      <c r="G21" s="156">
        <f>IFERROR(VLOOKUP(G$3,Data_Entry!$C:$AB,25,0)," ")</f>
        <v>50</v>
      </c>
      <c r="H21" s="156">
        <f>IFERROR(VLOOKUP(H$3,Data_Entry!$C:$AB,25,0)," ")</f>
        <v>0</v>
      </c>
      <c r="I21" s="156">
        <f>IFERROR(VLOOKUP(I$3,Data_Entry!$C:$AB,25,0)," ")</f>
        <v>0</v>
      </c>
      <c r="J21" s="156">
        <f>IFERROR(VLOOKUP(J$3,Data_Entry!$C:$AB,25,0)," ")</f>
        <v>0</v>
      </c>
      <c r="K21" s="156">
        <f>IFERROR(VLOOKUP(K$3,Data_Entry!$C:$AB,25,0)," ")</f>
        <v>0</v>
      </c>
      <c r="L21" s="156">
        <f>IFERROR(VLOOKUP(L$3,Data_Entry!$C:$AB,25,0)," ")</f>
        <v>0</v>
      </c>
      <c r="M21" s="156">
        <f>IFERROR(VLOOKUP(M$3,Data_Entry!$C:$AB,25,0)," ")</f>
        <v>0</v>
      </c>
      <c r="N21" s="156">
        <f>IFERROR(VLOOKUP(N$3,Data_Entry!$C:$AB,25,0)," ")</f>
        <v>0</v>
      </c>
      <c r="O21" s="156">
        <f>IFERROR(VLOOKUP(O$3,Data_Entry!$C:$AB,25,0)," ")</f>
        <v>0</v>
      </c>
      <c r="P21" s="156">
        <f>IFERROR(VLOOKUP(P$3,Data_Entry!$C:$AB,25,0)," ")</f>
        <v>0</v>
      </c>
      <c r="Q21" s="156">
        <f>IFERROR(VLOOKUP(Q$3,Data_Entry!$C:$AB,25,0)," ")</f>
        <v>0</v>
      </c>
      <c r="R21" s="156">
        <f>IFERROR(VLOOKUP(R$3,Data_Entry!$C:$AB,25,0)," ")</f>
        <v>0</v>
      </c>
      <c r="S21" s="156">
        <f>IFERROR(VLOOKUP(S$3,Data_Entry!$C:$AB,25,0)," ")</f>
        <v>0</v>
      </c>
      <c r="T21" s="156">
        <f>IFERROR(VLOOKUP(T$3,Data_Entry!$C:$AB,25,0)," ")</f>
        <v>0</v>
      </c>
      <c r="U21" s="156">
        <f>IFERROR(VLOOKUP(U$3,Data_Entry!$C:$AB,25,0)," ")</f>
        <v>0</v>
      </c>
      <c r="V21" s="156">
        <f>IFERROR(VLOOKUP(V$3,Data_Entry!$C:$AB,25,0)," ")</f>
        <v>0</v>
      </c>
      <c r="W21" s="156">
        <f>IFERROR(VLOOKUP(W$3,Data_Entry!$C:$AB,25,0)," ")</f>
        <v>0</v>
      </c>
      <c r="X21" s="156">
        <f>IFERROR(VLOOKUP(X$3,Data_Entry!$C:$AB,25,0)," ")</f>
        <v>0</v>
      </c>
      <c r="Y21" s="156">
        <f>IFERROR(VLOOKUP(Y$3,Data_Entry!$C:$AB,25,0)," ")</f>
        <v>0</v>
      </c>
      <c r="Z21" s="156">
        <f>IFERROR(VLOOKUP(Z$3,Data_Entry!$C:$AB,25,0)," ")</f>
        <v>0</v>
      </c>
      <c r="AA21" s="156">
        <f>IFERROR(VLOOKUP(AA$3,Data_Entry!$C:$AB,25,0)," ")</f>
        <v>0</v>
      </c>
      <c r="AB21" s="156">
        <f>IFERROR(VLOOKUP(AB$3,Data_Entry!$C:$AB,25,0)," ")</f>
        <v>0</v>
      </c>
      <c r="AC21" s="156">
        <f>IFERROR(VLOOKUP(AC$3,Data_Entry!$C:$AB,25,0)," ")</f>
        <v>0</v>
      </c>
      <c r="AD21" s="156">
        <f>IFERROR(VLOOKUP(AD$3,Data_Entry!$C:$AB,25,0)," ")</f>
        <v>0</v>
      </c>
      <c r="AE21" s="156">
        <f>IFERROR(VLOOKUP(AE$3,Data_Entry!$C:$AB,25,0)," ")</f>
        <v>0</v>
      </c>
      <c r="AF21" s="156">
        <f>IFERROR(VLOOKUP(AF$3,Data_Entry!$C:$AB,25,0)," ")</f>
        <v>0</v>
      </c>
      <c r="AG21" s="156" t="str">
        <f>IFERROR(VLOOKUP(AG$3,[1]Data_Entry!$C:$AB,17,0)," ")</f>
        <v> </v>
      </c>
    </row>
    <row r="22" ht="14.25" customHeight="1" spans="1:33">
      <c r="A22" s="157" t="s">
        <v>53</v>
      </c>
      <c r="B22" s="156">
        <f>IFERROR(VLOOKUP(B$3,Data_Entry!$C:$AB,26,0)," ")</f>
        <v>22749.9999999997</v>
      </c>
      <c r="C22" s="156">
        <f>IFERROR(VLOOKUP(C$3,Data_Entry!$C:$AB,26,0)," ")</f>
        <v>23700</v>
      </c>
      <c r="D22" s="156">
        <f>IFERROR(VLOOKUP(D$3,Data_Entry!$C:$AB,26,0)," ")</f>
        <v>21200</v>
      </c>
      <c r="E22" s="156">
        <f>IFERROR(VLOOKUP(E$3,Data_Entry!$C:$AB,26,0)," ")</f>
        <v>24550.0000000004</v>
      </c>
      <c r="F22" s="156">
        <f>IFERROR(VLOOKUP(F$3,Data_Entry!$C:$AB,26,0)," ")</f>
        <v>22450</v>
      </c>
      <c r="G22" s="156">
        <f>IFERROR(VLOOKUP(G$3,Data_Entry!$C:$AB,26,0)," ")</f>
        <v>23450.0000000002</v>
      </c>
      <c r="H22" s="156">
        <f>IFERROR(VLOOKUP(H$3,Data_Entry!$C:$AB,26,0)," ")</f>
        <v>0</v>
      </c>
      <c r="I22" s="156">
        <f>IFERROR(VLOOKUP(I$3,Data_Entry!$C:$AB,26,0)," ")</f>
        <v>0</v>
      </c>
      <c r="J22" s="156">
        <f>IFERROR(VLOOKUP(J$3,Data_Entry!$C:$AB,26,0)," ")</f>
        <v>0</v>
      </c>
      <c r="K22" s="156">
        <f>IFERROR(VLOOKUP(K$3,Data_Entry!$C:$AB,26,0)," ")</f>
        <v>0</v>
      </c>
      <c r="L22" s="156">
        <f>IFERROR(VLOOKUP(L$3,Data_Entry!$C:$AB,26,0)," ")</f>
        <v>0</v>
      </c>
      <c r="M22" s="156">
        <f>IFERROR(VLOOKUP(M$3,Data_Entry!$C:$AB,26,0)," ")</f>
        <v>0</v>
      </c>
      <c r="N22" s="156">
        <f>IFERROR(VLOOKUP(N$3,Data_Entry!$C:$AB,26,0)," ")</f>
        <v>0</v>
      </c>
      <c r="O22" s="156">
        <f>IFERROR(VLOOKUP(O$3,Data_Entry!$C:$AB,26,0)," ")</f>
        <v>0</v>
      </c>
      <c r="P22" s="156">
        <f>IFERROR(VLOOKUP(P$3,Data_Entry!$C:$AB,26,0)," ")</f>
        <v>0</v>
      </c>
      <c r="Q22" s="156">
        <f>IFERROR(VLOOKUP(Q$3,Data_Entry!$C:$AB,26,0)," ")</f>
        <v>0</v>
      </c>
      <c r="R22" s="156">
        <f>IFERROR(VLOOKUP(R$3,Data_Entry!$C:$AB,26,0)," ")</f>
        <v>0</v>
      </c>
      <c r="S22" s="156">
        <f>IFERROR(VLOOKUP(S$3,Data_Entry!$C:$AB,26,0)," ")</f>
        <v>0</v>
      </c>
      <c r="T22" s="156">
        <f>IFERROR(VLOOKUP(T$3,Data_Entry!$C:$AB,26,0)," ")</f>
        <v>0</v>
      </c>
      <c r="U22" s="156">
        <f>IFERROR(VLOOKUP(U$3,Data_Entry!$C:$AB,26,0)," ")</f>
        <v>0</v>
      </c>
      <c r="V22" s="156">
        <f>IFERROR(VLOOKUP(V$3,Data_Entry!$C:$AB,26,0)," ")</f>
        <v>0</v>
      </c>
      <c r="W22" s="156">
        <f>IFERROR(VLOOKUP(W$3,Data_Entry!$C:$AB,26,0)," ")</f>
        <v>0</v>
      </c>
      <c r="X22" s="156">
        <f>IFERROR(VLOOKUP(X$3,Data_Entry!$C:$AB,26,0)," ")</f>
        <v>0</v>
      </c>
      <c r="Y22" s="156">
        <f>IFERROR(VLOOKUP(Y$3,Data_Entry!$C:$AB,26,0)," ")</f>
        <v>0</v>
      </c>
      <c r="Z22" s="156">
        <f>IFERROR(VLOOKUP(Z$3,Data_Entry!$C:$AB,26,0)," ")</f>
        <v>0</v>
      </c>
      <c r="AA22" s="156">
        <f>IFERROR(VLOOKUP(AA$3,Data_Entry!$C:$AB,26,0)," ")</f>
        <v>0</v>
      </c>
      <c r="AB22" s="156">
        <f>IFERROR(VLOOKUP(AB$3,Data_Entry!$C:$AB,26,0)," ")</f>
        <v>0</v>
      </c>
      <c r="AC22" s="156">
        <f>IFERROR(VLOOKUP(AC$3,Data_Entry!$C:$AB,26,0)," ")</f>
        <v>0</v>
      </c>
      <c r="AD22" s="156">
        <f>IFERROR(VLOOKUP(AD$3,Data_Entry!$C:$AB,26,0)," ")</f>
        <v>0</v>
      </c>
      <c r="AE22" s="156">
        <f>IFERROR(VLOOKUP(AE$3,Data_Entry!$C:$AB,26,0)," ")</f>
        <v>0</v>
      </c>
      <c r="AF22" s="156">
        <f>IFERROR(VLOOKUP(AF$3,Data_Entry!$C:$AB,26,0)," ")</f>
        <v>0</v>
      </c>
      <c r="AG22" s="156" t="str">
        <f>IFERROR(VLOOKUP(AG$3,[1]Data_Entry!$C:$AB,18,0)," ")</f>
        <v> </v>
      </c>
    </row>
    <row r="23" ht="14.25" customHeight="1" spans="1:33">
      <c r="A23" s="157" t="s">
        <v>54</v>
      </c>
      <c r="B23" s="158" t="str">
        <f>IFERROR(VLOOKUP(B$3,Data_Entry!$C:$AB,28,0)," ")</f>
        <v> </v>
      </c>
      <c r="C23" s="158" t="str">
        <f>IFERROR(VLOOKUP(C$3,Data_Entry!$C:$AB,28,0)," ")</f>
        <v> </v>
      </c>
      <c r="D23" s="158" t="str">
        <f>IFERROR(VLOOKUP(D$3,Data_Entry!$C:$AB,28,0)," ")</f>
        <v> </v>
      </c>
      <c r="E23" s="158" t="str">
        <f>IFERROR(VLOOKUP(E$3,Data_Entry!$C:$AB,28,0)," ")</f>
        <v> </v>
      </c>
      <c r="F23" s="158" t="str">
        <f>IFERROR(VLOOKUP(F$3,Data_Entry!$C:$AB,28,0)," ")</f>
        <v> </v>
      </c>
      <c r="G23" s="158" t="str">
        <f>IFERROR(VLOOKUP(G$3,Data_Entry!$C:$AB,28,0)," ")</f>
        <v> </v>
      </c>
      <c r="H23" s="158" t="str">
        <f>IFERROR(VLOOKUP(H$3,Data_Entry!$C:$AB,28,0)," ")</f>
        <v> </v>
      </c>
      <c r="I23" s="158" t="str">
        <f>IFERROR(VLOOKUP(I$3,Data_Entry!$C:$AB,28,0)," ")</f>
        <v> </v>
      </c>
      <c r="J23" s="158" t="str">
        <f>IFERROR(VLOOKUP(J$3,Data_Entry!$C:$AB,28,0)," ")</f>
        <v> </v>
      </c>
      <c r="K23" s="158" t="str">
        <f>IFERROR(VLOOKUP(K$3,Data_Entry!$C:$AB,28,0)," ")</f>
        <v> </v>
      </c>
      <c r="L23" s="158" t="str">
        <f>IFERROR(VLOOKUP(L$3,Data_Entry!$C:$AB,28,0)," ")</f>
        <v> </v>
      </c>
      <c r="M23" s="158" t="str">
        <f>IFERROR(VLOOKUP(M$3,Data_Entry!$C:$AB,28,0)," ")</f>
        <v> </v>
      </c>
      <c r="N23" s="158" t="str">
        <f>IFERROR(VLOOKUP(N$3,Data_Entry!$C:$AB,28,0)," ")</f>
        <v> </v>
      </c>
      <c r="O23" s="158" t="str">
        <f>IFERROR(VLOOKUP(O$3,Data_Entry!$C:$AB,28,0)," ")</f>
        <v> </v>
      </c>
      <c r="P23" s="158" t="str">
        <f>IFERROR(VLOOKUP(P$3,Data_Entry!$C:$AB,28,0)," ")</f>
        <v> </v>
      </c>
      <c r="Q23" s="158" t="str">
        <f>IFERROR(VLOOKUP(Q$3,Data_Entry!$C:$AB,28,0)," ")</f>
        <v> </v>
      </c>
      <c r="R23" s="158" t="str">
        <f>IFERROR(VLOOKUP(R$3,Data_Entry!$C:$AB,28,0)," ")</f>
        <v> </v>
      </c>
      <c r="S23" s="158" t="str">
        <f>IFERROR(VLOOKUP(S$3,Data_Entry!$C:$AB,28,0)," ")</f>
        <v> </v>
      </c>
      <c r="T23" s="158" t="str">
        <f>IFERROR(VLOOKUP(T$3,Data_Entry!$C:$AB,28,0)," ")</f>
        <v> </v>
      </c>
      <c r="U23" s="158" t="str">
        <f>IFERROR(VLOOKUP(U$3,Data_Entry!$C:$AB,28,0)," ")</f>
        <v> </v>
      </c>
      <c r="V23" s="158" t="str">
        <f>IFERROR(VLOOKUP(V$3,Data_Entry!$C:$AB,28,0)," ")</f>
        <v> </v>
      </c>
      <c r="W23" s="158" t="str">
        <f>IFERROR(VLOOKUP(W$3,Data_Entry!$C:$AB,28,0)," ")</f>
        <v> </v>
      </c>
      <c r="X23" s="158" t="str">
        <f>IFERROR(VLOOKUP(X$3,Data_Entry!$C:$AB,28,0)," ")</f>
        <v> </v>
      </c>
      <c r="Y23" s="158" t="str">
        <f>IFERROR(VLOOKUP(Y$3,Data_Entry!$C:$AB,28,0)," ")</f>
        <v> </v>
      </c>
      <c r="Z23" s="158" t="str">
        <f>IFERROR(VLOOKUP(Z$3,Data_Entry!$C:$AB,28,0)," ")</f>
        <v> </v>
      </c>
      <c r="AA23" s="158" t="str">
        <f>IFERROR(VLOOKUP(AA$3,Data_Entry!$C:$AB,28,0)," ")</f>
        <v> </v>
      </c>
      <c r="AB23" s="158" t="str">
        <f>IFERROR(VLOOKUP(AB$3,Data_Entry!$C:$AB,28,0)," ")</f>
        <v> </v>
      </c>
      <c r="AC23" s="158" t="str">
        <f>IFERROR(VLOOKUP(AC$3,Data_Entry!$C:$AB,28,0)," ")</f>
        <v> </v>
      </c>
      <c r="AD23" s="158" t="str">
        <f>IFERROR(VLOOKUP(AD$3,Data_Entry!$C:$AB,28,0)," ")</f>
        <v> </v>
      </c>
      <c r="AE23" s="158" t="str">
        <f>IFERROR(VLOOKUP(AE$3,Data_Entry!$C:$AB,28,0)," ")</f>
        <v> </v>
      </c>
      <c r="AF23" s="158" t="str">
        <f>IFERROR(VLOOKUP(AF$3,Data_Entry!$C:$AB,28,0)," ")</f>
        <v> </v>
      </c>
    </row>
    <row r="24" ht="14.25" customHeight="1" spans="1:33">
      <c r="A24" s="157" t="s">
        <v>55</v>
      </c>
      <c r="B24" s="158" t="str">
        <f>IFERROR(VLOOKUP(B$3,Data_Entry!$C:$AB,27,0)," ")</f>
        <v> </v>
      </c>
      <c r="C24" s="158" t="str">
        <f>IFERROR(VLOOKUP(C$3,Data_Entry!$C:$AB,27,0)," ")</f>
        <v> </v>
      </c>
      <c r="D24" s="158" t="str">
        <f>IFERROR(VLOOKUP(D$3,Data_Entry!$C:$AB,27,0)," ")</f>
        <v> </v>
      </c>
      <c r="E24" s="158" t="str">
        <f>IFERROR(VLOOKUP(E$3,Data_Entry!$C:$AB,27,0)," ")</f>
        <v> </v>
      </c>
      <c r="F24" s="158" t="str">
        <f>IFERROR(VLOOKUP(F$3,Data_Entry!$C:$AB,27,0)," ")</f>
        <v> </v>
      </c>
      <c r="G24" s="158" t="str">
        <f>IFERROR(VLOOKUP(G$3,Data_Entry!$C:$AB,27,0)," ")</f>
        <v> </v>
      </c>
      <c r="H24" s="158" t="str">
        <f>IFERROR(VLOOKUP(H$3,Data_Entry!$C:$AB,27,0)," ")</f>
        <v> </v>
      </c>
      <c r="I24" s="158" t="str">
        <f>IFERROR(VLOOKUP(I$3,Data_Entry!$C:$AB,27,0)," ")</f>
        <v> </v>
      </c>
      <c r="J24" s="158" t="str">
        <f>IFERROR(VLOOKUP(J$3,Data_Entry!$C:$AB,27,0)," ")</f>
        <v> </v>
      </c>
      <c r="K24" s="158" t="str">
        <f>IFERROR(VLOOKUP(K$3,Data_Entry!$C:$AB,27,0)," ")</f>
        <v> </v>
      </c>
      <c r="L24" s="158" t="str">
        <f>IFERROR(VLOOKUP(L$3,Data_Entry!$C:$AB,27,0)," ")</f>
        <v> </v>
      </c>
      <c r="M24" s="158" t="str">
        <f>IFERROR(VLOOKUP(M$3,Data_Entry!$C:$AB,27,0)," ")</f>
        <v> </v>
      </c>
      <c r="N24" s="158" t="str">
        <f>IFERROR(VLOOKUP(N$3,Data_Entry!$C:$AB,27,0)," ")</f>
        <v> </v>
      </c>
      <c r="O24" s="158" t="str">
        <f>IFERROR(VLOOKUP(O$3,Data_Entry!$C:$AB,27,0)," ")</f>
        <v> </v>
      </c>
      <c r="P24" s="158" t="str">
        <f>IFERROR(VLOOKUP(P$3,Data_Entry!$C:$AB,27,0)," ")</f>
        <v> </v>
      </c>
      <c r="Q24" s="158" t="str">
        <f>IFERROR(VLOOKUP(Q$3,Data_Entry!$C:$AB,27,0)," ")</f>
        <v> </v>
      </c>
      <c r="R24" s="158" t="str">
        <f>IFERROR(VLOOKUP(R$3,Data_Entry!$C:$AB,27,0)," ")</f>
        <v> </v>
      </c>
      <c r="S24" s="158" t="str">
        <f>IFERROR(VLOOKUP(S$3,Data_Entry!$C:$AB,27,0)," ")</f>
        <v> </v>
      </c>
      <c r="T24" s="158" t="str">
        <f>IFERROR(VLOOKUP(T$3,Data_Entry!$C:$AB,27,0)," ")</f>
        <v> </v>
      </c>
      <c r="U24" s="158" t="str">
        <f>IFERROR(VLOOKUP(U$3,Data_Entry!$C:$AB,27,0)," ")</f>
        <v> </v>
      </c>
      <c r="V24" s="158" t="str">
        <f>IFERROR(VLOOKUP(V$3,Data_Entry!$C:$AB,27,0)," ")</f>
        <v> </v>
      </c>
      <c r="W24" s="158" t="str">
        <f>IFERROR(VLOOKUP(W$3,Data_Entry!$C:$AB,27,0)," ")</f>
        <v> </v>
      </c>
      <c r="X24" s="158" t="str">
        <f>IFERROR(VLOOKUP(X$3,Data_Entry!$C:$AB,27,0)," ")</f>
        <v> </v>
      </c>
      <c r="Y24" s="158" t="str">
        <f>IFERROR(VLOOKUP(Y$3,Data_Entry!$C:$AB,27,0)," ")</f>
        <v> </v>
      </c>
      <c r="Z24" s="158" t="str">
        <f>IFERROR(VLOOKUP(Z$3,Data_Entry!$C:$AB,27,0)," ")</f>
        <v> </v>
      </c>
      <c r="AA24" s="158" t="str">
        <f>IFERROR(VLOOKUP(AA$3,Data_Entry!$C:$AB,27,0)," ")</f>
        <v> </v>
      </c>
      <c r="AB24" s="158" t="str">
        <f>IFERROR(VLOOKUP(AB$3,Data_Entry!$C:$AB,27,0)," ")</f>
        <v> </v>
      </c>
      <c r="AC24" s="158" t="str">
        <f>IFERROR(VLOOKUP(AC$3,Data_Entry!$C:$AB,27,0)," ")</f>
        <v> </v>
      </c>
      <c r="AD24" s="158" t="str">
        <f>IFERROR(VLOOKUP(AD$3,Data_Entry!$C:$AB,27,0)," ")</f>
        <v> </v>
      </c>
      <c r="AE24" s="158" t="str">
        <f>IFERROR(VLOOKUP(AE$3,Data_Entry!$C:$AB,27,0)," ")</f>
        <v> </v>
      </c>
      <c r="AF24" s="158" t="str">
        <f>IFERROR(VLOOKUP(AF$3,Data_Entry!$C:$AB,27,0)," ")</f>
        <v> </v>
      </c>
    </row>
    <row r="25" ht="14.25" customHeight="1" spans="1:33">
      <c r="A25" s="157" t="s">
        <v>56</v>
      </c>
      <c r="B25" s="158" t="str">
        <f>IFERROR(VLOOKUP(B$3,Data_Entry!$C:$AB,31,0)," ")</f>
        <v> </v>
      </c>
      <c r="C25" s="158" t="str">
        <f>IFERROR(VLOOKUP(C$3,Data_Entry!$C:$AB,31,0)," ")</f>
        <v> </v>
      </c>
      <c r="D25" s="158" t="str">
        <f>IFERROR(VLOOKUP(D$3,Data_Entry!$C:$AB,31,0)," ")</f>
        <v> </v>
      </c>
      <c r="E25" s="158" t="str">
        <f>IFERROR(VLOOKUP(E$3,Data_Entry!$C:$AB,31,0)," ")</f>
        <v> </v>
      </c>
      <c r="F25" s="158" t="str">
        <f>IFERROR(VLOOKUP(F$3,Data_Entry!$C:$AB,31,0)," ")</f>
        <v> </v>
      </c>
      <c r="G25" s="158" t="str">
        <f>IFERROR(VLOOKUP(G$3,Data_Entry!$C:$AB,31,0)," ")</f>
        <v> </v>
      </c>
      <c r="H25" s="158" t="str">
        <f>IFERROR(VLOOKUP(H$3,Data_Entry!$C:$AB,31,0)," ")</f>
        <v> </v>
      </c>
      <c r="I25" s="158" t="str">
        <f>IFERROR(VLOOKUP(I$3,Data_Entry!$C:$AB,31,0)," ")</f>
        <v> </v>
      </c>
      <c r="J25" s="158" t="str">
        <f>IFERROR(VLOOKUP(J$3,Data_Entry!$C:$AB,31,0)," ")</f>
        <v> </v>
      </c>
      <c r="K25" s="158" t="str">
        <f>IFERROR(VLOOKUP(K$3,Data_Entry!$C:$AB,31,0)," ")</f>
        <v> </v>
      </c>
      <c r="L25" s="158" t="str">
        <f>IFERROR(VLOOKUP(L$3,Data_Entry!$C:$AB,31,0)," ")</f>
        <v> </v>
      </c>
      <c r="M25" s="158" t="str">
        <f>IFERROR(VLOOKUP(M$3,Data_Entry!$C:$AB,31,0)," ")</f>
        <v> </v>
      </c>
      <c r="N25" s="158" t="str">
        <f>IFERROR(VLOOKUP(N$3,Data_Entry!$C:$AB,31,0)," ")</f>
        <v> </v>
      </c>
      <c r="O25" s="158" t="str">
        <f>IFERROR(VLOOKUP(O$3,Data_Entry!$C:$AB,31,0)," ")</f>
        <v> </v>
      </c>
      <c r="P25" s="158" t="str">
        <f>IFERROR(VLOOKUP(P$3,Data_Entry!$C:$AB,31,0)," ")</f>
        <v> </v>
      </c>
      <c r="Q25" s="158" t="str">
        <f>IFERROR(VLOOKUP(Q$3,Data_Entry!$C:$AB,31,0)," ")</f>
        <v> </v>
      </c>
      <c r="R25" s="158" t="str">
        <f>IFERROR(VLOOKUP(R$3,Data_Entry!$C:$AB,31,0)," ")</f>
        <v> </v>
      </c>
      <c r="S25" s="158" t="str">
        <f>IFERROR(VLOOKUP(S$3,Data_Entry!$C:$AB,31,0)," ")</f>
        <v> </v>
      </c>
      <c r="T25" s="158" t="str">
        <f>IFERROR(VLOOKUP(T$3,Data_Entry!$C:$AB,31,0)," ")</f>
        <v> </v>
      </c>
      <c r="U25" s="158" t="str">
        <f>IFERROR(VLOOKUP(U$3,Data_Entry!$C:$AB,31,0)," ")</f>
        <v> </v>
      </c>
      <c r="V25" s="158" t="str">
        <f>IFERROR(VLOOKUP(V$3,Data_Entry!$C:$AB,31,0)," ")</f>
        <v> </v>
      </c>
      <c r="W25" s="158" t="str">
        <f>IFERROR(VLOOKUP(W$3,Data_Entry!$C:$AB,31,0)," ")</f>
        <v> </v>
      </c>
      <c r="X25" s="158" t="str">
        <f>IFERROR(VLOOKUP(X$3,Data_Entry!$C:$AB,31,0)," ")</f>
        <v> </v>
      </c>
      <c r="Y25" s="158" t="str">
        <f>IFERROR(VLOOKUP(Y$3,Data_Entry!$C:$AB,31,0)," ")</f>
        <v> </v>
      </c>
      <c r="Z25" s="158" t="str">
        <f>IFERROR(VLOOKUP(Z$3,Data_Entry!$C:$AB,31,0)," ")</f>
        <v> </v>
      </c>
      <c r="AA25" s="158" t="str">
        <f>IFERROR(VLOOKUP(AA$3,Data_Entry!$C:$AB,31,0)," ")</f>
        <v> </v>
      </c>
      <c r="AB25" s="158" t="str">
        <f>IFERROR(VLOOKUP(AB$3,Data_Entry!$C:$AB,31,0)," ")</f>
        <v> </v>
      </c>
      <c r="AC25" s="158" t="str">
        <f>IFERROR(VLOOKUP(AC$3,Data_Entry!$C:$AB,31,0)," ")</f>
        <v> </v>
      </c>
      <c r="AD25" s="158" t="str">
        <f>IFERROR(VLOOKUP(AD$3,Data_Entry!$C:$AB,31,0)," ")</f>
        <v> </v>
      </c>
      <c r="AE25" s="158" t="str">
        <f>IFERROR(VLOOKUP(AE$3,Data_Entry!$C:$AB,31,0)," ")</f>
        <v> </v>
      </c>
      <c r="AF25" s="158" t="str">
        <f>IFERROR(VLOOKUP(AF$3,Data_Entry!$C:$AB,31,0)," ")</f>
        <v> </v>
      </c>
    </row>
    <row r="26" ht="14.25" customHeight="1" spans="1:33">
      <c r="A26" s="157" t="s">
        <v>57</v>
      </c>
      <c r="B26" s="158" t="str">
        <f>IFERROR(VLOOKUP(B$3,Data_Entry!$C:$AB,29,0)," ")</f>
        <v> </v>
      </c>
      <c r="C26" s="158" t="str">
        <f>IFERROR(VLOOKUP(C$3,Data_Entry!$C:$AB,29,0)," ")</f>
        <v> </v>
      </c>
      <c r="D26" s="158" t="str">
        <f>IFERROR(VLOOKUP(D$3,Data_Entry!$C:$AB,29,0)," ")</f>
        <v> </v>
      </c>
      <c r="E26" s="158" t="str">
        <f>IFERROR(VLOOKUP(E$3,Data_Entry!$C:$AB,29,0)," ")</f>
        <v> </v>
      </c>
      <c r="F26" s="158" t="str">
        <f>IFERROR(VLOOKUP(F$3,Data_Entry!$C:$AB,29,0)," ")</f>
        <v> </v>
      </c>
      <c r="G26" s="158" t="str">
        <f>IFERROR(VLOOKUP(G$3,Data_Entry!$C:$AB,29,0)," ")</f>
        <v> </v>
      </c>
      <c r="H26" s="158" t="str">
        <f>IFERROR(VLOOKUP(H$3,Data_Entry!$C:$AB,29,0)," ")</f>
        <v> </v>
      </c>
      <c r="I26" s="158" t="str">
        <f>IFERROR(VLOOKUP(I$3,Data_Entry!$C:$AB,29,0)," ")</f>
        <v> </v>
      </c>
      <c r="J26" s="158" t="str">
        <f>IFERROR(VLOOKUP(J$3,Data_Entry!$C:$AB,29,0)," ")</f>
        <v> </v>
      </c>
      <c r="K26" s="158" t="str">
        <f>IFERROR(VLOOKUP(K$3,Data_Entry!$C:$AB,29,0)," ")</f>
        <v> </v>
      </c>
      <c r="L26" s="158" t="str">
        <f>IFERROR(VLOOKUP(L$3,Data_Entry!$C:$AB,29,0)," ")</f>
        <v> </v>
      </c>
      <c r="M26" s="158" t="str">
        <f>IFERROR(VLOOKUP(M$3,Data_Entry!$C:$AB,29,0)," ")</f>
        <v> </v>
      </c>
      <c r="N26" s="158" t="str">
        <f>IFERROR(VLOOKUP(N$3,Data_Entry!$C:$AB,29,0)," ")</f>
        <v> </v>
      </c>
      <c r="O26" s="158" t="str">
        <f>IFERROR(VLOOKUP(O$3,Data_Entry!$C:$AB,29,0)," ")</f>
        <v> </v>
      </c>
      <c r="P26" s="158" t="str">
        <f>IFERROR(VLOOKUP(P$3,Data_Entry!$C:$AB,29,0)," ")</f>
        <v> </v>
      </c>
      <c r="Q26" s="158" t="str">
        <f>IFERROR(VLOOKUP(Q$3,Data_Entry!$C:$AB,29,0)," ")</f>
        <v> </v>
      </c>
      <c r="R26" s="158" t="str">
        <f>IFERROR(VLOOKUP(R$3,Data_Entry!$C:$AB,29,0)," ")</f>
        <v> </v>
      </c>
      <c r="S26" s="158" t="str">
        <f>IFERROR(VLOOKUP(S$3,Data_Entry!$C:$AB,29,0)," ")</f>
        <v> </v>
      </c>
      <c r="T26" s="158" t="str">
        <f>IFERROR(VLOOKUP(T$3,Data_Entry!$C:$AB,29,0)," ")</f>
        <v> </v>
      </c>
      <c r="U26" s="158" t="str">
        <f>IFERROR(VLOOKUP(U$3,Data_Entry!$C:$AB,29,0)," ")</f>
        <v> </v>
      </c>
      <c r="V26" s="158" t="str">
        <f>IFERROR(VLOOKUP(V$3,Data_Entry!$C:$AB,29,0)," ")</f>
        <v> </v>
      </c>
      <c r="W26" s="158" t="str">
        <f>IFERROR(VLOOKUP(W$3,Data_Entry!$C:$AB,29,0)," ")</f>
        <v> </v>
      </c>
      <c r="X26" s="158" t="str">
        <f>IFERROR(VLOOKUP(X$3,Data_Entry!$C:$AB,29,0)," ")</f>
        <v> </v>
      </c>
      <c r="Y26" s="158" t="str">
        <f>IFERROR(VLOOKUP(Y$3,Data_Entry!$C:$AB,29,0)," ")</f>
        <v> </v>
      </c>
      <c r="Z26" s="158" t="str">
        <f>IFERROR(VLOOKUP(Z$3,Data_Entry!$C:$AB,29,0)," ")</f>
        <v> </v>
      </c>
      <c r="AA26" s="158" t="str">
        <f>IFERROR(VLOOKUP(AA$3,Data_Entry!$C:$AB,29,0)," ")</f>
        <v> </v>
      </c>
      <c r="AB26" s="158" t="str">
        <f>IFERROR(VLOOKUP(AB$3,Data_Entry!$C:$AB,29,0)," ")</f>
        <v> </v>
      </c>
      <c r="AC26" s="158" t="str">
        <f>IFERROR(VLOOKUP(AC$3,Data_Entry!$C:$AB,29,0)," ")</f>
        <v> </v>
      </c>
      <c r="AD26" s="158" t="str">
        <f>IFERROR(VLOOKUP(AD$3,Data_Entry!$C:$AB,29,0)," ")</f>
        <v> </v>
      </c>
      <c r="AE26" s="158" t="str">
        <f>IFERROR(VLOOKUP(AE$3,Data_Entry!$C:$AB,29,0)," ")</f>
        <v> </v>
      </c>
      <c r="AF26" s="158" t="str">
        <f>IFERROR(VLOOKUP(AF$3,Data_Entry!$C:$AB,29,0)," ")</f>
        <v> </v>
      </c>
    </row>
    <row r="27" ht="14.25" customHeight="1" spans="1:33">
      <c r="A27" s="157" t="s">
        <v>58</v>
      </c>
      <c r="B27" s="159" t="str">
        <f>IFERROR(B20/B23/(Basic_Data!$H$18),"")</f>
        <v/>
      </c>
      <c r="C27" s="159" t="str">
        <f>IFERROR(C20/C23/(Basic_Data!$H$18),"")</f>
        <v/>
      </c>
      <c r="D27" s="159" t="str">
        <f>IFERROR(D20/D23/(Basic_Data!$H$18),"")</f>
        <v/>
      </c>
      <c r="E27" s="159" t="str">
        <f>IFERROR(E20/E23/(Basic_Data!$H$18),"")</f>
        <v/>
      </c>
      <c r="F27" s="159" t="str">
        <f>IFERROR(F20/F23/(Basic_Data!$H$18),"")</f>
        <v/>
      </c>
      <c r="G27" s="159" t="str">
        <f>IFERROR(G20/G23/(Basic_Data!$H$18),"")</f>
        <v/>
      </c>
      <c r="H27" s="159" t="str">
        <f>IFERROR(H20/H23/(Basic_Data!$H$18),"")</f>
        <v/>
      </c>
      <c r="I27" s="159" t="str">
        <f>IFERROR(I20/I23/(Basic_Data!$H$18),"")</f>
        <v/>
      </c>
      <c r="J27" s="159" t="str">
        <f>IFERROR(J20/J23/(Basic_Data!$H$18),"")</f>
        <v/>
      </c>
      <c r="K27" s="159" t="str">
        <f>IFERROR(K20/K23/(Basic_Data!$H$18),"")</f>
        <v/>
      </c>
      <c r="L27" s="159" t="str">
        <f>IFERROR(L20/L23/(Basic_Data!$H$18),"")</f>
        <v/>
      </c>
      <c r="M27" s="159" t="str">
        <f>IFERROR(M20/M23/(Basic_Data!$H$18),"")</f>
        <v/>
      </c>
      <c r="N27" s="159" t="str">
        <f>IFERROR(N20/N23/(Basic_Data!$H$18),"")</f>
        <v/>
      </c>
      <c r="O27" s="159" t="str">
        <f>IFERROR(O20/O23/(Basic_Data!$H$18),"")</f>
        <v/>
      </c>
      <c r="P27" s="159" t="str">
        <f>IFERROR(P20/P23/(Basic_Data!$H$18),"")</f>
        <v/>
      </c>
      <c r="Q27" s="159" t="str">
        <f>IFERROR(Q20/Q23/(Basic_Data!$H$18),"")</f>
        <v/>
      </c>
      <c r="R27" s="159" t="str">
        <f>IFERROR(R20/R23/(Basic_Data!$H$18),"")</f>
        <v/>
      </c>
      <c r="S27" s="159" t="str">
        <f>IFERROR(S20/S23/(Basic_Data!$H$18),"")</f>
        <v/>
      </c>
      <c r="T27" s="159" t="str">
        <f>IFERROR(T20/T23/(Basic_Data!$H$18),"")</f>
        <v/>
      </c>
      <c r="U27" s="159" t="str">
        <f>IFERROR(U20/U23/(Basic_Data!$H$18),"")</f>
        <v/>
      </c>
      <c r="V27" s="159" t="str">
        <f>IFERROR(V20/V23/(Basic_Data!$H$18),"")</f>
        <v/>
      </c>
      <c r="W27" s="159" t="str">
        <f>IFERROR(W20/W23/(Basic_Data!$H$18),"")</f>
        <v/>
      </c>
      <c r="X27" s="159" t="str">
        <f>IFERROR(X20/X23/(Basic_Data!$H$18),"")</f>
        <v/>
      </c>
      <c r="Y27" s="159" t="str">
        <f>IFERROR(Y20/Y23/(Basic_Data!$H$18),"")</f>
        <v/>
      </c>
      <c r="Z27" s="159" t="str">
        <f>IFERROR(Z20/Z23/(Basic_Data!$H$18),"")</f>
        <v/>
      </c>
      <c r="AA27" s="159" t="str">
        <f>IFERROR(AA20/AA23/(Basic_Data!$H$18),"")</f>
        <v/>
      </c>
      <c r="AB27" s="159" t="str">
        <f>IFERROR(AB20/AB23/(Basic_Data!$H$18),"")</f>
        <v/>
      </c>
      <c r="AC27" s="159" t="str">
        <f>IFERROR(AC20/AC23/(Basic_Data!$H$18),"")</f>
        <v/>
      </c>
      <c r="AD27" s="159" t="str">
        <f>IFERROR(AD20/AD23/(Basic_Data!$H$18),"")</f>
        <v/>
      </c>
      <c r="AE27" s="159" t="str">
        <f>IFERROR(AE20/AE23/(Basic_Data!$H$18),"")</f>
        <v/>
      </c>
      <c r="AF27" s="159" t="str">
        <f>IFERROR(AF20/AF23/(Basic_Data!$H$18),"")</f>
        <v/>
      </c>
      <c r="AG27" s="159" t="str">
        <f>IFERROR(AG20/AG23/([1]Basic_Data!$G$10),"")</f>
        <v/>
      </c>
    </row>
    <row r="28" ht="14.25" customHeight="1" spans="1:33">
      <c r="A28" s="157" t="s">
        <v>59</v>
      </c>
      <c r="B28" s="159">
        <f>IFERROR(B20/(Basic_Data!$G$18*24),"")</f>
        <v>0.230303030303027</v>
      </c>
      <c r="C28" s="159">
        <f>IFERROR(C20/(Basic_Data!$G$18*24),"")</f>
        <v>0.23989898989899</v>
      </c>
      <c r="D28" s="159">
        <f>IFERROR(D20/(Basic_Data!$G$18*24),"")</f>
        <v>0.214646464646465</v>
      </c>
      <c r="E28" s="159">
        <f>IFERROR(E20/(Basic_Data!$G$18*24),"")</f>
        <v>0.248484848484853</v>
      </c>
      <c r="F28" s="159">
        <f>IFERROR(F20/(Basic_Data!$G$18*24),"")</f>
        <v>0.227272727272727</v>
      </c>
      <c r="G28" s="159">
        <f>IFERROR(G20/(Basic_Data!$G$18*24),"")</f>
        <v>0.237373737373739</v>
      </c>
      <c r="H28" s="159">
        <f>IFERROR(H20/(Basic_Data!$G$18*24),"")</f>
        <v>0</v>
      </c>
      <c r="I28" s="159">
        <f>IFERROR(I20/(Basic_Data!$G$18*24),"")</f>
        <v>0</v>
      </c>
      <c r="J28" s="159">
        <f>IFERROR(J20/(Basic_Data!$G$18*24),"")</f>
        <v>0</v>
      </c>
      <c r="K28" s="159">
        <f>IFERROR(K20/(Basic_Data!$G$18*24),"")</f>
        <v>0</v>
      </c>
      <c r="L28" s="159">
        <f>IFERROR(L20/(Basic_Data!$G$18*24),"")</f>
        <v>0</v>
      </c>
      <c r="M28" s="159">
        <f>IFERROR(M20/(Basic_Data!$G$18*24),"")</f>
        <v>0</v>
      </c>
      <c r="N28" s="159">
        <f>IFERROR(N20/(Basic_Data!$G$18*24),"")</f>
        <v>0</v>
      </c>
      <c r="O28" s="159">
        <f>IFERROR(O20/(Basic_Data!$G$18*24),"")</f>
        <v>0</v>
      </c>
      <c r="P28" s="159">
        <f>IFERROR(P20/(Basic_Data!$G$18*24),"")</f>
        <v>0</v>
      </c>
      <c r="Q28" s="159">
        <f>IFERROR(Q20/(Basic_Data!$G$18*24),"")</f>
        <v>0</v>
      </c>
      <c r="R28" s="159">
        <f>IFERROR(R20/(Basic_Data!$G$18*24),"")</f>
        <v>0</v>
      </c>
      <c r="S28" s="159">
        <f>IFERROR(S20/(Basic_Data!$G$18*24),"")</f>
        <v>0</v>
      </c>
      <c r="T28" s="159">
        <f>IFERROR(T20/(Basic_Data!$G$18*24),"")</f>
        <v>0</v>
      </c>
      <c r="U28" s="159">
        <f>IFERROR(U20/(Basic_Data!$G$18*24),"")</f>
        <v>0</v>
      </c>
      <c r="V28" s="159">
        <f>IFERROR(V20/(Basic_Data!$G$18*24),"")</f>
        <v>0</v>
      </c>
      <c r="W28" s="159">
        <f>IFERROR(W20/(Basic_Data!$G$18*24),"")</f>
        <v>0</v>
      </c>
      <c r="X28" s="159">
        <f>IFERROR(X20/(Basic_Data!$G$18*24),"")</f>
        <v>0</v>
      </c>
      <c r="Y28" s="159">
        <f>IFERROR(Y20/(Basic_Data!$G$18*24),"")</f>
        <v>0</v>
      </c>
      <c r="Z28" s="159">
        <f>IFERROR(Z20/(Basic_Data!$G$18*24),"")</f>
        <v>0</v>
      </c>
      <c r="AA28" s="159">
        <f>IFERROR(AA20/(Basic_Data!$G$18*24),"")</f>
        <v>0</v>
      </c>
      <c r="AB28" s="159">
        <f>IFERROR(AB20/(Basic_Data!$G$18*24),"")</f>
        <v>0</v>
      </c>
      <c r="AC28" s="159">
        <f>IFERROR(AC20/(Basic_Data!$G$18*24),"")</f>
        <v>0</v>
      </c>
      <c r="AD28" s="159">
        <f>IFERROR(AD20/(Basic_Data!$G$18*24),"")</f>
        <v>0</v>
      </c>
      <c r="AE28" s="159">
        <f>IFERROR(AE20/(Basic_Data!$G$18*24),"")</f>
        <v>0</v>
      </c>
      <c r="AF28" s="159">
        <f>IFERROR(AF20/(Basic_Data!$G$18*24),"")</f>
        <v>0</v>
      </c>
      <c r="AG28" s="159" t="str">
        <f>IFERROR(AG20/([1]Basic_Data!$F$10*24),"")</f>
        <v/>
      </c>
    </row>
    <row r="29" ht="14.25" customHeight="1" spans="1:33">
      <c r="A29" s="157" t="s">
        <v>60</v>
      </c>
      <c r="B29" s="159">
        <f>IFERROR((B19-B20)/B19,"")</f>
        <v>0.011882117536635</v>
      </c>
      <c r="C29" s="159">
        <f t="shared" ref="C29:AF29" si="3">IFERROR((C19-C20)/C19,"")</f>
        <v>0.0107451817042424</v>
      </c>
      <c r="D29" s="159">
        <f t="shared" si="3"/>
        <v>0.00931523402771372</v>
      </c>
      <c r="E29" s="159">
        <f t="shared" si="3"/>
        <v>0.0118854911852794</v>
      </c>
      <c r="F29" s="159">
        <f t="shared" si="3"/>
        <v>0.0102267768408902</v>
      </c>
      <c r="G29" s="159">
        <f t="shared" si="3"/>
        <v>0.00984091724965834</v>
      </c>
      <c r="H29" s="159" t="str">
        <f t="shared" si="3"/>
        <v/>
      </c>
      <c r="I29" s="159" t="str">
        <f t="shared" si="3"/>
        <v/>
      </c>
      <c r="J29" s="159" t="str">
        <f t="shared" si="3"/>
        <v/>
      </c>
      <c r="K29" s="159" t="str">
        <f t="shared" si="3"/>
        <v/>
      </c>
      <c r="L29" s="159" t="str">
        <f t="shared" si="3"/>
        <v/>
      </c>
      <c r="M29" s="159" t="str">
        <f t="shared" si="3"/>
        <v/>
      </c>
      <c r="N29" s="159" t="str">
        <f t="shared" si="3"/>
        <v/>
      </c>
      <c r="O29" s="159" t="str">
        <f t="shared" si="3"/>
        <v/>
      </c>
      <c r="P29" s="159" t="str">
        <f t="shared" si="3"/>
        <v/>
      </c>
      <c r="Q29" s="159" t="str">
        <f t="shared" si="3"/>
        <v/>
      </c>
      <c r="R29" s="159" t="str">
        <f t="shared" si="3"/>
        <v/>
      </c>
      <c r="S29" s="159" t="str">
        <f t="shared" si="3"/>
        <v/>
      </c>
      <c r="T29" s="159" t="str">
        <f t="shared" si="3"/>
        <v/>
      </c>
      <c r="U29" s="159" t="str">
        <f t="shared" si="3"/>
        <v/>
      </c>
      <c r="V29" s="159" t="str">
        <f t="shared" si="3"/>
        <v/>
      </c>
      <c r="W29" s="159" t="str">
        <f t="shared" si="3"/>
        <v/>
      </c>
      <c r="X29" s="159" t="str">
        <f t="shared" si="3"/>
        <v/>
      </c>
      <c r="Y29" s="159" t="str">
        <f t="shared" si="3"/>
        <v/>
      </c>
      <c r="Z29" s="159" t="str">
        <f t="shared" si="3"/>
        <v/>
      </c>
      <c r="AA29" s="159" t="str">
        <f t="shared" si="3"/>
        <v/>
      </c>
      <c r="AB29" s="159" t="str">
        <f t="shared" si="3"/>
        <v/>
      </c>
      <c r="AC29" s="159" t="str">
        <f t="shared" si="3"/>
        <v/>
      </c>
      <c r="AD29" s="159" t="str">
        <f t="shared" si="3"/>
        <v/>
      </c>
      <c r="AE29" s="159" t="str">
        <f t="shared" si="3"/>
        <v/>
      </c>
      <c r="AF29" s="159" t="str">
        <f t="shared" si="3"/>
        <v/>
      </c>
      <c r="AG29" s="159" t="str">
        <f t="shared" ref="AG29" si="4">IFERROR((AG19-AG20)/AG19,"")</f>
        <v/>
      </c>
    </row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sheetProtection algorithmName="SHA-512" hashValue="xEIOGv8QRP+KM1H7oRo8D4P6Zf1r0JKwPNAsr4vuz0CVpEaIAJ1Yd2sl6t8FTd/8m1c+qJ+rNGeXIUTl3iBG+Q==" saltValue="kKX15LRgyq7jLIUTl5EcUA==" spinCount="100000" sheet="1" objects="1" scenarios="1"/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462"/>
  <sheetViews>
    <sheetView zoomScale="190" zoomScaleNormal="190" workbookViewId="0">
      <pane xSplit="5" ySplit="1" topLeftCell="AC422" activePane="bottomRight" state="frozen"/>
      <selection/>
      <selection pane="topRight"/>
      <selection pane="bottomLeft"/>
      <selection pane="bottomRight" activeCell="AG433" sqref="AG433"/>
    </sheetView>
  </sheetViews>
  <sheetFormatPr defaultColWidth="8.75" defaultRowHeight="15" customHeight="1"/>
  <cols>
    <col min="1" max="1" width="4" style="84" customWidth="1"/>
    <col min="2" max="2" width="6.5" style="84" customWidth="1"/>
    <col min="3" max="3" width="9.25" style="84" customWidth="1"/>
    <col min="4" max="4" width="12.5" style="84" customWidth="1"/>
    <col min="5" max="5" width="16.125" style="84" customWidth="1"/>
    <col min="6" max="9" width="7.875" style="84" customWidth="1"/>
    <col min="10" max="10" width="7.625" style="84" customWidth="1"/>
    <col min="11" max="13" width="7.875" style="84" customWidth="1"/>
    <col min="14" max="14" width="8.375" style="84" customWidth="1"/>
    <col min="15" max="15" width="10" style="84" customWidth="1"/>
    <col min="16" max="20" width="7.875" style="84" customWidth="1"/>
    <col min="21" max="21" width="15.25" style="84" customWidth="1"/>
    <col min="22" max="22" width="14.875" style="85" customWidth="1"/>
    <col min="23" max="23" width="14.25" style="84" customWidth="1"/>
    <col min="24" max="24" width="10.5" style="84" customWidth="1"/>
    <col min="25" max="25" width="15.25" style="84" customWidth="1"/>
    <col min="26" max="26" width="14.5" style="84" customWidth="1"/>
    <col min="27" max="27" width="10.75" style="84" customWidth="1"/>
    <col min="28" max="28" width="11.875" style="86" customWidth="1"/>
    <col min="29" max="29" width="11.375" style="84" customWidth="1"/>
    <col min="30" max="30" width="11" style="84" customWidth="1"/>
    <col min="31" max="31" width="14.25" style="84" customWidth="1"/>
    <col min="32" max="32" width="15.875" style="84" customWidth="1"/>
    <col min="33" max="33" width="16.25" style="84" customWidth="1"/>
    <col min="34" max="34" width="10" style="84" customWidth="1"/>
    <col min="35" max="35" width="13.25" style="84" customWidth="1"/>
    <col min="36" max="36" width="15.75" style="84" customWidth="1"/>
    <col min="37" max="16384" width="8.75" style="84"/>
  </cols>
  <sheetData>
    <row r="1" ht="14.45" customHeight="1" spans="1:36">
      <c r="B1" s="87" t="s">
        <v>2</v>
      </c>
      <c r="C1" s="87" t="s">
        <v>1</v>
      </c>
      <c r="D1" s="87" t="s">
        <v>61</v>
      </c>
      <c r="E1" s="88" t="s">
        <v>62</v>
      </c>
      <c r="F1" s="89" t="s">
        <v>35</v>
      </c>
      <c r="G1" s="87" t="s">
        <v>36</v>
      </c>
      <c r="H1" s="87" t="s">
        <v>37</v>
      </c>
      <c r="I1" s="87" t="s">
        <v>38</v>
      </c>
      <c r="J1" s="87" t="s">
        <v>39</v>
      </c>
      <c r="K1" s="87" t="s">
        <v>40</v>
      </c>
      <c r="L1" s="87" t="s">
        <v>41</v>
      </c>
      <c r="M1" s="87" t="s">
        <v>42</v>
      </c>
      <c r="N1" s="87" t="s">
        <v>43</v>
      </c>
      <c r="O1" s="87" t="s">
        <v>44</v>
      </c>
      <c r="P1" s="87" t="s">
        <v>45</v>
      </c>
      <c r="Q1" s="87" t="s">
        <v>46</v>
      </c>
      <c r="R1" s="87" t="s">
        <v>47</v>
      </c>
      <c r="S1" s="87" t="s">
        <v>48</v>
      </c>
      <c r="T1" s="87" t="s">
        <v>49</v>
      </c>
      <c r="U1" s="90" t="s">
        <v>63</v>
      </c>
      <c r="V1" s="87" t="s">
        <v>64</v>
      </c>
      <c r="W1" s="87" t="s">
        <v>65</v>
      </c>
      <c r="X1" s="87" t="s">
        <v>66</v>
      </c>
      <c r="Y1" s="87" t="s">
        <v>67</v>
      </c>
      <c r="Z1" s="87" t="s">
        <v>68</v>
      </c>
      <c r="AA1" s="87" t="s">
        <v>69</v>
      </c>
      <c r="AB1" s="88" t="s">
        <v>70</v>
      </c>
      <c r="AC1" s="89" t="s">
        <v>71</v>
      </c>
      <c r="AD1" s="87" t="s">
        <v>72</v>
      </c>
      <c r="AE1" s="87" t="s">
        <v>73</v>
      </c>
      <c r="AF1" s="87" t="s">
        <v>74</v>
      </c>
      <c r="AG1" s="87" t="s">
        <v>29</v>
      </c>
      <c r="AH1" s="87" t="s">
        <v>75</v>
      </c>
      <c r="AI1" s="87" t="s">
        <v>76</v>
      </c>
      <c r="AJ1" s="88" t="s">
        <v>77</v>
      </c>
    </row>
    <row r="2" spans="1:36">
      <c r="A2" s="84">
        <v>4</v>
      </c>
      <c r="B2" s="91">
        <v>45747</v>
      </c>
      <c r="C2" s="48">
        <v>45747</v>
      </c>
      <c r="D2" s="92"/>
      <c r="E2" s="93"/>
      <c r="F2" s="94"/>
      <c r="G2" s="94"/>
      <c r="H2" s="94"/>
      <c r="I2" s="94"/>
      <c r="J2" s="94"/>
      <c r="K2" s="94"/>
      <c r="L2" s="95"/>
      <c r="M2" s="94"/>
      <c r="N2" s="94"/>
      <c r="O2" s="94"/>
      <c r="P2" s="94"/>
      <c r="Q2" s="94"/>
      <c r="R2" s="94"/>
      <c r="S2" s="94"/>
      <c r="T2" s="94"/>
      <c r="U2" s="94">
        <f>SUM(F2:T2)</f>
        <v>0</v>
      </c>
      <c r="V2" s="96"/>
      <c r="W2" s="92"/>
      <c r="X2" s="92">
        <f>MAX((W2-V2)*5000,0)</f>
        <v>0</v>
      </c>
      <c r="Y2" s="92"/>
      <c r="Z2" s="92"/>
      <c r="AA2" s="92">
        <f>MAX((Z2-Y2)*3000,0)</f>
        <v>0</v>
      </c>
      <c r="AB2" s="97">
        <f>X2-AA2</f>
        <v>0</v>
      </c>
      <c r="AC2" s="96"/>
      <c r="AD2" s="92"/>
      <c r="AE2" s="98"/>
      <c r="AF2" s="98"/>
      <c r="AG2" s="98"/>
      <c r="AH2" s="92"/>
      <c r="AI2" s="92"/>
      <c r="AJ2" s="97"/>
    </row>
    <row r="3" spans="1:36">
      <c r="A3" s="84">
        <f t="shared" ref="A3:A66" si="0">A2+1</f>
        <v>5</v>
      </c>
      <c r="B3" s="91">
        <v>45748</v>
      </c>
      <c r="C3" s="48">
        <v>45748</v>
      </c>
      <c r="D3" s="92"/>
      <c r="E3" s="93"/>
      <c r="F3" s="99"/>
      <c r="G3" s="99"/>
      <c r="H3" s="99"/>
      <c r="I3" s="99"/>
      <c r="J3" s="99"/>
      <c r="K3" s="99"/>
      <c r="L3" s="99"/>
      <c r="M3" s="99"/>
      <c r="N3" s="99"/>
      <c r="O3" s="99"/>
      <c r="P3" s="99"/>
      <c r="Q3" s="99"/>
      <c r="R3" s="99"/>
      <c r="S3" s="99"/>
      <c r="T3" s="99"/>
      <c r="U3" s="94">
        <f t="shared" ref="U3:U66" si="1">SUM(F3:T3)</f>
        <v>0</v>
      </c>
      <c r="V3" s="96"/>
      <c r="W3" s="92"/>
      <c r="X3" s="92">
        <f t="shared" ref="X3:X66" si="2">MAX((W3-V3)*5000,0)</f>
        <v>0</v>
      </c>
      <c r="Y3" s="92"/>
      <c r="Z3" s="92"/>
      <c r="AA3" s="92">
        <f>MAX((Z3-Y3)*5000,0)</f>
        <v>0</v>
      </c>
      <c r="AB3" s="97">
        <f t="shared" ref="AB3:AB66" si="3">X3-AA3</f>
        <v>0</v>
      </c>
      <c r="AC3" s="96"/>
      <c r="AD3" s="94"/>
      <c r="AE3" s="98"/>
      <c r="AF3" s="98"/>
      <c r="AG3" s="98"/>
      <c r="AH3" s="92"/>
      <c r="AI3" s="92"/>
      <c r="AJ3" s="97"/>
    </row>
    <row r="4" spans="1:36">
      <c r="A4" s="84">
        <f t="shared" si="0"/>
        <v>6</v>
      </c>
      <c r="B4" s="91">
        <v>45749</v>
      </c>
      <c r="C4" s="48">
        <v>45749</v>
      </c>
      <c r="D4" s="92"/>
      <c r="E4" s="93"/>
      <c r="F4" s="94"/>
      <c r="G4" s="94"/>
      <c r="H4" s="94"/>
      <c r="I4" s="94"/>
      <c r="J4" s="94"/>
      <c r="K4" s="94"/>
      <c r="L4" s="95"/>
      <c r="M4" s="94"/>
      <c r="N4" s="94"/>
      <c r="O4" s="94"/>
      <c r="P4" s="94"/>
      <c r="Q4" s="94"/>
      <c r="R4" s="94"/>
      <c r="S4" s="94"/>
      <c r="T4" s="94"/>
      <c r="U4" s="94">
        <f t="shared" si="1"/>
        <v>0</v>
      </c>
      <c r="V4" s="96"/>
      <c r="W4" s="92"/>
      <c r="X4" s="92">
        <f t="shared" si="2"/>
        <v>0</v>
      </c>
      <c r="Y4" s="92"/>
      <c r="Z4" s="92"/>
      <c r="AA4" s="92">
        <f t="shared" ref="AA4:AA67" si="4">MAX((Z4-Y4)*5000,0)</f>
        <v>0</v>
      </c>
      <c r="AB4" s="97">
        <f t="shared" si="3"/>
        <v>0</v>
      </c>
      <c r="AC4" s="96"/>
      <c r="AD4" s="94"/>
      <c r="AE4" s="98"/>
      <c r="AF4" s="98"/>
      <c r="AG4" s="98"/>
      <c r="AH4" s="92"/>
      <c r="AI4" s="92"/>
      <c r="AJ4" s="97"/>
    </row>
    <row r="5" spans="1:36">
      <c r="A5" s="84">
        <f t="shared" si="0"/>
        <v>7</v>
      </c>
      <c r="B5" s="91">
        <v>45750</v>
      </c>
      <c r="C5" s="48">
        <v>45750</v>
      </c>
      <c r="D5" s="92"/>
      <c r="E5" s="93"/>
      <c r="F5" s="94"/>
      <c r="G5" s="94"/>
      <c r="H5" s="94"/>
      <c r="I5" s="94"/>
      <c r="J5" s="94"/>
      <c r="K5" s="94"/>
      <c r="L5" s="95"/>
      <c r="M5" s="94"/>
      <c r="N5" s="94"/>
      <c r="O5" s="94"/>
      <c r="P5" s="94"/>
      <c r="Q5" s="94"/>
      <c r="R5" s="94"/>
      <c r="S5" s="94"/>
      <c r="T5" s="94"/>
      <c r="U5" s="94">
        <f t="shared" si="1"/>
        <v>0</v>
      </c>
      <c r="V5" s="96"/>
      <c r="W5" s="92"/>
      <c r="X5" s="92">
        <f t="shared" si="2"/>
        <v>0</v>
      </c>
      <c r="Y5" s="92"/>
      <c r="Z5" s="92"/>
      <c r="AA5" s="92">
        <f t="shared" si="4"/>
        <v>0</v>
      </c>
      <c r="AB5" s="97">
        <f t="shared" si="3"/>
        <v>0</v>
      </c>
      <c r="AC5" s="96"/>
      <c r="AD5" s="94"/>
      <c r="AE5" s="98"/>
      <c r="AF5" s="98"/>
      <c r="AG5" s="98"/>
      <c r="AH5" s="92"/>
      <c r="AI5" s="92"/>
      <c r="AJ5" s="97"/>
    </row>
    <row r="6" spans="1:36">
      <c r="A6" s="84">
        <f t="shared" si="0"/>
        <v>8</v>
      </c>
      <c r="B6" s="91">
        <v>45751</v>
      </c>
      <c r="C6" s="48">
        <v>45751</v>
      </c>
      <c r="D6" s="92"/>
      <c r="E6" s="93"/>
      <c r="F6" s="94"/>
      <c r="G6" s="94"/>
      <c r="H6" s="94"/>
      <c r="I6" s="94"/>
      <c r="J6" s="94"/>
      <c r="K6" s="94"/>
      <c r="L6" s="95"/>
      <c r="M6" s="94"/>
      <c r="N6" s="94"/>
      <c r="O6" s="94"/>
      <c r="P6" s="94"/>
      <c r="Q6" s="94"/>
      <c r="R6" s="94"/>
      <c r="S6" s="94"/>
      <c r="T6" s="94"/>
      <c r="U6" s="94">
        <f t="shared" si="1"/>
        <v>0</v>
      </c>
      <c r="V6" s="96"/>
      <c r="W6" s="92"/>
      <c r="X6" s="92">
        <f t="shared" si="2"/>
        <v>0</v>
      </c>
      <c r="Y6" s="92"/>
      <c r="Z6" s="92"/>
      <c r="AA6" s="92">
        <f t="shared" si="4"/>
        <v>0</v>
      </c>
      <c r="AB6" s="97">
        <f t="shared" si="3"/>
        <v>0</v>
      </c>
      <c r="AC6" s="96"/>
      <c r="AD6" s="94"/>
      <c r="AE6" s="98"/>
      <c r="AF6" s="98"/>
      <c r="AG6" s="98"/>
      <c r="AH6" s="92"/>
      <c r="AI6" s="92"/>
      <c r="AJ6" s="97"/>
    </row>
    <row r="7" spans="1:36">
      <c r="A7" s="84">
        <f t="shared" si="0"/>
        <v>9</v>
      </c>
      <c r="B7" s="91">
        <v>45752</v>
      </c>
      <c r="C7" s="48">
        <v>45752</v>
      </c>
      <c r="D7" s="92"/>
      <c r="E7" s="93"/>
      <c r="F7" s="94"/>
      <c r="G7" s="94"/>
      <c r="H7" s="94"/>
      <c r="I7" s="94"/>
      <c r="J7" s="94"/>
      <c r="K7" s="94"/>
      <c r="L7" s="95"/>
      <c r="M7" s="94"/>
      <c r="N7" s="94"/>
      <c r="O7" s="94"/>
      <c r="P7" s="94"/>
      <c r="Q7" s="94"/>
      <c r="R7" s="94"/>
      <c r="S7" s="94"/>
      <c r="T7" s="94"/>
      <c r="U7" s="94">
        <f t="shared" si="1"/>
        <v>0</v>
      </c>
      <c r="V7" s="96"/>
      <c r="W7" s="92"/>
      <c r="X7" s="92">
        <f t="shared" si="2"/>
        <v>0</v>
      </c>
      <c r="Y7" s="92"/>
      <c r="Z7" s="92"/>
      <c r="AA7" s="92">
        <f t="shared" si="4"/>
        <v>0</v>
      </c>
      <c r="AB7" s="97">
        <f t="shared" si="3"/>
        <v>0</v>
      </c>
      <c r="AC7" s="96"/>
      <c r="AD7" s="94"/>
      <c r="AE7" s="98"/>
      <c r="AF7" s="98"/>
      <c r="AG7" s="98"/>
      <c r="AH7" s="92"/>
      <c r="AI7" s="92"/>
      <c r="AJ7" s="97"/>
    </row>
    <row r="8" spans="1:36">
      <c r="A8" s="84">
        <f t="shared" si="0"/>
        <v>10</v>
      </c>
      <c r="B8" s="91">
        <v>45753</v>
      </c>
      <c r="C8" s="48">
        <v>45753</v>
      </c>
      <c r="D8" s="92"/>
      <c r="E8" s="93"/>
      <c r="F8" s="94"/>
      <c r="G8" s="94"/>
      <c r="H8" s="94"/>
      <c r="I8" s="94"/>
      <c r="J8" s="94"/>
      <c r="K8" s="94"/>
      <c r="L8" s="95"/>
      <c r="M8" s="94"/>
      <c r="N8" s="94"/>
      <c r="O8" s="94"/>
      <c r="P8" s="94"/>
      <c r="Q8" s="94"/>
      <c r="R8" s="94"/>
      <c r="S8" s="94"/>
      <c r="T8" s="94"/>
      <c r="U8" s="94">
        <f t="shared" si="1"/>
        <v>0</v>
      </c>
      <c r="V8" s="96"/>
      <c r="W8" s="92"/>
      <c r="X8" s="92">
        <f t="shared" si="2"/>
        <v>0</v>
      </c>
      <c r="Y8" s="92"/>
      <c r="Z8" s="92"/>
      <c r="AA8" s="92">
        <f t="shared" si="4"/>
        <v>0</v>
      </c>
      <c r="AB8" s="97">
        <f t="shared" si="3"/>
        <v>0</v>
      </c>
      <c r="AC8" s="96"/>
      <c r="AD8" s="94"/>
      <c r="AE8" s="98"/>
      <c r="AF8" s="98"/>
      <c r="AG8" s="98"/>
      <c r="AH8" s="92"/>
      <c r="AI8" s="92"/>
      <c r="AJ8" s="97"/>
    </row>
    <row r="9" spans="1:36">
      <c r="A9" s="84">
        <f t="shared" si="0"/>
        <v>11</v>
      </c>
      <c r="B9" s="91">
        <v>45754</v>
      </c>
      <c r="C9" s="48">
        <v>45754</v>
      </c>
      <c r="D9" s="92"/>
      <c r="E9" s="93"/>
      <c r="F9" s="94"/>
      <c r="G9" s="94"/>
      <c r="H9" s="94"/>
      <c r="I9" s="94"/>
      <c r="J9" s="94"/>
      <c r="K9" s="94"/>
      <c r="L9" s="95"/>
      <c r="M9" s="94"/>
      <c r="N9" s="94"/>
      <c r="O9" s="94"/>
      <c r="P9" s="94"/>
      <c r="Q9" s="94"/>
      <c r="R9" s="94"/>
      <c r="S9" s="94"/>
      <c r="T9" s="94"/>
      <c r="U9" s="94">
        <f t="shared" si="1"/>
        <v>0</v>
      </c>
      <c r="V9" s="96"/>
      <c r="W9" s="92"/>
      <c r="X9" s="92">
        <f t="shared" si="2"/>
        <v>0</v>
      </c>
      <c r="Y9" s="92"/>
      <c r="Z9" s="92"/>
      <c r="AA9" s="92">
        <f t="shared" si="4"/>
        <v>0</v>
      </c>
      <c r="AB9" s="97">
        <f t="shared" si="3"/>
        <v>0</v>
      </c>
      <c r="AC9" s="96"/>
      <c r="AD9" s="94"/>
      <c r="AE9" s="98"/>
      <c r="AF9" s="98"/>
      <c r="AG9" s="98"/>
      <c r="AH9" s="92"/>
      <c r="AI9" s="92"/>
      <c r="AJ9" s="97"/>
    </row>
    <row r="10" spans="1:36">
      <c r="A10" s="84">
        <f t="shared" si="0"/>
        <v>12</v>
      </c>
      <c r="B10" s="91">
        <v>45755</v>
      </c>
      <c r="C10" s="48">
        <v>45755</v>
      </c>
      <c r="D10" s="92"/>
      <c r="E10" s="93"/>
      <c r="F10" s="94"/>
      <c r="G10" s="94"/>
      <c r="H10" s="94"/>
      <c r="I10" s="94"/>
      <c r="J10" s="94"/>
      <c r="K10" s="94"/>
      <c r="L10" s="95"/>
      <c r="M10" s="94"/>
      <c r="N10" s="94"/>
      <c r="O10" s="94"/>
      <c r="P10" s="94"/>
      <c r="Q10" s="94"/>
      <c r="R10" s="94"/>
      <c r="S10" s="94"/>
      <c r="T10" s="94"/>
      <c r="U10" s="94">
        <f t="shared" si="1"/>
        <v>0</v>
      </c>
      <c r="V10" s="96"/>
      <c r="W10" s="92"/>
      <c r="X10" s="92">
        <f t="shared" si="2"/>
        <v>0</v>
      </c>
      <c r="Y10" s="92"/>
      <c r="Z10" s="92"/>
      <c r="AA10" s="92">
        <f t="shared" si="4"/>
        <v>0</v>
      </c>
      <c r="AB10" s="97">
        <f t="shared" si="3"/>
        <v>0</v>
      </c>
      <c r="AC10" s="96"/>
      <c r="AD10" s="94"/>
      <c r="AE10" s="98"/>
      <c r="AF10" s="98"/>
      <c r="AG10" s="98"/>
      <c r="AH10" s="92"/>
      <c r="AI10" s="92"/>
      <c r="AJ10" s="97"/>
    </row>
    <row r="11" spans="1:36">
      <c r="A11" s="84">
        <f t="shared" si="0"/>
        <v>13</v>
      </c>
      <c r="B11" s="91">
        <v>45756</v>
      </c>
      <c r="C11" s="48">
        <v>45756</v>
      </c>
      <c r="D11" s="92"/>
      <c r="E11" s="93"/>
      <c r="F11" s="94"/>
      <c r="G11" s="92"/>
      <c r="H11" s="92"/>
      <c r="I11" s="92"/>
      <c r="J11" s="92"/>
      <c r="K11" s="92"/>
      <c r="L11" s="93"/>
      <c r="M11" s="92"/>
      <c r="N11" s="92"/>
      <c r="O11" s="92"/>
      <c r="P11" s="92"/>
      <c r="Q11" s="92"/>
      <c r="R11" s="92"/>
      <c r="S11" s="92"/>
      <c r="T11" s="92"/>
      <c r="U11" s="94">
        <f t="shared" si="1"/>
        <v>0</v>
      </c>
      <c r="V11" s="96"/>
      <c r="W11" s="92"/>
      <c r="X11" s="92">
        <f t="shared" si="2"/>
        <v>0</v>
      </c>
      <c r="Y11" s="92"/>
      <c r="Z11" s="92"/>
      <c r="AA11" s="92">
        <f t="shared" si="4"/>
        <v>0</v>
      </c>
      <c r="AB11" s="97">
        <f t="shared" si="3"/>
        <v>0</v>
      </c>
      <c r="AC11" s="96"/>
      <c r="AD11" s="94"/>
      <c r="AE11" s="98"/>
      <c r="AF11" s="98"/>
      <c r="AG11" s="98"/>
      <c r="AH11" s="92"/>
      <c r="AI11" s="92"/>
      <c r="AJ11" s="97"/>
    </row>
    <row r="12" spans="1:36">
      <c r="A12" s="84">
        <f t="shared" si="0"/>
        <v>14</v>
      </c>
      <c r="B12" s="91">
        <v>45757</v>
      </c>
      <c r="C12" s="48">
        <v>45757</v>
      </c>
      <c r="D12" s="92"/>
      <c r="E12" s="93"/>
      <c r="F12" s="92"/>
      <c r="G12" s="92"/>
      <c r="H12" s="92"/>
      <c r="I12" s="92"/>
      <c r="J12" s="92"/>
      <c r="K12" s="92"/>
      <c r="L12" s="93"/>
      <c r="M12" s="92"/>
      <c r="N12" s="92"/>
      <c r="O12" s="92"/>
      <c r="P12" s="92"/>
      <c r="Q12" s="92"/>
      <c r="R12" s="92"/>
      <c r="S12" s="92"/>
      <c r="T12" s="92"/>
      <c r="U12" s="94">
        <f t="shared" si="1"/>
        <v>0</v>
      </c>
      <c r="V12" s="96"/>
      <c r="W12" s="92"/>
      <c r="X12" s="92">
        <f t="shared" si="2"/>
        <v>0</v>
      </c>
      <c r="Y12" s="92"/>
      <c r="Z12" s="92"/>
      <c r="AA12" s="92">
        <f t="shared" si="4"/>
        <v>0</v>
      </c>
      <c r="AB12" s="97">
        <f t="shared" si="3"/>
        <v>0</v>
      </c>
      <c r="AC12" s="96"/>
      <c r="AD12" s="92"/>
      <c r="AE12" s="98"/>
      <c r="AF12" s="98"/>
      <c r="AG12" s="98"/>
      <c r="AH12" s="92"/>
      <c r="AI12" s="92"/>
      <c r="AJ12" s="97"/>
    </row>
    <row r="13" spans="1:36">
      <c r="A13" s="84">
        <f t="shared" si="0"/>
        <v>15</v>
      </c>
      <c r="B13" s="91">
        <v>45758</v>
      </c>
      <c r="C13" s="48">
        <v>45758</v>
      </c>
      <c r="D13" s="92"/>
      <c r="E13" s="97"/>
      <c r="F13" s="100"/>
      <c r="G13" s="92"/>
      <c r="H13" s="92"/>
      <c r="I13" s="92"/>
      <c r="J13" s="92"/>
      <c r="K13" s="92"/>
      <c r="L13" s="93"/>
      <c r="M13" s="92"/>
      <c r="N13" s="92"/>
      <c r="O13" s="92"/>
      <c r="P13" s="92"/>
      <c r="Q13" s="92"/>
      <c r="R13" s="92"/>
      <c r="S13" s="92"/>
      <c r="T13" s="92"/>
      <c r="U13" s="94">
        <f t="shared" si="1"/>
        <v>0</v>
      </c>
      <c r="V13" s="96"/>
      <c r="W13" s="92"/>
      <c r="X13" s="92">
        <f t="shared" si="2"/>
        <v>0</v>
      </c>
      <c r="Y13" s="92"/>
      <c r="Z13" s="92"/>
      <c r="AA13" s="92">
        <f t="shared" si="4"/>
        <v>0</v>
      </c>
      <c r="AB13" s="97">
        <f t="shared" si="3"/>
        <v>0</v>
      </c>
      <c r="AC13" s="96"/>
      <c r="AD13" s="92"/>
      <c r="AE13" s="92"/>
      <c r="AF13" s="92"/>
      <c r="AG13" s="92"/>
      <c r="AH13" s="92"/>
      <c r="AI13" s="92"/>
      <c r="AJ13" s="97"/>
    </row>
    <row r="14" spans="1:36">
      <c r="A14" s="84">
        <f t="shared" si="0"/>
        <v>16</v>
      </c>
      <c r="B14" s="91">
        <v>45759</v>
      </c>
      <c r="C14" s="48">
        <v>45759</v>
      </c>
      <c r="D14" s="92"/>
      <c r="E14" s="97"/>
      <c r="F14" s="100"/>
      <c r="G14" s="92"/>
      <c r="H14" s="92"/>
      <c r="I14" s="92"/>
      <c r="J14" s="92"/>
      <c r="K14" s="92"/>
      <c r="L14" s="93"/>
      <c r="M14" s="92"/>
      <c r="N14" s="92"/>
      <c r="O14" s="92"/>
      <c r="P14" s="92"/>
      <c r="Q14" s="92"/>
      <c r="R14" s="92"/>
      <c r="S14" s="92"/>
      <c r="T14" s="92"/>
      <c r="U14" s="94">
        <f t="shared" si="1"/>
        <v>0</v>
      </c>
      <c r="V14" s="96"/>
      <c r="W14" s="92"/>
      <c r="X14" s="92">
        <f t="shared" si="2"/>
        <v>0</v>
      </c>
      <c r="Y14" s="92"/>
      <c r="Z14" s="92"/>
      <c r="AA14" s="92">
        <f t="shared" si="4"/>
        <v>0</v>
      </c>
      <c r="AB14" s="97">
        <f t="shared" si="3"/>
        <v>0</v>
      </c>
      <c r="AC14" s="96"/>
      <c r="AD14" s="92"/>
      <c r="AE14" s="92"/>
      <c r="AF14" s="92"/>
      <c r="AG14" s="92"/>
      <c r="AH14" s="92"/>
      <c r="AI14" s="92"/>
      <c r="AJ14" s="97"/>
    </row>
    <row r="15" spans="1:36">
      <c r="A15" s="84">
        <f t="shared" si="0"/>
        <v>17</v>
      </c>
      <c r="B15" s="91">
        <v>45760</v>
      </c>
      <c r="C15" s="48">
        <v>45760</v>
      </c>
      <c r="D15" s="92"/>
      <c r="E15" s="97"/>
      <c r="F15" s="100"/>
      <c r="G15" s="92"/>
      <c r="H15" s="92"/>
      <c r="I15" s="92"/>
      <c r="J15" s="92"/>
      <c r="K15" s="92"/>
      <c r="L15" s="93"/>
      <c r="M15" s="92"/>
      <c r="N15" s="92"/>
      <c r="O15" s="92"/>
      <c r="P15" s="92"/>
      <c r="Q15" s="92"/>
      <c r="R15" s="92"/>
      <c r="S15" s="92"/>
      <c r="T15" s="92"/>
      <c r="U15" s="94">
        <f t="shared" si="1"/>
        <v>0</v>
      </c>
      <c r="V15" s="96"/>
      <c r="W15" s="92"/>
      <c r="X15" s="92">
        <f t="shared" si="2"/>
        <v>0</v>
      </c>
      <c r="Y15" s="92"/>
      <c r="Z15" s="92"/>
      <c r="AA15" s="92">
        <f t="shared" si="4"/>
        <v>0</v>
      </c>
      <c r="AB15" s="97">
        <f t="shared" si="3"/>
        <v>0</v>
      </c>
      <c r="AC15" s="96"/>
      <c r="AD15" s="92"/>
      <c r="AE15" s="92"/>
      <c r="AF15" s="92"/>
      <c r="AG15" s="92"/>
      <c r="AH15" s="92"/>
      <c r="AI15" s="92"/>
      <c r="AJ15" s="97"/>
    </row>
    <row r="16" spans="1:36">
      <c r="A16" s="84">
        <f t="shared" si="0"/>
        <v>18</v>
      </c>
      <c r="B16" s="91">
        <v>45761</v>
      </c>
      <c r="C16" s="48">
        <v>45761</v>
      </c>
      <c r="D16" s="92"/>
      <c r="E16" s="97"/>
      <c r="F16" s="100"/>
      <c r="G16" s="92"/>
      <c r="H16" s="92"/>
      <c r="I16" s="92"/>
      <c r="J16" s="92"/>
      <c r="K16" s="92"/>
      <c r="L16" s="93"/>
      <c r="M16" s="92"/>
      <c r="N16" s="92"/>
      <c r="O16" s="92"/>
      <c r="P16" s="92"/>
      <c r="Q16" s="92"/>
      <c r="R16" s="92"/>
      <c r="S16" s="92"/>
      <c r="T16" s="92"/>
      <c r="U16" s="94">
        <f t="shared" si="1"/>
        <v>0</v>
      </c>
      <c r="V16" s="96"/>
      <c r="W16" s="92"/>
      <c r="X16" s="92">
        <f t="shared" si="2"/>
        <v>0</v>
      </c>
      <c r="Y16" s="92"/>
      <c r="Z16" s="92"/>
      <c r="AA16" s="92">
        <f t="shared" si="4"/>
        <v>0</v>
      </c>
      <c r="AB16" s="97">
        <f t="shared" si="3"/>
        <v>0</v>
      </c>
      <c r="AC16" s="96"/>
      <c r="AD16" s="92"/>
      <c r="AE16" s="92"/>
      <c r="AF16" s="92"/>
      <c r="AG16" s="92"/>
      <c r="AH16" s="92"/>
      <c r="AI16" s="92"/>
      <c r="AJ16" s="97"/>
    </row>
    <row r="17" spans="1:36">
      <c r="A17" s="84">
        <f t="shared" si="0"/>
        <v>19</v>
      </c>
      <c r="B17" s="91">
        <v>45762</v>
      </c>
      <c r="C17" s="48">
        <v>45762</v>
      </c>
      <c r="D17" s="92"/>
      <c r="E17" s="97"/>
      <c r="F17" s="100"/>
      <c r="G17" s="92"/>
      <c r="H17" s="92"/>
      <c r="I17" s="92"/>
      <c r="J17" s="92"/>
      <c r="K17" s="92"/>
      <c r="L17" s="93"/>
      <c r="M17" s="92"/>
      <c r="N17" s="92"/>
      <c r="O17" s="92"/>
      <c r="P17" s="92"/>
      <c r="Q17" s="92"/>
      <c r="R17" s="92"/>
      <c r="S17" s="92"/>
      <c r="T17" s="92"/>
      <c r="U17" s="94">
        <f t="shared" si="1"/>
        <v>0</v>
      </c>
      <c r="V17" s="96"/>
      <c r="W17" s="92"/>
      <c r="X17" s="92">
        <f t="shared" si="2"/>
        <v>0</v>
      </c>
      <c r="Y17" s="92"/>
      <c r="Z17" s="92"/>
      <c r="AA17" s="92">
        <f t="shared" si="4"/>
        <v>0</v>
      </c>
      <c r="AB17" s="97">
        <f t="shared" si="3"/>
        <v>0</v>
      </c>
      <c r="AC17" s="96"/>
      <c r="AD17" s="92"/>
      <c r="AE17" s="92"/>
      <c r="AF17" s="92"/>
      <c r="AG17" s="92"/>
      <c r="AH17" s="92"/>
      <c r="AI17" s="92"/>
      <c r="AJ17" s="97"/>
    </row>
    <row r="18" spans="1:36">
      <c r="A18" s="84">
        <f t="shared" si="0"/>
        <v>20</v>
      </c>
      <c r="B18" s="91">
        <v>45763</v>
      </c>
      <c r="C18" s="48">
        <v>45763</v>
      </c>
      <c r="D18" s="92"/>
      <c r="E18" s="97"/>
      <c r="F18" s="100"/>
      <c r="G18" s="92"/>
      <c r="H18" s="92"/>
      <c r="I18" s="92"/>
      <c r="J18" s="92"/>
      <c r="K18" s="92"/>
      <c r="L18" s="93"/>
      <c r="M18" s="92"/>
      <c r="N18" s="92"/>
      <c r="O18" s="92"/>
      <c r="P18" s="92"/>
      <c r="Q18" s="92"/>
      <c r="R18" s="92"/>
      <c r="S18" s="92"/>
      <c r="T18" s="92"/>
      <c r="U18" s="94">
        <f t="shared" si="1"/>
        <v>0</v>
      </c>
      <c r="V18" s="96"/>
      <c r="W18" s="92"/>
      <c r="X18" s="92">
        <f t="shared" si="2"/>
        <v>0</v>
      </c>
      <c r="Y18" s="92"/>
      <c r="Z18" s="92"/>
      <c r="AA18" s="92">
        <f t="shared" si="4"/>
        <v>0</v>
      </c>
      <c r="AB18" s="97">
        <f t="shared" si="3"/>
        <v>0</v>
      </c>
      <c r="AC18" s="96"/>
      <c r="AD18" s="101"/>
      <c r="AE18" s="92"/>
      <c r="AF18" s="92"/>
      <c r="AG18" s="92"/>
      <c r="AH18" s="92"/>
      <c r="AI18" s="92"/>
      <c r="AJ18" s="97"/>
    </row>
    <row r="19" spans="1:36">
      <c r="A19" s="84">
        <f t="shared" si="0"/>
        <v>21</v>
      </c>
      <c r="B19" s="91">
        <v>45764</v>
      </c>
      <c r="C19" s="48">
        <v>45764</v>
      </c>
      <c r="D19" s="92"/>
      <c r="E19" s="97"/>
      <c r="F19" s="100"/>
      <c r="G19" s="92"/>
      <c r="H19" s="92"/>
      <c r="I19" s="92"/>
      <c r="L19" s="102"/>
      <c r="M19" s="92"/>
      <c r="N19" s="92"/>
      <c r="O19" s="92"/>
      <c r="P19" s="92"/>
      <c r="Q19" s="92"/>
      <c r="R19" s="92"/>
      <c r="S19" s="92"/>
      <c r="T19" s="92"/>
      <c r="U19" s="94">
        <f t="shared" si="1"/>
        <v>0</v>
      </c>
      <c r="V19" s="96"/>
      <c r="X19" s="92">
        <f t="shared" si="2"/>
        <v>0</v>
      </c>
      <c r="Y19" s="92"/>
      <c r="Z19" s="92"/>
      <c r="AA19" s="92">
        <f t="shared" si="4"/>
        <v>0</v>
      </c>
      <c r="AB19" s="97">
        <f t="shared" si="3"/>
        <v>0</v>
      </c>
      <c r="AC19" s="96"/>
      <c r="AD19" s="92"/>
      <c r="AE19" s="92"/>
      <c r="AF19" s="92"/>
      <c r="AG19" s="92"/>
      <c r="AH19" s="92"/>
      <c r="AI19" s="92"/>
      <c r="AJ19" s="97"/>
    </row>
    <row r="20" spans="1:36">
      <c r="A20" s="84">
        <f t="shared" si="0"/>
        <v>22</v>
      </c>
      <c r="B20" s="91">
        <v>45765</v>
      </c>
      <c r="C20" s="48">
        <v>45765</v>
      </c>
      <c r="D20" s="92"/>
      <c r="E20" s="97"/>
      <c r="F20" s="100"/>
      <c r="G20" s="92"/>
      <c r="I20" s="92"/>
      <c r="J20" s="92"/>
      <c r="K20" s="92"/>
      <c r="L20" s="93"/>
      <c r="M20" s="92"/>
      <c r="N20" s="92"/>
      <c r="O20" s="92"/>
      <c r="P20" s="92"/>
      <c r="Q20" s="92"/>
      <c r="R20" s="92"/>
      <c r="S20" s="92"/>
      <c r="T20" s="92"/>
      <c r="U20" s="94">
        <f t="shared" si="1"/>
        <v>0</v>
      </c>
      <c r="V20" s="96"/>
      <c r="W20" s="92"/>
      <c r="X20" s="92">
        <f t="shared" si="2"/>
        <v>0</v>
      </c>
      <c r="Y20" s="92"/>
      <c r="Z20" s="92"/>
      <c r="AA20" s="92">
        <f t="shared" si="4"/>
        <v>0</v>
      </c>
      <c r="AB20" s="97">
        <f t="shared" si="3"/>
        <v>0</v>
      </c>
      <c r="AC20" s="92"/>
      <c r="AD20" s="92"/>
      <c r="AE20" s="92"/>
      <c r="AF20" s="95"/>
      <c r="AG20" s="103"/>
      <c r="AH20" s="92"/>
      <c r="AI20" s="92"/>
      <c r="AJ20" s="97"/>
    </row>
    <row r="21" spans="1:36">
      <c r="A21" s="84">
        <f t="shared" si="0"/>
        <v>23</v>
      </c>
      <c r="B21" s="91">
        <v>45766</v>
      </c>
      <c r="C21" s="48">
        <v>45766</v>
      </c>
      <c r="D21" s="92"/>
      <c r="E21" s="97"/>
      <c r="F21" s="100"/>
      <c r="G21" s="92"/>
      <c r="H21" s="92"/>
      <c r="I21" s="92"/>
      <c r="J21" s="92"/>
      <c r="K21" s="92"/>
      <c r="L21" s="93"/>
      <c r="M21" s="92"/>
      <c r="N21" s="92"/>
      <c r="O21" s="92"/>
      <c r="P21" s="92"/>
      <c r="Q21" s="92"/>
      <c r="R21" s="92"/>
      <c r="S21" s="92"/>
      <c r="T21" s="92"/>
      <c r="U21" s="94">
        <f t="shared" si="1"/>
        <v>0</v>
      </c>
      <c r="V21" s="96"/>
      <c r="W21" s="92"/>
      <c r="X21" s="92">
        <f t="shared" si="2"/>
        <v>0</v>
      </c>
      <c r="Y21" s="92"/>
      <c r="Z21" s="92"/>
      <c r="AA21" s="92">
        <f t="shared" si="4"/>
        <v>0</v>
      </c>
      <c r="AB21" s="97">
        <f t="shared" si="3"/>
        <v>0</v>
      </c>
      <c r="AC21" s="96"/>
      <c r="AD21" s="92"/>
      <c r="AE21" s="92"/>
      <c r="AF21" s="92"/>
      <c r="AG21" s="92"/>
      <c r="AH21" s="92"/>
      <c r="AI21" s="92"/>
      <c r="AJ21" s="97"/>
    </row>
    <row r="22" spans="1:36">
      <c r="A22" s="84">
        <f t="shared" si="0"/>
        <v>24</v>
      </c>
      <c r="B22" s="91">
        <v>45767</v>
      </c>
      <c r="C22" s="48">
        <v>45767</v>
      </c>
      <c r="D22" s="92"/>
      <c r="E22" s="97"/>
      <c r="F22" s="100"/>
      <c r="G22" s="92"/>
      <c r="H22" s="92"/>
      <c r="I22" s="92"/>
      <c r="J22" s="92"/>
      <c r="K22" s="92"/>
      <c r="L22" s="93"/>
      <c r="M22" s="92"/>
      <c r="N22" s="92"/>
      <c r="O22" s="92"/>
      <c r="P22" s="92"/>
      <c r="Q22" s="92"/>
      <c r="R22" s="92"/>
      <c r="S22" s="92"/>
      <c r="T22" s="92"/>
      <c r="U22" s="94">
        <f t="shared" si="1"/>
        <v>0</v>
      </c>
      <c r="V22" s="96"/>
      <c r="W22" s="92"/>
      <c r="X22" s="92">
        <f t="shared" si="2"/>
        <v>0</v>
      </c>
      <c r="Y22" s="92"/>
      <c r="Z22" s="92"/>
      <c r="AA22" s="92">
        <f t="shared" si="4"/>
        <v>0</v>
      </c>
      <c r="AB22" s="97">
        <f t="shared" si="3"/>
        <v>0</v>
      </c>
      <c r="AC22" s="96"/>
      <c r="AD22" s="92"/>
      <c r="AE22" s="92"/>
      <c r="AF22" s="92"/>
      <c r="AG22" s="92"/>
      <c r="AH22" s="92"/>
      <c r="AI22" s="92"/>
      <c r="AJ22" s="97"/>
    </row>
    <row r="23" spans="1:36">
      <c r="A23" s="84">
        <f t="shared" si="0"/>
        <v>25</v>
      </c>
      <c r="B23" s="91">
        <v>45768</v>
      </c>
      <c r="C23" s="48">
        <v>45768</v>
      </c>
      <c r="D23" s="92"/>
      <c r="E23" s="97"/>
      <c r="F23" s="100"/>
      <c r="G23" s="92"/>
      <c r="H23" s="92"/>
      <c r="I23" s="92"/>
      <c r="J23" s="92"/>
      <c r="K23" s="92"/>
      <c r="L23" s="93"/>
      <c r="M23" s="92"/>
      <c r="N23" s="92"/>
      <c r="O23" s="92"/>
      <c r="P23" s="92"/>
      <c r="Q23" s="92"/>
      <c r="R23" s="92"/>
      <c r="S23" s="92"/>
      <c r="T23" s="92"/>
      <c r="U23" s="94">
        <f t="shared" si="1"/>
        <v>0</v>
      </c>
      <c r="V23" s="96"/>
      <c r="W23" s="92"/>
      <c r="X23" s="92">
        <f t="shared" si="2"/>
        <v>0</v>
      </c>
      <c r="Y23" s="92"/>
      <c r="Z23" s="92"/>
      <c r="AA23" s="92">
        <f t="shared" si="4"/>
        <v>0</v>
      </c>
      <c r="AB23" s="97">
        <f t="shared" si="3"/>
        <v>0</v>
      </c>
      <c r="AC23" s="96"/>
      <c r="AD23" s="92"/>
      <c r="AE23" s="92"/>
      <c r="AF23" s="92"/>
      <c r="AG23" s="92"/>
      <c r="AH23" s="92"/>
      <c r="AI23" s="92"/>
      <c r="AJ23" s="97"/>
    </row>
    <row r="24" spans="1:36">
      <c r="A24" s="84">
        <f t="shared" si="0"/>
        <v>26</v>
      </c>
      <c r="B24" s="91">
        <v>45769</v>
      </c>
      <c r="C24" s="48">
        <v>45769</v>
      </c>
      <c r="D24" s="92"/>
      <c r="E24" s="97"/>
      <c r="F24" s="100"/>
      <c r="G24" s="92"/>
      <c r="H24" s="92"/>
      <c r="I24" s="92"/>
      <c r="J24" s="92"/>
      <c r="K24" s="92"/>
      <c r="L24" s="93"/>
      <c r="M24" s="92"/>
      <c r="N24" s="92"/>
      <c r="O24" s="92"/>
      <c r="P24" s="92"/>
      <c r="Q24" s="92"/>
      <c r="R24" s="92"/>
      <c r="S24" s="92"/>
      <c r="T24" s="92"/>
      <c r="U24" s="94">
        <f t="shared" si="1"/>
        <v>0</v>
      </c>
      <c r="V24" s="96"/>
      <c r="W24" s="92"/>
      <c r="X24" s="92">
        <f t="shared" si="2"/>
        <v>0</v>
      </c>
      <c r="Y24" s="92"/>
      <c r="Z24" s="92"/>
      <c r="AA24" s="92">
        <f t="shared" si="4"/>
        <v>0</v>
      </c>
      <c r="AB24" s="97">
        <f t="shared" si="3"/>
        <v>0</v>
      </c>
      <c r="AC24" s="96"/>
      <c r="AD24" s="92"/>
      <c r="AE24" s="92"/>
      <c r="AF24" s="92"/>
      <c r="AG24" s="92"/>
      <c r="AH24" s="92"/>
      <c r="AI24" s="92"/>
      <c r="AJ24" s="97"/>
    </row>
    <row r="25" spans="1:36">
      <c r="A25" s="84">
        <f t="shared" si="0"/>
        <v>27</v>
      </c>
      <c r="B25" s="91">
        <v>45770</v>
      </c>
      <c r="C25" s="48">
        <v>45770</v>
      </c>
      <c r="D25" s="92"/>
      <c r="E25" s="97"/>
      <c r="F25" s="100"/>
      <c r="G25" s="92"/>
      <c r="H25" s="92"/>
      <c r="I25" s="92"/>
      <c r="J25" s="92"/>
      <c r="K25" s="92"/>
      <c r="L25" s="93"/>
      <c r="M25" s="92"/>
      <c r="N25" s="92"/>
      <c r="O25" s="92"/>
      <c r="P25" s="92"/>
      <c r="Q25" s="92"/>
      <c r="R25" s="92"/>
      <c r="S25" s="92"/>
      <c r="T25" s="92"/>
      <c r="U25" s="94">
        <f t="shared" si="1"/>
        <v>0</v>
      </c>
      <c r="V25" s="96"/>
      <c r="W25" s="92"/>
      <c r="X25" s="92">
        <f t="shared" si="2"/>
        <v>0</v>
      </c>
      <c r="Y25" s="92"/>
      <c r="Z25" s="92"/>
      <c r="AA25" s="92">
        <f t="shared" si="4"/>
        <v>0</v>
      </c>
      <c r="AB25" s="97">
        <f t="shared" si="3"/>
        <v>0</v>
      </c>
      <c r="AC25" s="96"/>
      <c r="AD25" s="92"/>
      <c r="AE25" s="92"/>
      <c r="AF25" s="92"/>
      <c r="AG25" s="92"/>
      <c r="AH25" s="92"/>
      <c r="AI25" s="92"/>
      <c r="AJ25" s="97"/>
    </row>
    <row r="26" spans="1:36">
      <c r="A26" s="84">
        <f t="shared" si="0"/>
        <v>28</v>
      </c>
      <c r="B26" s="91">
        <v>45771</v>
      </c>
      <c r="C26" s="48">
        <v>45771</v>
      </c>
      <c r="D26" s="92"/>
      <c r="E26" s="97"/>
      <c r="F26" s="100"/>
      <c r="G26" s="92"/>
      <c r="H26" s="92"/>
      <c r="I26" s="92"/>
      <c r="J26" s="92"/>
      <c r="K26" s="92"/>
      <c r="L26" s="93"/>
      <c r="M26" s="92"/>
      <c r="N26" s="92"/>
      <c r="O26" s="92"/>
      <c r="P26" s="92"/>
      <c r="Q26" s="92"/>
      <c r="R26" s="92"/>
      <c r="S26" s="92"/>
      <c r="T26" s="92"/>
      <c r="U26" s="94">
        <f t="shared" si="1"/>
        <v>0</v>
      </c>
      <c r="V26" s="96"/>
      <c r="W26" s="92"/>
      <c r="X26" s="92">
        <f t="shared" si="2"/>
        <v>0</v>
      </c>
      <c r="Y26" s="92"/>
      <c r="Z26" s="92"/>
      <c r="AA26" s="92">
        <f t="shared" si="4"/>
        <v>0</v>
      </c>
      <c r="AB26" s="97">
        <f t="shared" si="3"/>
        <v>0</v>
      </c>
      <c r="AC26" s="96"/>
      <c r="AD26" s="92"/>
      <c r="AE26" s="92"/>
      <c r="AF26" s="92"/>
      <c r="AG26" s="92"/>
      <c r="AH26" s="92"/>
      <c r="AI26" s="92"/>
      <c r="AJ26" s="97"/>
    </row>
    <row r="27" spans="1:36">
      <c r="A27" s="84">
        <f t="shared" si="0"/>
        <v>29</v>
      </c>
      <c r="B27" s="91">
        <v>45772</v>
      </c>
      <c r="C27" s="48">
        <v>45772</v>
      </c>
      <c r="D27" s="92"/>
      <c r="E27" s="97"/>
      <c r="F27" s="100"/>
      <c r="G27" s="92"/>
      <c r="H27" s="92"/>
      <c r="I27" s="92"/>
      <c r="J27" s="92"/>
      <c r="K27" s="92"/>
      <c r="L27" s="93"/>
      <c r="M27" s="92"/>
      <c r="N27" s="92"/>
      <c r="O27" s="92"/>
      <c r="P27" s="92"/>
      <c r="Q27" s="92"/>
      <c r="R27" s="92"/>
      <c r="S27" s="92"/>
      <c r="T27" s="92"/>
      <c r="U27" s="94">
        <f t="shared" si="1"/>
        <v>0</v>
      </c>
      <c r="V27" s="96"/>
      <c r="W27" s="92"/>
      <c r="X27" s="92">
        <f t="shared" si="2"/>
        <v>0</v>
      </c>
      <c r="Y27" s="92"/>
      <c r="Z27" s="92"/>
      <c r="AA27" s="92">
        <f t="shared" si="4"/>
        <v>0</v>
      </c>
      <c r="AB27" s="97">
        <f t="shared" si="3"/>
        <v>0</v>
      </c>
      <c r="AC27" s="96"/>
      <c r="AD27" s="92"/>
      <c r="AE27" s="92"/>
      <c r="AF27" s="92"/>
      <c r="AG27" s="92"/>
      <c r="AH27" s="92"/>
      <c r="AI27" s="92"/>
      <c r="AJ27" s="97"/>
    </row>
    <row r="28" spans="1:36">
      <c r="A28" s="84">
        <f t="shared" si="0"/>
        <v>30</v>
      </c>
      <c r="B28" s="91">
        <v>45773</v>
      </c>
      <c r="C28" s="48">
        <v>45773</v>
      </c>
      <c r="D28" s="92"/>
      <c r="E28" s="97"/>
      <c r="F28" s="100"/>
      <c r="G28" s="92"/>
      <c r="H28" s="92"/>
      <c r="I28" s="92"/>
      <c r="J28" s="92"/>
      <c r="K28" s="92"/>
      <c r="L28" s="93"/>
      <c r="M28" s="92"/>
      <c r="N28" s="92"/>
      <c r="O28" s="92"/>
      <c r="P28" s="92"/>
      <c r="Q28" s="92"/>
      <c r="R28" s="92"/>
      <c r="S28" s="92"/>
      <c r="T28" s="92"/>
      <c r="U28" s="94">
        <f t="shared" si="1"/>
        <v>0</v>
      </c>
      <c r="V28" s="96"/>
      <c r="W28" s="92"/>
      <c r="X28" s="92">
        <f t="shared" si="2"/>
        <v>0</v>
      </c>
      <c r="Y28" s="92"/>
      <c r="Z28" s="92"/>
      <c r="AA28" s="92">
        <f t="shared" si="4"/>
        <v>0</v>
      </c>
      <c r="AB28" s="97">
        <f t="shared" si="3"/>
        <v>0</v>
      </c>
      <c r="AC28" s="96"/>
      <c r="AD28" s="101"/>
      <c r="AE28" s="92"/>
      <c r="AF28" s="92"/>
      <c r="AG28" s="92"/>
      <c r="AH28" s="92"/>
      <c r="AI28" s="92"/>
      <c r="AJ28" s="97"/>
    </row>
    <row r="29" spans="1:36">
      <c r="A29" s="84">
        <f t="shared" si="0"/>
        <v>31</v>
      </c>
      <c r="B29" s="91">
        <v>45774</v>
      </c>
      <c r="C29" s="48">
        <v>45774</v>
      </c>
      <c r="D29" s="92"/>
      <c r="E29" s="97"/>
      <c r="F29" s="100"/>
      <c r="G29" s="92"/>
      <c r="H29" s="92"/>
      <c r="I29" s="92"/>
      <c r="J29" s="92"/>
      <c r="K29" s="92"/>
      <c r="L29" s="93"/>
      <c r="M29" s="92"/>
      <c r="N29" s="92"/>
      <c r="O29" s="92"/>
      <c r="P29" s="92"/>
      <c r="Q29" s="92"/>
      <c r="R29" s="92"/>
      <c r="S29" s="92"/>
      <c r="T29" s="92"/>
      <c r="U29" s="94">
        <f t="shared" si="1"/>
        <v>0</v>
      </c>
      <c r="V29" s="96"/>
      <c r="W29" s="92"/>
      <c r="X29" s="92">
        <f t="shared" si="2"/>
        <v>0</v>
      </c>
      <c r="Y29" s="92"/>
      <c r="Z29" s="92"/>
      <c r="AA29" s="92">
        <f t="shared" si="4"/>
        <v>0</v>
      </c>
      <c r="AB29" s="97">
        <f t="shared" si="3"/>
        <v>0</v>
      </c>
      <c r="AC29" s="96"/>
      <c r="AD29" s="101"/>
      <c r="AE29" s="92"/>
      <c r="AF29" s="92"/>
      <c r="AG29" s="92"/>
      <c r="AH29" s="92"/>
      <c r="AI29" s="92"/>
      <c r="AJ29" s="97"/>
    </row>
    <row r="30" spans="1:36">
      <c r="A30" s="84">
        <f t="shared" si="0"/>
        <v>32</v>
      </c>
      <c r="B30" s="91">
        <v>45775</v>
      </c>
      <c r="C30" s="48">
        <v>45775</v>
      </c>
      <c r="D30" s="104"/>
      <c r="E30" s="105"/>
      <c r="F30" s="100"/>
      <c r="G30" s="92"/>
      <c r="H30" s="92"/>
      <c r="I30" s="92"/>
      <c r="J30" s="92"/>
      <c r="K30" s="92"/>
      <c r="L30" s="93"/>
      <c r="M30" s="92"/>
      <c r="N30" s="92"/>
      <c r="O30" s="92"/>
      <c r="P30" s="92"/>
      <c r="Q30" s="92"/>
      <c r="R30" s="92"/>
      <c r="S30" s="92"/>
      <c r="T30" s="92"/>
      <c r="U30" s="94">
        <f t="shared" si="1"/>
        <v>0</v>
      </c>
      <c r="V30" s="96"/>
      <c r="W30" s="92"/>
      <c r="X30" s="92">
        <f t="shared" si="2"/>
        <v>0</v>
      </c>
      <c r="Y30" s="92"/>
      <c r="Z30" s="92"/>
      <c r="AA30" s="92">
        <f t="shared" si="4"/>
        <v>0</v>
      </c>
      <c r="AB30" s="97">
        <f t="shared" si="3"/>
        <v>0</v>
      </c>
      <c r="AC30" s="96"/>
      <c r="AD30" s="92"/>
      <c r="AE30" s="92"/>
      <c r="AF30" s="92"/>
      <c r="AG30" s="92"/>
      <c r="AH30" s="92"/>
      <c r="AI30" s="92"/>
      <c r="AJ30" s="97"/>
    </row>
    <row r="31" spans="1:36">
      <c r="A31" s="84">
        <f t="shared" si="0"/>
        <v>33</v>
      </c>
      <c r="B31" s="91">
        <v>45776</v>
      </c>
      <c r="C31" s="48">
        <v>45776</v>
      </c>
      <c r="D31" s="104"/>
      <c r="E31" s="105"/>
      <c r="F31" s="100"/>
      <c r="G31" s="92"/>
      <c r="H31" s="92"/>
      <c r="I31" s="92"/>
      <c r="J31" s="92"/>
      <c r="K31" s="92"/>
      <c r="L31" s="93"/>
      <c r="M31" s="92"/>
      <c r="N31" s="92"/>
      <c r="O31" s="92"/>
      <c r="P31" s="92"/>
      <c r="Q31" s="92"/>
      <c r="R31" s="92"/>
      <c r="S31" s="92"/>
      <c r="T31" s="92"/>
      <c r="U31" s="94">
        <f t="shared" si="1"/>
        <v>0</v>
      </c>
      <c r="V31" s="96"/>
      <c r="W31" s="92"/>
      <c r="X31" s="92">
        <f t="shared" si="2"/>
        <v>0</v>
      </c>
      <c r="Y31" s="92"/>
      <c r="Z31" s="92"/>
      <c r="AA31" s="92">
        <f t="shared" si="4"/>
        <v>0</v>
      </c>
      <c r="AB31" s="97">
        <f t="shared" si="3"/>
        <v>0</v>
      </c>
      <c r="AC31" s="96"/>
      <c r="AD31" s="92"/>
      <c r="AE31" s="92"/>
      <c r="AF31" s="92"/>
      <c r="AG31" s="92"/>
      <c r="AH31" s="92"/>
      <c r="AI31" s="92"/>
      <c r="AJ31" s="97"/>
    </row>
    <row r="32" spans="1:36">
      <c r="A32" s="84">
        <f t="shared" si="0"/>
        <v>34</v>
      </c>
      <c r="B32" s="91">
        <v>45777</v>
      </c>
      <c r="C32" s="48">
        <v>45777</v>
      </c>
      <c r="D32" s="104"/>
      <c r="E32" s="105"/>
      <c r="F32" s="100"/>
      <c r="G32" s="92"/>
      <c r="H32" s="92"/>
      <c r="I32" s="92"/>
      <c r="J32" s="92"/>
      <c r="K32" s="92"/>
      <c r="L32" s="93"/>
      <c r="M32" s="92"/>
      <c r="N32" s="92"/>
      <c r="O32" s="92"/>
      <c r="P32" s="92"/>
      <c r="Q32" s="92"/>
      <c r="R32" s="92"/>
      <c r="S32" s="92"/>
      <c r="T32" s="92"/>
      <c r="U32" s="94">
        <f t="shared" si="1"/>
        <v>0</v>
      </c>
      <c r="V32" s="96"/>
      <c r="W32" s="92"/>
      <c r="X32" s="92">
        <f t="shared" si="2"/>
        <v>0</v>
      </c>
      <c r="Y32" s="92"/>
      <c r="Z32" s="92"/>
      <c r="AA32" s="92">
        <f t="shared" si="4"/>
        <v>0</v>
      </c>
      <c r="AB32" s="97">
        <f t="shared" si="3"/>
        <v>0</v>
      </c>
      <c r="AC32" s="96"/>
      <c r="AD32" s="92"/>
      <c r="AE32" s="92"/>
      <c r="AF32" s="92"/>
      <c r="AG32" s="92"/>
      <c r="AH32" s="92"/>
      <c r="AI32" s="92"/>
      <c r="AJ32" s="97"/>
    </row>
    <row r="33" spans="1:36">
      <c r="A33" s="84">
        <f t="shared" si="0"/>
        <v>35</v>
      </c>
      <c r="B33" s="91">
        <v>45778</v>
      </c>
      <c r="C33" s="48">
        <v>45778</v>
      </c>
      <c r="D33" s="104"/>
      <c r="E33" s="105"/>
      <c r="F33" s="100"/>
      <c r="G33" s="92"/>
      <c r="H33" s="92"/>
      <c r="I33" s="92"/>
      <c r="J33" s="92"/>
      <c r="K33" s="92"/>
      <c r="L33" s="92"/>
      <c r="M33" s="93"/>
      <c r="N33" s="93"/>
      <c r="O33" s="93"/>
      <c r="P33" s="93"/>
      <c r="Q33" s="93"/>
      <c r="R33" s="93"/>
      <c r="S33" s="93"/>
      <c r="T33" s="93"/>
      <c r="U33" s="94">
        <f t="shared" si="1"/>
        <v>0</v>
      </c>
      <c r="V33" s="103"/>
      <c r="W33" s="92"/>
      <c r="X33" s="92">
        <f t="shared" si="2"/>
        <v>0</v>
      </c>
      <c r="Y33" s="92"/>
      <c r="Z33" s="92"/>
      <c r="AA33" s="92">
        <f t="shared" si="4"/>
        <v>0</v>
      </c>
      <c r="AB33" s="97">
        <f t="shared" si="3"/>
        <v>0</v>
      </c>
      <c r="AC33" s="96"/>
      <c r="AD33" s="92"/>
      <c r="AE33" s="92"/>
      <c r="AF33" s="92"/>
      <c r="AG33" s="92"/>
      <c r="AH33" s="92"/>
      <c r="AI33" s="92"/>
      <c r="AJ33" s="97"/>
    </row>
    <row r="34" spans="1:36">
      <c r="A34" s="84">
        <f t="shared" si="0"/>
        <v>36</v>
      </c>
      <c r="B34" s="91">
        <v>45779</v>
      </c>
      <c r="C34" s="48">
        <v>45779</v>
      </c>
      <c r="D34" s="104"/>
      <c r="E34" s="105"/>
      <c r="F34" s="100"/>
      <c r="G34" s="92"/>
      <c r="H34" s="92"/>
      <c r="I34" s="92"/>
      <c r="J34" s="92"/>
      <c r="K34" s="92"/>
      <c r="L34" s="92"/>
      <c r="M34" s="93"/>
      <c r="N34" s="93"/>
      <c r="O34" s="93"/>
      <c r="P34" s="93"/>
      <c r="Q34" s="93"/>
      <c r="R34" s="93"/>
      <c r="S34" s="93"/>
      <c r="T34" s="93"/>
      <c r="U34" s="94">
        <f t="shared" si="1"/>
        <v>0</v>
      </c>
      <c r="V34" s="103"/>
      <c r="W34" s="92"/>
      <c r="X34" s="92">
        <f t="shared" si="2"/>
        <v>0</v>
      </c>
      <c r="Y34" s="92"/>
      <c r="Z34" s="92"/>
      <c r="AA34" s="92">
        <f t="shared" si="4"/>
        <v>0</v>
      </c>
      <c r="AB34" s="97">
        <f t="shared" si="3"/>
        <v>0</v>
      </c>
      <c r="AC34" s="96"/>
      <c r="AD34" s="92"/>
      <c r="AE34" s="92"/>
      <c r="AF34" s="92"/>
      <c r="AG34" s="92"/>
      <c r="AH34" s="92"/>
      <c r="AI34" s="92"/>
      <c r="AJ34" s="97"/>
    </row>
    <row r="35" spans="1:36">
      <c r="A35" s="84">
        <f t="shared" si="0"/>
        <v>37</v>
      </c>
      <c r="B35" s="91">
        <v>45780</v>
      </c>
      <c r="C35" s="48">
        <v>45780</v>
      </c>
      <c r="D35" s="104"/>
      <c r="E35" s="105"/>
      <c r="F35" s="100"/>
      <c r="G35" s="92"/>
      <c r="H35" s="92"/>
      <c r="I35" s="92"/>
      <c r="J35" s="92"/>
      <c r="K35" s="92"/>
      <c r="L35" s="92"/>
      <c r="M35" s="93"/>
      <c r="N35" s="93"/>
      <c r="O35" s="93"/>
      <c r="P35" s="93"/>
      <c r="Q35" s="93"/>
      <c r="R35" s="93"/>
      <c r="S35" s="93"/>
      <c r="T35" s="93"/>
      <c r="U35" s="94">
        <f t="shared" si="1"/>
        <v>0</v>
      </c>
      <c r="V35" s="103"/>
      <c r="W35" s="92"/>
      <c r="X35" s="92">
        <f t="shared" si="2"/>
        <v>0</v>
      </c>
      <c r="Y35" s="92"/>
      <c r="Z35" s="92"/>
      <c r="AA35" s="92">
        <f t="shared" si="4"/>
        <v>0</v>
      </c>
      <c r="AB35" s="97">
        <f t="shared" si="3"/>
        <v>0</v>
      </c>
      <c r="AC35" s="96"/>
      <c r="AD35" s="92"/>
      <c r="AE35" s="92"/>
      <c r="AF35" s="92"/>
      <c r="AG35" s="92"/>
      <c r="AH35" s="92"/>
      <c r="AI35" s="92"/>
      <c r="AJ35" s="97"/>
    </row>
    <row r="36" spans="1:36">
      <c r="A36" s="84">
        <f t="shared" si="0"/>
        <v>38</v>
      </c>
      <c r="B36" s="91">
        <v>45781</v>
      </c>
      <c r="C36" s="48">
        <v>45781</v>
      </c>
      <c r="D36" s="104"/>
      <c r="E36" s="105"/>
      <c r="F36" s="100"/>
      <c r="G36" s="92"/>
      <c r="H36" s="92"/>
      <c r="I36" s="92"/>
      <c r="J36" s="92"/>
      <c r="K36" s="92"/>
      <c r="L36" s="92"/>
      <c r="M36" s="93"/>
      <c r="N36" s="93"/>
      <c r="O36" s="93"/>
      <c r="P36" s="93"/>
      <c r="Q36" s="93"/>
      <c r="R36" s="93"/>
      <c r="S36" s="93"/>
      <c r="T36" s="93"/>
      <c r="U36" s="94">
        <f t="shared" si="1"/>
        <v>0</v>
      </c>
      <c r="V36" s="103"/>
      <c r="W36" s="92"/>
      <c r="X36" s="92">
        <f t="shared" si="2"/>
        <v>0</v>
      </c>
      <c r="Y36" s="92"/>
      <c r="Z36" s="92"/>
      <c r="AA36" s="92">
        <f t="shared" si="4"/>
        <v>0</v>
      </c>
      <c r="AB36" s="97">
        <f t="shared" si="3"/>
        <v>0</v>
      </c>
      <c r="AC36" s="96"/>
      <c r="AD36" s="92"/>
      <c r="AE36" s="92"/>
      <c r="AF36" s="92"/>
      <c r="AG36" s="92"/>
      <c r="AH36" s="92"/>
      <c r="AI36" s="92"/>
      <c r="AJ36" s="97"/>
    </row>
    <row r="37" spans="1:36">
      <c r="A37" s="84">
        <f t="shared" si="0"/>
        <v>39</v>
      </c>
      <c r="B37" s="91">
        <v>45782</v>
      </c>
      <c r="C37" s="48">
        <v>45782</v>
      </c>
      <c r="D37" s="104"/>
      <c r="E37" s="105"/>
      <c r="F37" s="100"/>
      <c r="G37" s="92"/>
      <c r="H37" s="92"/>
      <c r="I37" s="92"/>
      <c r="J37" s="92"/>
      <c r="K37" s="92"/>
      <c r="L37" s="92"/>
      <c r="M37" s="93"/>
      <c r="N37" s="93"/>
      <c r="O37" s="93"/>
      <c r="P37" s="93"/>
      <c r="Q37" s="93"/>
      <c r="R37" s="93"/>
      <c r="S37" s="93"/>
      <c r="T37" s="93"/>
      <c r="U37" s="94">
        <f t="shared" si="1"/>
        <v>0</v>
      </c>
      <c r="V37" s="103"/>
      <c r="W37" s="92"/>
      <c r="X37" s="92">
        <f t="shared" si="2"/>
        <v>0</v>
      </c>
      <c r="Y37" s="92"/>
      <c r="Z37" s="92"/>
      <c r="AA37" s="92">
        <f t="shared" si="4"/>
        <v>0</v>
      </c>
      <c r="AB37" s="97">
        <f t="shared" si="3"/>
        <v>0</v>
      </c>
      <c r="AC37" s="96"/>
      <c r="AD37" s="92"/>
      <c r="AE37" s="92"/>
      <c r="AF37" s="92"/>
      <c r="AG37" s="92"/>
      <c r="AH37" s="92"/>
      <c r="AI37" s="92"/>
      <c r="AJ37" s="97"/>
    </row>
    <row r="38" spans="1:36">
      <c r="A38" s="84">
        <f t="shared" si="0"/>
        <v>40</v>
      </c>
      <c r="B38" s="91">
        <v>45783</v>
      </c>
      <c r="C38" s="48">
        <v>45783</v>
      </c>
      <c r="D38" s="104"/>
      <c r="E38" s="105"/>
      <c r="F38" s="100"/>
      <c r="G38" s="92"/>
      <c r="H38" s="92"/>
      <c r="I38" s="92"/>
      <c r="J38" s="92"/>
      <c r="K38" s="92"/>
      <c r="L38" s="92"/>
      <c r="M38" s="93"/>
      <c r="N38" s="93"/>
      <c r="O38" s="93"/>
      <c r="P38" s="93"/>
      <c r="Q38" s="93"/>
      <c r="R38" s="93"/>
      <c r="S38" s="93"/>
      <c r="T38" s="93"/>
      <c r="U38" s="94">
        <f t="shared" si="1"/>
        <v>0</v>
      </c>
      <c r="V38" s="103"/>
      <c r="W38" s="92"/>
      <c r="X38" s="92">
        <f t="shared" si="2"/>
        <v>0</v>
      </c>
      <c r="Y38" s="92"/>
      <c r="Z38" s="92"/>
      <c r="AA38" s="92">
        <f t="shared" si="4"/>
        <v>0</v>
      </c>
      <c r="AB38" s="97">
        <f t="shared" si="3"/>
        <v>0</v>
      </c>
      <c r="AC38" s="96"/>
      <c r="AD38" s="92"/>
      <c r="AE38" s="92"/>
      <c r="AF38" s="92"/>
      <c r="AG38" s="92"/>
      <c r="AH38" s="92"/>
      <c r="AI38" s="92"/>
      <c r="AJ38" s="97"/>
    </row>
    <row r="39" spans="1:36">
      <c r="A39" s="84">
        <f t="shared" si="0"/>
        <v>41</v>
      </c>
      <c r="B39" s="91">
        <v>45784</v>
      </c>
      <c r="C39" s="48">
        <v>45784</v>
      </c>
      <c r="D39" s="104"/>
      <c r="E39" s="105"/>
      <c r="F39" s="100"/>
      <c r="G39" s="92"/>
      <c r="H39" s="92"/>
      <c r="I39" s="92"/>
      <c r="J39" s="92"/>
      <c r="K39" s="92"/>
      <c r="L39" s="92"/>
      <c r="M39" s="93"/>
      <c r="N39" s="93"/>
      <c r="O39" s="93"/>
      <c r="P39" s="93"/>
      <c r="Q39" s="93"/>
      <c r="R39" s="93"/>
      <c r="S39" s="93"/>
      <c r="T39" s="93"/>
      <c r="U39" s="94">
        <f t="shared" si="1"/>
        <v>0</v>
      </c>
      <c r="V39" s="103"/>
      <c r="W39" s="92"/>
      <c r="X39" s="92">
        <f t="shared" si="2"/>
        <v>0</v>
      </c>
      <c r="Y39" s="92"/>
      <c r="Z39" s="92"/>
      <c r="AA39" s="92">
        <f t="shared" si="4"/>
        <v>0</v>
      </c>
      <c r="AB39" s="97">
        <f t="shared" si="3"/>
        <v>0</v>
      </c>
      <c r="AC39" s="96"/>
      <c r="AD39" s="92"/>
      <c r="AE39" s="92"/>
      <c r="AF39" s="92"/>
      <c r="AG39" s="92"/>
      <c r="AH39" s="92"/>
      <c r="AI39" s="92"/>
      <c r="AJ39" s="97"/>
    </row>
    <row r="40" spans="1:36">
      <c r="A40" s="84">
        <f t="shared" si="0"/>
        <v>42</v>
      </c>
      <c r="B40" s="91">
        <v>45785</v>
      </c>
      <c r="C40" s="48">
        <v>45785</v>
      </c>
      <c r="D40" s="104"/>
      <c r="E40" s="105"/>
      <c r="F40" s="100"/>
      <c r="G40" s="92"/>
      <c r="H40" s="92"/>
      <c r="I40" s="92"/>
      <c r="J40" s="92"/>
      <c r="K40" s="92"/>
      <c r="L40" s="92"/>
      <c r="M40" s="93"/>
      <c r="N40" s="93"/>
      <c r="O40" s="93"/>
      <c r="P40" s="93"/>
      <c r="Q40" s="93"/>
      <c r="R40" s="93"/>
      <c r="S40" s="93"/>
      <c r="T40" s="93"/>
      <c r="U40" s="94">
        <f t="shared" si="1"/>
        <v>0</v>
      </c>
      <c r="V40" s="103"/>
      <c r="W40" s="92"/>
      <c r="X40" s="92">
        <f t="shared" si="2"/>
        <v>0</v>
      </c>
      <c r="Y40" s="92"/>
      <c r="Z40" s="92"/>
      <c r="AA40" s="92">
        <f t="shared" si="4"/>
        <v>0</v>
      </c>
      <c r="AB40" s="97">
        <f t="shared" si="3"/>
        <v>0</v>
      </c>
      <c r="AC40" s="96"/>
      <c r="AD40" s="92"/>
      <c r="AE40" s="92"/>
      <c r="AF40" s="92"/>
      <c r="AG40" s="92"/>
      <c r="AH40" s="92"/>
      <c r="AI40" s="92"/>
      <c r="AJ40" s="97"/>
    </row>
    <row r="41" spans="1:36">
      <c r="A41" s="84">
        <f t="shared" si="0"/>
        <v>43</v>
      </c>
      <c r="B41" s="91">
        <v>45786</v>
      </c>
      <c r="C41" s="48">
        <v>45786</v>
      </c>
      <c r="D41" s="104"/>
      <c r="E41" s="105"/>
      <c r="F41" s="100"/>
      <c r="G41" s="92"/>
      <c r="H41" s="92"/>
      <c r="I41" s="92"/>
      <c r="J41" s="92"/>
      <c r="K41" s="92"/>
      <c r="L41" s="92"/>
      <c r="M41" s="93"/>
      <c r="N41" s="93"/>
      <c r="O41" s="93"/>
      <c r="P41" s="93"/>
      <c r="Q41" s="93"/>
      <c r="R41" s="93"/>
      <c r="S41" s="93"/>
      <c r="T41" s="93"/>
      <c r="U41" s="94">
        <f t="shared" si="1"/>
        <v>0</v>
      </c>
      <c r="V41" s="103"/>
      <c r="W41" s="92"/>
      <c r="X41" s="92">
        <f t="shared" si="2"/>
        <v>0</v>
      </c>
      <c r="Y41" s="92"/>
      <c r="Z41" s="92"/>
      <c r="AA41" s="92">
        <f t="shared" si="4"/>
        <v>0</v>
      </c>
      <c r="AB41" s="97">
        <f t="shared" si="3"/>
        <v>0</v>
      </c>
      <c r="AC41" s="96"/>
      <c r="AD41" s="92"/>
      <c r="AE41" s="92"/>
      <c r="AF41" s="92"/>
      <c r="AG41" s="92"/>
      <c r="AH41" s="92"/>
      <c r="AI41" s="92"/>
      <c r="AJ41" s="97"/>
    </row>
    <row r="42" spans="1:36">
      <c r="A42" s="84">
        <f t="shared" si="0"/>
        <v>44</v>
      </c>
      <c r="B42" s="91">
        <v>45787</v>
      </c>
      <c r="C42" s="48">
        <v>45787</v>
      </c>
      <c r="D42" s="104"/>
      <c r="E42" s="97"/>
      <c r="F42" s="100"/>
      <c r="G42" s="92"/>
      <c r="H42" s="92"/>
      <c r="I42" s="92"/>
      <c r="J42" s="92"/>
      <c r="K42" s="92"/>
      <c r="L42" s="92"/>
      <c r="M42" s="93"/>
      <c r="N42" s="93"/>
      <c r="O42" s="93"/>
      <c r="P42" s="93"/>
      <c r="Q42" s="93"/>
      <c r="R42" s="93"/>
      <c r="S42" s="93"/>
      <c r="T42" s="93"/>
      <c r="U42" s="94">
        <f t="shared" si="1"/>
        <v>0</v>
      </c>
      <c r="V42" s="103"/>
      <c r="W42" s="92"/>
      <c r="X42" s="92">
        <f t="shared" si="2"/>
        <v>0</v>
      </c>
      <c r="Y42" s="92"/>
      <c r="Z42" s="92"/>
      <c r="AA42" s="92">
        <f t="shared" si="4"/>
        <v>0</v>
      </c>
      <c r="AB42" s="97">
        <f t="shared" si="3"/>
        <v>0</v>
      </c>
      <c r="AC42" s="96"/>
      <c r="AD42" s="92"/>
      <c r="AE42" s="92"/>
      <c r="AF42" s="92"/>
      <c r="AG42" s="92"/>
      <c r="AH42" s="92"/>
      <c r="AI42" s="92"/>
      <c r="AJ42" s="97"/>
    </row>
    <row r="43" spans="1:36">
      <c r="A43" s="84">
        <f t="shared" si="0"/>
        <v>45</v>
      </c>
      <c r="B43" s="91">
        <v>45788</v>
      </c>
      <c r="C43" s="48">
        <v>45788</v>
      </c>
      <c r="D43" s="104"/>
      <c r="E43" s="105"/>
      <c r="F43" s="100"/>
      <c r="G43" s="92"/>
      <c r="H43" s="92"/>
      <c r="I43" s="92"/>
      <c r="J43" s="92"/>
      <c r="K43" s="92"/>
      <c r="L43" s="92"/>
      <c r="M43" s="93"/>
      <c r="N43" s="93"/>
      <c r="O43" s="93"/>
      <c r="P43" s="93"/>
      <c r="Q43" s="93"/>
      <c r="R43" s="93"/>
      <c r="S43" s="93"/>
      <c r="T43" s="93"/>
      <c r="U43" s="94">
        <f t="shared" si="1"/>
        <v>0</v>
      </c>
      <c r="V43" s="103"/>
      <c r="W43" s="92"/>
      <c r="X43" s="92">
        <f t="shared" si="2"/>
        <v>0</v>
      </c>
      <c r="Y43" s="92"/>
      <c r="Z43" s="92"/>
      <c r="AA43" s="92">
        <f t="shared" si="4"/>
        <v>0</v>
      </c>
      <c r="AB43" s="97">
        <f t="shared" si="3"/>
        <v>0</v>
      </c>
      <c r="AC43" s="96"/>
      <c r="AD43" s="92"/>
      <c r="AE43" s="92"/>
      <c r="AF43" s="92"/>
      <c r="AG43" s="92"/>
      <c r="AH43" s="92"/>
      <c r="AI43" s="92"/>
      <c r="AJ43" s="97"/>
    </row>
    <row r="44" spans="1:36">
      <c r="A44" s="84">
        <f t="shared" si="0"/>
        <v>46</v>
      </c>
      <c r="B44" s="91">
        <v>45789</v>
      </c>
      <c r="C44" s="48">
        <v>45789</v>
      </c>
      <c r="D44" s="104"/>
      <c r="E44" s="105"/>
      <c r="F44" s="100"/>
      <c r="G44" s="92"/>
      <c r="H44" s="92"/>
      <c r="I44" s="92"/>
      <c r="J44" s="92"/>
      <c r="K44" s="92"/>
      <c r="L44" s="92"/>
      <c r="M44" s="93"/>
      <c r="N44" s="93"/>
      <c r="O44" s="93"/>
      <c r="P44" s="93"/>
      <c r="Q44" s="93"/>
      <c r="R44" s="93"/>
      <c r="S44" s="93"/>
      <c r="T44" s="93"/>
      <c r="U44" s="94">
        <f t="shared" si="1"/>
        <v>0</v>
      </c>
      <c r="V44" s="103"/>
      <c r="W44" s="92"/>
      <c r="X44" s="92">
        <f t="shared" si="2"/>
        <v>0</v>
      </c>
      <c r="Y44" s="92"/>
      <c r="Z44" s="92"/>
      <c r="AA44" s="92">
        <f t="shared" si="4"/>
        <v>0</v>
      </c>
      <c r="AB44" s="97">
        <f t="shared" si="3"/>
        <v>0</v>
      </c>
      <c r="AC44" s="96"/>
      <c r="AD44" s="92"/>
      <c r="AE44" s="92"/>
      <c r="AF44" s="92"/>
      <c r="AG44" s="92"/>
      <c r="AH44" s="92"/>
      <c r="AI44" s="92"/>
      <c r="AJ44" s="97"/>
    </row>
    <row r="45" spans="1:36">
      <c r="A45" s="84">
        <f t="shared" si="0"/>
        <v>47</v>
      </c>
      <c r="B45" s="91">
        <v>45790</v>
      </c>
      <c r="C45" s="48">
        <v>45790</v>
      </c>
      <c r="D45" s="104"/>
      <c r="E45" s="105"/>
      <c r="F45" s="100"/>
      <c r="G45" s="92"/>
      <c r="H45" s="92"/>
      <c r="I45" s="92"/>
      <c r="J45" s="92"/>
      <c r="K45" s="92"/>
      <c r="L45" s="92"/>
      <c r="M45" s="93"/>
      <c r="N45" s="93"/>
      <c r="O45" s="93"/>
      <c r="P45" s="93"/>
      <c r="Q45" s="93"/>
      <c r="R45" s="93"/>
      <c r="S45" s="93"/>
      <c r="T45" s="93"/>
      <c r="U45" s="94">
        <f t="shared" si="1"/>
        <v>0</v>
      </c>
      <c r="V45" s="103"/>
      <c r="W45" s="94"/>
      <c r="X45" s="92">
        <f t="shared" si="2"/>
        <v>0</v>
      </c>
      <c r="Y45" s="92"/>
      <c r="Z45" s="92"/>
      <c r="AA45" s="92">
        <f t="shared" si="4"/>
        <v>0</v>
      </c>
      <c r="AB45" s="97">
        <f t="shared" si="3"/>
        <v>0</v>
      </c>
      <c r="AC45" s="96"/>
      <c r="AD45" s="92"/>
      <c r="AE45" s="92"/>
      <c r="AF45" s="92"/>
      <c r="AG45" s="92"/>
      <c r="AH45" s="92"/>
      <c r="AI45" s="92"/>
      <c r="AJ45" s="97"/>
    </row>
    <row r="46" spans="1:36">
      <c r="A46" s="84">
        <f t="shared" si="0"/>
        <v>48</v>
      </c>
      <c r="B46" s="91">
        <v>45791</v>
      </c>
      <c r="C46" s="48">
        <v>45791</v>
      </c>
      <c r="D46" s="104"/>
      <c r="E46" s="105"/>
      <c r="F46" s="100"/>
      <c r="G46" s="92"/>
      <c r="H46" s="92"/>
      <c r="I46" s="92"/>
      <c r="J46" s="92"/>
      <c r="K46" s="92"/>
      <c r="L46" s="92"/>
      <c r="M46" s="93"/>
      <c r="N46" s="93"/>
      <c r="O46" s="93"/>
      <c r="P46" s="93"/>
      <c r="Q46" s="93"/>
      <c r="R46" s="93"/>
      <c r="S46" s="93"/>
      <c r="T46" s="93"/>
      <c r="U46" s="94">
        <f t="shared" si="1"/>
        <v>0</v>
      </c>
      <c r="V46" s="103"/>
      <c r="W46" s="92"/>
      <c r="X46" s="92">
        <f t="shared" si="2"/>
        <v>0</v>
      </c>
      <c r="Y46" s="92"/>
      <c r="Z46" s="92"/>
      <c r="AA46" s="92">
        <f t="shared" si="4"/>
        <v>0</v>
      </c>
      <c r="AB46" s="97">
        <f t="shared" si="3"/>
        <v>0</v>
      </c>
      <c r="AC46" s="96"/>
      <c r="AD46" s="92"/>
      <c r="AE46" s="92"/>
      <c r="AF46" s="92"/>
      <c r="AG46" s="92"/>
      <c r="AH46" s="92"/>
      <c r="AI46" s="92"/>
      <c r="AJ46" s="97"/>
    </row>
    <row r="47" spans="1:36">
      <c r="A47" s="84">
        <f t="shared" si="0"/>
        <v>49</v>
      </c>
      <c r="B47" s="91">
        <v>45792</v>
      </c>
      <c r="C47" s="48">
        <v>45792</v>
      </c>
      <c r="D47" s="104"/>
      <c r="E47" s="105"/>
      <c r="F47" s="100"/>
      <c r="G47" s="92"/>
      <c r="H47" s="92"/>
      <c r="I47" s="92"/>
      <c r="J47" s="92"/>
      <c r="K47" s="92"/>
      <c r="L47" s="92"/>
      <c r="M47" s="93"/>
      <c r="N47" s="93"/>
      <c r="O47" s="93"/>
      <c r="P47" s="93"/>
      <c r="Q47" s="93"/>
      <c r="R47" s="93"/>
      <c r="S47" s="93"/>
      <c r="T47" s="93"/>
      <c r="U47" s="94">
        <f t="shared" si="1"/>
        <v>0</v>
      </c>
      <c r="V47" s="103"/>
      <c r="W47" s="92"/>
      <c r="X47" s="92">
        <f t="shared" si="2"/>
        <v>0</v>
      </c>
      <c r="Y47" s="92"/>
      <c r="Z47" s="92"/>
      <c r="AA47" s="92">
        <f t="shared" si="4"/>
        <v>0</v>
      </c>
      <c r="AB47" s="97">
        <f t="shared" si="3"/>
        <v>0</v>
      </c>
      <c r="AC47" s="96"/>
      <c r="AD47" s="92"/>
      <c r="AE47" s="92"/>
      <c r="AF47" s="92"/>
      <c r="AG47" s="92"/>
      <c r="AH47" s="92"/>
      <c r="AI47" s="92"/>
      <c r="AJ47" s="97"/>
    </row>
    <row r="48" spans="1:36">
      <c r="A48" s="84">
        <f t="shared" si="0"/>
        <v>50</v>
      </c>
      <c r="B48" s="91">
        <v>45793</v>
      </c>
      <c r="C48" s="48">
        <v>45793</v>
      </c>
      <c r="D48" s="104"/>
      <c r="E48" s="105"/>
      <c r="F48" s="100"/>
      <c r="G48" s="92"/>
      <c r="H48" s="92"/>
      <c r="I48" s="92"/>
      <c r="J48" s="92"/>
      <c r="K48" s="92"/>
      <c r="L48" s="92"/>
      <c r="M48" s="93"/>
      <c r="N48" s="93"/>
      <c r="O48" s="93"/>
      <c r="P48" s="93"/>
      <c r="Q48" s="93"/>
      <c r="R48" s="93"/>
      <c r="S48" s="93"/>
      <c r="T48" s="93"/>
      <c r="U48" s="94">
        <f t="shared" si="1"/>
        <v>0</v>
      </c>
      <c r="V48" s="103"/>
      <c r="W48" s="92"/>
      <c r="X48" s="92">
        <f t="shared" si="2"/>
        <v>0</v>
      </c>
      <c r="Y48" s="92"/>
      <c r="Z48" s="92"/>
      <c r="AA48" s="92">
        <f t="shared" si="4"/>
        <v>0</v>
      </c>
      <c r="AB48" s="97">
        <f t="shared" si="3"/>
        <v>0</v>
      </c>
      <c r="AC48" s="96"/>
      <c r="AD48" s="92"/>
      <c r="AE48" s="92"/>
      <c r="AF48" s="92"/>
      <c r="AG48" s="92"/>
      <c r="AH48" s="92"/>
      <c r="AI48" s="92"/>
      <c r="AJ48" s="97"/>
    </row>
    <row r="49" spans="1:36">
      <c r="A49" s="84">
        <f t="shared" si="0"/>
        <v>51</v>
      </c>
      <c r="B49" s="91">
        <v>45794</v>
      </c>
      <c r="C49" s="48">
        <v>45794</v>
      </c>
      <c r="D49" s="104"/>
      <c r="E49" s="105"/>
      <c r="F49" s="100"/>
      <c r="G49" s="92"/>
      <c r="H49" s="92"/>
      <c r="I49" s="92"/>
      <c r="J49" s="92"/>
      <c r="K49" s="92"/>
      <c r="L49" s="92"/>
      <c r="M49" s="93"/>
      <c r="N49" s="93"/>
      <c r="O49" s="93"/>
      <c r="P49" s="93"/>
      <c r="Q49" s="93"/>
      <c r="R49" s="93"/>
      <c r="S49" s="93"/>
      <c r="T49" s="93"/>
      <c r="U49" s="94">
        <f t="shared" si="1"/>
        <v>0</v>
      </c>
      <c r="V49" s="103"/>
      <c r="W49" s="92"/>
      <c r="X49" s="92">
        <f t="shared" si="2"/>
        <v>0</v>
      </c>
      <c r="Y49" s="92"/>
      <c r="Z49" s="92"/>
      <c r="AA49" s="92">
        <f t="shared" si="4"/>
        <v>0</v>
      </c>
      <c r="AB49" s="97">
        <f t="shared" si="3"/>
        <v>0</v>
      </c>
      <c r="AC49" s="96"/>
      <c r="AD49" s="92"/>
      <c r="AE49" s="92"/>
      <c r="AF49" s="92"/>
      <c r="AG49" s="92"/>
      <c r="AH49" s="92"/>
      <c r="AI49" s="92"/>
      <c r="AJ49" s="97"/>
    </row>
    <row r="50" spans="1:36">
      <c r="A50" s="84">
        <f t="shared" si="0"/>
        <v>52</v>
      </c>
      <c r="B50" s="91">
        <v>45795</v>
      </c>
      <c r="C50" s="48">
        <v>45795</v>
      </c>
      <c r="D50" s="104"/>
      <c r="E50" s="105"/>
      <c r="F50" s="100"/>
      <c r="G50" s="92"/>
      <c r="H50" s="92"/>
      <c r="I50" s="92"/>
      <c r="J50" s="92"/>
      <c r="K50" s="92"/>
      <c r="L50" s="92"/>
      <c r="M50" s="93"/>
      <c r="N50" s="93"/>
      <c r="O50" s="93"/>
      <c r="P50" s="93"/>
      <c r="Q50" s="93"/>
      <c r="R50" s="93"/>
      <c r="S50" s="93"/>
      <c r="T50" s="93"/>
      <c r="U50" s="94">
        <f t="shared" si="1"/>
        <v>0</v>
      </c>
      <c r="V50" s="103"/>
      <c r="W50" s="92"/>
      <c r="X50" s="92">
        <f t="shared" si="2"/>
        <v>0</v>
      </c>
      <c r="Y50" s="92"/>
      <c r="Z50" s="92"/>
      <c r="AA50" s="92">
        <f t="shared" si="4"/>
        <v>0</v>
      </c>
      <c r="AB50" s="97">
        <f t="shared" si="3"/>
        <v>0</v>
      </c>
      <c r="AC50" s="96"/>
      <c r="AD50" s="92"/>
      <c r="AE50" s="92"/>
      <c r="AF50" s="92"/>
      <c r="AG50" s="92"/>
      <c r="AH50" s="92"/>
      <c r="AI50" s="92"/>
      <c r="AJ50" s="97"/>
    </row>
    <row r="51" spans="1:36">
      <c r="A51" s="84">
        <f t="shared" si="0"/>
        <v>53</v>
      </c>
      <c r="B51" s="91">
        <v>45796</v>
      </c>
      <c r="C51" s="48">
        <v>45796</v>
      </c>
      <c r="D51" s="104"/>
      <c r="E51" s="105"/>
      <c r="F51" s="100"/>
      <c r="G51" s="92"/>
      <c r="H51" s="92"/>
      <c r="I51" s="92"/>
      <c r="J51" s="92"/>
      <c r="K51" s="92"/>
      <c r="L51" s="92"/>
      <c r="M51" s="93"/>
      <c r="N51" s="93"/>
      <c r="O51" s="93"/>
      <c r="P51" s="93"/>
      <c r="Q51" s="93"/>
      <c r="R51" s="93"/>
      <c r="S51" s="93"/>
      <c r="T51" s="93"/>
      <c r="U51" s="94">
        <f t="shared" si="1"/>
        <v>0</v>
      </c>
      <c r="V51" s="103"/>
      <c r="W51" s="92"/>
      <c r="X51" s="92">
        <f t="shared" si="2"/>
        <v>0</v>
      </c>
      <c r="Y51" s="92"/>
      <c r="Z51" s="92"/>
      <c r="AA51" s="92">
        <f t="shared" si="4"/>
        <v>0</v>
      </c>
      <c r="AB51" s="97">
        <f t="shared" si="3"/>
        <v>0</v>
      </c>
      <c r="AC51" s="96"/>
      <c r="AD51" s="92"/>
      <c r="AE51" s="92"/>
      <c r="AF51" s="92"/>
      <c r="AG51" s="92"/>
      <c r="AH51" s="92"/>
      <c r="AI51" s="92"/>
      <c r="AJ51" s="97"/>
    </row>
    <row r="52" spans="1:36">
      <c r="A52" s="84">
        <f t="shared" si="0"/>
        <v>54</v>
      </c>
      <c r="B52" s="91">
        <v>45797</v>
      </c>
      <c r="C52" s="48">
        <v>45797</v>
      </c>
      <c r="D52" s="104"/>
      <c r="E52" s="105"/>
      <c r="F52" s="100"/>
      <c r="G52" s="92"/>
      <c r="H52" s="92"/>
      <c r="I52" s="92"/>
      <c r="J52" s="92"/>
      <c r="K52" s="92"/>
      <c r="L52" s="92"/>
      <c r="M52" s="93"/>
      <c r="N52" s="93"/>
      <c r="O52" s="93"/>
      <c r="P52" s="93"/>
      <c r="Q52" s="93"/>
      <c r="R52" s="93"/>
      <c r="S52" s="93"/>
      <c r="T52" s="93"/>
      <c r="U52" s="94">
        <f t="shared" si="1"/>
        <v>0</v>
      </c>
      <c r="V52" s="103"/>
      <c r="W52" s="92"/>
      <c r="X52" s="92">
        <f t="shared" si="2"/>
        <v>0</v>
      </c>
      <c r="Y52" s="92"/>
      <c r="Z52" s="92"/>
      <c r="AA52" s="92">
        <f t="shared" si="4"/>
        <v>0</v>
      </c>
      <c r="AB52" s="97">
        <f t="shared" si="3"/>
        <v>0</v>
      </c>
      <c r="AC52" s="96"/>
      <c r="AD52" s="92"/>
      <c r="AE52" s="92"/>
      <c r="AF52" s="92"/>
      <c r="AG52" s="92"/>
      <c r="AH52" s="92"/>
      <c r="AI52" s="92"/>
      <c r="AJ52" s="97"/>
    </row>
    <row r="53" spans="1:36">
      <c r="A53" s="84">
        <f t="shared" si="0"/>
        <v>55</v>
      </c>
      <c r="B53" s="91">
        <v>45798</v>
      </c>
      <c r="C53" s="48">
        <v>45798</v>
      </c>
      <c r="D53" s="104"/>
      <c r="E53" s="105"/>
      <c r="F53" s="100"/>
      <c r="G53" s="92"/>
      <c r="H53" s="92"/>
      <c r="I53" s="92"/>
      <c r="J53" s="92"/>
      <c r="K53" s="92"/>
      <c r="L53" s="92"/>
      <c r="M53" s="93"/>
      <c r="N53" s="93"/>
      <c r="O53" s="93"/>
      <c r="P53" s="93"/>
      <c r="Q53" s="93"/>
      <c r="R53" s="93"/>
      <c r="S53" s="93"/>
      <c r="T53" s="93"/>
      <c r="U53" s="94">
        <f t="shared" si="1"/>
        <v>0</v>
      </c>
      <c r="V53" s="103"/>
      <c r="W53" s="92"/>
      <c r="X53" s="92">
        <f t="shared" si="2"/>
        <v>0</v>
      </c>
      <c r="Y53" s="92"/>
      <c r="Z53" s="92"/>
      <c r="AA53" s="92">
        <f t="shared" si="4"/>
        <v>0</v>
      </c>
      <c r="AB53" s="97">
        <f t="shared" si="3"/>
        <v>0</v>
      </c>
      <c r="AC53" s="96"/>
      <c r="AD53" s="92"/>
      <c r="AE53" s="92"/>
      <c r="AF53" s="92"/>
      <c r="AG53" s="92"/>
      <c r="AH53" s="92"/>
      <c r="AI53" s="92"/>
      <c r="AJ53" s="97"/>
    </row>
    <row r="54" spans="1:36">
      <c r="A54" s="84">
        <f t="shared" si="0"/>
        <v>56</v>
      </c>
      <c r="B54" s="91">
        <v>45799</v>
      </c>
      <c r="C54" s="48">
        <v>45799</v>
      </c>
      <c r="D54" s="104"/>
      <c r="E54" s="105"/>
      <c r="F54" s="100"/>
      <c r="G54" s="92"/>
      <c r="H54" s="92"/>
      <c r="I54" s="92"/>
      <c r="J54" s="92"/>
      <c r="K54" s="92"/>
      <c r="L54" s="92"/>
      <c r="M54" s="93"/>
      <c r="N54" s="93"/>
      <c r="O54" s="93"/>
      <c r="P54" s="93"/>
      <c r="Q54" s="93"/>
      <c r="R54" s="93"/>
      <c r="S54" s="93"/>
      <c r="T54" s="93"/>
      <c r="U54" s="94">
        <f t="shared" si="1"/>
        <v>0</v>
      </c>
      <c r="V54" s="103"/>
      <c r="W54" s="92"/>
      <c r="X54" s="92">
        <f t="shared" si="2"/>
        <v>0</v>
      </c>
      <c r="Y54" s="92"/>
      <c r="Z54" s="92"/>
      <c r="AA54" s="92">
        <f t="shared" si="4"/>
        <v>0</v>
      </c>
      <c r="AB54" s="97">
        <f t="shared" si="3"/>
        <v>0</v>
      </c>
      <c r="AC54" s="96"/>
      <c r="AD54" s="92"/>
      <c r="AE54" s="92"/>
      <c r="AF54" s="92"/>
      <c r="AG54" s="92"/>
      <c r="AH54" s="92"/>
      <c r="AI54" s="92"/>
      <c r="AJ54" s="97"/>
    </row>
    <row r="55" spans="1:36">
      <c r="A55" s="84">
        <f t="shared" si="0"/>
        <v>57</v>
      </c>
      <c r="B55" s="91">
        <v>45800</v>
      </c>
      <c r="C55" s="48">
        <v>45800</v>
      </c>
      <c r="D55" s="104"/>
      <c r="E55" s="105"/>
      <c r="F55" s="100"/>
      <c r="G55" s="92"/>
      <c r="H55" s="92"/>
      <c r="I55" s="92"/>
      <c r="J55" s="92"/>
      <c r="K55" s="92"/>
      <c r="L55" s="92"/>
      <c r="M55" s="93"/>
      <c r="N55" s="93"/>
      <c r="O55" s="93"/>
      <c r="P55" s="93"/>
      <c r="Q55" s="93"/>
      <c r="R55" s="93"/>
      <c r="S55" s="93"/>
      <c r="T55" s="93"/>
      <c r="U55" s="94">
        <f t="shared" si="1"/>
        <v>0</v>
      </c>
      <c r="V55" s="103"/>
      <c r="W55" s="92"/>
      <c r="X55" s="92">
        <f t="shared" si="2"/>
        <v>0</v>
      </c>
      <c r="Y55" s="92"/>
      <c r="Z55" s="92"/>
      <c r="AA55" s="92">
        <f t="shared" si="4"/>
        <v>0</v>
      </c>
      <c r="AB55" s="97">
        <f t="shared" si="3"/>
        <v>0</v>
      </c>
      <c r="AC55" s="96"/>
      <c r="AD55" s="92"/>
      <c r="AE55" s="92"/>
      <c r="AF55" s="92"/>
      <c r="AG55" s="92"/>
      <c r="AH55" s="92"/>
      <c r="AI55" s="92"/>
      <c r="AJ55" s="97"/>
    </row>
    <row r="56" spans="1:36">
      <c r="A56" s="84">
        <f t="shared" si="0"/>
        <v>58</v>
      </c>
      <c r="B56" s="91">
        <v>45801</v>
      </c>
      <c r="C56" s="48">
        <v>45801</v>
      </c>
      <c r="D56" s="104"/>
      <c r="E56" s="105"/>
      <c r="F56" s="100"/>
      <c r="G56" s="92"/>
      <c r="H56" s="92"/>
      <c r="I56" s="92"/>
      <c r="J56" s="92"/>
      <c r="K56" s="92"/>
      <c r="L56" s="92"/>
      <c r="M56" s="93"/>
      <c r="N56" s="93"/>
      <c r="O56" s="93"/>
      <c r="P56" s="93"/>
      <c r="Q56" s="93"/>
      <c r="R56" s="93"/>
      <c r="S56" s="93"/>
      <c r="T56" s="93"/>
      <c r="U56" s="94">
        <f t="shared" si="1"/>
        <v>0</v>
      </c>
      <c r="V56" s="103"/>
      <c r="W56" s="92"/>
      <c r="X56" s="92">
        <f t="shared" si="2"/>
        <v>0</v>
      </c>
      <c r="Y56" s="92"/>
      <c r="Z56" s="92"/>
      <c r="AA56" s="92">
        <f t="shared" si="4"/>
        <v>0</v>
      </c>
      <c r="AB56" s="97">
        <f t="shared" si="3"/>
        <v>0</v>
      </c>
      <c r="AC56" s="96"/>
      <c r="AD56" s="92"/>
      <c r="AE56" s="92"/>
      <c r="AF56" s="92"/>
      <c r="AG56" s="92"/>
      <c r="AH56" s="92"/>
      <c r="AI56" s="92"/>
      <c r="AJ56" s="97"/>
    </row>
    <row r="57" spans="1:36">
      <c r="A57" s="84">
        <f t="shared" si="0"/>
        <v>59</v>
      </c>
      <c r="B57" s="91">
        <v>45802</v>
      </c>
      <c r="C57" s="48">
        <v>45802</v>
      </c>
      <c r="D57" s="104"/>
      <c r="E57" s="105"/>
      <c r="F57" s="100"/>
      <c r="G57" s="92"/>
      <c r="H57" s="92"/>
      <c r="I57" s="92"/>
      <c r="J57" s="92"/>
      <c r="K57" s="92"/>
      <c r="L57" s="92"/>
      <c r="M57" s="93"/>
      <c r="N57" s="93"/>
      <c r="O57" s="93"/>
      <c r="P57" s="93"/>
      <c r="Q57" s="93"/>
      <c r="R57" s="93"/>
      <c r="S57" s="93"/>
      <c r="T57" s="93"/>
      <c r="U57" s="94">
        <f t="shared" si="1"/>
        <v>0</v>
      </c>
      <c r="V57" s="103"/>
      <c r="W57" s="92"/>
      <c r="X57" s="92">
        <f t="shared" si="2"/>
        <v>0</v>
      </c>
      <c r="Y57" s="92"/>
      <c r="Z57" s="92"/>
      <c r="AA57" s="92">
        <f t="shared" si="4"/>
        <v>0</v>
      </c>
      <c r="AB57" s="97">
        <f t="shared" si="3"/>
        <v>0</v>
      </c>
      <c r="AC57" s="96"/>
      <c r="AD57" s="92"/>
      <c r="AE57" s="92"/>
      <c r="AF57" s="92"/>
      <c r="AG57" s="92"/>
      <c r="AH57" s="92"/>
      <c r="AI57" s="92"/>
      <c r="AJ57" s="97"/>
    </row>
    <row r="58" spans="1:36">
      <c r="A58" s="84">
        <f t="shared" si="0"/>
        <v>60</v>
      </c>
      <c r="B58" s="91">
        <v>45803</v>
      </c>
      <c r="C58" s="48">
        <v>45803</v>
      </c>
      <c r="D58" s="104"/>
      <c r="E58" s="105"/>
      <c r="F58" s="100"/>
      <c r="G58" s="92"/>
      <c r="H58" s="92"/>
      <c r="I58" s="92"/>
      <c r="J58" s="92"/>
      <c r="K58" s="92"/>
      <c r="L58" s="92"/>
      <c r="M58" s="93"/>
      <c r="N58" s="93"/>
      <c r="O58" s="93"/>
      <c r="P58" s="93"/>
      <c r="Q58" s="93"/>
      <c r="R58" s="93"/>
      <c r="S58" s="93"/>
      <c r="T58" s="93"/>
      <c r="U58" s="94">
        <f t="shared" si="1"/>
        <v>0</v>
      </c>
      <c r="V58" s="103"/>
      <c r="W58" s="92"/>
      <c r="X58" s="92">
        <f t="shared" si="2"/>
        <v>0</v>
      </c>
      <c r="Y58" s="92"/>
      <c r="Z58" s="92"/>
      <c r="AA58" s="92">
        <f t="shared" si="4"/>
        <v>0</v>
      </c>
      <c r="AB58" s="97">
        <f t="shared" si="3"/>
        <v>0</v>
      </c>
      <c r="AC58" s="96"/>
      <c r="AD58" s="92"/>
      <c r="AE58" s="92"/>
      <c r="AF58" s="92"/>
      <c r="AG58" s="92"/>
      <c r="AH58" s="92"/>
      <c r="AI58" s="92"/>
      <c r="AJ58" s="97"/>
    </row>
    <row r="59" spans="1:36">
      <c r="A59" s="84">
        <f t="shared" si="0"/>
        <v>61</v>
      </c>
      <c r="B59" s="91">
        <v>45804</v>
      </c>
      <c r="C59" s="48">
        <v>45804</v>
      </c>
      <c r="D59" s="104"/>
      <c r="E59" s="105"/>
      <c r="F59" s="100"/>
      <c r="G59" s="92"/>
      <c r="H59" s="92"/>
      <c r="I59" s="92"/>
      <c r="J59" s="92"/>
      <c r="K59" s="92"/>
      <c r="L59" s="92"/>
      <c r="M59" s="93"/>
      <c r="N59" s="93"/>
      <c r="O59" s="93"/>
      <c r="P59" s="93"/>
      <c r="Q59" s="93"/>
      <c r="R59" s="93"/>
      <c r="S59" s="93"/>
      <c r="T59" s="93"/>
      <c r="U59" s="94">
        <f t="shared" si="1"/>
        <v>0</v>
      </c>
      <c r="V59" s="103"/>
      <c r="W59" s="92"/>
      <c r="X59" s="92">
        <f t="shared" si="2"/>
        <v>0</v>
      </c>
      <c r="Y59" s="92"/>
      <c r="Z59" s="92"/>
      <c r="AA59" s="92">
        <f t="shared" si="4"/>
        <v>0</v>
      </c>
      <c r="AB59" s="97">
        <f t="shared" si="3"/>
        <v>0</v>
      </c>
      <c r="AC59" s="96"/>
      <c r="AD59" s="92"/>
      <c r="AE59" s="92"/>
      <c r="AF59" s="92"/>
      <c r="AG59" s="92"/>
      <c r="AH59" s="92"/>
      <c r="AI59" s="92"/>
      <c r="AJ59" s="97"/>
    </row>
    <row r="60" spans="1:36">
      <c r="A60" s="84">
        <f t="shared" si="0"/>
        <v>62</v>
      </c>
      <c r="B60" s="91">
        <v>45805</v>
      </c>
      <c r="C60" s="48">
        <v>45805</v>
      </c>
      <c r="D60" s="106"/>
      <c r="E60" s="107"/>
      <c r="F60" s="100"/>
      <c r="G60" s="92"/>
      <c r="H60" s="92"/>
      <c r="I60" s="92"/>
      <c r="J60" s="92"/>
      <c r="K60" s="92"/>
      <c r="L60" s="92"/>
      <c r="M60" s="93"/>
      <c r="N60" s="93"/>
      <c r="O60" s="93"/>
      <c r="P60" s="93"/>
      <c r="Q60" s="93"/>
      <c r="R60" s="93"/>
      <c r="S60" s="93"/>
      <c r="T60" s="93"/>
      <c r="U60" s="94">
        <f t="shared" si="1"/>
        <v>0</v>
      </c>
      <c r="V60" s="103"/>
      <c r="W60" s="92"/>
      <c r="X60" s="92">
        <f t="shared" si="2"/>
        <v>0</v>
      </c>
      <c r="Y60" s="92"/>
      <c r="Z60" s="92"/>
      <c r="AA60" s="92">
        <f t="shared" si="4"/>
        <v>0</v>
      </c>
      <c r="AB60" s="97">
        <f t="shared" si="3"/>
        <v>0</v>
      </c>
      <c r="AC60" s="96"/>
      <c r="AD60" s="106"/>
      <c r="AE60" s="92"/>
      <c r="AF60" s="92"/>
      <c r="AG60" s="92"/>
      <c r="AH60" s="92"/>
      <c r="AI60" s="92"/>
      <c r="AJ60" s="97"/>
    </row>
    <row r="61" spans="1:36">
      <c r="A61" s="84">
        <f t="shared" si="0"/>
        <v>63</v>
      </c>
      <c r="B61" s="91">
        <v>45806</v>
      </c>
      <c r="C61" s="48">
        <v>45806</v>
      </c>
      <c r="D61" s="104"/>
      <c r="E61" s="105"/>
      <c r="F61" s="100"/>
      <c r="G61" s="92"/>
      <c r="H61" s="92"/>
      <c r="I61" s="92"/>
      <c r="J61" s="92"/>
      <c r="K61" s="92"/>
      <c r="L61" s="92"/>
      <c r="M61" s="93"/>
      <c r="N61" s="93"/>
      <c r="O61" s="93"/>
      <c r="P61" s="93"/>
      <c r="Q61" s="93"/>
      <c r="R61" s="93"/>
      <c r="S61" s="93"/>
      <c r="T61" s="93"/>
      <c r="U61" s="94">
        <f t="shared" si="1"/>
        <v>0</v>
      </c>
      <c r="V61" s="103"/>
      <c r="W61" s="92"/>
      <c r="X61" s="92">
        <f t="shared" si="2"/>
        <v>0</v>
      </c>
      <c r="Y61" s="92"/>
      <c r="Z61" s="92"/>
      <c r="AA61" s="92">
        <f t="shared" si="4"/>
        <v>0</v>
      </c>
      <c r="AB61" s="97">
        <f t="shared" si="3"/>
        <v>0</v>
      </c>
      <c r="AC61" s="96"/>
      <c r="AD61" s="92"/>
      <c r="AE61" s="92"/>
      <c r="AF61" s="92"/>
      <c r="AG61" s="92"/>
      <c r="AH61" s="92"/>
      <c r="AI61" s="92"/>
      <c r="AJ61" s="97"/>
    </row>
    <row r="62" spans="1:36">
      <c r="A62" s="84">
        <f t="shared" si="0"/>
        <v>64</v>
      </c>
      <c r="B62" s="91">
        <v>45807</v>
      </c>
      <c r="C62" s="48">
        <v>45807</v>
      </c>
      <c r="D62" s="104"/>
      <c r="E62" s="105"/>
      <c r="F62" s="100"/>
      <c r="G62" s="92"/>
      <c r="H62" s="92"/>
      <c r="I62" s="92"/>
      <c r="J62" s="92"/>
      <c r="K62" s="92"/>
      <c r="L62" s="92"/>
      <c r="M62" s="93"/>
      <c r="N62" s="93"/>
      <c r="O62" s="93"/>
      <c r="P62" s="93"/>
      <c r="Q62" s="93"/>
      <c r="R62" s="93"/>
      <c r="S62" s="93"/>
      <c r="T62" s="93"/>
      <c r="U62" s="94">
        <f t="shared" si="1"/>
        <v>0</v>
      </c>
      <c r="V62" s="103"/>
      <c r="W62" s="92"/>
      <c r="X62" s="92">
        <f t="shared" si="2"/>
        <v>0</v>
      </c>
      <c r="Y62" s="92"/>
      <c r="Z62" s="92"/>
      <c r="AA62" s="92">
        <f t="shared" si="4"/>
        <v>0</v>
      </c>
      <c r="AB62" s="97">
        <f t="shared" si="3"/>
        <v>0</v>
      </c>
      <c r="AC62" s="96"/>
      <c r="AD62" s="92"/>
      <c r="AE62" s="92"/>
      <c r="AF62" s="92"/>
      <c r="AG62" s="92"/>
      <c r="AH62" s="92"/>
      <c r="AI62" s="92"/>
      <c r="AJ62" s="97"/>
    </row>
    <row r="63" spans="1:36">
      <c r="A63" s="84">
        <f t="shared" si="0"/>
        <v>65</v>
      </c>
      <c r="B63" s="91">
        <v>45808</v>
      </c>
      <c r="C63" s="48">
        <v>45808</v>
      </c>
      <c r="D63" s="104"/>
      <c r="E63" s="105"/>
      <c r="F63" s="100"/>
      <c r="G63" s="92"/>
      <c r="H63" s="92"/>
      <c r="I63" s="92"/>
      <c r="J63" s="92"/>
      <c r="K63" s="92"/>
      <c r="L63" s="92"/>
      <c r="M63" s="93"/>
      <c r="N63" s="93"/>
      <c r="O63" s="93"/>
      <c r="P63" s="93"/>
      <c r="Q63" s="93"/>
      <c r="R63" s="93"/>
      <c r="S63" s="93"/>
      <c r="T63" s="93"/>
      <c r="U63" s="94">
        <f t="shared" si="1"/>
        <v>0</v>
      </c>
      <c r="V63" s="103"/>
      <c r="W63" s="92"/>
      <c r="X63" s="92">
        <f t="shared" si="2"/>
        <v>0</v>
      </c>
      <c r="Y63" s="92"/>
      <c r="Z63" s="92"/>
      <c r="AA63" s="92">
        <f t="shared" si="4"/>
        <v>0</v>
      </c>
      <c r="AB63" s="97">
        <f t="shared" si="3"/>
        <v>0</v>
      </c>
      <c r="AC63" s="96"/>
      <c r="AD63" s="92"/>
      <c r="AE63" s="92"/>
      <c r="AF63" s="92"/>
      <c r="AG63" s="92"/>
      <c r="AH63" s="92"/>
      <c r="AI63" s="92"/>
      <c r="AJ63" s="97"/>
    </row>
    <row r="64" spans="1:36">
      <c r="A64" s="84">
        <f t="shared" si="0"/>
        <v>66</v>
      </c>
      <c r="B64" s="91">
        <v>45809</v>
      </c>
      <c r="C64" s="48">
        <v>45809</v>
      </c>
      <c r="D64" s="104"/>
      <c r="E64" s="105"/>
      <c r="F64" s="100"/>
      <c r="G64" s="92"/>
      <c r="H64" s="92"/>
      <c r="I64" s="92"/>
      <c r="J64" s="92"/>
      <c r="K64" s="92"/>
      <c r="L64" s="92"/>
      <c r="M64" s="93"/>
      <c r="N64" s="93"/>
      <c r="O64" s="93"/>
      <c r="P64" s="93"/>
      <c r="Q64" s="93"/>
      <c r="R64" s="93"/>
      <c r="S64" s="93"/>
      <c r="T64" s="93"/>
      <c r="U64" s="94">
        <f t="shared" si="1"/>
        <v>0</v>
      </c>
      <c r="V64" s="103"/>
      <c r="W64" s="92"/>
      <c r="X64" s="92">
        <f t="shared" si="2"/>
        <v>0</v>
      </c>
      <c r="Y64" s="92"/>
      <c r="Z64" s="92"/>
      <c r="AA64" s="92">
        <f t="shared" si="4"/>
        <v>0</v>
      </c>
      <c r="AB64" s="97">
        <f t="shared" si="3"/>
        <v>0</v>
      </c>
      <c r="AC64" s="96"/>
      <c r="AD64" s="92"/>
      <c r="AE64" s="92"/>
      <c r="AF64" s="92"/>
      <c r="AG64" s="92"/>
      <c r="AH64" s="92"/>
      <c r="AI64" s="92"/>
      <c r="AJ64" s="97"/>
    </row>
    <row r="65" spans="1:36">
      <c r="A65" s="84">
        <f t="shared" si="0"/>
        <v>67</v>
      </c>
      <c r="B65" s="91">
        <v>45810</v>
      </c>
      <c r="C65" s="48">
        <v>45810</v>
      </c>
      <c r="D65" s="104"/>
      <c r="E65" s="105"/>
      <c r="F65" s="100"/>
      <c r="G65" s="92"/>
      <c r="H65" s="92"/>
      <c r="I65" s="92"/>
      <c r="J65" s="92"/>
      <c r="K65" s="92"/>
      <c r="L65" s="92"/>
      <c r="M65" s="93"/>
      <c r="N65" s="93"/>
      <c r="O65" s="93"/>
      <c r="P65" s="93"/>
      <c r="Q65" s="93"/>
      <c r="R65" s="93"/>
      <c r="S65" s="93"/>
      <c r="T65" s="93"/>
      <c r="U65" s="94">
        <f t="shared" si="1"/>
        <v>0</v>
      </c>
      <c r="V65" s="103"/>
      <c r="W65" s="92"/>
      <c r="X65" s="92">
        <f t="shared" si="2"/>
        <v>0</v>
      </c>
      <c r="Y65" s="92"/>
      <c r="Z65" s="92"/>
      <c r="AA65" s="92">
        <f t="shared" si="4"/>
        <v>0</v>
      </c>
      <c r="AB65" s="97">
        <f t="shared" si="3"/>
        <v>0</v>
      </c>
      <c r="AC65" s="96"/>
      <c r="AD65" s="92"/>
      <c r="AE65" s="92"/>
      <c r="AF65" s="92"/>
      <c r="AG65" s="92"/>
      <c r="AH65" s="92"/>
      <c r="AI65" s="92"/>
      <c r="AJ65" s="97"/>
    </row>
    <row r="66" spans="1:36">
      <c r="A66" s="84">
        <f t="shared" si="0"/>
        <v>68</v>
      </c>
      <c r="B66" s="91">
        <v>45811</v>
      </c>
      <c r="C66" s="48">
        <v>45811</v>
      </c>
      <c r="D66" s="104"/>
      <c r="E66" s="105"/>
      <c r="F66" s="100"/>
      <c r="G66" s="92"/>
      <c r="H66" s="92"/>
      <c r="I66" s="92"/>
      <c r="J66" s="92"/>
      <c r="K66" s="92"/>
      <c r="L66" s="92"/>
      <c r="M66" s="93"/>
      <c r="N66" s="93"/>
      <c r="O66" s="93"/>
      <c r="P66" s="93"/>
      <c r="Q66" s="93"/>
      <c r="R66" s="93"/>
      <c r="S66" s="93"/>
      <c r="T66" s="93"/>
      <c r="U66" s="94">
        <f t="shared" si="1"/>
        <v>0</v>
      </c>
      <c r="V66" s="103"/>
      <c r="W66" s="92"/>
      <c r="X66" s="92">
        <f t="shared" si="2"/>
        <v>0</v>
      </c>
      <c r="Y66" s="92"/>
      <c r="Z66" s="92"/>
      <c r="AA66" s="92">
        <f t="shared" si="4"/>
        <v>0</v>
      </c>
      <c r="AB66" s="97">
        <f t="shared" si="3"/>
        <v>0</v>
      </c>
      <c r="AC66" s="96"/>
      <c r="AD66" s="92"/>
      <c r="AE66" s="92"/>
      <c r="AF66" s="92"/>
      <c r="AG66" s="92"/>
      <c r="AH66" s="92"/>
      <c r="AI66" s="92"/>
      <c r="AJ66" s="97"/>
    </row>
    <row r="67" spans="1:36">
      <c r="A67" s="84">
        <f t="shared" ref="A67:A130" si="5">A66+1</f>
        <v>69</v>
      </c>
      <c r="B67" s="91">
        <v>45812</v>
      </c>
      <c r="C67" s="48">
        <v>45812</v>
      </c>
      <c r="D67" s="104"/>
      <c r="E67" s="105"/>
      <c r="F67" s="100"/>
      <c r="G67" s="92"/>
      <c r="H67" s="92"/>
      <c r="I67" s="92"/>
      <c r="J67" s="92"/>
      <c r="K67" s="92"/>
      <c r="L67" s="92"/>
      <c r="M67" s="93"/>
      <c r="N67" s="93"/>
      <c r="O67" s="93"/>
      <c r="P67" s="93"/>
      <c r="Q67" s="93"/>
      <c r="R67" s="93"/>
      <c r="S67" s="93"/>
      <c r="T67" s="93"/>
      <c r="U67" s="94">
        <f t="shared" ref="U67:U130" si="6">SUM(F67:T67)</f>
        <v>0</v>
      </c>
      <c r="V67" s="103"/>
      <c r="W67" s="92"/>
      <c r="X67" s="92">
        <f t="shared" ref="X67:X130" si="7">MAX((W67-V67)*5000,0)</f>
        <v>0</v>
      </c>
      <c r="Y67" s="92"/>
      <c r="Z67" s="92"/>
      <c r="AA67" s="92">
        <f t="shared" si="4"/>
        <v>0</v>
      </c>
      <c r="AB67" s="97">
        <f t="shared" ref="AB67:AB130" si="8">X67-AA67</f>
        <v>0</v>
      </c>
      <c r="AC67" s="96"/>
      <c r="AD67" s="92"/>
      <c r="AE67" s="92"/>
      <c r="AF67" s="92"/>
      <c r="AG67" s="92"/>
      <c r="AH67" s="92"/>
      <c r="AI67" s="92"/>
      <c r="AJ67" s="97"/>
    </row>
    <row r="68" spans="1:36">
      <c r="A68" s="84">
        <f t="shared" si="5"/>
        <v>70</v>
      </c>
      <c r="B68" s="91">
        <v>45813</v>
      </c>
      <c r="C68" s="48">
        <v>45813</v>
      </c>
      <c r="D68" s="104"/>
      <c r="E68" s="105"/>
      <c r="F68" s="100"/>
      <c r="G68" s="92"/>
      <c r="H68" s="92"/>
      <c r="I68" s="92"/>
      <c r="J68" s="92"/>
      <c r="K68" s="92"/>
      <c r="L68" s="92"/>
      <c r="M68" s="93"/>
      <c r="N68" s="93"/>
      <c r="O68" s="93"/>
      <c r="P68" s="93"/>
      <c r="Q68" s="93"/>
      <c r="R68" s="93"/>
      <c r="S68" s="93"/>
      <c r="T68" s="93"/>
      <c r="U68" s="94">
        <f t="shared" si="6"/>
        <v>0</v>
      </c>
      <c r="V68" s="103"/>
      <c r="W68" s="92"/>
      <c r="X68" s="92">
        <f t="shared" si="7"/>
        <v>0</v>
      </c>
      <c r="Y68" s="92"/>
      <c r="Z68" s="92"/>
      <c r="AA68" s="92">
        <f t="shared" ref="AA68:AA131" si="9">MAX((Z68-Y68)*5000,0)</f>
        <v>0</v>
      </c>
      <c r="AB68" s="97">
        <f t="shared" si="8"/>
        <v>0</v>
      </c>
      <c r="AC68" s="96"/>
      <c r="AD68" s="92"/>
      <c r="AE68" s="92"/>
      <c r="AF68" s="92"/>
      <c r="AG68" s="92"/>
      <c r="AH68" s="92"/>
      <c r="AI68" s="92"/>
      <c r="AJ68" s="97"/>
    </row>
    <row r="69" spans="1:36">
      <c r="A69" s="84">
        <f t="shared" si="5"/>
        <v>71</v>
      </c>
      <c r="B69" s="91">
        <v>45814</v>
      </c>
      <c r="C69" s="48">
        <v>45814</v>
      </c>
      <c r="D69" s="104"/>
      <c r="E69" s="105"/>
      <c r="F69" s="100"/>
      <c r="G69" s="92"/>
      <c r="H69" s="92"/>
      <c r="I69" s="92"/>
      <c r="J69" s="92"/>
      <c r="K69" s="92"/>
      <c r="L69" s="92"/>
      <c r="M69" s="93"/>
      <c r="N69" s="93"/>
      <c r="O69" s="93"/>
      <c r="P69" s="93"/>
      <c r="Q69" s="93"/>
      <c r="R69" s="93"/>
      <c r="S69" s="93"/>
      <c r="T69" s="93"/>
      <c r="U69" s="94">
        <f t="shared" si="6"/>
        <v>0</v>
      </c>
      <c r="V69" s="103"/>
      <c r="W69" s="92"/>
      <c r="X69" s="92">
        <f t="shared" si="7"/>
        <v>0</v>
      </c>
      <c r="Y69" s="92"/>
      <c r="Z69" s="92"/>
      <c r="AA69" s="92">
        <f t="shared" si="9"/>
        <v>0</v>
      </c>
      <c r="AB69" s="97">
        <f t="shared" si="8"/>
        <v>0</v>
      </c>
      <c r="AC69" s="96"/>
      <c r="AD69" s="92"/>
      <c r="AE69" s="92"/>
      <c r="AF69" s="92"/>
      <c r="AG69" s="92"/>
      <c r="AH69" s="92"/>
      <c r="AI69" s="92"/>
      <c r="AJ69" s="97"/>
    </row>
    <row r="70" spans="1:36">
      <c r="A70" s="84">
        <f t="shared" si="5"/>
        <v>72</v>
      </c>
      <c r="B70" s="91">
        <v>45815</v>
      </c>
      <c r="C70" s="48">
        <v>45815</v>
      </c>
      <c r="D70" s="104"/>
      <c r="E70" s="105"/>
      <c r="F70" s="100"/>
      <c r="G70" s="92"/>
      <c r="H70" s="92"/>
      <c r="I70" s="92"/>
      <c r="J70" s="92"/>
      <c r="K70" s="92"/>
      <c r="L70" s="92"/>
      <c r="M70" s="93"/>
      <c r="N70" s="93"/>
      <c r="O70" s="93"/>
      <c r="P70" s="93"/>
      <c r="Q70" s="93"/>
      <c r="R70" s="93"/>
      <c r="S70" s="93"/>
      <c r="T70" s="93"/>
      <c r="U70" s="94">
        <f t="shared" si="6"/>
        <v>0</v>
      </c>
      <c r="V70" s="103"/>
      <c r="W70" s="92"/>
      <c r="X70" s="92">
        <f t="shared" si="7"/>
        <v>0</v>
      </c>
      <c r="Y70" s="92"/>
      <c r="Z70" s="92"/>
      <c r="AA70" s="92">
        <f t="shared" si="9"/>
        <v>0</v>
      </c>
      <c r="AB70" s="97">
        <f t="shared" si="8"/>
        <v>0</v>
      </c>
      <c r="AC70" s="96"/>
      <c r="AD70" s="92"/>
      <c r="AE70" s="92"/>
      <c r="AF70" s="92"/>
      <c r="AG70" s="92"/>
      <c r="AH70" s="92"/>
      <c r="AI70" s="92"/>
      <c r="AJ70" s="97"/>
    </row>
    <row r="71" spans="1:36">
      <c r="A71" s="84">
        <f t="shared" si="5"/>
        <v>73</v>
      </c>
      <c r="B71" s="91">
        <v>45816</v>
      </c>
      <c r="C71" s="48">
        <v>45816</v>
      </c>
      <c r="D71" s="104"/>
      <c r="E71" s="105"/>
      <c r="F71" s="100"/>
      <c r="G71" s="92"/>
      <c r="H71" s="92"/>
      <c r="I71" s="92"/>
      <c r="J71" s="92"/>
      <c r="K71" s="92"/>
      <c r="L71" s="92"/>
      <c r="M71" s="93"/>
      <c r="N71" s="93"/>
      <c r="O71" s="93"/>
      <c r="P71" s="93"/>
      <c r="Q71" s="93"/>
      <c r="R71" s="93"/>
      <c r="S71" s="93"/>
      <c r="T71" s="93"/>
      <c r="U71" s="94">
        <f t="shared" si="6"/>
        <v>0</v>
      </c>
      <c r="V71" s="103"/>
      <c r="W71" s="92"/>
      <c r="X71" s="92">
        <f t="shared" si="7"/>
        <v>0</v>
      </c>
      <c r="Y71" s="92"/>
      <c r="Z71" s="92"/>
      <c r="AA71" s="92">
        <f t="shared" si="9"/>
        <v>0</v>
      </c>
      <c r="AB71" s="97">
        <f t="shared" si="8"/>
        <v>0</v>
      </c>
      <c r="AC71" s="96"/>
      <c r="AD71" s="92"/>
      <c r="AE71" s="92"/>
      <c r="AF71" s="92"/>
      <c r="AG71" s="92"/>
      <c r="AH71" s="92"/>
      <c r="AI71" s="92"/>
      <c r="AJ71" s="97"/>
    </row>
    <row r="72" spans="1:36">
      <c r="A72" s="84">
        <f t="shared" si="5"/>
        <v>74</v>
      </c>
      <c r="B72" s="91">
        <v>45817</v>
      </c>
      <c r="C72" s="48">
        <v>45817</v>
      </c>
      <c r="D72" s="104"/>
      <c r="E72" s="105"/>
      <c r="F72" s="100"/>
      <c r="G72" s="92"/>
      <c r="H72" s="92"/>
      <c r="I72" s="92"/>
      <c r="J72" s="92"/>
      <c r="K72" s="92"/>
      <c r="L72" s="92"/>
      <c r="M72" s="93"/>
      <c r="N72" s="93"/>
      <c r="O72" s="93"/>
      <c r="P72" s="93"/>
      <c r="Q72" s="93"/>
      <c r="R72" s="93"/>
      <c r="S72" s="93"/>
      <c r="T72" s="93"/>
      <c r="U72" s="94">
        <f t="shared" si="6"/>
        <v>0</v>
      </c>
      <c r="V72" s="103"/>
      <c r="W72" s="92"/>
      <c r="X72" s="92">
        <f t="shared" si="7"/>
        <v>0</v>
      </c>
      <c r="Y72" s="92"/>
      <c r="Z72" s="92"/>
      <c r="AA72" s="92">
        <f t="shared" si="9"/>
        <v>0</v>
      </c>
      <c r="AB72" s="97">
        <f t="shared" si="8"/>
        <v>0</v>
      </c>
      <c r="AC72" s="96"/>
      <c r="AD72" s="92"/>
      <c r="AE72" s="92"/>
      <c r="AF72" s="92"/>
      <c r="AG72" s="92"/>
      <c r="AH72" s="92"/>
      <c r="AI72" s="92"/>
      <c r="AJ72" s="97"/>
    </row>
    <row r="73" spans="1:36">
      <c r="A73" s="84">
        <f t="shared" si="5"/>
        <v>75</v>
      </c>
      <c r="B73" s="91">
        <v>45818</v>
      </c>
      <c r="C73" s="48">
        <v>45818</v>
      </c>
      <c r="D73" s="104"/>
      <c r="E73" s="105"/>
      <c r="F73" s="17">
        <v>479.05</v>
      </c>
      <c r="G73" s="17">
        <v>479.22</v>
      </c>
      <c r="H73" s="17">
        <v>475.46</v>
      </c>
      <c r="I73" s="17">
        <v>477.38</v>
      </c>
      <c r="J73" s="17">
        <v>473.68</v>
      </c>
      <c r="K73" s="17">
        <v>464.18</v>
      </c>
      <c r="L73" s="17">
        <v>473.68</v>
      </c>
      <c r="M73" s="17">
        <v>499.04</v>
      </c>
      <c r="N73" s="17">
        <v>480.76</v>
      </c>
      <c r="O73" s="17">
        <v>426.79</v>
      </c>
      <c r="P73" s="17">
        <v>461.88</v>
      </c>
      <c r="Q73" s="17">
        <v>482.59</v>
      </c>
      <c r="R73" s="17">
        <v>461.76</v>
      </c>
      <c r="S73" s="17">
        <v>483.65</v>
      </c>
      <c r="T73" s="17">
        <v>483.48</v>
      </c>
      <c r="U73" s="94">
        <f t="shared" si="6"/>
        <v>7102.6</v>
      </c>
      <c r="V73" s="103">
        <v>2.24</v>
      </c>
      <c r="W73" s="92">
        <v>2.24</v>
      </c>
      <c r="X73" s="92">
        <f t="shared" si="7"/>
        <v>0</v>
      </c>
      <c r="Y73" s="39"/>
      <c r="Z73" s="92">
        <v>1.92</v>
      </c>
      <c r="AA73" s="92">
        <f t="shared" si="9"/>
        <v>9600</v>
      </c>
      <c r="AB73" s="97">
        <f t="shared" si="8"/>
        <v>-9600</v>
      </c>
      <c r="AC73" s="96"/>
      <c r="AD73" s="92"/>
      <c r="AE73" s="92"/>
      <c r="AF73" s="39"/>
      <c r="AG73" s="92"/>
      <c r="AH73" s="92"/>
      <c r="AI73" s="92"/>
      <c r="AJ73" s="97"/>
    </row>
    <row r="74" spans="1:36">
      <c r="A74" s="84">
        <f t="shared" si="5"/>
        <v>76</v>
      </c>
      <c r="B74" s="91">
        <v>45819</v>
      </c>
      <c r="C74" s="48">
        <v>45819</v>
      </c>
      <c r="D74" s="104"/>
      <c r="E74" s="105"/>
      <c r="F74" s="17">
        <v>1441.56</v>
      </c>
      <c r="G74" s="17">
        <v>1431.88</v>
      </c>
      <c r="H74" s="17">
        <v>1462.99</v>
      </c>
      <c r="I74" s="17">
        <v>1462.12</v>
      </c>
      <c r="J74" s="17">
        <v>1466.89</v>
      </c>
      <c r="K74" s="17">
        <v>1458.42</v>
      </c>
      <c r="L74" s="17">
        <v>1474.14</v>
      </c>
      <c r="M74" s="17">
        <v>1550.44</v>
      </c>
      <c r="N74" s="17">
        <v>1524.27</v>
      </c>
      <c r="O74" s="17">
        <v>1377.49</v>
      </c>
      <c r="P74" s="17">
        <v>1452.24</v>
      </c>
      <c r="Q74" s="17">
        <v>1524.69</v>
      </c>
      <c r="R74" s="17">
        <v>1447.08</v>
      </c>
      <c r="S74" s="17">
        <v>1514.83</v>
      </c>
      <c r="T74" s="17">
        <v>1516.35</v>
      </c>
      <c r="U74" s="94">
        <f t="shared" si="6"/>
        <v>22105.39</v>
      </c>
      <c r="V74" s="103">
        <f>W73</f>
        <v>2.24</v>
      </c>
      <c r="W74" s="92">
        <v>6.64</v>
      </c>
      <c r="X74" s="92">
        <f t="shared" si="7"/>
        <v>22000</v>
      </c>
      <c r="Y74" s="39">
        <f>Z73</f>
        <v>1.92</v>
      </c>
      <c r="Z74" s="92">
        <v>1.93</v>
      </c>
      <c r="AA74" s="92">
        <f t="shared" si="9"/>
        <v>50</v>
      </c>
      <c r="AB74" s="97">
        <f t="shared" si="8"/>
        <v>21950</v>
      </c>
      <c r="AC74" s="96"/>
      <c r="AD74" s="92"/>
      <c r="AE74" s="92"/>
      <c r="AF74" s="39"/>
      <c r="AG74" s="92"/>
      <c r="AH74" s="92"/>
      <c r="AI74" s="92"/>
      <c r="AJ74" s="97"/>
    </row>
    <row r="75" spans="1:36">
      <c r="A75" s="84">
        <f t="shared" si="5"/>
        <v>77</v>
      </c>
      <c r="B75" s="91">
        <v>45820</v>
      </c>
      <c r="C75" s="48">
        <v>45820</v>
      </c>
      <c r="D75" s="104"/>
      <c r="E75" s="105"/>
      <c r="F75" s="17">
        <v>1322.33</v>
      </c>
      <c r="G75" s="17">
        <v>1316.77</v>
      </c>
      <c r="H75" s="17">
        <v>1341.61</v>
      </c>
      <c r="I75" s="17">
        <v>1342.62</v>
      </c>
      <c r="J75" s="17">
        <v>1349.17</v>
      </c>
      <c r="K75" s="17">
        <v>1336.15</v>
      </c>
      <c r="L75" s="17">
        <v>1322.88</v>
      </c>
      <c r="M75" s="17">
        <v>1373.95</v>
      </c>
      <c r="N75" s="17">
        <v>1374.49</v>
      </c>
      <c r="O75" s="17">
        <v>1277.89</v>
      </c>
      <c r="P75" s="17">
        <v>1338.14</v>
      </c>
      <c r="Q75" s="17">
        <v>1389.75</v>
      </c>
      <c r="R75" s="17">
        <v>1340.7</v>
      </c>
      <c r="S75" s="17">
        <v>1395.84</v>
      </c>
      <c r="T75" s="17">
        <v>1394.87</v>
      </c>
      <c r="U75" s="94">
        <f t="shared" si="6"/>
        <v>20217.16</v>
      </c>
      <c r="V75" s="103">
        <f t="shared" ref="V75:V106" si="10">W74</f>
        <v>6.64</v>
      </c>
      <c r="W75" s="92">
        <v>10.69</v>
      </c>
      <c r="X75" s="92">
        <f t="shared" si="7"/>
        <v>20250</v>
      </c>
      <c r="Y75" s="39">
        <f t="shared" ref="Y75:Y108" si="11">Z74</f>
        <v>1.93</v>
      </c>
      <c r="Z75" s="92">
        <v>1.94</v>
      </c>
      <c r="AA75" s="92">
        <f t="shared" si="9"/>
        <v>50</v>
      </c>
      <c r="AB75" s="97">
        <f t="shared" si="8"/>
        <v>20200</v>
      </c>
      <c r="AC75" s="96"/>
      <c r="AD75" s="92"/>
      <c r="AE75" s="92"/>
      <c r="AF75" s="39"/>
      <c r="AG75" s="92"/>
      <c r="AH75" s="92"/>
      <c r="AI75" s="92"/>
      <c r="AJ75" s="97"/>
    </row>
    <row r="76" spans="1:36">
      <c r="A76" s="84">
        <f t="shared" si="5"/>
        <v>78</v>
      </c>
      <c r="B76" s="91">
        <v>45821</v>
      </c>
      <c r="C76" s="48">
        <v>45821</v>
      </c>
      <c r="D76" s="104"/>
      <c r="E76" s="105"/>
      <c r="F76" s="17">
        <v>843.05</v>
      </c>
      <c r="G76" s="17">
        <v>830.8</v>
      </c>
      <c r="H76" s="17">
        <v>824.39</v>
      </c>
      <c r="I76" s="17">
        <v>832.77</v>
      </c>
      <c r="J76" s="17">
        <v>839.85</v>
      </c>
      <c r="K76" s="17">
        <v>822.59</v>
      </c>
      <c r="L76" s="17">
        <v>842.08</v>
      </c>
      <c r="M76" s="17">
        <v>870.5</v>
      </c>
      <c r="N76" s="17">
        <v>879.66</v>
      </c>
      <c r="O76" s="17">
        <v>829.56</v>
      </c>
      <c r="P76" s="17">
        <v>791.82</v>
      </c>
      <c r="Q76" s="17">
        <v>863.33</v>
      </c>
      <c r="R76" s="17">
        <v>882.6</v>
      </c>
      <c r="S76" s="17">
        <v>834.56</v>
      </c>
      <c r="T76" s="17">
        <v>859.88</v>
      </c>
      <c r="U76" s="94">
        <f t="shared" si="6"/>
        <v>12647.44</v>
      </c>
      <c r="V76" s="103">
        <f t="shared" si="10"/>
        <v>10.69</v>
      </c>
      <c r="W76" s="92">
        <v>13.23</v>
      </c>
      <c r="X76" s="92">
        <f t="shared" si="7"/>
        <v>12700</v>
      </c>
      <c r="Y76" s="39">
        <f t="shared" si="11"/>
        <v>1.94</v>
      </c>
      <c r="Z76" s="92">
        <v>1.95</v>
      </c>
      <c r="AA76" s="92">
        <f t="shared" si="9"/>
        <v>50</v>
      </c>
      <c r="AB76" s="97">
        <f t="shared" si="8"/>
        <v>12650</v>
      </c>
      <c r="AC76" s="96"/>
      <c r="AD76" s="92"/>
      <c r="AE76" s="92"/>
      <c r="AF76" s="39"/>
      <c r="AG76" s="92"/>
      <c r="AH76" s="92"/>
      <c r="AI76" s="92"/>
      <c r="AJ76" s="97"/>
    </row>
    <row r="77" spans="1:36">
      <c r="A77" s="84">
        <f t="shared" si="5"/>
        <v>79</v>
      </c>
      <c r="B77" s="91">
        <v>45822</v>
      </c>
      <c r="C77" s="48">
        <v>45822</v>
      </c>
      <c r="D77" s="104"/>
      <c r="E77" s="105"/>
      <c r="F77" s="17">
        <v>1356.34</v>
      </c>
      <c r="G77" s="17">
        <v>1348.14</v>
      </c>
      <c r="H77" s="17">
        <v>1384.25</v>
      </c>
      <c r="I77" s="17">
        <v>1380.56</v>
      </c>
      <c r="J77" s="17">
        <v>1383.57</v>
      </c>
      <c r="K77" s="17">
        <v>1376.78</v>
      </c>
      <c r="L77" s="17">
        <v>1394.83</v>
      </c>
      <c r="M77" s="17">
        <v>1466.25</v>
      </c>
      <c r="N77" s="17">
        <v>1451.11</v>
      </c>
      <c r="O77" s="17">
        <v>1316.87</v>
      </c>
      <c r="P77" s="17">
        <v>1380.97</v>
      </c>
      <c r="Q77" s="17">
        <v>1446.66</v>
      </c>
      <c r="R77" s="17">
        <v>1392.1</v>
      </c>
      <c r="S77" s="17">
        <v>1439.97</v>
      </c>
      <c r="T77" s="17">
        <v>1450.45</v>
      </c>
      <c r="U77" s="94">
        <f t="shared" si="6"/>
        <v>20968.85</v>
      </c>
      <c r="V77" s="103">
        <f t="shared" si="10"/>
        <v>13.23</v>
      </c>
      <c r="W77" s="92">
        <v>17.4</v>
      </c>
      <c r="X77" s="92">
        <f t="shared" si="7"/>
        <v>20850</v>
      </c>
      <c r="Y77" s="39">
        <f t="shared" si="11"/>
        <v>1.95</v>
      </c>
      <c r="Z77" s="92">
        <v>1.96</v>
      </c>
      <c r="AA77" s="92">
        <f t="shared" si="9"/>
        <v>50</v>
      </c>
      <c r="AB77" s="97">
        <f t="shared" si="8"/>
        <v>20800</v>
      </c>
      <c r="AC77" s="96"/>
      <c r="AD77" s="92"/>
      <c r="AE77" s="92"/>
      <c r="AF77" s="39"/>
      <c r="AG77" s="92"/>
      <c r="AH77" s="92"/>
      <c r="AI77" s="92"/>
      <c r="AJ77" s="97"/>
    </row>
    <row r="78" spans="1:36">
      <c r="A78" s="84">
        <f t="shared" si="5"/>
        <v>80</v>
      </c>
      <c r="B78" s="91">
        <v>45823</v>
      </c>
      <c r="C78" s="48">
        <v>45823</v>
      </c>
      <c r="D78" s="104"/>
      <c r="E78" s="105"/>
      <c r="F78" s="17">
        <v>964.05</v>
      </c>
      <c r="G78" s="17">
        <v>923.78</v>
      </c>
      <c r="H78" s="17">
        <v>969.84</v>
      </c>
      <c r="I78" s="17">
        <v>970.07</v>
      </c>
      <c r="J78" s="17">
        <v>879.48</v>
      </c>
      <c r="K78" s="17">
        <v>939.9</v>
      </c>
      <c r="L78" s="17">
        <v>988.86</v>
      </c>
      <c r="M78" s="17">
        <v>988.86</v>
      </c>
      <c r="N78" s="17">
        <v>988.86</v>
      </c>
      <c r="O78" s="17">
        <v>988.86</v>
      </c>
      <c r="P78" s="17">
        <v>988.86</v>
      </c>
      <c r="Q78" s="17">
        <v>988.86</v>
      </c>
      <c r="R78" s="17">
        <v>988.86</v>
      </c>
      <c r="S78" s="17">
        <v>988.86</v>
      </c>
      <c r="T78" s="17">
        <v>988.86</v>
      </c>
      <c r="U78" s="94">
        <f t="shared" si="6"/>
        <v>14546.86</v>
      </c>
      <c r="V78" s="103">
        <f t="shared" si="10"/>
        <v>17.4</v>
      </c>
      <c r="W78" s="92">
        <v>20.24</v>
      </c>
      <c r="X78" s="92">
        <f t="shared" si="7"/>
        <v>14200</v>
      </c>
      <c r="Y78" s="39">
        <f t="shared" si="11"/>
        <v>1.96</v>
      </c>
      <c r="Z78" s="92">
        <v>1.97</v>
      </c>
      <c r="AA78" s="92">
        <f t="shared" si="9"/>
        <v>50</v>
      </c>
      <c r="AB78" s="97">
        <f t="shared" si="8"/>
        <v>14150</v>
      </c>
      <c r="AC78" s="96"/>
      <c r="AD78" s="92"/>
      <c r="AE78" s="92"/>
      <c r="AF78" s="39"/>
      <c r="AG78" s="92"/>
      <c r="AH78" s="92"/>
      <c r="AI78" s="92"/>
      <c r="AJ78" s="97"/>
    </row>
    <row r="79" spans="1:36">
      <c r="A79" s="84">
        <f t="shared" si="5"/>
        <v>81</v>
      </c>
      <c r="B79" s="91">
        <v>45824</v>
      </c>
      <c r="C79" s="48">
        <v>45824</v>
      </c>
      <c r="D79" s="104"/>
      <c r="E79" s="105"/>
      <c r="F79" s="17">
        <v>129.9</v>
      </c>
      <c r="G79" s="17">
        <v>133.38</v>
      </c>
      <c r="H79" s="17">
        <v>133.24</v>
      </c>
      <c r="I79" s="17">
        <v>130.06</v>
      </c>
      <c r="J79" s="17">
        <v>128.28</v>
      </c>
      <c r="K79" s="17">
        <v>135.57</v>
      </c>
      <c r="L79" s="17">
        <v>130.8</v>
      </c>
      <c r="M79" s="17">
        <v>134.59</v>
      </c>
      <c r="N79" s="17">
        <v>138.72</v>
      </c>
      <c r="O79" s="17">
        <v>125.8</v>
      </c>
      <c r="P79" s="17">
        <v>121.1</v>
      </c>
      <c r="Q79" s="17">
        <v>133.85</v>
      </c>
      <c r="R79" s="17">
        <v>131.45</v>
      </c>
      <c r="S79" s="17">
        <v>125.76</v>
      </c>
      <c r="T79" s="17">
        <v>133.95</v>
      </c>
      <c r="U79" s="94">
        <f t="shared" si="6"/>
        <v>1966.45</v>
      </c>
      <c r="V79" s="103">
        <f t="shared" si="10"/>
        <v>20.24</v>
      </c>
      <c r="W79" s="92">
        <v>20.6</v>
      </c>
      <c r="X79" s="92">
        <f t="shared" si="7"/>
        <v>1800.00000000002</v>
      </c>
      <c r="Y79" s="39">
        <f t="shared" si="11"/>
        <v>1.97</v>
      </c>
      <c r="Z79" s="92">
        <v>1.98</v>
      </c>
      <c r="AA79" s="92">
        <f t="shared" si="9"/>
        <v>50</v>
      </c>
      <c r="AB79" s="97">
        <f t="shared" si="8"/>
        <v>1750.00000000002</v>
      </c>
      <c r="AC79" s="96"/>
      <c r="AD79" s="92"/>
      <c r="AE79" s="92"/>
      <c r="AF79" s="39"/>
      <c r="AG79" s="92"/>
      <c r="AH79" s="92"/>
      <c r="AI79" s="92"/>
      <c r="AJ79" s="97"/>
    </row>
    <row r="80" spans="1:36">
      <c r="A80" s="84">
        <f t="shared" si="5"/>
        <v>82</v>
      </c>
      <c r="B80" s="91">
        <v>45825</v>
      </c>
      <c r="C80" s="48">
        <v>45825</v>
      </c>
      <c r="D80" s="104"/>
      <c r="E80" s="105"/>
      <c r="F80" s="17">
        <v>317.24</v>
      </c>
      <c r="G80" s="17">
        <v>317.17</v>
      </c>
      <c r="H80" s="17">
        <v>305.49</v>
      </c>
      <c r="I80" s="17">
        <v>314.32</v>
      </c>
      <c r="J80" s="17">
        <v>316.05</v>
      </c>
      <c r="K80" s="17">
        <v>300.88</v>
      </c>
      <c r="L80" s="17">
        <v>175.97</v>
      </c>
      <c r="M80" s="17">
        <v>317.4</v>
      </c>
      <c r="N80" s="17">
        <v>326.46</v>
      </c>
      <c r="O80" s="17">
        <v>314.7</v>
      </c>
      <c r="P80" s="17">
        <v>313.48</v>
      </c>
      <c r="Q80" s="17">
        <v>303.31</v>
      </c>
      <c r="R80" s="17">
        <v>291.84</v>
      </c>
      <c r="S80" s="17">
        <v>312.94</v>
      </c>
      <c r="T80" s="17">
        <v>317.24</v>
      </c>
      <c r="U80" s="94">
        <f t="shared" si="6"/>
        <v>4544.49</v>
      </c>
      <c r="V80" s="103">
        <f t="shared" si="10"/>
        <v>20.6</v>
      </c>
      <c r="W80" s="92">
        <v>21.49</v>
      </c>
      <c r="X80" s="92">
        <f t="shared" si="7"/>
        <v>4449.99999999999</v>
      </c>
      <c r="Y80" s="39">
        <f t="shared" si="11"/>
        <v>1.98</v>
      </c>
      <c r="Z80" s="92">
        <v>1.99</v>
      </c>
      <c r="AA80" s="92">
        <f t="shared" si="9"/>
        <v>50</v>
      </c>
      <c r="AB80" s="97">
        <f t="shared" si="8"/>
        <v>4399.99999999999</v>
      </c>
      <c r="AC80" s="96"/>
      <c r="AD80" s="92"/>
      <c r="AE80" s="92"/>
      <c r="AF80" s="39"/>
      <c r="AG80" s="92"/>
      <c r="AH80" s="92"/>
      <c r="AI80" s="92"/>
      <c r="AJ80" s="97"/>
    </row>
    <row r="81" spans="1:36">
      <c r="A81" s="84">
        <f t="shared" si="5"/>
        <v>83</v>
      </c>
      <c r="B81" s="91">
        <v>45826</v>
      </c>
      <c r="C81" s="48">
        <v>45826</v>
      </c>
      <c r="D81" s="104"/>
      <c r="E81" s="105"/>
      <c r="F81" s="17">
        <v>396.53</v>
      </c>
      <c r="G81" s="17">
        <v>389.64</v>
      </c>
      <c r="H81" s="17">
        <v>374.53</v>
      </c>
      <c r="I81" s="17">
        <v>357.85</v>
      </c>
      <c r="J81" s="17">
        <v>387.9</v>
      </c>
      <c r="K81" s="17">
        <v>395.1</v>
      </c>
      <c r="L81" s="17">
        <v>376.3</v>
      </c>
      <c r="M81" s="17">
        <v>404.41</v>
      </c>
      <c r="N81" s="17">
        <v>396.55</v>
      </c>
      <c r="O81" s="17">
        <v>357.85</v>
      </c>
      <c r="P81" s="17">
        <v>376.3</v>
      </c>
      <c r="Q81" s="17">
        <v>395.1</v>
      </c>
      <c r="R81" s="17">
        <v>374.53</v>
      </c>
      <c r="S81" s="17">
        <v>393.4</v>
      </c>
      <c r="T81" s="17">
        <v>396.53</v>
      </c>
      <c r="U81" s="94">
        <f t="shared" si="6"/>
        <v>5772.52</v>
      </c>
      <c r="V81" s="103">
        <f t="shared" si="10"/>
        <v>21.49</v>
      </c>
      <c r="W81" s="92">
        <v>22.65</v>
      </c>
      <c r="X81" s="92">
        <f t="shared" si="7"/>
        <v>5800</v>
      </c>
      <c r="Y81" s="39">
        <f t="shared" si="11"/>
        <v>1.99</v>
      </c>
      <c r="Z81" s="92">
        <v>2</v>
      </c>
      <c r="AA81" s="92">
        <f t="shared" si="9"/>
        <v>50</v>
      </c>
      <c r="AB81" s="97">
        <f t="shared" si="8"/>
        <v>5750</v>
      </c>
      <c r="AC81" s="96"/>
      <c r="AD81" s="92"/>
      <c r="AE81" s="92"/>
      <c r="AF81" s="39"/>
      <c r="AG81" s="92"/>
      <c r="AH81" s="92"/>
      <c r="AI81" s="92"/>
      <c r="AJ81" s="97"/>
    </row>
    <row r="82" spans="1:36">
      <c r="A82" s="84">
        <f t="shared" si="5"/>
        <v>84</v>
      </c>
      <c r="B82" s="91">
        <v>45827</v>
      </c>
      <c r="C82" s="48">
        <v>45827</v>
      </c>
      <c r="D82" s="104"/>
      <c r="E82" s="105"/>
      <c r="F82" s="99">
        <v>1210.15</v>
      </c>
      <c r="G82" s="99">
        <v>1215.19</v>
      </c>
      <c r="H82" s="99">
        <v>1205.25</v>
      </c>
      <c r="I82" s="99">
        <v>1280.05</v>
      </c>
      <c r="J82" s="99">
        <v>1213.54</v>
      </c>
      <c r="K82" s="99">
        <v>1189.09</v>
      </c>
      <c r="L82" s="99">
        <v>1146.6</v>
      </c>
      <c r="M82" s="99">
        <v>1265.7</v>
      </c>
      <c r="N82" s="99">
        <v>1211.62</v>
      </c>
      <c r="O82" s="99">
        <v>1097.67</v>
      </c>
      <c r="P82" s="99">
        <v>1154.76</v>
      </c>
      <c r="Q82" s="99">
        <v>1210.04</v>
      </c>
      <c r="R82" s="99">
        <v>1155.69</v>
      </c>
      <c r="S82" s="99">
        <v>1206.69</v>
      </c>
      <c r="T82" s="99">
        <v>1211.82</v>
      </c>
      <c r="U82" s="94">
        <f t="shared" si="6"/>
        <v>17973.86</v>
      </c>
      <c r="V82" s="103">
        <f t="shared" si="10"/>
        <v>22.65</v>
      </c>
      <c r="W82" s="92">
        <v>26.23</v>
      </c>
      <c r="X82" s="92">
        <f t="shared" si="7"/>
        <v>17900</v>
      </c>
      <c r="Y82" s="39">
        <f t="shared" si="11"/>
        <v>2</v>
      </c>
      <c r="Z82" s="92">
        <v>2.01</v>
      </c>
      <c r="AA82" s="92">
        <f t="shared" si="9"/>
        <v>49.9999999999989</v>
      </c>
      <c r="AB82" s="97">
        <f t="shared" si="8"/>
        <v>17850</v>
      </c>
      <c r="AC82" s="96"/>
      <c r="AD82" s="92"/>
      <c r="AE82" s="92"/>
      <c r="AF82" s="39"/>
      <c r="AG82" s="92"/>
      <c r="AH82" s="92"/>
      <c r="AI82" s="92"/>
      <c r="AJ82" s="97"/>
    </row>
    <row r="83" spans="1:36">
      <c r="A83" s="84">
        <f t="shared" si="5"/>
        <v>85</v>
      </c>
      <c r="B83" s="91">
        <v>45828</v>
      </c>
      <c r="C83" s="48">
        <v>45828</v>
      </c>
      <c r="D83" s="104"/>
      <c r="E83" s="105"/>
      <c r="F83" s="99">
        <v>1071.73</v>
      </c>
      <c r="G83" s="99">
        <v>1075.4</v>
      </c>
      <c r="H83" s="99">
        <v>1066.09</v>
      </c>
      <c r="I83" s="99">
        <v>1067.53</v>
      </c>
      <c r="J83" s="99">
        <v>1070.69</v>
      </c>
      <c r="K83" s="99">
        <v>1053.62</v>
      </c>
      <c r="L83" s="99">
        <v>1012.46</v>
      </c>
      <c r="M83" s="99">
        <v>1090.43</v>
      </c>
      <c r="N83" s="99">
        <v>1082.73</v>
      </c>
      <c r="O83" s="99">
        <v>986.61</v>
      </c>
      <c r="P83" s="99">
        <v>1032.76</v>
      </c>
      <c r="Q83" s="99">
        <v>1083.19</v>
      </c>
      <c r="R83" s="99">
        <v>1038.32</v>
      </c>
      <c r="S83" s="99">
        <v>1074.73</v>
      </c>
      <c r="T83" s="99">
        <v>1082.76</v>
      </c>
      <c r="U83" s="94">
        <f t="shared" si="6"/>
        <v>15889.05</v>
      </c>
      <c r="V83" s="103">
        <f t="shared" si="10"/>
        <v>26.23</v>
      </c>
      <c r="W83" s="92">
        <v>29.39</v>
      </c>
      <c r="X83" s="92">
        <f t="shared" si="7"/>
        <v>15800</v>
      </c>
      <c r="Y83" s="39">
        <f t="shared" si="11"/>
        <v>2.01</v>
      </c>
      <c r="Z83" s="92">
        <v>2.02</v>
      </c>
      <c r="AA83" s="92">
        <f t="shared" si="9"/>
        <v>50.0000000000012</v>
      </c>
      <c r="AB83" s="97">
        <f t="shared" si="8"/>
        <v>15750</v>
      </c>
      <c r="AC83" s="96"/>
      <c r="AD83" s="92"/>
      <c r="AE83" s="92"/>
      <c r="AF83" s="39"/>
      <c r="AG83" s="92"/>
      <c r="AH83" s="92"/>
      <c r="AI83" s="92"/>
      <c r="AJ83" s="97"/>
    </row>
    <row r="84" spans="1:36">
      <c r="A84" s="84">
        <f t="shared" si="5"/>
        <v>86</v>
      </c>
      <c r="B84" s="91">
        <v>45829</v>
      </c>
      <c r="C84" s="48">
        <v>45829</v>
      </c>
      <c r="D84" s="104"/>
      <c r="E84" s="105"/>
      <c r="F84" s="99">
        <v>922.1</v>
      </c>
      <c r="G84" s="99">
        <v>929.23</v>
      </c>
      <c r="H84" s="99">
        <v>920</v>
      </c>
      <c r="I84" s="99">
        <v>922.08</v>
      </c>
      <c r="J84" s="99">
        <v>927</v>
      </c>
      <c r="K84" s="99">
        <v>907.8</v>
      </c>
      <c r="L84" s="99">
        <v>873.21</v>
      </c>
      <c r="M84" s="99">
        <v>962.65</v>
      </c>
      <c r="N84" s="99">
        <v>930.76</v>
      </c>
      <c r="O84" s="99">
        <v>859.14</v>
      </c>
      <c r="P84" s="99">
        <v>885.84</v>
      </c>
      <c r="Q84" s="99">
        <v>928.28</v>
      </c>
      <c r="R84" s="99">
        <v>888.35</v>
      </c>
      <c r="S84" s="99">
        <v>926.41</v>
      </c>
      <c r="T84" s="99">
        <v>931.52</v>
      </c>
      <c r="U84" s="94">
        <f t="shared" si="6"/>
        <v>13714.37</v>
      </c>
      <c r="V84" s="103">
        <f t="shared" si="10"/>
        <v>29.39</v>
      </c>
      <c r="W84" s="92">
        <v>32.12</v>
      </c>
      <c r="X84" s="92">
        <f t="shared" si="7"/>
        <v>13650</v>
      </c>
      <c r="Y84" s="39">
        <f t="shared" si="11"/>
        <v>2.02</v>
      </c>
      <c r="Z84" s="92">
        <v>2.03</v>
      </c>
      <c r="AA84" s="92">
        <f t="shared" si="9"/>
        <v>49.9999999999989</v>
      </c>
      <c r="AB84" s="97">
        <f t="shared" si="8"/>
        <v>13600</v>
      </c>
      <c r="AC84" s="96"/>
      <c r="AD84" s="92"/>
      <c r="AE84" s="92"/>
      <c r="AF84" s="39"/>
      <c r="AG84" s="92"/>
      <c r="AH84" s="92"/>
      <c r="AI84" s="92"/>
      <c r="AJ84" s="97"/>
    </row>
    <row r="85" spans="1:36">
      <c r="A85" s="84">
        <f t="shared" si="5"/>
        <v>87</v>
      </c>
      <c r="B85" s="91">
        <v>45830</v>
      </c>
      <c r="C85" s="48">
        <v>45830</v>
      </c>
      <c r="D85" s="104"/>
      <c r="E85" s="105"/>
      <c r="F85" s="99">
        <v>500.55</v>
      </c>
      <c r="G85" s="99">
        <v>553.25</v>
      </c>
      <c r="H85" s="99">
        <v>549.76</v>
      </c>
      <c r="I85" s="99">
        <v>546.57</v>
      </c>
      <c r="J85" s="99">
        <v>548.96</v>
      </c>
      <c r="K85" s="99">
        <v>542.52</v>
      </c>
      <c r="L85" s="99">
        <v>545.16</v>
      </c>
      <c r="M85" s="99">
        <v>569.69</v>
      </c>
      <c r="N85" s="99">
        <v>555.99</v>
      </c>
      <c r="O85" s="99">
        <v>553.13</v>
      </c>
      <c r="P85" s="99">
        <v>551.36</v>
      </c>
      <c r="Q85" s="99">
        <v>553.07</v>
      </c>
      <c r="R85" s="99">
        <v>549.58</v>
      </c>
      <c r="S85" s="99">
        <v>524.02</v>
      </c>
      <c r="T85" s="99">
        <v>550.7</v>
      </c>
      <c r="U85" s="94">
        <f t="shared" si="6"/>
        <v>8194.31</v>
      </c>
      <c r="V85" s="103">
        <f t="shared" si="10"/>
        <v>32.12</v>
      </c>
      <c r="W85" s="92">
        <v>33.6</v>
      </c>
      <c r="X85" s="92">
        <f t="shared" si="7"/>
        <v>7400.00000000002</v>
      </c>
      <c r="Y85" s="39">
        <f t="shared" si="11"/>
        <v>2.03</v>
      </c>
      <c r="Z85" s="92">
        <v>2.04</v>
      </c>
      <c r="AA85" s="92">
        <f t="shared" si="9"/>
        <v>50.0000000000012</v>
      </c>
      <c r="AB85" s="97">
        <f t="shared" si="8"/>
        <v>7350.00000000002</v>
      </c>
      <c r="AC85" s="96"/>
      <c r="AD85" s="92"/>
      <c r="AE85" s="92"/>
      <c r="AF85" s="39"/>
      <c r="AG85" s="92"/>
      <c r="AH85" s="92"/>
      <c r="AI85" s="92"/>
      <c r="AJ85" s="97"/>
    </row>
    <row r="86" spans="1:36">
      <c r="A86" s="84">
        <f t="shared" si="5"/>
        <v>88</v>
      </c>
      <c r="B86" s="91">
        <v>45831</v>
      </c>
      <c r="C86" s="48">
        <v>45831</v>
      </c>
      <c r="D86" s="104"/>
      <c r="E86" s="105"/>
      <c r="F86" s="99">
        <v>550.86</v>
      </c>
      <c r="G86" s="99">
        <v>553.25</v>
      </c>
      <c r="H86" s="99">
        <v>549.78</v>
      </c>
      <c r="I86" s="99">
        <v>546.57</v>
      </c>
      <c r="J86" s="99">
        <v>548.96</v>
      </c>
      <c r="K86" s="99">
        <v>542.52</v>
      </c>
      <c r="L86" s="99">
        <v>545.16</v>
      </c>
      <c r="M86" s="17">
        <v>569.68</v>
      </c>
      <c r="N86" s="99">
        <v>550.7</v>
      </c>
      <c r="O86" s="99">
        <v>551.36</v>
      </c>
      <c r="P86" s="99">
        <v>524.02</v>
      </c>
      <c r="Q86" s="99">
        <v>553.07</v>
      </c>
      <c r="R86" s="99">
        <v>553.05</v>
      </c>
      <c r="S86" s="99">
        <v>549.58</v>
      </c>
      <c r="T86" s="99">
        <v>555.99</v>
      </c>
      <c r="U86" s="94">
        <f t="shared" si="6"/>
        <v>8244.55</v>
      </c>
      <c r="V86" s="103">
        <f t="shared" si="10"/>
        <v>33.6</v>
      </c>
      <c r="W86" s="92">
        <v>35.23</v>
      </c>
      <c r="X86" s="92">
        <f t="shared" si="7"/>
        <v>8149.99999999998</v>
      </c>
      <c r="Y86" s="39">
        <f t="shared" si="11"/>
        <v>2.04</v>
      </c>
      <c r="Z86" s="92">
        <v>2.05</v>
      </c>
      <c r="AA86" s="92">
        <f t="shared" si="9"/>
        <v>49.9999999999989</v>
      </c>
      <c r="AB86" s="97">
        <f t="shared" si="8"/>
        <v>8099.99999999998</v>
      </c>
      <c r="AC86" s="96"/>
      <c r="AD86" s="92"/>
      <c r="AE86" s="92"/>
      <c r="AF86" s="39"/>
      <c r="AG86" s="92"/>
      <c r="AH86" s="92"/>
      <c r="AI86" s="92"/>
      <c r="AJ86" s="97"/>
    </row>
    <row r="87" spans="1:36">
      <c r="A87" s="84">
        <f t="shared" si="5"/>
        <v>89</v>
      </c>
      <c r="B87" s="91">
        <v>45832</v>
      </c>
      <c r="C87" s="48">
        <v>45832</v>
      </c>
      <c r="D87" s="104"/>
      <c r="E87" s="105"/>
      <c r="F87" s="99">
        <v>868.99</v>
      </c>
      <c r="G87" s="99">
        <v>868.16</v>
      </c>
      <c r="H87" s="99">
        <v>862.5</v>
      </c>
      <c r="I87" s="99">
        <v>859.97</v>
      </c>
      <c r="J87" s="99">
        <v>860.9</v>
      </c>
      <c r="K87" s="99">
        <v>849.18</v>
      </c>
      <c r="L87" s="99">
        <v>856.49</v>
      </c>
      <c r="M87" s="17">
        <v>875.91</v>
      </c>
      <c r="N87" s="99">
        <v>873.17</v>
      </c>
      <c r="O87" s="99">
        <v>871.05</v>
      </c>
      <c r="P87" s="99">
        <v>832.89</v>
      </c>
      <c r="Q87" s="99">
        <v>874.66</v>
      </c>
      <c r="R87" s="99">
        <v>874.11</v>
      </c>
      <c r="S87" s="99">
        <v>870.12</v>
      </c>
      <c r="T87" s="99">
        <v>874.43</v>
      </c>
      <c r="U87" s="94">
        <f t="shared" si="6"/>
        <v>12972.53</v>
      </c>
      <c r="V87" s="103">
        <f t="shared" si="10"/>
        <v>35.23</v>
      </c>
      <c r="W87" s="92">
        <v>37.79</v>
      </c>
      <c r="X87" s="92">
        <f t="shared" si="7"/>
        <v>12800</v>
      </c>
      <c r="Y87" s="39">
        <f t="shared" si="11"/>
        <v>2.05</v>
      </c>
      <c r="Z87" s="92">
        <v>2.06</v>
      </c>
      <c r="AA87" s="92">
        <f t="shared" si="9"/>
        <v>50.0000000000012</v>
      </c>
      <c r="AB87" s="97">
        <f t="shared" si="8"/>
        <v>12750</v>
      </c>
      <c r="AC87" s="96"/>
      <c r="AD87" s="92"/>
      <c r="AE87" s="92"/>
      <c r="AF87" s="39"/>
      <c r="AG87" s="92"/>
      <c r="AH87" s="92"/>
      <c r="AI87" s="92"/>
      <c r="AJ87" s="97"/>
    </row>
    <row r="88" spans="1:36">
      <c r="A88" s="84">
        <f t="shared" si="5"/>
        <v>90</v>
      </c>
      <c r="B88" s="91">
        <v>45833</v>
      </c>
      <c r="C88" s="48">
        <v>45833</v>
      </c>
      <c r="D88" s="104"/>
      <c r="E88" s="105"/>
      <c r="F88" s="99">
        <v>569.71</v>
      </c>
      <c r="G88" s="99">
        <v>571.98</v>
      </c>
      <c r="H88" s="99">
        <v>567.59</v>
      </c>
      <c r="I88" s="99">
        <v>565.35</v>
      </c>
      <c r="J88" s="99">
        <v>567.75</v>
      </c>
      <c r="K88" s="99">
        <v>560.61</v>
      </c>
      <c r="L88" s="99">
        <v>563.98</v>
      </c>
      <c r="M88" s="17">
        <v>588.64</v>
      </c>
      <c r="N88" s="99">
        <v>573.11</v>
      </c>
      <c r="O88" s="99">
        <v>571.57</v>
      </c>
      <c r="P88" s="99">
        <v>544.96</v>
      </c>
      <c r="Q88" s="99">
        <v>573.43</v>
      </c>
      <c r="R88" s="99">
        <v>572.83</v>
      </c>
      <c r="S88" s="99">
        <v>570.1</v>
      </c>
      <c r="T88" s="99">
        <v>575.82</v>
      </c>
      <c r="U88" s="94">
        <f t="shared" si="6"/>
        <v>8537.43</v>
      </c>
      <c r="V88" s="103">
        <f t="shared" si="10"/>
        <v>37.79</v>
      </c>
      <c r="W88" s="92">
        <v>39.47</v>
      </c>
      <c r="X88" s="92">
        <f t="shared" si="7"/>
        <v>8400</v>
      </c>
      <c r="Y88" s="39">
        <f t="shared" si="11"/>
        <v>2.06</v>
      </c>
      <c r="Z88" s="92">
        <v>2.07</v>
      </c>
      <c r="AA88" s="92">
        <f t="shared" si="9"/>
        <v>49.9999999999989</v>
      </c>
      <c r="AB88" s="97">
        <f t="shared" si="8"/>
        <v>8350</v>
      </c>
      <c r="AC88" s="96"/>
      <c r="AD88" s="92"/>
      <c r="AE88" s="92"/>
      <c r="AF88" s="39"/>
      <c r="AG88" s="92"/>
      <c r="AH88" s="92"/>
      <c r="AI88" s="92"/>
      <c r="AJ88" s="97"/>
    </row>
    <row r="89" spans="1:36">
      <c r="A89" s="84">
        <f t="shared" si="5"/>
        <v>91</v>
      </c>
      <c r="B89" s="91">
        <v>45834</v>
      </c>
      <c r="C89" s="48">
        <v>45834</v>
      </c>
      <c r="D89" s="104"/>
      <c r="E89" s="105"/>
      <c r="F89" s="99">
        <v>360.33</v>
      </c>
      <c r="G89" s="99">
        <v>364.38</v>
      </c>
      <c r="H89" s="99">
        <v>361.4</v>
      </c>
      <c r="I89" s="99">
        <v>358.56</v>
      </c>
      <c r="J89" s="99">
        <v>359.94</v>
      </c>
      <c r="K89" s="99">
        <v>358.23</v>
      </c>
      <c r="L89" s="99">
        <v>358.49</v>
      </c>
      <c r="M89" s="17">
        <v>372.54</v>
      </c>
      <c r="N89" s="99">
        <v>365.06</v>
      </c>
      <c r="O89" s="99">
        <v>363.19</v>
      </c>
      <c r="P89" s="99">
        <v>346.84</v>
      </c>
      <c r="Q89" s="99">
        <v>365.91</v>
      </c>
      <c r="R89" s="99">
        <v>363.76</v>
      </c>
      <c r="S89" s="99">
        <v>363.59</v>
      </c>
      <c r="T89" s="99">
        <v>369.12</v>
      </c>
      <c r="U89" s="94">
        <f t="shared" si="6"/>
        <v>5431.34</v>
      </c>
      <c r="V89" s="103">
        <f t="shared" si="10"/>
        <v>39.47</v>
      </c>
      <c r="W89" s="92">
        <v>40.48</v>
      </c>
      <c r="X89" s="92">
        <f t="shared" si="7"/>
        <v>5049.99999999999</v>
      </c>
      <c r="Y89" s="39">
        <f t="shared" si="11"/>
        <v>2.07</v>
      </c>
      <c r="Z89" s="92">
        <v>2.08</v>
      </c>
      <c r="AA89" s="92">
        <f t="shared" si="9"/>
        <v>50.0000000000012</v>
      </c>
      <c r="AB89" s="97">
        <f t="shared" si="8"/>
        <v>4999.99999999999</v>
      </c>
      <c r="AC89" s="96"/>
      <c r="AD89" s="92"/>
      <c r="AE89" s="92"/>
      <c r="AF89" s="39"/>
      <c r="AG89" s="92"/>
      <c r="AH89" s="92"/>
      <c r="AI89" s="92"/>
      <c r="AJ89" s="97"/>
    </row>
    <row r="90" spans="1:36">
      <c r="A90" s="84">
        <f t="shared" si="5"/>
        <v>92</v>
      </c>
      <c r="B90" s="91">
        <v>45835</v>
      </c>
      <c r="C90" s="48">
        <v>45835</v>
      </c>
      <c r="D90" s="104"/>
      <c r="E90" s="105"/>
      <c r="F90" s="99">
        <v>657.41</v>
      </c>
      <c r="G90" s="99">
        <v>666.48</v>
      </c>
      <c r="H90" s="99">
        <v>655.41</v>
      </c>
      <c r="I90" s="99">
        <v>654.67</v>
      </c>
      <c r="J90" s="99">
        <v>655.42</v>
      </c>
      <c r="K90" s="99">
        <v>648.78</v>
      </c>
      <c r="L90" s="99">
        <v>653.9</v>
      </c>
      <c r="M90" s="17">
        <v>680.91</v>
      </c>
      <c r="N90" s="99">
        <v>656.73</v>
      </c>
      <c r="O90" s="99">
        <v>655.07</v>
      </c>
      <c r="P90" s="99">
        <v>626.98</v>
      </c>
      <c r="Q90" s="99">
        <v>659.99</v>
      </c>
      <c r="R90" s="99">
        <v>658.71</v>
      </c>
      <c r="S90" s="99">
        <v>657.58</v>
      </c>
      <c r="T90" s="99">
        <v>663.05</v>
      </c>
      <c r="U90" s="94">
        <f t="shared" si="6"/>
        <v>9851.09</v>
      </c>
      <c r="V90" s="103">
        <f t="shared" si="10"/>
        <v>40.48</v>
      </c>
      <c r="W90" s="92">
        <v>42.28</v>
      </c>
      <c r="X90" s="92">
        <f t="shared" si="7"/>
        <v>9000.00000000002</v>
      </c>
      <c r="Y90" s="39">
        <f t="shared" si="11"/>
        <v>2.08</v>
      </c>
      <c r="Z90" s="92">
        <v>2.09</v>
      </c>
      <c r="AA90" s="92">
        <f t="shared" si="9"/>
        <v>49.9999999999989</v>
      </c>
      <c r="AB90" s="97">
        <f t="shared" si="8"/>
        <v>8950.00000000002</v>
      </c>
      <c r="AC90" s="96"/>
      <c r="AD90" s="92"/>
      <c r="AE90" s="92"/>
      <c r="AF90" s="39"/>
      <c r="AG90" s="92"/>
      <c r="AH90" s="92"/>
      <c r="AI90" s="92"/>
      <c r="AJ90" s="97"/>
    </row>
    <row r="91" spans="1:36">
      <c r="A91" s="84">
        <f t="shared" si="5"/>
        <v>93</v>
      </c>
      <c r="B91" s="91">
        <v>45836</v>
      </c>
      <c r="C91" s="48">
        <v>45836</v>
      </c>
      <c r="D91" s="104"/>
      <c r="E91" s="105"/>
      <c r="F91" s="99">
        <v>972.35</v>
      </c>
      <c r="G91" s="99">
        <v>980.45</v>
      </c>
      <c r="H91" s="99">
        <v>967.19</v>
      </c>
      <c r="I91" s="99">
        <v>971.84</v>
      </c>
      <c r="J91" s="99">
        <v>972.72</v>
      </c>
      <c r="K91" s="99">
        <v>944.24</v>
      </c>
      <c r="L91" s="99">
        <v>972.68</v>
      </c>
      <c r="M91" s="17">
        <v>991.33</v>
      </c>
      <c r="N91" s="99">
        <v>951.21</v>
      </c>
      <c r="O91" s="99">
        <v>970.16</v>
      </c>
      <c r="P91" s="99">
        <v>927.93</v>
      </c>
      <c r="Q91" s="99">
        <v>973.23</v>
      </c>
      <c r="R91" s="99">
        <v>978.48</v>
      </c>
      <c r="S91" s="99">
        <v>972.93</v>
      </c>
      <c r="T91" s="99">
        <v>979.61</v>
      </c>
      <c r="U91" s="94">
        <f t="shared" si="6"/>
        <v>14526.35</v>
      </c>
      <c r="V91" s="103">
        <f t="shared" si="10"/>
        <v>42.28</v>
      </c>
      <c r="W91" s="92">
        <v>45.36</v>
      </c>
      <c r="X91" s="92">
        <f t="shared" si="7"/>
        <v>15400</v>
      </c>
      <c r="Y91" s="39">
        <f t="shared" si="11"/>
        <v>2.09</v>
      </c>
      <c r="Z91" s="92">
        <v>2.1</v>
      </c>
      <c r="AA91" s="92">
        <f t="shared" si="9"/>
        <v>50.0000000000012</v>
      </c>
      <c r="AB91" s="97">
        <f t="shared" si="8"/>
        <v>15350</v>
      </c>
      <c r="AC91" s="96"/>
      <c r="AD91" s="92"/>
      <c r="AE91" s="92"/>
      <c r="AF91" s="39"/>
      <c r="AG91" s="92"/>
      <c r="AH91" s="92"/>
      <c r="AI91" s="92"/>
      <c r="AJ91" s="97"/>
    </row>
    <row r="92" spans="1:36">
      <c r="A92" s="84">
        <f t="shared" si="5"/>
        <v>94</v>
      </c>
      <c r="B92" s="91">
        <v>45837</v>
      </c>
      <c r="C92" s="48">
        <v>45837</v>
      </c>
      <c r="D92" s="104"/>
      <c r="E92" s="105"/>
      <c r="F92" s="99">
        <v>1067.9</v>
      </c>
      <c r="G92" s="99">
        <v>1066.71</v>
      </c>
      <c r="H92" s="99">
        <v>1057</v>
      </c>
      <c r="I92" s="99">
        <v>1058.11</v>
      </c>
      <c r="J92" s="99">
        <v>1057.92</v>
      </c>
      <c r="K92" s="99">
        <v>1042.75</v>
      </c>
      <c r="L92" s="99">
        <v>1052.85</v>
      </c>
      <c r="M92" s="17">
        <v>1076.29</v>
      </c>
      <c r="N92" s="99">
        <v>1080.22</v>
      </c>
      <c r="O92" s="99">
        <v>1075.79</v>
      </c>
      <c r="P92" s="99">
        <v>1031.09</v>
      </c>
      <c r="Q92" s="99">
        <v>1079.17</v>
      </c>
      <c r="R92" s="99">
        <v>1078.14</v>
      </c>
      <c r="S92" s="99">
        <v>1076.65</v>
      </c>
      <c r="T92" s="99">
        <v>1075.79</v>
      </c>
      <c r="U92" s="94">
        <f t="shared" si="6"/>
        <v>15976.38</v>
      </c>
      <c r="V92" s="103">
        <f t="shared" si="10"/>
        <v>45.36</v>
      </c>
      <c r="W92" s="92">
        <v>48.52</v>
      </c>
      <c r="X92" s="92">
        <f t="shared" si="7"/>
        <v>15800</v>
      </c>
      <c r="Y92" s="39">
        <f t="shared" si="11"/>
        <v>2.1</v>
      </c>
      <c r="Z92" s="92">
        <v>2.11</v>
      </c>
      <c r="AA92" s="92">
        <f t="shared" si="9"/>
        <v>49.9999999999989</v>
      </c>
      <c r="AB92" s="97">
        <f t="shared" si="8"/>
        <v>15750</v>
      </c>
      <c r="AC92" s="96"/>
      <c r="AD92" s="92"/>
      <c r="AE92" s="92"/>
      <c r="AF92" s="39"/>
      <c r="AG92" s="92"/>
      <c r="AH92" s="92"/>
      <c r="AI92" s="92"/>
      <c r="AJ92" s="97"/>
    </row>
    <row r="93" spans="1:36">
      <c r="A93" s="84">
        <f t="shared" si="5"/>
        <v>95</v>
      </c>
      <c r="B93" s="91">
        <v>45838</v>
      </c>
      <c r="C93" s="48">
        <v>45838</v>
      </c>
      <c r="D93" s="104"/>
      <c r="E93" s="105"/>
      <c r="F93" s="99">
        <v>725.16</v>
      </c>
      <c r="G93" s="99">
        <v>728.81</v>
      </c>
      <c r="H93" s="99">
        <v>723.11</v>
      </c>
      <c r="I93" s="99">
        <v>721.86</v>
      </c>
      <c r="J93" s="99">
        <v>722.79</v>
      </c>
      <c r="K93" s="99">
        <v>715.36</v>
      </c>
      <c r="L93" s="99">
        <v>721.48</v>
      </c>
      <c r="M93" s="17">
        <v>752.8</v>
      </c>
      <c r="N93" s="99">
        <v>718.1</v>
      </c>
      <c r="O93" s="99">
        <v>718.47</v>
      </c>
      <c r="P93" s="99">
        <v>686.73</v>
      </c>
      <c r="Q93" s="99">
        <v>722.38</v>
      </c>
      <c r="R93" s="99">
        <v>723.38</v>
      </c>
      <c r="S93" s="99">
        <v>720.22</v>
      </c>
      <c r="T93" s="99">
        <v>727.37</v>
      </c>
      <c r="U93" s="94">
        <f t="shared" si="6"/>
        <v>10828.02</v>
      </c>
      <c r="V93" s="103">
        <f t="shared" si="10"/>
        <v>48.52</v>
      </c>
      <c r="W93" s="92">
        <v>50.65</v>
      </c>
      <c r="X93" s="92">
        <f t="shared" si="7"/>
        <v>10650</v>
      </c>
      <c r="Y93" s="39">
        <f t="shared" si="11"/>
        <v>2.11</v>
      </c>
      <c r="Z93" s="92">
        <v>2.12</v>
      </c>
      <c r="AA93" s="92">
        <f t="shared" si="9"/>
        <v>50.0000000000012</v>
      </c>
      <c r="AB93" s="97">
        <f t="shared" si="8"/>
        <v>10600</v>
      </c>
      <c r="AC93" s="96"/>
      <c r="AD93" s="92"/>
      <c r="AE93" s="92"/>
      <c r="AF93" s="39"/>
      <c r="AG93" s="92"/>
      <c r="AH93" s="92"/>
      <c r="AI93" s="92"/>
      <c r="AJ93" s="97"/>
    </row>
    <row r="94" spans="1:36">
      <c r="A94" s="84">
        <f t="shared" si="5"/>
        <v>96</v>
      </c>
      <c r="B94" s="91">
        <v>45839</v>
      </c>
      <c r="C94" s="48">
        <v>45839</v>
      </c>
      <c r="D94" s="104"/>
      <c r="E94" s="105"/>
      <c r="F94" s="99">
        <v>1078.91</v>
      </c>
      <c r="G94" s="99">
        <v>1080.79</v>
      </c>
      <c r="H94" s="99">
        <v>1069.33</v>
      </c>
      <c r="I94" s="99">
        <v>1071.82</v>
      </c>
      <c r="J94" s="99">
        <v>1072.34</v>
      </c>
      <c r="K94" s="99">
        <v>1039.36</v>
      </c>
      <c r="L94" s="99">
        <v>1035.66</v>
      </c>
      <c r="M94" s="99">
        <v>1061.79</v>
      </c>
      <c r="N94" s="99">
        <v>1033.91</v>
      </c>
      <c r="O94" s="99">
        <v>1062.66</v>
      </c>
      <c r="P94" s="99">
        <v>1025.2</v>
      </c>
      <c r="Q94" s="99">
        <v>1071.17</v>
      </c>
      <c r="R94" s="99">
        <v>1087.03</v>
      </c>
      <c r="S94" s="99">
        <v>1084.58</v>
      </c>
      <c r="T94" s="99">
        <v>1085.74</v>
      </c>
      <c r="U94" s="94">
        <f t="shared" si="6"/>
        <v>15960.29</v>
      </c>
      <c r="V94" s="103">
        <f t="shared" si="10"/>
        <v>50.65</v>
      </c>
      <c r="W94" s="92">
        <v>53.83</v>
      </c>
      <c r="X94" s="92">
        <f t="shared" si="7"/>
        <v>15900</v>
      </c>
      <c r="Y94" s="39">
        <f t="shared" si="11"/>
        <v>2.12</v>
      </c>
      <c r="Z94" s="92">
        <v>2.13</v>
      </c>
      <c r="AA94" s="92">
        <f t="shared" si="9"/>
        <v>49.9999999999989</v>
      </c>
      <c r="AB94" s="97">
        <f t="shared" si="8"/>
        <v>15850</v>
      </c>
      <c r="AC94" s="96"/>
      <c r="AD94" s="92"/>
      <c r="AE94" s="92"/>
      <c r="AF94" s="39"/>
      <c r="AG94" s="92"/>
      <c r="AH94" s="92"/>
      <c r="AI94" s="92"/>
      <c r="AJ94" s="97"/>
    </row>
    <row r="95" spans="1:36">
      <c r="A95" s="84">
        <f t="shared" si="5"/>
        <v>97</v>
      </c>
      <c r="B95" s="91">
        <v>45840</v>
      </c>
      <c r="C95" s="48">
        <v>45840</v>
      </c>
      <c r="D95" s="104"/>
      <c r="E95" s="105"/>
      <c r="F95" s="99">
        <v>795.74</v>
      </c>
      <c r="G95" s="99">
        <v>803.67</v>
      </c>
      <c r="H95" s="99">
        <v>791.78</v>
      </c>
      <c r="I95" s="99">
        <v>796.99</v>
      </c>
      <c r="J95" s="99">
        <v>796.82</v>
      </c>
      <c r="K95" s="99">
        <v>783.92</v>
      </c>
      <c r="L95" s="99">
        <v>795.1</v>
      </c>
      <c r="M95" s="99">
        <v>827.97</v>
      </c>
      <c r="N95" s="99">
        <v>812.62</v>
      </c>
      <c r="O95" s="99">
        <v>805.94</v>
      </c>
      <c r="P95" s="99">
        <v>775.93</v>
      </c>
      <c r="Q95" s="99">
        <v>810.06</v>
      </c>
      <c r="R95" s="99">
        <v>810.57</v>
      </c>
      <c r="S95" s="99">
        <v>812.58</v>
      </c>
      <c r="T95" s="99">
        <v>808.95</v>
      </c>
      <c r="U95" s="94">
        <f t="shared" si="6"/>
        <v>12028.64</v>
      </c>
      <c r="V95" s="103">
        <f t="shared" si="10"/>
        <v>53.83</v>
      </c>
      <c r="W95" s="92">
        <v>56.23</v>
      </c>
      <c r="X95" s="92">
        <f t="shared" si="7"/>
        <v>12000</v>
      </c>
      <c r="Y95" s="39">
        <f t="shared" si="11"/>
        <v>2.13</v>
      </c>
      <c r="Z95" s="92">
        <v>2.14</v>
      </c>
      <c r="AA95" s="92">
        <f t="shared" si="9"/>
        <v>50.0000000000012</v>
      </c>
      <c r="AB95" s="97">
        <f t="shared" si="8"/>
        <v>11950</v>
      </c>
      <c r="AC95" s="96"/>
      <c r="AD95" s="92"/>
      <c r="AE95" s="92"/>
      <c r="AF95" s="39"/>
      <c r="AG95" s="92"/>
      <c r="AH95" s="92"/>
      <c r="AI95" s="92"/>
      <c r="AJ95" s="97"/>
    </row>
    <row r="96" spans="1:36">
      <c r="A96" s="84">
        <f t="shared" si="5"/>
        <v>98</v>
      </c>
      <c r="B96" s="91">
        <v>45841</v>
      </c>
      <c r="C96" s="48">
        <v>45841</v>
      </c>
      <c r="D96" s="104"/>
      <c r="E96" s="105"/>
      <c r="F96" s="99">
        <v>350.37</v>
      </c>
      <c r="G96" s="99">
        <v>355.42</v>
      </c>
      <c r="H96" s="99">
        <v>351.94</v>
      </c>
      <c r="I96" s="99">
        <v>349.37</v>
      </c>
      <c r="J96" s="99">
        <v>349.95</v>
      </c>
      <c r="K96" s="99">
        <v>350.31</v>
      </c>
      <c r="L96" s="99">
        <v>351.62</v>
      </c>
      <c r="M96" s="99">
        <v>363.08</v>
      </c>
      <c r="N96" s="99">
        <v>351.56</v>
      </c>
      <c r="O96" s="99">
        <v>350.55</v>
      </c>
      <c r="P96" s="99">
        <v>335.49</v>
      </c>
      <c r="Q96" s="99">
        <v>353.45</v>
      </c>
      <c r="R96" s="99">
        <v>351.73</v>
      </c>
      <c r="S96" s="99">
        <v>352.68</v>
      </c>
      <c r="T96" s="99">
        <v>356.94</v>
      </c>
      <c r="U96" s="94">
        <f t="shared" si="6"/>
        <v>5274.46</v>
      </c>
      <c r="V96" s="103">
        <f t="shared" si="10"/>
        <v>56.23</v>
      </c>
      <c r="W96" s="92">
        <v>57.26</v>
      </c>
      <c r="X96" s="92">
        <f t="shared" si="7"/>
        <v>5150.00000000001</v>
      </c>
      <c r="Y96" s="39">
        <f t="shared" si="11"/>
        <v>2.14</v>
      </c>
      <c r="Z96" s="92">
        <v>2.15</v>
      </c>
      <c r="AA96" s="92">
        <f t="shared" si="9"/>
        <v>49.9999999999989</v>
      </c>
      <c r="AB96" s="97">
        <f t="shared" si="8"/>
        <v>5100.00000000001</v>
      </c>
      <c r="AC96" s="96"/>
      <c r="AD96" s="92"/>
      <c r="AE96" s="92"/>
      <c r="AF96" s="39"/>
      <c r="AG96" s="92"/>
      <c r="AH96" s="92"/>
      <c r="AI96" s="92"/>
      <c r="AJ96" s="97"/>
    </row>
    <row r="97" spans="1:36">
      <c r="A97" s="84">
        <f t="shared" si="5"/>
        <v>99</v>
      </c>
      <c r="B97" s="91">
        <v>45842</v>
      </c>
      <c r="C97" s="48">
        <v>45842</v>
      </c>
      <c r="D97" s="104"/>
      <c r="E97" s="105"/>
      <c r="F97" s="99">
        <v>667.74</v>
      </c>
      <c r="G97" s="99">
        <v>672.79</v>
      </c>
      <c r="H97" s="99">
        <v>665.28</v>
      </c>
      <c r="I97" s="99">
        <v>667.48</v>
      </c>
      <c r="J97" s="99">
        <v>664.1</v>
      </c>
      <c r="K97" s="99">
        <v>660.64</v>
      </c>
      <c r="L97" s="99">
        <v>668.03</v>
      </c>
      <c r="M97" s="99">
        <v>692.25</v>
      </c>
      <c r="N97" s="99">
        <v>670.02</v>
      </c>
      <c r="O97" s="99">
        <v>666.09</v>
      </c>
      <c r="P97" s="99">
        <v>641.02</v>
      </c>
      <c r="Q97" s="99">
        <v>671.78</v>
      </c>
      <c r="R97" s="99">
        <v>671.09</v>
      </c>
      <c r="S97" s="99">
        <v>670.38</v>
      </c>
      <c r="T97" s="99">
        <v>672.77</v>
      </c>
      <c r="U97" s="94">
        <f t="shared" si="6"/>
        <v>10021.46</v>
      </c>
      <c r="V97" s="103">
        <f t="shared" si="10"/>
        <v>57.26</v>
      </c>
      <c r="W97" s="92">
        <v>59.24</v>
      </c>
      <c r="X97" s="92">
        <f t="shared" si="7"/>
        <v>9900.00000000002</v>
      </c>
      <c r="Y97" s="39">
        <f t="shared" si="11"/>
        <v>2.15</v>
      </c>
      <c r="Z97" s="92">
        <v>2.17</v>
      </c>
      <c r="AA97" s="92">
        <f t="shared" si="9"/>
        <v>100</v>
      </c>
      <c r="AB97" s="97">
        <f t="shared" si="8"/>
        <v>9800.00000000002</v>
      </c>
      <c r="AC97" s="96"/>
      <c r="AD97" s="92"/>
      <c r="AE97" s="92"/>
      <c r="AF97" s="39"/>
      <c r="AG97" s="92"/>
      <c r="AH97" s="92"/>
      <c r="AI97" s="92"/>
      <c r="AJ97" s="97"/>
    </row>
    <row r="98" spans="1:36">
      <c r="A98" s="84">
        <f t="shared" si="5"/>
        <v>100</v>
      </c>
      <c r="B98" s="91">
        <v>45843</v>
      </c>
      <c r="C98" s="48">
        <v>45843</v>
      </c>
      <c r="D98" s="104"/>
      <c r="E98" s="105"/>
      <c r="F98" s="99">
        <v>624.95</v>
      </c>
      <c r="G98" s="99">
        <v>635.36</v>
      </c>
      <c r="H98" s="99">
        <v>619.87</v>
      </c>
      <c r="I98" s="99">
        <v>628.53</v>
      </c>
      <c r="J98" s="99">
        <v>629.09</v>
      </c>
      <c r="K98" s="99">
        <v>616.53</v>
      </c>
      <c r="L98" s="99">
        <v>626.26</v>
      </c>
      <c r="M98" s="99">
        <v>654.58</v>
      </c>
      <c r="N98" s="99">
        <v>637.99</v>
      </c>
      <c r="O98" s="99">
        <v>635.45</v>
      </c>
      <c r="P98" s="99">
        <v>609.92</v>
      </c>
      <c r="Q98" s="99">
        <v>641.02</v>
      </c>
      <c r="R98" s="99">
        <v>639.08</v>
      </c>
      <c r="S98" s="99">
        <v>638.22</v>
      </c>
      <c r="T98" s="99">
        <v>636.89</v>
      </c>
      <c r="U98" s="94">
        <f t="shared" si="6"/>
        <v>9473.74</v>
      </c>
      <c r="V98" s="103">
        <f t="shared" si="10"/>
        <v>59.24</v>
      </c>
      <c r="W98" s="92">
        <v>61.13</v>
      </c>
      <c r="X98" s="92">
        <f t="shared" si="7"/>
        <v>9450</v>
      </c>
      <c r="Y98" s="39">
        <f t="shared" si="11"/>
        <v>2.17</v>
      </c>
      <c r="Z98" s="92">
        <v>2.18</v>
      </c>
      <c r="AA98" s="92">
        <f t="shared" si="9"/>
        <v>50.0000000000012</v>
      </c>
      <c r="AB98" s="97">
        <f t="shared" si="8"/>
        <v>9400</v>
      </c>
      <c r="AC98" s="96"/>
      <c r="AD98" s="92"/>
      <c r="AE98" s="92"/>
      <c r="AF98" s="39"/>
      <c r="AG98" s="92"/>
      <c r="AH98" s="92"/>
      <c r="AI98" s="92"/>
      <c r="AJ98" s="97"/>
    </row>
    <row r="99" spans="1:36">
      <c r="A99" s="84">
        <f t="shared" si="5"/>
        <v>101</v>
      </c>
      <c r="B99" s="91">
        <v>45844</v>
      </c>
      <c r="C99" s="48">
        <v>45844</v>
      </c>
      <c r="D99" s="104"/>
      <c r="E99" s="105"/>
      <c r="F99" s="99">
        <v>918.32</v>
      </c>
      <c r="G99" s="99">
        <v>930.01</v>
      </c>
      <c r="H99" s="99">
        <v>911.3</v>
      </c>
      <c r="I99" s="99">
        <v>923.46</v>
      </c>
      <c r="J99" s="99">
        <v>921.15</v>
      </c>
      <c r="K99" s="99">
        <v>906.72</v>
      </c>
      <c r="L99" s="99">
        <v>920.36</v>
      </c>
      <c r="M99" s="99">
        <v>959.14</v>
      </c>
      <c r="N99" s="99">
        <v>920.27</v>
      </c>
      <c r="O99" s="99">
        <v>919.17</v>
      </c>
      <c r="P99" s="99">
        <v>881.87</v>
      </c>
      <c r="Q99" s="99">
        <v>925.83</v>
      </c>
      <c r="R99" s="99">
        <v>926.81</v>
      </c>
      <c r="S99" s="99">
        <v>923.52</v>
      </c>
      <c r="T99" s="99">
        <v>924.65</v>
      </c>
      <c r="U99" s="94">
        <f t="shared" si="6"/>
        <v>13812.58</v>
      </c>
      <c r="V99" s="103">
        <f t="shared" si="10"/>
        <v>61.13</v>
      </c>
      <c r="W99" s="92">
        <v>63.89</v>
      </c>
      <c r="X99" s="92">
        <f t="shared" si="7"/>
        <v>13800</v>
      </c>
      <c r="Y99" s="39">
        <f t="shared" si="11"/>
        <v>2.18</v>
      </c>
      <c r="Z99" s="92">
        <v>2.19</v>
      </c>
      <c r="AA99" s="92">
        <f t="shared" si="9"/>
        <v>49.9999999999989</v>
      </c>
      <c r="AB99" s="97">
        <f t="shared" si="8"/>
        <v>13750</v>
      </c>
      <c r="AC99" s="96"/>
      <c r="AD99" s="92"/>
      <c r="AE99" s="92"/>
      <c r="AF99" s="39"/>
      <c r="AG99" s="92"/>
      <c r="AH99" s="92"/>
      <c r="AI99" s="92"/>
      <c r="AJ99" s="97"/>
    </row>
    <row r="100" spans="1:36">
      <c r="A100" s="84">
        <f t="shared" si="5"/>
        <v>102</v>
      </c>
      <c r="B100" s="91">
        <v>45845</v>
      </c>
      <c r="C100" s="48">
        <v>45845</v>
      </c>
      <c r="D100" s="104"/>
      <c r="E100" s="105"/>
      <c r="F100" s="99">
        <v>616.7</v>
      </c>
      <c r="G100" s="99">
        <v>624.06</v>
      </c>
      <c r="H100" s="99">
        <v>612.45</v>
      </c>
      <c r="I100" s="99">
        <v>618.66</v>
      </c>
      <c r="J100" s="99">
        <v>617.18</v>
      </c>
      <c r="K100" s="99">
        <v>610.24</v>
      </c>
      <c r="L100" s="99">
        <v>618.41</v>
      </c>
      <c r="M100" s="99">
        <v>643.9</v>
      </c>
      <c r="N100" s="99">
        <v>621.6</v>
      </c>
      <c r="O100" s="99">
        <v>617.7</v>
      </c>
      <c r="P100" s="99">
        <v>594.46</v>
      </c>
      <c r="Q100" s="99">
        <v>624.15</v>
      </c>
      <c r="R100" s="99">
        <v>622.01</v>
      </c>
      <c r="S100" s="99">
        <v>622.92</v>
      </c>
      <c r="T100" s="99">
        <v>621.33</v>
      </c>
      <c r="U100" s="94">
        <f t="shared" si="6"/>
        <v>9285.77</v>
      </c>
      <c r="V100" s="103">
        <f t="shared" si="10"/>
        <v>63.89</v>
      </c>
      <c r="W100" s="92">
        <v>65.75</v>
      </c>
      <c r="X100" s="92">
        <f t="shared" si="7"/>
        <v>9300</v>
      </c>
      <c r="Y100" s="39">
        <f t="shared" si="11"/>
        <v>2.19</v>
      </c>
      <c r="Z100" s="92">
        <v>2.2</v>
      </c>
      <c r="AA100" s="92">
        <f t="shared" si="9"/>
        <v>50.0000000000012</v>
      </c>
      <c r="AB100" s="97">
        <f t="shared" si="8"/>
        <v>9249.99999999999</v>
      </c>
      <c r="AC100" s="96"/>
      <c r="AD100" s="92"/>
      <c r="AE100" s="92"/>
      <c r="AF100" s="39"/>
      <c r="AG100" s="92"/>
      <c r="AH100" s="92"/>
      <c r="AI100" s="92"/>
      <c r="AJ100" s="97"/>
    </row>
    <row r="101" spans="1:36">
      <c r="A101" s="84">
        <f t="shared" si="5"/>
        <v>103</v>
      </c>
      <c r="B101" s="91">
        <v>45846</v>
      </c>
      <c r="C101" s="48">
        <v>45846</v>
      </c>
      <c r="D101" s="104"/>
      <c r="E101" s="105"/>
      <c r="F101" s="99">
        <v>1032.44</v>
      </c>
      <c r="G101" s="99">
        <v>1050.25</v>
      </c>
      <c r="H101" s="99">
        <v>1025.72</v>
      </c>
      <c r="I101" s="99">
        <v>1043.36</v>
      </c>
      <c r="J101" s="99">
        <v>1040.1</v>
      </c>
      <c r="K101" s="99">
        <v>1020.6</v>
      </c>
      <c r="L101" s="99">
        <v>1044.22</v>
      </c>
      <c r="M101" s="99">
        <v>1089.32</v>
      </c>
      <c r="N101" s="99">
        <v>1022.56</v>
      </c>
      <c r="O101" s="99">
        <v>1032.5</v>
      </c>
      <c r="P101" s="99">
        <v>995.17</v>
      </c>
      <c r="Q101" s="99">
        <v>1045.45</v>
      </c>
      <c r="R101" s="99">
        <v>1040.1</v>
      </c>
      <c r="S101" s="99">
        <v>1042.8</v>
      </c>
      <c r="T101" s="99">
        <v>1037.63</v>
      </c>
      <c r="U101" s="94">
        <f t="shared" si="6"/>
        <v>15562.22</v>
      </c>
      <c r="V101" s="103">
        <f t="shared" si="10"/>
        <v>65.75</v>
      </c>
      <c r="W101" s="92">
        <v>68.86</v>
      </c>
      <c r="X101" s="92">
        <f t="shared" si="7"/>
        <v>15550</v>
      </c>
      <c r="Y101" s="39">
        <f t="shared" si="11"/>
        <v>2.2</v>
      </c>
      <c r="Z101" s="92">
        <v>2.21</v>
      </c>
      <c r="AA101" s="92">
        <f t="shared" si="9"/>
        <v>49.9999999999989</v>
      </c>
      <c r="AB101" s="97">
        <f t="shared" si="8"/>
        <v>15500</v>
      </c>
      <c r="AC101" s="96"/>
      <c r="AD101" s="92"/>
      <c r="AE101" s="92">
        <v>0</v>
      </c>
      <c r="AF101" s="39"/>
      <c r="AG101" s="92"/>
      <c r="AH101" s="92"/>
      <c r="AI101" s="92"/>
      <c r="AJ101" s="97"/>
    </row>
    <row r="102" spans="1:36">
      <c r="A102" s="84">
        <f t="shared" si="5"/>
        <v>104</v>
      </c>
      <c r="B102" s="91">
        <v>45847</v>
      </c>
      <c r="C102" s="48">
        <v>45847</v>
      </c>
      <c r="D102" s="104"/>
      <c r="E102" s="105"/>
      <c r="F102" s="99">
        <v>1470.45</v>
      </c>
      <c r="G102" s="99">
        <v>1480.93</v>
      </c>
      <c r="H102" s="99">
        <v>1450.17</v>
      </c>
      <c r="I102" s="99">
        <v>1470.58</v>
      </c>
      <c r="J102" s="99">
        <v>1452.51</v>
      </c>
      <c r="K102" s="99">
        <v>1438.5</v>
      </c>
      <c r="L102" s="99">
        <v>1465.27</v>
      </c>
      <c r="M102" s="99">
        <v>1496.76</v>
      </c>
      <c r="N102" s="99">
        <v>1458.68</v>
      </c>
      <c r="O102" s="99">
        <v>1466.52</v>
      </c>
      <c r="P102" s="99">
        <v>1415.2</v>
      </c>
      <c r="Q102" s="99">
        <v>1486.31</v>
      </c>
      <c r="R102" s="99">
        <v>1477.36</v>
      </c>
      <c r="S102" s="99">
        <v>1482.35</v>
      </c>
      <c r="T102" s="99">
        <v>1466.02</v>
      </c>
      <c r="U102" s="94">
        <f t="shared" si="6"/>
        <v>21977.61</v>
      </c>
      <c r="V102" s="103">
        <f t="shared" si="10"/>
        <v>68.86</v>
      </c>
      <c r="W102" s="92">
        <v>73.25</v>
      </c>
      <c r="X102" s="92">
        <f t="shared" si="7"/>
        <v>21950</v>
      </c>
      <c r="Y102" s="39">
        <f t="shared" si="11"/>
        <v>2.21</v>
      </c>
      <c r="Z102" s="92">
        <v>2.22</v>
      </c>
      <c r="AA102" s="92">
        <f t="shared" si="9"/>
        <v>50.0000000000012</v>
      </c>
      <c r="AB102" s="97">
        <f t="shared" si="8"/>
        <v>21900</v>
      </c>
      <c r="AC102" s="96"/>
      <c r="AD102" s="92"/>
      <c r="AE102" s="92">
        <v>0</v>
      </c>
      <c r="AF102" s="39"/>
      <c r="AG102" s="92"/>
      <c r="AH102" s="92"/>
      <c r="AI102" s="92"/>
      <c r="AJ102" s="97"/>
    </row>
    <row r="103" spans="1:36">
      <c r="A103" s="84">
        <f t="shared" si="5"/>
        <v>105</v>
      </c>
      <c r="B103" s="91">
        <v>45848</v>
      </c>
      <c r="C103" s="48">
        <v>45848</v>
      </c>
      <c r="D103" s="104"/>
      <c r="E103" s="105"/>
      <c r="F103" s="99">
        <v>877.65</v>
      </c>
      <c r="G103" s="99">
        <v>890.62</v>
      </c>
      <c r="H103" s="99">
        <v>870.65</v>
      </c>
      <c r="I103" s="99">
        <v>882.7</v>
      </c>
      <c r="J103" s="99">
        <v>977.77</v>
      </c>
      <c r="K103" s="99">
        <v>863.4</v>
      </c>
      <c r="L103" s="99">
        <v>870.9</v>
      </c>
      <c r="M103" s="99">
        <v>850.95</v>
      </c>
      <c r="N103" s="99">
        <v>865.8</v>
      </c>
      <c r="O103" s="99">
        <v>893.71</v>
      </c>
      <c r="P103" s="99">
        <v>866.58</v>
      </c>
      <c r="Q103" s="99">
        <v>908.27</v>
      </c>
      <c r="R103" s="99">
        <v>897.58</v>
      </c>
      <c r="S103" s="99">
        <v>905.09</v>
      </c>
      <c r="T103" s="99">
        <v>891.97</v>
      </c>
      <c r="U103" s="94">
        <f t="shared" si="6"/>
        <v>13313.64</v>
      </c>
      <c r="V103" s="103">
        <f t="shared" si="10"/>
        <v>73.25</v>
      </c>
      <c r="W103" s="92">
        <v>75.93</v>
      </c>
      <c r="X103" s="92">
        <f t="shared" si="7"/>
        <v>13400</v>
      </c>
      <c r="Y103" s="39">
        <f t="shared" si="11"/>
        <v>2.22</v>
      </c>
      <c r="Z103" s="92">
        <v>2.25</v>
      </c>
      <c r="AA103" s="92">
        <f t="shared" si="9"/>
        <v>149.999999999999</v>
      </c>
      <c r="AB103" s="97">
        <f t="shared" si="8"/>
        <v>13250</v>
      </c>
      <c r="AC103" s="96"/>
      <c r="AD103" s="92"/>
      <c r="AE103" s="92">
        <v>0</v>
      </c>
      <c r="AF103" s="39"/>
      <c r="AG103" s="92"/>
      <c r="AH103" s="92"/>
      <c r="AI103" s="92"/>
      <c r="AJ103" s="97"/>
    </row>
    <row r="104" spans="1:36">
      <c r="A104" s="84">
        <f t="shared" si="5"/>
        <v>106</v>
      </c>
      <c r="B104" s="91">
        <v>45849</v>
      </c>
      <c r="C104" s="48">
        <v>45849</v>
      </c>
      <c r="D104" s="104"/>
      <c r="E104" s="105"/>
      <c r="F104" s="99">
        <v>778.85</v>
      </c>
      <c r="G104" s="99">
        <v>763.71</v>
      </c>
      <c r="H104" s="99">
        <v>734.18</v>
      </c>
      <c r="I104" s="99">
        <v>755.9</v>
      </c>
      <c r="J104" s="99">
        <v>751.54</v>
      </c>
      <c r="K104" s="99">
        <v>736.6</v>
      </c>
      <c r="L104" s="99">
        <v>750.73</v>
      </c>
      <c r="M104" s="99">
        <v>785.68</v>
      </c>
      <c r="N104" s="99">
        <v>772.89</v>
      </c>
      <c r="O104" s="99">
        <v>764.65</v>
      </c>
      <c r="P104" s="99">
        <v>737.99</v>
      </c>
      <c r="Q104" s="99">
        <v>775.39</v>
      </c>
      <c r="R104" s="99">
        <v>767.07</v>
      </c>
      <c r="S104" s="99">
        <v>771.62</v>
      </c>
      <c r="T104" s="99">
        <v>758.49</v>
      </c>
      <c r="U104" s="94">
        <f t="shared" si="6"/>
        <v>11405.29</v>
      </c>
      <c r="V104" s="103">
        <f t="shared" si="10"/>
        <v>75.93</v>
      </c>
      <c r="W104" s="92">
        <v>78.25</v>
      </c>
      <c r="X104" s="92">
        <f t="shared" si="7"/>
        <v>11600</v>
      </c>
      <c r="Y104" s="39">
        <f t="shared" si="11"/>
        <v>2.25</v>
      </c>
      <c r="Z104" s="92">
        <v>2.26</v>
      </c>
      <c r="AA104" s="92">
        <f t="shared" si="9"/>
        <v>49.9999999999989</v>
      </c>
      <c r="AB104" s="97">
        <f t="shared" si="8"/>
        <v>11550</v>
      </c>
      <c r="AC104" s="96"/>
      <c r="AD104" s="92"/>
      <c r="AE104" s="92">
        <v>0</v>
      </c>
      <c r="AF104" s="39"/>
      <c r="AG104" s="92"/>
      <c r="AH104" s="92"/>
      <c r="AI104" s="92"/>
      <c r="AJ104" s="97"/>
    </row>
    <row r="105" spans="1:36">
      <c r="A105" s="84">
        <f t="shared" si="5"/>
        <v>107</v>
      </c>
      <c r="B105" s="91">
        <v>45850</v>
      </c>
      <c r="C105" s="48">
        <v>45850</v>
      </c>
      <c r="D105" s="104"/>
      <c r="E105" s="105"/>
      <c r="F105" s="99">
        <v>1297.6</v>
      </c>
      <c r="G105" s="99">
        <v>1321.5</v>
      </c>
      <c r="H105" s="99">
        <v>1276.62</v>
      </c>
      <c r="I105" s="99">
        <v>1316.5</v>
      </c>
      <c r="J105" s="99">
        <v>1305.2</v>
      </c>
      <c r="K105" s="99">
        <v>1261.16</v>
      </c>
      <c r="L105" s="99">
        <v>1253.37</v>
      </c>
      <c r="M105" s="99">
        <v>1265.09</v>
      </c>
      <c r="N105" s="99">
        <v>1239.26</v>
      </c>
      <c r="O105" s="99">
        <v>1309.19</v>
      </c>
      <c r="P105" s="99">
        <v>1259.83</v>
      </c>
      <c r="Q105" s="99">
        <v>1293</v>
      </c>
      <c r="R105" s="99">
        <v>1318.96</v>
      </c>
      <c r="S105" s="99">
        <v>1319.55</v>
      </c>
      <c r="T105" s="99">
        <v>1303.81</v>
      </c>
      <c r="U105" s="94">
        <f t="shared" si="6"/>
        <v>19340.64</v>
      </c>
      <c r="V105" s="103">
        <f t="shared" si="10"/>
        <v>78.25</v>
      </c>
      <c r="W105" s="92">
        <v>82.12</v>
      </c>
      <c r="X105" s="92">
        <f t="shared" si="7"/>
        <v>19350</v>
      </c>
      <c r="Y105" s="39">
        <f t="shared" si="11"/>
        <v>2.26</v>
      </c>
      <c r="Z105" s="92">
        <v>2.27</v>
      </c>
      <c r="AA105" s="92">
        <f t="shared" si="9"/>
        <v>50.0000000000012</v>
      </c>
      <c r="AB105" s="97">
        <f t="shared" si="8"/>
        <v>19300</v>
      </c>
      <c r="AC105" s="96"/>
      <c r="AD105" s="92"/>
      <c r="AE105" s="92">
        <v>0</v>
      </c>
      <c r="AF105" s="39"/>
      <c r="AG105" s="92"/>
      <c r="AH105" s="92"/>
      <c r="AI105" s="92"/>
      <c r="AJ105" s="97"/>
    </row>
    <row r="106" spans="1:36">
      <c r="A106" s="84">
        <f t="shared" si="5"/>
        <v>108</v>
      </c>
      <c r="B106" s="91">
        <v>45851</v>
      </c>
      <c r="C106" s="48">
        <v>45851</v>
      </c>
      <c r="D106" s="104"/>
      <c r="E106" s="105"/>
      <c r="F106" s="99">
        <v>1093.8</v>
      </c>
      <c r="G106" s="99">
        <v>1122.93</v>
      </c>
      <c r="H106" s="99">
        <v>1071.55</v>
      </c>
      <c r="I106" s="99">
        <v>1115.6</v>
      </c>
      <c r="J106" s="99">
        <v>1112.18</v>
      </c>
      <c r="K106" s="99">
        <v>1088.6</v>
      </c>
      <c r="L106" s="99">
        <v>1110.61</v>
      </c>
      <c r="M106" s="99">
        <v>1165.57</v>
      </c>
      <c r="N106" s="99">
        <v>1114.93</v>
      </c>
      <c r="O106" s="99">
        <v>1107.28</v>
      </c>
      <c r="P106" s="99">
        <v>1068.59</v>
      </c>
      <c r="Q106" s="99">
        <v>1119.27</v>
      </c>
      <c r="R106" s="99">
        <v>1118.61</v>
      </c>
      <c r="S106" s="99">
        <v>1119.56</v>
      </c>
      <c r="T106" s="99">
        <v>1099.48</v>
      </c>
      <c r="U106" s="94">
        <f t="shared" si="6"/>
        <v>16628.56</v>
      </c>
      <c r="V106" s="103">
        <f t="shared" si="10"/>
        <v>82.12</v>
      </c>
      <c r="W106" s="92">
        <v>85.48</v>
      </c>
      <c r="X106" s="92">
        <f t="shared" si="7"/>
        <v>16800</v>
      </c>
      <c r="Y106" s="39">
        <f t="shared" si="11"/>
        <v>2.27</v>
      </c>
      <c r="Z106" s="92">
        <v>2.28</v>
      </c>
      <c r="AA106" s="92">
        <f t="shared" si="9"/>
        <v>49.9999999999989</v>
      </c>
      <c r="AB106" s="97">
        <f t="shared" si="8"/>
        <v>16750</v>
      </c>
      <c r="AC106" s="96"/>
      <c r="AD106" s="92"/>
      <c r="AE106" s="92">
        <v>0</v>
      </c>
      <c r="AF106" s="39"/>
      <c r="AG106" s="92"/>
      <c r="AH106" s="92"/>
      <c r="AI106" s="92"/>
      <c r="AJ106" s="97"/>
    </row>
    <row r="107" spans="1:36">
      <c r="A107" s="84">
        <f t="shared" si="5"/>
        <v>109</v>
      </c>
      <c r="B107" s="91">
        <v>45852</v>
      </c>
      <c r="C107" s="48">
        <v>45852</v>
      </c>
      <c r="D107" s="104">
        <v>0.270833333333333</v>
      </c>
      <c r="E107" s="105">
        <v>0.802083333333333</v>
      </c>
      <c r="F107" s="100">
        <v>1412.43</v>
      </c>
      <c r="G107" s="92">
        <v>1486.07</v>
      </c>
      <c r="H107" s="92">
        <v>1417.51</v>
      </c>
      <c r="I107" s="92">
        <v>1480.09</v>
      </c>
      <c r="J107" s="92">
        <v>1472.92</v>
      </c>
      <c r="K107" s="92">
        <v>1400.64</v>
      </c>
      <c r="L107" s="92">
        <v>1346.68</v>
      </c>
      <c r="M107" s="93">
        <v>1371.07</v>
      </c>
      <c r="N107" s="93">
        <v>1343.55</v>
      </c>
      <c r="O107" s="93">
        <v>1434.97</v>
      </c>
      <c r="P107" s="93">
        <v>1390.1</v>
      </c>
      <c r="Q107" s="93">
        <v>1396.3</v>
      </c>
      <c r="R107" s="93">
        <v>1495.66</v>
      </c>
      <c r="S107" s="93">
        <v>1497.65</v>
      </c>
      <c r="T107" s="93">
        <v>1490.6</v>
      </c>
      <c r="U107" s="94">
        <f t="shared" si="6"/>
        <v>21436.24</v>
      </c>
      <c r="V107" s="103">
        <v>85.48</v>
      </c>
      <c r="W107" s="92">
        <v>89.78</v>
      </c>
      <c r="X107" s="92">
        <f t="shared" si="7"/>
        <v>21500</v>
      </c>
      <c r="Y107" s="92">
        <f t="shared" si="11"/>
        <v>2.28</v>
      </c>
      <c r="Z107" s="92">
        <v>2.29</v>
      </c>
      <c r="AA107" s="92">
        <f t="shared" si="9"/>
        <v>50.0000000000012</v>
      </c>
      <c r="AB107" s="97">
        <f t="shared" si="8"/>
        <v>21450</v>
      </c>
      <c r="AC107" s="96"/>
      <c r="AD107" s="92">
        <v>3.44</v>
      </c>
      <c r="AE107" s="92">
        <v>30.32</v>
      </c>
      <c r="AF107" s="92"/>
      <c r="AG107" s="92"/>
      <c r="AH107" s="92"/>
      <c r="AI107" s="92"/>
      <c r="AJ107" s="97" t="s">
        <v>78</v>
      </c>
    </row>
    <row r="108" spans="1:36">
      <c r="A108" s="84">
        <f t="shared" si="5"/>
        <v>110</v>
      </c>
      <c r="B108" s="91">
        <v>45853</v>
      </c>
      <c r="C108" s="48">
        <v>45853</v>
      </c>
      <c r="D108" s="104">
        <v>0.270833333333333</v>
      </c>
      <c r="E108" s="105">
        <v>0.802083333333333</v>
      </c>
      <c r="F108" s="100">
        <v>874.24</v>
      </c>
      <c r="G108" s="92">
        <v>932.25</v>
      </c>
      <c r="H108" s="92">
        <v>902.78</v>
      </c>
      <c r="I108" s="92">
        <v>926.12</v>
      </c>
      <c r="J108" s="92">
        <v>926.17</v>
      </c>
      <c r="K108" s="92">
        <v>903.03</v>
      </c>
      <c r="L108" s="92">
        <v>918.08</v>
      </c>
      <c r="M108" s="93">
        <v>965.1</v>
      </c>
      <c r="N108" s="93">
        <v>943.59</v>
      </c>
      <c r="O108" s="93">
        <v>936.4</v>
      </c>
      <c r="P108" s="93">
        <v>905.23</v>
      </c>
      <c r="Q108" s="93">
        <v>946.68</v>
      </c>
      <c r="R108" s="93">
        <v>945.8</v>
      </c>
      <c r="S108" s="93">
        <v>944.56</v>
      </c>
      <c r="T108" s="93">
        <v>940.98</v>
      </c>
      <c r="U108" s="94">
        <f t="shared" si="6"/>
        <v>13911.01</v>
      </c>
      <c r="V108" s="103">
        <f t="shared" ref="V108:V140" si="12">W107</f>
        <v>89.78</v>
      </c>
      <c r="W108" s="92">
        <v>92.58</v>
      </c>
      <c r="X108" s="92">
        <f t="shared" si="7"/>
        <v>14000</v>
      </c>
      <c r="Y108" s="92">
        <f t="shared" si="11"/>
        <v>2.29</v>
      </c>
      <c r="Z108" s="92">
        <v>2.3</v>
      </c>
      <c r="AA108" s="92">
        <f t="shared" si="9"/>
        <v>49.9999999999989</v>
      </c>
      <c r="AB108" s="97">
        <f t="shared" si="8"/>
        <v>13950</v>
      </c>
      <c r="AC108" s="96"/>
      <c r="AD108" s="92"/>
      <c r="AE108" s="92"/>
      <c r="AF108" s="92"/>
      <c r="AG108" s="92"/>
      <c r="AH108" s="92"/>
      <c r="AI108" s="92"/>
      <c r="AJ108" s="97"/>
    </row>
    <row r="109" spans="1:36">
      <c r="A109" s="84">
        <f t="shared" si="5"/>
        <v>111</v>
      </c>
      <c r="B109" s="91">
        <v>45854</v>
      </c>
      <c r="C109" s="48">
        <v>45854</v>
      </c>
      <c r="D109" s="104">
        <v>0.270833333333333</v>
      </c>
      <c r="E109" s="105">
        <v>0.802083333333333</v>
      </c>
      <c r="F109" s="100">
        <v>1578.35</v>
      </c>
      <c r="G109" s="92">
        <v>1651.2</v>
      </c>
      <c r="H109" s="92">
        <v>1599.78</v>
      </c>
      <c r="I109" s="92">
        <v>1640.62</v>
      </c>
      <c r="J109" s="92">
        <v>1625.99</v>
      </c>
      <c r="K109" s="92">
        <v>1567.68</v>
      </c>
      <c r="L109" s="92">
        <v>1486.43</v>
      </c>
      <c r="M109" s="93">
        <v>1514.96</v>
      </c>
      <c r="N109" s="93">
        <v>1509.09</v>
      </c>
      <c r="O109" s="93">
        <v>1671.42</v>
      </c>
      <c r="P109" s="93">
        <v>1574.64</v>
      </c>
      <c r="Q109" s="93">
        <v>1624.86</v>
      </c>
      <c r="R109" s="93">
        <v>1671.68</v>
      </c>
      <c r="S109" s="93">
        <v>1686.31</v>
      </c>
      <c r="T109" s="93">
        <v>1682.43</v>
      </c>
      <c r="U109" s="94">
        <f t="shared" si="6"/>
        <v>24085.44</v>
      </c>
      <c r="V109" s="103">
        <f t="shared" si="12"/>
        <v>92.58</v>
      </c>
      <c r="W109" s="92">
        <v>97.37</v>
      </c>
      <c r="X109" s="92">
        <f t="shared" si="7"/>
        <v>23950</v>
      </c>
      <c r="Y109" s="92">
        <f t="shared" ref="Y109:Y140" si="13">Z108</f>
        <v>2.3</v>
      </c>
      <c r="Z109" s="92">
        <v>2.31</v>
      </c>
      <c r="AA109" s="92">
        <f t="shared" si="9"/>
        <v>50.0000000000012</v>
      </c>
      <c r="AB109" s="97">
        <f t="shared" si="8"/>
        <v>23900</v>
      </c>
      <c r="AC109" s="96"/>
      <c r="AD109" s="92">
        <v>4.4</v>
      </c>
      <c r="AE109" s="92">
        <v>30.74</v>
      </c>
      <c r="AF109" s="92"/>
      <c r="AG109" s="92"/>
      <c r="AH109" s="92"/>
      <c r="AI109" s="92"/>
      <c r="AJ109" s="97" t="s">
        <v>78</v>
      </c>
    </row>
    <row r="110" spans="1:36">
      <c r="A110" s="84">
        <f t="shared" si="5"/>
        <v>112</v>
      </c>
      <c r="B110" s="91">
        <v>45855</v>
      </c>
      <c r="C110" s="48">
        <v>45855</v>
      </c>
      <c r="D110" s="104">
        <v>0.270833333333333</v>
      </c>
      <c r="E110" s="105">
        <v>0.802083333333333</v>
      </c>
      <c r="F110" s="100">
        <v>1385.84</v>
      </c>
      <c r="G110" s="92">
        <v>1464.96</v>
      </c>
      <c r="H110" s="92">
        <v>1426.46</v>
      </c>
      <c r="I110" s="92">
        <v>1455.38</v>
      </c>
      <c r="J110" s="92">
        <v>1447.7</v>
      </c>
      <c r="K110" s="92">
        <v>1426.77</v>
      </c>
      <c r="L110" s="92">
        <v>1426.86</v>
      </c>
      <c r="M110" s="93">
        <v>1499.26</v>
      </c>
      <c r="N110" s="93">
        <v>1484.44</v>
      </c>
      <c r="O110" s="93">
        <v>1480.03</v>
      </c>
      <c r="P110" s="93">
        <v>1417.2</v>
      </c>
      <c r="Q110" s="93">
        <v>1483.16</v>
      </c>
      <c r="R110" s="93">
        <v>1485.23</v>
      </c>
      <c r="S110" s="93">
        <v>1478.18</v>
      </c>
      <c r="T110" s="93">
        <v>1480.4</v>
      </c>
      <c r="U110" s="94">
        <f t="shared" si="6"/>
        <v>21841.87</v>
      </c>
      <c r="V110" s="103">
        <f t="shared" si="12"/>
        <v>97.37</v>
      </c>
      <c r="W110" s="92">
        <v>101.75</v>
      </c>
      <c r="X110" s="92">
        <f t="shared" si="7"/>
        <v>21900</v>
      </c>
      <c r="Y110" s="92">
        <f t="shared" si="13"/>
        <v>2.31</v>
      </c>
      <c r="Z110" s="92">
        <v>2.33</v>
      </c>
      <c r="AA110" s="92">
        <f t="shared" si="9"/>
        <v>100</v>
      </c>
      <c r="AB110" s="97">
        <f t="shared" si="8"/>
        <v>21800</v>
      </c>
      <c r="AC110" s="96"/>
      <c r="AD110" s="92">
        <v>3.46</v>
      </c>
      <c r="AE110" s="92">
        <v>31.17</v>
      </c>
      <c r="AF110" s="92"/>
      <c r="AG110" s="92"/>
      <c r="AH110" s="92"/>
      <c r="AI110" s="92"/>
      <c r="AJ110" s="97" t="s">
        <v>78</v>
      </c>
    </row>
    <row r="111" spans="1:36">
      <c r="A111" s="84">
        <f t="shared" si="5"/>
        <v>113</v>
      </c>
      <c r="B111" s="91">
        <v>45856</v>
      </c>
      <c r="C111" s="48">
        <v>45856</v>
      </c>
      <c r="D111" s="104">
        <v>0.270833333333333</v>
      </c>
      <c r="E111" s="105">
        <v>0.802083333333333</v>
      </c>
      <c r="F111" s="100">
        <v>1177.37</v>
      </c>
      <c r="G111" s="92">
        <v>1243.36</v>
      </c>
      <c r="H111" s="92">
        <v>1221.3</v>
      </c>
      <c r="I111" s="92">
        <v>1241.29</v>
      </c>
      <c r="J111" s="92">
        <v>1233.92</v>
      </c>
      <c r="K111" s="92">
        <v>1229.02</v>
      </c>
      <c r="L111" s="92">
        <v>1227.34</v>
      </c>
      <c r="M111" s="93">
        <v>1290.91</v>
      </c>
      <c r="N111" s="93">
        <v>1263.85</v>
      </c>
      <c r="O111" s="93">
        <v>1258.41</v>
      </c>
      <c r="P111" s="93">
        <v>1213.84</v>
      </c>
      <c r="Q111" s="93">
        <v>1270.1</v>
      </c>
      <c r="R111" s="93">
        <v>1266.36</v>
      </c>
      <c r="S111" s="93">
        <v>1270.21</v>
      </c>
      <c r="T111" s="93">
        <v>1264.68</v>
      </c>
      <c r="U111" s="94">
        <f t="shared" si="6"/>
        <v>18671.96</v>
      </c>
      <c r="V111" s="103">
        <f t="shared" si="12"/>
        <v>101.75</v>
      </c>
      <c r="W111" s="92">
        <v>105.5</v>
      </c>
      <c r="X111" s="92">
        <f t="shared" si="7"/>
        <v>18750</v>
      </c>
      <c r="Y111" s="92">
        <f t="shared" si="13"/>
        <v>2.33</v>
      </c>
      <c r="Z111" s="92">
        <v>2.34</v>
      </c>
      <c r="AA111" s="92">
        <f t="shared" si="9"/>
        <v>49.9999999999989</v>
      </c>
      <c r="AB111" s="97">
        <f t="shared" si="8"/>
        <v>18700</v>
      </c>
      <c r="AC111" s="96"/>
      <c r="AD111" s="92">
        <v>3.13</v>
      </c>
      <c r="AE111" s="92">
        <v>30.54</v>
      </c>
      <c r="AF111" s="92"/>
      <c r="AG111" s="92"/>
      <c r="AH111" s="92"/>
      <c r="AI111" s="92"/>
      <c r="AJ111" s="97" t="s">
        <v>78</v>
      </c>
    </row>
    <row r="112" spans="1:36">
      <c r="A112" s="84">
        <f t="shared" si="5"/>
        <v>114</v>
      </c>
      <c r="B112" s="91">
        <v>45857</v>
      </c>
      <c r="C112" s="48">
        <v>45857</v>
      </c>
      <c r="D112" s="104">
        <v>0.28125</v>
      </c>
      <c r="E112" s="105">
        <v>0.739583333333333</v>
      </c>
      <c r="F112" s="100">
        <v>829.54</v>
      </c>
      <c r="G112" s="92">
        <v>875.34</v>
      </c>
      <c r="H112" s="92">
        <v>863.93</v>
      </c>
      <c r="I112" s="92">
        <v>875.24</v>
      </c>
      <c r="J112" s="92">
        <v>869.62</v>
      </c>
      <c r="K112" s="92">
        <v>870.99</v>
      </c>
      <c r="L112" s="92">
        <v>868.14</v>
      </c>
      <c r="M112" s="93">
        <v>907.59</v>
      </c>
      <c r="N112" s="93">
        <v>872.93</v>
      </c>
      <c r="O112" s="93">
        <v>869.8</v>
      </c>
      <c r="P112" s="93">
        <v>838.68</v>
      </c>
      <c r="Q112" s="93">
        <v>874.77</v>
      </c>
      <c r="R112" s="93">
        <v>876.42</v>
      </c>
      <c r="S112" s="93">
        <v>876.63</v>
      </c>
      <c r="T112" s="93">
        <v>880.35</v>
      </c>
      <c r="U112" s="94">
        <f t="shared" si="6"/>
        <v>13049.97</v>
      </c>
      <c r="V112" s="103">
        <f t="shared" si="12"/>
        <v>105.5</v>
      </c>
      <c r="W112" s="92">
        <v>108.11</v>
      </c>
      <c r="X112" s="92">
        <f t="shared" si="7"/>
        <v>13050</v>
      </c>
      <c r="Y112" s="92">
        <f t="shared" si="13"/>
        <v>2.34</v>
      </c>
      <c r="Z112" s="92">
        <v>2.35</v>
      </c>
      <c r="AA112" s="92">
        <f t="shared" si="9"/>
        <v>50.0000000000012</v>
      </c>
      <c r="AB112" s="97">
        <f t="shared" si="8"/>
        <v>13000</v>
      </c>
      <c r="AC112" s="96"/>
      <c r="AD112" s="92">
        <v>1.9</v>
      </c>
      <c r="AE112" s="92">
        <v>29.14</v>
      </c>
      <c r="AF112" s="92"/>
      <c r="AG112" s="92"/>
      <c r="AH112" s="92"/>
      <c r="AI112" s="92"/>
      <c r="AJ112" s="97" t="s">
        <v>78</v>
      </c>
    </row>
    <row r="113" spans="1:36">
      <c r="A113" s="84">
        <f t="shared" si="5"/>
        <v>115</v>
      </c>
      <c r="B113" s="91">
        <v>45858</v>
      </c>
      <c r="C113" s="48">
        <v>45858</v>
      </c>
      <c r="D113" s="104">
        <v>0.291666666666667</v>
      </c>
      <c r="E113" s="105">
        <v>0.822916666666667</v>
      </c>
      <c r="F113" s="100">
        <v>801.29</v>
      </c>
      <c r="G113" s="92">
        <v>844.26</v>
      </c>
      <c r="H113" s="92">
        <v>837.95</v>
      </c>
      <c r="I113" s="92">
        <v>845.94</v>
      </c>
      <c r="J113" s="92">
        <v>839.81</v>
      </c>
      <c r="K113" s="92">
        <v>846.11</v>
      </c>
      <c r="L113" s="92">
        <v>843.25</v>
      </c>
      <c r="M113" s="93">
        <v>880.71</v>
      </c>
      <c r="N113" s="93">
        <v>844.19</v>
      </c>
      <c r="O113" s="93">
        <v>840.11</v>
      </c>
      <c r="P113" s="93">
        <v>811.77</v>
      </c>
      <c r="Q113" s="93">
        <v>850.29</v>
      </c>
      <c r="R113" s="93">
        <v>845.7</v>
      </c>
      <c r="S113" s="93">
        <v>854.58</v>
      </c>
      <c r="T113" s="93">
        <v>853.6</v>
      </c>
      <c r="U113" s="94">
        <f t="shared" si="6"/>
        <v>12639.56</v>
      </c>
      <c r="V113" s="103">
        <f t="shared" si="12"/>
        <v>108.11</v>
      </c>
      <c r="W113" s="92">
        <v>110.59</v>
      </c>
      <c r="X113" s="92">
        <f t="shared" si="7"/>
        <v>12400</v>
      </c>
      <c r="Y113" s="92">
        <f t="shared" si="13"/>
        <v>2.35</v>
      </c>
      <c r="Z113" s="92">
        <v>2.36</v>
      </c>
      <c r="AA113" s="92">
        <f t="shared" si="9"/>
        <v>49.9999999999989</v>
      </c>
      <c r="AB113" s="97">
        <f t="shared" si="8"/>
        <v>12350</v>
      </c>
      <c r="AC113" s="96"/>
      <c r="AD113" s="92">
        <v>1.81</v>
      </c>
      <c r="AE113" s="92">
        <v>28.6</v>
      </c>
      <c r="AF113" s="92"/>
      <c r="AG113" s="92"/>
      <c r="AH113" s="92"/>
      <c r="AI113" s="92"/>
      <c r="AJ113" s="97" t="s">
        <v>78</v>
      </c>
    </row>
    <row r="114" spans="1:36">
      <c r="A114" s="84">
        <f t="shared" si="5"/>
        <v>116</v>
      </c>
      <c r="B114" s="91">
        <v>45859</v>
      </c>
      <c r="C114" s="48">
        <v>45859</v>
      </c>
      <c r="D114" s="104">
        <v>0.28125</v>
      </c>
      <c r="E114" s="105">
        <v>0.802083333333333</v>
      </c>
      <c r="F114" s="100">
        <v>942.02</v>
      </c>
      <c r="G114" s="92">
        <v>998.09</v>
      </c>
      <c r="H114" s="92">
        <v>977.43</v>
      </c>
      <c r="I114" s="92">
        <v>990.96</v>
      </c>
      <c r="J114" s="92">
        <v>983.96</v>
      </c>
      <c r="K114" s="92">
        <v>982.46</v>
      </c>
      <c r="L114" s="92">
        <v>986.94</v>
      </c>
      <c r="M114" s="93">
        <v>1023.82</v>
      </c>
      <c r="N114" s="93">
        <v>999.91</v>
      </c>
      <c r="O114" s="93">
        <v>1003.81</v>
      </c>
      <c r="P114" s="93">
        <v>958.47</v>
      </c>
      <c r="Q114" s="93">
        <v>1009.56</v>
      </c>
      <c r="R114" s="93">
        <v>1007</v>
      </c>
      <c r="S114" s="93">
        <v>1005.26</v>
      </c>
      <c r="T114" s="93">
        <v>1005.89</v>
      </c>
      <c r="U114" s="94">
        <f t="shared" si="6"/>
        <v>14875.58</v>
      </c>
      <c r="V114" s="103">
        <f t="shared" si="12"/>
        <v>110.59</v>
      </c>
      <c r="W114" s="92">
        <v>113.59</v>
      </c>
      <c r="X114" s="92">
        <f t="shared" si="7"/>
        <v>15000</v>
      </c>
      <c r="Y114" s="92">
        <f t="shared" si="13"/>
        <v>2.36</v>
      </c>
      <c r="Z114" s="92">
        <v>2.37</v>
      </c>
      <c r="AA114" s="92">
        <f t="shared" si="9"/>
        <v>50.0000000000012</v>
      </c>
      <c r="AB114" s="97">
        <f t="shared" si="8"/>
        <v>14950</v>
      </c>
      <c r="AC114" s="96"/>
      <c r="AD114" s="92">
        <v>2.13</v>
      </c>
      <c r="AE114" s="92">
        <v>28.75</v>
      </c>
      <c r="AF114" s="92"/>
      <c r="AG114" s="92"/>
      <c r="AH114" s="92"/>
      <c r="AI114" s="92"/>
      <c r="AJ114" s="97" t="s">
        <v>78</v>
      </c>
    </row>
    <row r="115" spans="1:36">
      <c r="A115" s="84">
        <f t="shared" si="5"/>
        <v>117</v>
      </c>
      <c r="B115" s="91">
        <v>45860</v>
      </c>
      <c r="C115" s="48">
        <v>45860</v>
      </c>
      <c r="D115" s="104">
        <v>0.270833333333333</v>
      </c>
      <c r="E115" s="105">
        <v>0.802083333333333</v>
      </c>
      <c r="F115" s="100">
        <v>887.1</v>
      </c>
      <c r="G115" s="92">
        <v>933.71</v>
      </c>
      <c r="H115" s="92">
        <v>920.8</v>
      </c>
      <c r="I115" s="92">
        <v>931.11</v>
      </c>
      <c r="J115" s="92">
        <v>928.64</v>
      </c>
      <c r="K115" s="92">
        <v>925.54</v>
      </c>
      <c r="L115" s="92">
        <v>919.92</v>
      </c>
      <c r="M115" s="93">
        <v>963.09</v>
      </c>
      <c r="N115" s="93">
        <v>923.32</v>
      </c>
      <c r="O115" s="93">
        <v>922.93</v>
      </c>
      <c r="P115" s="93">
        <v>984.09</v>
      </c>
      <c r="Q115" s="93">
        <v>933.68</v>
      </c>
      <c r="R115" s="93">
        <v>926.54</v>
      </c>
      <c r="S115" s="93">
        <v>930.52</v>
      </c>
      <c r="T115" s="93">
        <v>925.59</v>
      </c>
      <c r="U115" s="94">
        <f t="shared" si="6"/>
        <v>13956.58</v>
      </c>
      <c r="V115" s="103">
        <f t="shared" si="12"/>
        <v>113.59</v>
      </c>
      <c r="W115" s="92">
        <v>116.35</v>
      </c>
      <c r="X115" s="92">
        <f t="shared" si="7"/>
        <v>13800</v>
      </c>
      <c r="Y115" s="92">
        <f t="shared" si="13"/>
        <v>2.37</v>
      </c>
      <c r="Z115" s="92">
        <v>2.38</v>
      </c>
      <c r="AA115" s="92">
        <f t="shared" si="9"/>
        <v>49.9999999999989</v>
      </c>
      <c r="AB115" s="97">
        <f t="shared" si="8"/>
        <v>13750</v>
      </c>
      <c r="AC115" s="96"/>
      <c r="AD115" s="92">
        <v>2.01</v>
      </c>
      <c r="AE115" s="92">
        <v>28.55</v>
      </c>
      <c r="AF115" s="92"/>
      <c r="AG115" s="92"/>
      <c r="AH115" s="92"/>
      <c r="AI115" s="92"/>
      <c r="AJ115" s="97" t="s">
        <v>78</v>
      </c>
    </row>
    <row r="116" spans="1:36">
      <c r="A116" s="84">
        <f t="shared" si="5"/>
        <v>118</v>
      </c>
      <c r="B116" s="91">
        <v>45861</v>
      </c>
      <c r="C116" s="48">
        <v>45861</v>
      </c>
      <c r="D116" s="104">
        <v>0.270833333333333</v>
      </c>
      <c r="E116" s="105">
        <v>0.791666666666667</v>
      </c>
      <c r="F116" s="100">
        <v>1182.7</v>
      </c>
      <c r="G116" s="92">
        <v>1240.09</v>
      </c>
      <c r="H116" s="92">
        <v>1222.71</v>
      </c>
      <c r="I116" s="92">
        <v>1240.4</v>
      </c>
      <c r="J116" s="92">
        <v>1228.8</v>
      </c>
      <c r="K116" s="92">
        <v>1224.93</v>
      </c>
      <c r="L116" s="92">
        <v>1233.55</v>
      </c>
      <c r="M116" s="93">
        <v>1276.05</v>
      </c>
      <c r="N116" s="93">
        <v>1236.4</v>
      </c>
      <c r="O116" s="93">
        <v>1235.05</v>
      </c>
      <c r="P116" s="93">
        <v>1190.16</v>
      </c>
      <c r="Q116" s="93">
        <v>1245.08</v>
      </c>
      <c r="R116" s="93">
        <v>1242.36</v>
      </c>
      <c r="S116" s="93">
        <v>1251.68</v>
      </c>
      <c r="T116" s="93">
        <v>1251.16</v>
      </c>
      <c r="U116" s="94">
        <f t="shared" si="6"/>
        <v>18501.12</v>
      </c>
      <c r="V116" s="103">
        <f t="shared" si="12"/>
        <v>116.35</v>
      </c>
      <c r="W116" s="92">
        <v>120.06</v>
      </c>
      <c r="X116" s="92">
        <f t="shared" si="7"/>
        <v>18550</v>
      </c>
      <c r="Y116" s="92">
        <f t="shared" si="13"/>
        <v>2.38</v>
      </c>
      <c r="Z116" s="92">
        <v>2.39</v>
      </c>
      <c r="AA116" s="92">
        <f t="shared" si="9"/>
        <v>50.0000000000012</v>
      </c>
      <c r="AB116" s="97">
        <f t="shared" si="8"/>
        <v>18500</v>
      </c>
      <c r="AC116" s="96"/>
      <c r="AD116" s="92">
        <v>2.89</v>
      </c>
      <c r="AE116" s="92">
        <v>28.64</v>
      </c>
      <c r="AF116" s="92"/>
      <c r="AG116" s="92"/>
      <c r="AH116" s="92"/>
      <c r="AI116" s="92"/>
      <c r="AJ116" s="97" t="s">
        <v>78</v>
      </c>
    </row>
    <row r="117" spans="1:36">
      <c r="A117" s="84">
        <f t="shared" si="5"/>
        <v>119</v>
      </c>
      <c r="B117" s="91">
        <v>45862</v>
      </c>
      <c r="C117" s="48">
        <v>45862</v>
      </c>
      <c r="D117" s="104">
        <v>0.270833333333333</v>
      </c>
      <c r="E117" s="105">
        <v>0.791666666666667</v>
      </c>
      <c r="F117" s="100">
        <v>945.2</v>
      </c>
      <c r="G117" s="92">
        <v>1000.45</v>
      </c>
      <c r="H117" s="92">
        <v>983.55</v>
      </c>
      <c r="I117" s="92">
        <v>998.8</v>
      </c>
      <c r="J117" s="92">
        <v>991.61</v>
      </c>
      <c r="K117" s="92">
        <v>989.6</v>
      </c>
      <c r="L117" s="92">
        <v>990.11</v>
      </c>
      <c r="M117" s="93">
        <v>1036.61</v>
      </c>
      <c r="N117" s="93">
        <v>994.81</v>
      </c>
      <c r="O117" s="93">
        <v>995.88</v>
      </c>
      <c r="P117" s="93">
        <v>961.82</v>
      </c>
      <c r="Q117" s="93">
        <v>1001.61</v>
      </c>
      <c r="R117" s="93">
        <v>999.16</v>
      </c>
      <c r="S117" s="93">
        <v>997.63</v>
      </c>
      <c r="T117" s="93">
        <v>996.94</v>
      </c>
      <c r="U117" s="94">
        <f t="shared" si="6"/>
        <v>14883.78</v>
      </c>
      <c r="V117" s="103">
        <f t="shared" si="12"/>
        <v>120.06</v>
      </c>
      <c r="W117" s="92">
        <v>123.06</v>
      </c>
      <c r="X117" s="92">
        <f t="shared" si="7"/>
        <v>15000</v>
      </c>
      <c r="Y117" s="92">
        <f t="shared" si="13"/>
        <v>2.39</v>
      </c>
      <c r="Z117" s="92">
        <v>2.4</v>
      </c>
      <c r="AA117" s="92">
        <f t="shared" si="9"/>
        <v>49.9999999999989</v>
      </c>
      <c r="AB117" s="97">
        <f t="shared" si="8"/>
        <v>14950</v>
      </c>
      <c r="AC117" s="96"/>
      <c r="AD117" s="92">
        <v>2.28</v>
      </c>
      <c r="AE117" s="92">
        <v>28.38</v>
      </c>
      <c r="AF117" s="92"/>
      <c r="AG117" s="92"/>
      <c r="AH117" s="92"/>
      <c r="AI117" s="92"/>
      <c r="AJ117" s="97" t="s">
        <v>79</v>
      </c>
    </row>
    <row r="118" spans="1:36">
      <c r="A118" s="84">
        <f t="shared" si="5"/>
        <v>120</v>
      </c>
      <c r="B118" s="91">
        <v>45863</v>
      </c>
      <c r="C118" s="48">
        <v>45863</v>
      </c>
      <c r="D118" s="104">
        <v>0.270833333333333</v>
      </c>
      <c r="E118" s="105">
        <v>0.802083333333333</v>
      </c>
      <c r="F118" s="100">
        <v>995.32</v>
      </c>
      <c r="G118" s="92">
        <v>1042.84</v>
      </c>
      <c r="H118" s="92">
        <v>1030.7</v>
      </c>
      <c r="I118" s="92">
        <v>1039.9</v>
      </c>
      <c r="J118" s="92">
        <v>1034.7</v>
      </c>
      <c r="K118" s="92">
        <v>1009.36</v>
      </c>
      <c r="L118" s="92">
        <v>984.5</v>
      </c>
      <c r="M118" s="93">
        <v>1011.1</v>
      </c>
      <c r="N118" s="93">
        <v>992.98</v>
      </c>
      <c r="O118" s="93">
        <v>1030.63</v>
      </c>
      <c r="P118" s="93">
        <v>992.09</v>
      </c>
      <c r="Q118" s="93">
        <v>1011.26</v>
      </c>
      <c r="R118" s="93">
        <v>1039.97</v>
      </c>
      <c r="S118" s="93">
        <v>1035.99</v>
      </c>
      <c r="T118" s="93">
        <v>1036.77</v>
      </c>
      <c r="U118" s="94">
        <f t="shared" si="6"/>
        <v>15288.11</v>
      </c>
      <c r="V118" s="103">
        <f t="shared" si="12"/>
        <v>123.06</v>
      </c>
      <c r="W118" s="92">
        <v>126.11</v>
      </c>
      <c r="X118" s="92">
        <f t="shared" si="7"/>
        <v>15250</v>
      </c>
      <c r="Y118" s="92">
        <f t="shared" si="13"/>
        <v>2.4</v>
      </c>
      <c r="Z118" s="92">
        <v>2.41</v>
      </c>
      <c r="AA118" s="92">
        <f t="shared" si="9"/>
        <v>50.0000000000012</v>
      </c>
      <c r="AB118" s="97">
        <f t="shared" si="8"/>
        <v>15200</v>
      </c>
      <c r="AC118" s="96"/>
      <c r="AD118" s="92">
        <v>2.52</v>
      </c>
      <c r="AE118" s="92">
        <v>29.33</v>
      </c>
      <c r="AF118" s="92"/>
      <c r="AG118" s="92"/>
      <c r="AH118" s="92"/>
      <c r="AI118" s="92"/>
      <c r="AJ118" s="97" t="s">
        <v>78</v>
      </c>
    </row>
    <row r="119" spans="1:36">
      <c r="A119" s="84">
        <f t="shared" si="5"/>
        <v>121</v>
      </c>
      <c r="B119" s="91">
        <v>45864</v>
      </c>
      <c r="C119" s="48">
        <v>45864</v>
      </c>
      <c r="D119" s="104">
        <v>0.28125</v>
      </c>
      <c r="E119" s="105">
        <v>0.8125</v>
      </c>
      <c r="F119" s="100">
        <v>892.93</v>
      </c>
      <c r="G119" s="92">
        <v>846.23</v>
      </c>
      <c r="H119" s="92">
        <v>834.1</v>
      </c>
      <c r="I119" s="92">
        <v>842.85</v>
      </c>
      <c r="J119" s="92">
        <v>838.29</v>
      </c>
      <c r="K119" s="92">
        <v>832.29</v>
      </c>
      <c r="L119" s="92">
        <v>834.16</v>
      </c>
      <c r="M119" s="93">
        <v>895.64</v>
      </c>
      <c r="N119" s="93">
        <v>830.74</v>
      </c>
      <c r="O119" s="93">
        <v>833.25</v>
      </c>
      <c r="P119" s="93">
        <v>798.36</v>
      </c>
      <c r="Q119" s="93">
        <v>840.89</v>
      </c>
      <c r="R119" s="93">
        <v>836.32</v>
      </c>
      <c r="S119" s="93">
        <v>835.93</v>
      </c>
      <c r="T119" s="93">
        <v>835.11</v>
      </c>
      <c r="U119" s="94">
        <f t="shared" si="6"/>
        <v>12627.09</v>
      </c>
      <c r="V119" s="103">
        <f t="shared" si="12"/>
        <v>126.11</v>
      </c>
      <c r="W119" s="92">
        <v>128.65</v>
      </c>
      <c r="X119" s="92">
        <f t="shared" si="7"/>
        <v>12700</v>
      </c>
      <c r="Y119" s="92">
        <f t="shared" si="13"/>
        <v>2.41</v>
      </c>
      <c r="Z119" s="92">
        <v>2.43</v>
      </c>
      <c r="AA119" s="92">
        <f t="shared" si="9"/>
        <v>100</v>
      </c>
      <c r="AB119" s="97">
        <f t="shared" si="8"/>
        <v>12600</v>
      </c>
      <c r="AC119" s="96"/>
      <c r="AD119" s="92">
        <v>1.79</v>
      </c>
      <c r="AE119" s="92">
        <v>28.04</v>
      </c>
      <c r="AF119" s="92"/>
      <c r="AG119" s="92"/>
      <c r="AH119" s="92"/>
      <c r="AI119" s="92"/>
      <c r="AJ119" s="97" t="s">
        <v>78</v>
      </c>
    </row>
    <row r="120" spans="1:36">
      <c r="A120" s="84">
        <f t="shared" si="5"/>
        <v>122</v>
      </c>
      <c r="B120" s="91">
        <v>45865</v>
      </c>
      <c r="C120" s="48">
        <v>45865</v>
      </c>
      <c r="D120" s="104">
        <v>0.28125</v>
      </c>
      <c r="E120" s="105">
        <v>0.8125</v>
      </c>
      <c r="F120" s="100">
        <v>495.96</v>
      </c>
      <c r="G120" s="92">
        <v>524.72</v>
      </c>
      <c r="H120" s="92">
        <v>520</v>
      </c>
      <c r="I120" s="92">
        <v>523.79</v>
      </c>
      <c r="J120" s="92">
        <v>517.73</v>
      </c>
      <c r="K120" s="92">
        <v>519.45</v>
      </c>
      <c r="L120" s="92">
        <v>522.92</v>
      </c>
      <c r="M120" s="93">
        <v>540.97</v>
      </c>
      <c r="N120" s="93">
        <v>517.44</v>
      </c>
      <c r="O120" s="93">
        <v>518.96</v>
      </c>
      <c r="P120" s="93">
        <v>497.18</v>
      </c>
      <c r="Q120" s="93">
        <v>521.93</v>
      </c>
      <c r="R120" s="93">
        <v>523.61</v>
      </c>
      <c r="S120" s="93">
        <v>520.56</v>
      </c>
      <c r="T120" s="93">
        <v>525.04</v>
      </c>
      <c r="U120" s="94">
        <f t="shared" si="6"/>
        <v>7790.26</v>
      </c>
      <c r="V120" s="103">
        <f t="shared" si="12"/>
        <v>128.65</v>
      </c>
      <c r="W120" s="92">
        <v>130.2</v>
      </c>
      <c r="X120" s="92">
        <f t="shared" si="7"/>
        <v>7749.99999999991</v>
      </c>
      <c r="Y120" s="92">
        <f t="shared" si="13"/>
        <v>2.43</v>
      </c>
      <c r="Z120" s="92">
        <v>2.44</v>
      </c>
      <c r="AA120" s="92">
        <f t="shared" si="9"/>
        <v>49.9999999999989</v>
      </c>
      <c r="AB120" s="97">
        <f t="shared" si="8"/>
        <v>7699.99999999992</v>
      </c>
      <c r="AC120" s="96"/>
      <c r="AD120" s="92">
        <v>1.09</v>
      </c>
      <c r="AE120" s="92">
        <v>26.85</v>
      </c>
      <c r="AF120" s="92"/>
      <c r="AG120" s="92"/>
      <c r="AH120" s="92"/>
      <c r="AI120" s="92"/>
      <c r="AJ120" s="97" t="s">
        <v>79</v>
      </c>
    </row>
    <row r="121" spans="1:36">
      <c r="A121" s="84">
        <f t="shared" si="5"/>
        <v>123</v>
      </c>
      <c r="B121" s="91">
        <v>45866</v>
      </c>
      <c r="C121" s="48">
        <v>45866</v>
      </c>
      <c r="D121" s="104">
        <v>0.28125</v>
      </c>
      <c r="E121" s="105">
        <v>0.802083333333333</v>
      </c>
      <c r="F121" s="100">
        <v>592.32</v>
      </c>
      <c r="G121" s="92">
        <v>628.21</v>
      </c>
      <c r="H121" s="92">
        <v>620.41</v>
      </c>
      <c r="I121" s="92">
        <v>623.93</v>
      </c>
      <c r="J121" s="92">
        <v>624.95</v>
      </c>
      <c r="K121" s="92">
        <v>620.45</v>
      </c>
      <c r="L121" s="92">
        <v>619.02</v>
      </c>
      <c r="M121" s="93">
        <v>625.84</v>
      </c>
      <c r="N121" s="93">
        <v>622.58</v>
      </c>
      <c r="O121" s="93">
        <v>620.14</v>
      </c>
      <c r="P121" s="93">
        <v>596.83</v>
      </c>
      <c r="Q121" s="93">
        <v>623.45</v>
      </c>
      <c r="R121" s="93">
        <v>623.48</v>
      </c>
      <c r="S121" s="93">
        <v>625.87</v>
      </c>
      <c r="T121" s="93">
        <v>625.03</v>
      </c>
      <c r="U121" s="94">
        <f t="shared" si="6"/>
        <v>9292.51</v>
      </c>
      <c r="V121" s="103">
        <f t="shared" si="12"/>
        <v>130.2</v>
      </c>
      <c r="W121" s="92">
        <v>132.06</v>
      </c>
      <c r="X121" s="92">
        <f t="shared" si="7"/>
        <v>9300.00000000007</v>
      </c>
      <c r="Y121" s="92">
        <f t="shared" si="13"/>
        <v>2.44</v>
      </c>
      <c r="Z121" s="92">
        <v>2.45</v>
      </c>
      <c r="AA121" s="92">
        <f t="shared" si="9"/>
        <v>50.0000000000012</v>
      </c>
      <c r="AB121" s="97">
        <f t="shared" si="8"/>
        <v>9250.00000000007</v>
      </c>
      <c r="AC121" s="96"/>
      <c r="AD121" s="92">
        <v>1.39</v>
      </c>
      <c r="AE121" s="92">
        <v>27.3</v>
      </c>
      <c r="AF121" s="92"/>
      <c r="AG121" s="92"/>
      <c r="AH121" s="92"/>
      <c r="AI121" s="92"/>
      <c r="AJ121" s="97" t="s">
        <v>78</v>
      </c>
    </row>
    <row r="122" spans="1:36">
      <c r="A122" s="84">
        <f t="shared" si="5"/>
        <v>124</v>
      </c>
      <c r="B122" s="91">
        <v>45867</v>
      </c>
      <c r="C122" s="48">
        <v>45867</v>
      </c>
      <c r="D122" s="104">
        <v>0.28125</v>
      </c>
      <c r="E122" s="105">
        <v>0.791666666666667</v>
      </c>
      <c r="F122" s="100">
        <v>532.06</v>
      </c>
      <c r="G122" s="92">
        <v>561.35</v>
      </c>
      <c r="H122" s="92">
        <v>556.38</v>
      </c>
      <c r="I122" s="92">
        <v>557.72</v>
      </c>
      <c r="J122" s="92">
        <v>555.98</v>
      </c>
      <c r="K122" s="92">
        <v>556.6</v>
      </c>
      <c r="L122" s="92">
        <v>553.73</v>
      </c>
      <c r="M122" s="93">
        <v>554.8</v>
      </c>
      <c r="N122" s="93">
        <v>657.66</v>
      </c>
      <c r="O122" s="93">
        <v>556.61</v>
      </c>
      <c r="P122" s="93">
        <v>534.96</v>
      </c>
      <c r="Q122" s="93">
        <v>560.34</v>
      </c>
      <c r="R122" s="93">
        <v>560.82</v>
      </c>
      <c r="S122" s="93">
        <v>558.6</v>
      </c>
      <c r="T122" s="93">
        <v>563.53</v>
      </c>
      <c r="U122" s="94">
        <f t="shared" si="6"/>
        <v>8421.14</v>
      </c>
      <c r="V122" s="103">
        <f t="shared" si="12"/>
        <v>132.06</v>
      </c>
      <c r="W122" s="92">
        <v>133.71</v>
      </c>
      <c r="X122" s="92">
        <f t="shared" si="7"/>
        <v>8250.00000000003</v>
      </c>
      <c r="Y122" s="92">
        <f t="shared" si="13"/>
        <v>2.45</v>
      </c>
      <c r="Z122" s="92">
        <v>2.46</v>
      </c>
      <c r="AA122" s="92">
        <f t="shared" si="9"/>
        <v>49.9999999999989</v>
      </c>
      <c r="AB122" s="97">
        <f t="shared" si="8"/>
        <v>8200.00000000003</v>
      </c>
      <c r="AC122" s="96"/>
      <c r="AD122" s="92">
        <v>1.13</v>
      </c>
      <c r="AE122" s="92">
        <v>26.9</v>
      </c>
      <c r="AF122" s="92"/>
      <c r="AG122" s="92"/>
      <c r="AH122" s="92"/>
      <c r="AI122" s="92"/>
      <c r="AJ122" s="97" t="s">
        <v>78</v>
      </c>
    </row>
    <row r="123" spans="1:36">
      <c r="A123" s="84">
        <f t="shared" si="5"/>
        <v>125</v>
      </c>
      <c r="B123" s="91">
        <v>45868</v>
      </c>
      <c r="C123" s="48">
        <v>45868</v>
      </c>
      <c r="D123" s="104">
        <v>0.291666666666667</v>
      </c>
      <c r="E123" s="105">
        <v>0.791666666666667</v>
      </c>
      <c r="F123" s="100">
        <v>383.14</v>
      </c>
      <c r="G123" s="92">
        <v>405.64</v>
      </c>
      <c r="H123" s="92">
        <v>400.14</v>
      </c>
      <c r="I123" s="92">
        <v>402.38</v>
      </c>
      <c r="J123" s="92">
        <v>402.65</v>
      </c>
      <c r="K123" s="92">
        <v>393.79</v>
      </c>
      <c r="L123" s="92">
        <v>399.64</v>
      </c>
      <c r="M123" s="93">
        <v>400.5</v>
      </c>
      <c r="N123" s="93">
        <v>406.07</v>
      </c>
      <c r="O123" s="93">
        <v>407.8</v>
      </c>
      <c r="P123" s="93">
        <v>392.6</v>
      </c>
      <c r="Q123" s="93">
        <v>410.04</v>
      </c>
      <c r="R123" s="93">
        <v>408.83</v>
      </c>
      <c r="S123" s="93">
        <v>409.77</v>
      </c>
      <c r="T123" s="93">
        <v>402.8</v>
      </c>
      <c r="U123" s="94">
        <f t="shared" si="6"/>
        <v>6025.79</v>
      </c>
      <c r="V123" s="103">
        <f t="shared" si="12"/>
        <v>133.71</v>
      </c>
      <c r="W123" s="92">
        <v>134.91</v>
      </c>
      <c r="X123" s="92">
        <f t="shared" si="7"/>
        <v>5999.99999999994</v>
      </c>
      <c r="Y123" s="92">
        <f t="shared" si="13"/>
        <v>2.46</v>
      </c>
      <c r="Z123" s="92">
        <v>2.47</v>
      </c>
      <c r="AA123" s="92">
        <f t="shared" si="9"/>
        <v>50.0000000000012</v>
      </c>
      <c r="AB123" s="97">
        <f t="shared" si="8"/>
        <v>5949.99999999994</v>
      </c>
      <c r="AC123" s="96"/>
      <c r="AD123" s="92">
        <v>0.94</v>
      </c>
      <c r="AE123" s="92">
        <v>26.45</v>
      </c>
      <c r="AF123" s="92"/>
      <c r="AG123" s="92"/>
      <c r="AH123" s="92"/>
      <c r="AI123" s="92"/>
      <c r="AJ123" s="97" t="s">
        <v>78</v>
      </c>
    </row>
    <row r="124" spans="1:36">
      <c r="A124" s="84">
        <f t="shared" si="5"/>
        <v>126</v>
      </c>
      <c r="B124" s="91">
        <v>45869</v>
      </c>
      <c r="C124" s="48">
        <v>45869</v>
      </c>
      <c r="D124" s="104">
        <v>0.28125</v>
      </c>
      <c r="E124" s="105">
        <v>0.791666666666667</v>
      </c>
      <c r="F124" s="100">
        <v>763.99</v>
      </c>
      <c r="G124" s="92">
        <v>805.89</v>
      </c>
      <c r="H124" s="92">
        <v>792.49</v>
      </c>
      <c r="I124" s="92">
        <v>802.68</v>
      </c>
      <c r="J124" s="92">
        <v>791.9</v>
      </c>
      <c r="K124" s="92">
        <v>794</v>
      </c>
      <c r="L124" s="92">
        <v>797.95</v>
      </c>
      <c r="M124" s="93">
        <v>832.43</v>
      </c>
      <c r="N124" s="93">
        <v>795.84</v>
      </c>
      <c r="O124" s="93">
        <v>793.78</v>
      </c>
      <c r="P124" s="93">
        <v>764.77</v>
      </c>
      <c r="Q124" s="93">
        <v>798.45</v>
      </c>
      <c r="R124" s="93">
        <v>802.97</v>
      </c>
      <c r="S124" s="93">
        <v>797.87</v>
      </c>
      <c r="T124" s="93">
        <v>803.75</v>
      </c>
      <c r="U124" s="94">
        <f t="shared" si="6"/>
        <v>11938.76</v>
      </c>
      <c r="V124" s="103">
        <f t="shared" si="12"/>
        <v>134.91</v>
      </c>
      <c r="W124" s="92">
        <v>137.3</v>
      </c>
      <c r="X124" s="92">
        <f t="shared" si="7"/>
        <v>11950.0000000001</v>
      </c>
      <c r="Y124" s="92">
        <f t="shared" si="13"/>
        <v>2.47</v>
      </c>
      <c r="Z124" s="92">
        <v>2.48</v>
      </c>
      <c r="AA124" s="92">
        <f t="shared" si="9"/>
        <v>49.9999999999989</v>
      </c>
      <c r="AB124" s="97">
        <f t="shared" si="8"/>
        <v>11900.0000000001</v>
      </c>
      <c r="AC124" s="96"/>
      <c r="AD124" s="92">
        <v>1.81</v>
      </c>
      <c r="AE124" s="92">
        <v>27.7</v>
      </c>
      <c r="AF124" s="92"/>
      <c r="AG124" s="92"/>
      <c r="AH124" s="92"/>
      <c r="AI124" s="92"/>
      <c r="AJ124" s="97" t="s">
        <v>78</v>
      </c>
    </row>
    <row r="125" spans="1:36">
      <c r="A125" s="84">
        <f t="shared" si="5"/>
        <v>127</v>
      </c>
      <c r="B125" s="91">
        <v>45870</v>
      </c>
      <c r="C125" s="48">
        <v>45870</v>
      </c>
      <c r="D125" s="104">
        <v>0.28125</v>
      </c>
      <c r="E125" s="105">
        <v>0.8125</v>
      </c>
      <c r="F125" s="100">
        <v>876.21</v>
      </c>
      <c r="G125" s="92">
        <v>928.59</v>
      </c>
      <c r="H125" s="92">
        <v>916.39</v>
      </c>
      <c r="I125" s="92">
        <v>925.24</v>
      </c>
      <c r="J125" s="92">
        <v>919.22</v>
      </c>
      <c r="K125" s="92">
        <v>913.6</v>
      </c>
      <c r="L125" s="92">
        <v>914.68</v>
      </c>
      <c r="M125" s="93">
        <v>958.76</v>
      </c>
      <c r="N125" s="93">
        <v>915.37</v>
      </c>
      <c r="O125" s="93">
        <v>913.4</v>
      </c>
      <c r="P125" s="93">
        <v>875.43</v>
      </c>
      <c r="Q125" s="93">
        <v>932.6</v>
      </c>
      <c r="R125" s="93">
        <v>934.97</v>
      </c>
      <c r="S125" s="93">
        <v>925.1</v>
      </c>
      <c r="T125" s="93">
        <v>926.48</v>
      </c>
      <c r="U125" s="94">
        <f t="shared" si="6"/>
        <v>13776.04</v>
      </c>
      <c r="V125" s="103">
        <f t="shared" si="12"/>
        <v>137.3</v>
      </c>
      <c r="W125" s="92">
        <v>140.05</v>
      </c>
      <c r="X125" s="92">
        <f t="shared" si="7"/>
        <v>13750</v>
      </c>
      <c r="Y125" s="92">
        <f t="shared" si="13"/>
        <v>2.48</v>
      </c>
      <c r="Z125" s="92">
        <v>2.5</v>
      </c>
      <c r="AA125" s="92">
        <f t="shared" si="9"/>
        <v>100</v>
      </c>
      <c r="AB125" s="97">
        <f t="shared" si="8"/>
        <v>13650</v>
      </c>
      <c r="AC125" s="96"/>
      <c r="AD125" s="92">
        <v>1.29</v>
      </c>
      <c r="AE125" s="92">
        <v>28.28</v>
      </c>
      <c r="AF125" s="92"/>
      <c r="AG125" s="92"/>
      <c r="AH125" s="92"/>
      <c r="AI125" s="92"/>
      <c r="AJ125" s="97" t="s">
        <v>78</v>
      </c>
    </row>
    <row r="126" spans="1:36">
      <c r="A126" s="84">
        <f t="shared" si="5"/>
        <v>128</v>
      </c>
      <c r="B126" s="91">
        <v>45871</v>
      </c>
      <c r="C126" s="48">
        <v>45871</v>
      </c>
      <c r="D126" s="104">
        <v>0.270833333333333</v>
      </c>
      <c r="E126" s="105">
        <v>0.802083333333333</v>
      </c>
      <c r="F126" s="100">
        <v>1004.23</v>
      </c>
      <c r="G126" s="92">
        <v>1055.67</v>
      </c>
      <c r="H126" s="92">
        <v>1049.45</v>
      </c>
      <c r="I126" s="92">
        <v>1056.79</v>
      </c>
      <c r="J126" s="92">
        <v>1051.08</v>
      </c>
      <c r="K126" s="92">
        <v>1043.03</v>
      </c>
      <c r="L126" s="92">
        <v>1044.85</v>
      </c>
      <c r="M126" s="93">
        <v>11043.7</v>
      </c>
      <c r="N126" s="93">
        <v>1058.74</v>
      </c>
      <c r="O126" s="93">
        <v>1050.53</v>
      </c>
      <c r="P126" s="93">
        <v>1014.81</v>
      </c>
      <c r="Q126" s="93">
        <v>1058.67</v>
      </c>
      <c r="R126" s="93">
        <v>1067.45</v>
      </c>
      <c r="S126" s="93">
        <v>1059.19</v>
      </c>
      <c r="T126" s="93">
        <v>1061.84</v>
      </c>
      <c r="U126" s="94">
        <f t="shared" si="6"/>
        <v>25720.03</v>
      </c>
      <c r="V126" s="103">
        <f t="shared" si="12"/>
        <v>140.05</v>
      </c>
      <c r="W126" s="92">
        <v>143.19</v>
      </c>
      <c r="X126" s="92">
        <f t="shared" si="7"/>
        <v>15699.9999999999</v>
      </c>
      <c r="Y126" s="92">
        <f t="shared" si="13"/>
        <v>2.5</v>
      </c>
      <c r="Z126" s="92">
        <v>2.51</v>
      </c>
      <c r="AA126" s="92">
        <f t="shared" si="9"/>
        <v>49.9999999999989</v>
      </c>
      <c r="AB126" s="97">
        <f t="shared" si="8"/>
        <v>15649.9999999999</v>
      </c>
      <c r="AC126" s="96"/>
      <c r="AD126" s="92">
        <v>0.56</v>
      </c>
      <c r="AE126" s="92">
        <v>28.3</v>
      </c>
      <c r="AF126" s="92"/>
      <c r="AG126" s="92"/>
      <c r="AH126" s="92"/>
      <c r="AI126" s="92"/>
      <c r="AJ126" s="97" t="s">
        <v>78</v>
      </c>
    </row>
    <row r="127" spans="1:36">
      <c r="A127" s="84">
        <f t="shared" si="5"/>
        <v>129</v>
      </c>
      <c r="B127" s="91">
        <v>45872</v>
      </c>
      <c r="C127" s="48">
        <v>45872</v>
      </c>
      <c r="D127" s="104">
        <v>0.270833333333333</v>
      </c>
      <c r="E127" s="105">
        <v>0.802083333333333</v>
      </c>
      <c r="F127" s="100">
        <v>772.19</v>
      </c>
      <c r="G127" s="92">
        <v>802.09</v>
      </c>
      <c r="H127" s="92">
        <v>776.71</v>
      </c>
      <c r="I127" s="92">
        <v>788.96</v>
      </c>
      <c r="J127" s="92">
        <v>795.56</v>
      </c>
      <c r="K127" s="92">
        <v>748.03</v>
      </c>
      <c r="L127" s="92">
        <v>755.19</v>
      </c>
      <c r="M127" s="93">
        <v>784.25</v>
      </c>
      <c r="N127" s="93">
        <v>748.77</v>
      </c>
      <c r="O127" s="93">
        <v>781.45</v>
      </c>
      <c r="P127" s="93">
        <v>747.45</v>
      </c>
      <c r="Q127" s="93">
        <v>759.71</v>
      </c>
      <c r="R127" s="93">
        <v>799.62</v>
      </c>
      <c r="S127" s="93">
        <v>808.65</v>
      </c>
      <c r="T127" s="93">
        <v>815.12</v>
      </c>
      <c r="U127" s="94">
        <f t="shared" si="6"/>
        <v>11683.75</v>
      </c>
      <c r="V127" s="103">
        <f t="shared" si="12"/>
        <v>143.19</v>
      </c>
      <c r="W127" s="92">
        <v>145.51</v>
      </c>
      <c r="X127" s="92">
        <f t="shared" si="7"/>
        <v>11600</v>
      </c>
      <c r="Y127" s="92">
        <f t="shared" si="13"/>
        <v>2.51</v>
      </c>
      <c r="Z127" s="92">
        <v>2.52</v>
      </c>
      <c r="AA127" s="92">
        <f t="shared" si="9"/>
        <v>50.0000000000012</v>
      </c>
      <c r="AB127" s="97">
        <f t="shared" si="8"/>
        <v>11550</v>
      </c>
      <c r="AC127" s="96"/>
      <c r="AD127" s="92">
        <v>0.45</v>
      </c>
      <c r="AE127" s="92">
        <v>27.97</v>
      </c>
      <c r="AF127" s="92"/>
      <c r="AG127" s="92"/>
      <c r="AH127" s="92"/>
      <c r="AI127" s="92"/>
      <c r="AJ127" s="97" t="s">
        <v>78</v>
      </c>
    </row>
    <row r="128" spans="1:36">
      <c r="A128" s="84">
        <f t="shared" si="5"/>
        <v>130</v>
      </c>
      <c r="B128" s="91">
        <v>45873</v>
      </c>
      <c r="C128" s="48">
        <v>45873</v>
      </c>
      <c r="D128" s="104">
        <v>0.28125</v>
      </c>
      <c r="E128" s="105">
        <v>0.8125</v>
      </c>
      <c r="F128" s="100">
        <v>971.9</v>
      </c>
      <c r="G128" s="92">
        <v>1025.14</v>
      </c>
      <c r="H128" s="92">
        <v>1012.98</v>
      </c>
      <c r="I128" s="92">
        <v>1020.27</v>
      </c>
      <c r="J128" s="92">
        <v>1019.47</v>
      </c>
      <c r="K128" s="92">
        <v>1009.3</v>
      </c>
      <c r="L128" s="92">
        <v>1013.03</v>
      </c>
      <c r="M128" s="93">
        <v>1020.5</v>
      </c>
      <c r="N128" s="93">
        <v>1015.06</v>
      </c>
      <c r="O128" s="93">
        <v>1005.28</v>
      </c>
      <c r="P128" s="93">
        <v>974.76</v>
      </c>
      <c r="Q128" s="93">
        <v>1018.23</v>
      </c>
      <c r="R128" s="93">
        <v>1019.8</v>
      </c>
      <c r="S128" s="93">
        <v>1019.74</v>
      </c>
      <c r="T128" s="93">
        <v>1020.76</v>
      </c>
      <c r="U128" s="94">
        <f t="shared" si="6"/>
        <v>15166.22</v>
      </c>
      <c r="V128" s="103">
        <f t="shared" si="12"/>
        <v>145.51</v>
      </c>
      <c r="W128" s="92">
        <v>148.57</v>
      </c>
      <c r="X128" s="92">
        <f t="shared" si="7"/>
        <v>15300</v>
      </c>
      <c r="Y128" s="92">
        <f t="shared" si="13"/>
        <v>2.52</v>
      </c>
      <c r="Z128" s="92">
        <v>2.53</v>
      </c>
      <c r="AA128" s="92">
        <f t="shared" si="9"/>
        <v>49.9999999999989</v>
      </c>
      <c r="AB128" s="97">
        <f t="shared" si="8"/>
        <v>15250</v>
      </c>
      <c r="AC128" s="96"/>
      <c r="AD128" s="92">
        <v>0.54</v>
      </c>
      <c r="AE128" s="92">
        <v>27.8</v>
      </c>
      <c r="AF128" s="92"/>
      <c r="AG128" s="92"/>
      <c r="AH128" s="92"/>
      <c r="AI128" s="92"/>
      <c r="AJ128" s="97" t="s">
        <v>78</v>
      </c>
    </row>
    <row r="129" spans="1:36">
      <c r="A129" s="84">
        <f t="shared" si="5"/>
        <v>131</v>
      </c>
      <c r="B129" s="91">
        <v>45874</v>
      </c>
      <c r="C129" s="48">
        <v>45874</v>
      </c>
      <c r="D129" s="104">
        <v>0.28125</v>
      </c>
      <c r="E129" s="105">
        <v>0.8125</v>
      </c>
      <c r="F129" s="100">
        <v>1196.3</v>
      </c>
      <c r="G129" s="92">
        <v>1253.71</v>
      </c>
      <c r="H129" s="92">
        <v>1230.85</v>
      </c>
      <c r="I129" s="92">
        <v>1245.64</v>
      </c>
      <c r="J129" s="92">
        <v>1250.4</v>
      </c>
      <c r="K129" s="92">
        <v>1198.1</v>
      </c>
      <c r="L129" s="92">
        <v>1212.25</v>
      </c>
      <c r="M129" s="93">
        <v>1250.3</v>
      </c>
      <c r="N129" s="93">
        <v>1210.98</v>
      </c>
      <c r="O129" s="93">
        <v>1218.58</v>
      </c>
      <c r="P129" s="93">
        <v>1182.09</v>
      </c>
      <c r="Q129" s="93">
        <v>1250.12</v>
      </c>
      <c r="R129" s="93">
        <v>1241.86</v>
      </c>
      <c r="S129" s="93">
        <v>1252.25</v>
      </c>
      <c r="T129" s="93">
        <v>1260.85</v>
      </c>
      <c r="U129" s="94">
        <f t="shared" si="6"/>
        <v>18454.28</v>
      </c>
      <c r="V129" s="103">
        <f t="shared" si="12"/>
        <v>148.57</v>
      </c>
      <c r="W129" s="92">
        <v>152.23</v>
      </c>
      <c r="X129" s="92">
        <f t="shared" si="7"/>
        <v>18300</v>
      </c>
      <c r="Y129" s="92">
        <f t="shared" si="13"/>
        <v>2.53</v>
      </c>
      <c r="Z129" s="92">
        <v>2.54</v>
      </c>
      <c r="AA129" s="92">
        <f t="shared" si="9"/>
        <v>50.0000000000012</v>
      </c>
      <c r="AB129" s="97">
        <f t="shared" si="8"/>
        <v>18250</v>
      </c>
      <c r="AC129" s="96"/>
      <c r="AD129" s="92">
        <v>0.76</v>
      </c>
      <c r="AE129" s="92">
        <v>28.43</v>
      </c>
      <c r="AF129" s="92"/>
      <c r="AG129" s="92"/>
      <c r="AH129" s="92"/>
      <c r="AI129" s="92"/>
      <c r="AJ129" s="97" t="s">
        <v>78</v>
      </c>
    </row>
    <row r="130" spans="1:36">
      <c r="A130" s="84">
        <f t="shared" si="5"/>
        <v>132</v>
      </c>
      <c r="B130" s="91">
        <v>45875</v>
      </c>
      <c r="C130" s="48">
        <v>45875</v>
      </c>
      <c r="D130" s="104">
        <v>0.270833333333333</v>
      </c>
      <c r="E130" s="105">
        <v>0.802083333333333</v>
      </c>
      <c r="F130" s="100">
        <v>1173.26</v>
      </c>
      <c r="G130" s="92">
        <v>1147.84</v>
      </c>
      <c r="H130" s="92">
        <v>1134.76</v>
      </c>
      <c r="I130" s="92">
        <v>1115.15</v>
      </c>
      <c r="J130" s="92">
        <v>1072.1</v>
      </c>
      <c r="K130" s="92">
        <v>1015.43</v>
      </c>
      <c r="L130" s="92">
        <v>989.35</v>
      </c>
      <c r="M130" s="93">
        <v>1000.8</v>
      </c>
      <c r="N130" s="93">
        <v>970.71</v>
      </c>
      <c r="O130" s="93">
        <v>1003.96</v>
      </c>
      <c r="P130" s="93">
        <v>997.24</v>
      </c>
      <c r="Q130" s="93">
        <v>1005.98</v>
      </c>
      <c r="R130" s="93">
        <v>1110.34</v>
      </c>
      <c r="S130" s="93">
        <v>1194.56</v>
      </c>
      <c r="T130" s="93">
        <v>1218.93</v>
      </c>
      <c r="U130" s="94">
        <f t="shared" si="6"/>
        <v>16150.41</v>
      </c>
      <c r="V130" s="103">
        <f t="shared" si="12"/>
        <v>152.23</v>
      </c>
      <c r="W130" s="92">
        <v>155.45</v>
      </c>
      <c r="X130" s="92">
        <f t="shared" si="7"/>
        <v>16100</v>
      </c>
      <c r="Y130" s="92">
        <f t="shared" si="13"/>
        <v>2.54</v>
      </c>
      <c r="Z130" s="92">
        <v>2.55</v>
      </c>
      <c r="AA130" s="92">
        <f t="shared" si="9"/>
        <v>49.9999999999989</v>
      </c>
      <c r="AB130" s="97">
        <f t="shared" si="8"/>
        <v>16050</v>
      </c>
      <c r="AC130" s="96"/>
      <c r="AD130" s="92">
        <v>0.66</v>
      </c>
      <c r="AE130" s="92">
        <v>28.46</v>
      </c>
      <c r="AF130" s="92"/>
      <c r="AG130" s="92"/>
      <c r="AH130" s="92"/>
      <c r="AI130" s="92"/>
      <c r="AJ130" s="97" t="s">
        <v>78</v>
      </c>
    </row>
    <row r="131" spans="1:36">
      <c r="A131" s="84">
        <f t="shared" ref="A131:A194" si="14">A130+1</f>
        <v>133</v>
      </c>
      <c r="B131" s="91">
        <v>45876</v>
      </c>
      <c r="C131" s="48">
        <v>45876</v>
      </c>
      <c r="D131" s="104">
        <v>0.270833333333333</v>
      </c>
      <c r="E131" s="105">
        <v>0.802083333333333</v>
      </c>
      <c r="F131" s="100">
        <v>860.52</v>
      </c>
      <c r="G131" s="92">
        <v>904.5</v>
      </c>
      <c r="H131" s="92">
        <v>885.58</v>
      </c>
      <c r="I131" s="92">
        <v>898.63</v>
      </c>
      <c r="J131" s="92">
        <v>893.55</v>
      </c>
      <c r="K131" s="92">
        <v>875.95</v>
      </c>
      <c r="L131" s="92">
        <v>875.64</v>
      </c>
      <c r="M131" s="93">
        <v>915.14</v>
      </c>
      <c r="N131" s="93">
        <v>909.91</v>
      </c>
      <c r="O131" s="93">
        <v>896.26</v>
      </c>
      <c r="P131" s="93">
        <v>868.13</v>
      </c>
      <c r="Q131" s="93">
        <v>912.18</v>
      </c>
      <c r="R131" s="93">
        <v>908.27</v>
      </c>
      <c r="S131" s="93">
        <v>905.01</v>
      </c>
      <c r="T131" s="93">
        <v>1004.28</v>
      </c>
      <c r="U131" s="94">
        <f t="shared" ref="U131:U194" si="15">SUM(F131:T131)</f>
        <v>13513.55</v>
      </c>
      <c r="V131" s="103">
        <f t="shared" si="12"/>
        <v>155.45</v>
      </c>
      <c r="W131" s="92">
        <v>158.14</v>
      </c>
      <c r="X131" s="92">
        <f t="shared" ref="X131:X194" si="16">MAX((W131-V131)*5000,0)</f>
        <v>13450</v>
      </c>
      <c r="Y131" s="92">
        <f t="shared" si="13"/>
        <v>2.55</v>
      </c>
      <c r="Z131" s="92">
        <v>2.56</v>
      </c>
      <c r="AA131" s="92">
        <f t="shared" si="9"/>
        <v>50.0000000000012</v>
      </c>
      <c r="AB131" s="97">
        <f t="shared" ref="AB131:AB194" si="17">X131-AA131</f>
        <v>13400</v>
      </c>
      <c r="AC131" s="96"/>
      <c r="AD131" s="92">
        <v>0.51</v>
      </c>
      <c r="AE131" s="92">
        <v>29.1</v>
      </c>
      <c r="AF131" s="92"/>
      <c r="AG131" s="92"/>
      <c r="AH131" s="92"/>
      <c r="AI131" s="92"/>
      <c r="AJ131" s="97" t="s">
        <v>78</v>
      </c>
    </row>
    <row r="132" spans="1:36">
      <c r="A132" s="84">
        <f t="shared" si="14"/>
        <v>134</v>
      </c>
      <c r="B132" s="91">
        <v>45877</v>
      </c>
      <c r="C132" s="48">
        <v>45877</v>
      </c>
      <c r="D132" s="104">
        <v>0.28125</v>
      </c>
      <c r="E132" s="105">
        <v>0.791666666666667</v>
      </c>
      <c r="F132" s="100">
        <v>1307.24</v>
      </c>
      <c r="G132" s="92">
        <v>1368.25</v>
      </c>
      <c r="H132" s="92">
        <v>1340.09</v>
      </c>
      <c r="I132" s="92">
        <v>1361.84</v>
      </c>
      <c r="J132" s="92">
        <v>1344.96</v>
      </c>
      <c r="K132" s="92">
        <v>1330.35</v>
      </c>
      <c r="L132" s="92">
        <v>1329.84</v>
      </c>
      <c r="M132" s="93">
        <v>1384.91</v>
      </c>
      <c r="N132" s="93">
        <v>1329.25</v>
      </c>
      <c r="O132" s="93">
        <v>1326.63</v>
      </c>
      <c r="P132" s="93">
        <v>1279.95</v>
      </c>
      <c r="Q132" s="93">
        <v>1348.24</v>
      </c>
      <c r="R132" s="93">
        <v>1347.17</v>
      </c>
      <c r="S132" s="93">
        <v>1358.88</v>
      </c>
      <c r="T132" s="93">
        <v>1357.85</v>
      </c>
      <c r="U132" s="94">
        <f t="shared" si="15"/>
        <v>20115.45</v>
      </c>
      <c r="V132" s="103">
        <f t="shared" si="12"/>
        <v>158.14</v>
      </c>
      <c r="W132" s="92">
        <v>162.16</v>
      </c>
      <c r="X132" s="92">
        <f t="shared" si="16"/>
        <v>20100.0000000001</v>
      </c>
      <c r="Y132" s="92">
        <f t="shared" si="13"/>
        <v>2.56</v>
      </c>
      <c r="Z132" s="92">
        <v>2.57</v>
      </c>
      <c r="AA132" s="92">
        <f t="shared" ref="AA132:AA195" si="18">MAX((Z132-Y132)*5000,0)</f>
        <v>49.9999999999989</v>
      </c>
      <c r="AB132" s="97">
        <f t="shared" si="17"/>
        <v>20050.0000000001</v>
      </c>
      <c r="AC132" s="96"/>
      <c r="AD132" s="92">
        <v>0.73</v>
      </c>
      <c r="AE132" s="92">
        <v>29.35</v>
      </c>
      <c r="AF132" s="92"/>
      <c r="AG132" s="92"/>
      <c r="AH132" s="92"/>
      <c r="AI132" s="92"/>
      <c r="AJ132" s="97" t="s">
        <v>78</v>
      </c>
    </row>
    <row r="133" spans="1:36">
      <c r="A133" s="84">
        <f t="shared" si="14"/>
        <v>135</v>
      </c>
      <c r="B133" s="91">
        <v>45878</v>
      </c>
      <c r="C133" s="48">
        <v>45878</v>
      </c>
      <c r="D133" s="104">
        <v>0.34375</v>
      </c>
      <c r="E133" s="105">
        <v>0.8125</v>
      </c>
      <c r="F133" s="100">
        <v>754.59</v>
      </c>
      <c r="G133" s="92">
        <v>798.05</v>
      </c>
      <c r="H133" s="92">
        <v>787.79</v>
      </c>
      <c r="I133" s="92">
        <v>790.21</v>
      </c>
      <c r="J133" s="92">
        <v>791.01</v>
      </c>
      <c r="K133" s="84">
        <v>779.9</v>
      </c>
      <c r="L133" s="92">
        <v>779.6</v>
      </c>
      <c r="M133" s="92">
        <v>820.6</v>
      </c>
      <c r="N133" s="93">
        <v>811.33</v>
      </c>
      <c r="O133" s="93">
        <v>798.26</v>
      </c>
      <c r="P133" s="93">
        <v>771.39</v>
      </c>
      <c r="Q133" s="93">
        <v>812.2</v>
      </c>
      <c r="R133" s="93">
        <v>813.35</v>
      </c>
      <c r="S133" s="93">
        <v>809.55</v>
      </c>
      <c r="T133" s="93">
        <v>811.17</v>
      </c>
      <c r="U133" s="94">
        <f t="shared" si="15"/>
        <v>11929</v>
      </c>
      <c r="V133" s="103">
        <f t="shared" si="12"/>
        <v>162.16</v>
      </c>
      <c r="W133" s="92">
        <v>164.67</v>
      </c>
      <c r="X133" s="92">
        <f t="shared" si="16"/>
        <v>12550</v>
      </c>
      <c r="Y133" s="92">
        <f t="shared" si="13"/>
        <v>2.57</v>
      </c>
      <c r="Z133" s="92">
        <v>2.58</v>
      </c>
      <c r="AA133" s="92">
        <f t="shared" si="18"/>
        <v>50.0000000000012</v>
      </c>
      <c r="AB133" s="97">
        <f t="shared" si="17"/>
        <v>12500</v>
      </c>
      <c r="AC133" s="96"/>
      <c r="AD133" s="92">
        <v>0.41</v>
      </c>
      <c r="AE133" s="92">
        <v>28.05</v>
      </c>
      <c r="AF133" s="92"/>
      <c r="AG133" s="92"/>
      <c r="AH133" s="92"/>
      <c r="AI133" s="92"/>
      <c r="AJ133" s="97" t="s">
        <v>78</v>
      </c>
    </row>
    <row r="134" spans="1:36">
      <c r="A134" s="84">
        <f t="shared" si="14"/>
        <v>136</v>
      </c>
      <c r="B134" s="91">
        <v>45879</v>
      </c>
      <c r="C134" s="48">
        <v>45879</v>
      </c>
      <c r="D134" s="104">
        <v>0.270833333333333</v>
      </c>
      <c r="E134" s="105">
        <v>0.8125</v>
      </c>
      <c r="F134" s="100">
        <v>566.23</v>
      </c>
      <c r="G134" s="92">
        <v>590.34</v>
      </c>
      <c r="H134" s="92">
        <v>583.79</v>
      </c>
      <c r="I134" s="92">
        <v>584.34</v>
      </c>
      <c r="J134" s="92">
        <v>585.91</v>
      </c>
      <c r="K134" s="92">
        <v>584.03</v>
      </c>
      <c r="L134" s="92">
        <v>580.09</v>
      </c>
      <c r="M134" s="93">
        <v>605.8</v>
      </c>
      <c r="N134" s="93">
        <v>570.1</v>
      </c>
      <c r="O134" s="93">
        <v>591.18</v>
      </c>
      <c r="P134" s="93">
        <v>567.1</v>
      </c>
      <c r="Q134" s="93">
        <v>596.64</v>
      </c>
      <c r="R134" s="93">
        <v>600.33</v>
      </c>
      <c r="S134" s="93">
        <v>590.33</v>
      </c>
      <c r="T134" s="93">
        <v>596.31</v>
      </c>
      <c r="U134" s="94">
        <f t="shared" si="15"/>
        <v>8792.52</v>
      </c>
      <c r="V134" s="103">
        <f t="shared" si="12"/>
        <v>164.67</v>
      </c>
      <c r="W134" s="92">
        <v>166.38</v>
      </c>
      <c r="X134" s="92">
        <f t="shared" si="16"/>
        <v>8550.00000000004</v>
      </c>
      <c r="Y134" s="92">
        <f t="shared" si="13"/>
        <v>2.58</v>
      </c>
      <c r="Z134" s="92">
        <v>2.59</v>
      </c>
      <c r="AA134" s="92">
        <f t="shared" si="18"/>
        <v>49.9999999999989</v>
      </c>
      <c r="AB134" s="97">
        <f t="shared" si="17"/>
        <v>8500.00000000004</v>
      </c>
      <c r="AC134" s="96"/>
      <c r="AD134" s="92">
        <v>0.28</v>
      </c>
      <c r="AE134" s="92">
        <v>26.92</v>
      </c>
      <c r="AF134" s="92"/>
      <c r="AG134" s="92"/>
      <c r="AH134" s="92"/>
      <c r="AI134" s="92"/>
      <c r="AJ134" s="97" t="s">
        <v>79</v>
      </c>
    </row>
    <row r="135" spans="1:36">
      <c r="A135" s="84">
        <f t="shared" si="14"/>
        <v>137</v>
      </c>
      <c r="B135" s="91">
        <v>45880</v>
      </c>
      <c r="C135" s="48">
        <v>45880</v>
      </c>
      <c r="D135" s="104">
        <v>0.28125</v>
      </c>
      <c r="E135" s="105">
        <v>0.739583333333333</v>
      </c>
      <c r="F135" s="100">
        <v>1234.41</v>
      </c>
      <c r="G135" s="92">
        <v>1297.79</v>
      </c>
      <c r="H135" s="92">
        <v>1285.82</v>
      </c>
      <c r="I135" s="92">
        <v>1297.8</v>
      </c>
      <c r="J135" s="92">
        <v>1293.65</v>
      </c>
      <c r="K135" s="92">
        <v>1282.09</v>
      </c>
      <c r="L135" s="92">
        <v>1299.8</v>
      </c>
      <c r="M135" s="93">
        <v>1349.5</v>
      </c>
      <c r="N135" s="93">
        <v>1271.75</v>
      </c>
      <c r="O135" s="93">
        <v>1266.35</v>
      </c>
      <c r="P135" s="93">
        <v>1215.04</v>
      </c>
      <c r="Q135" s="93">
        <v>1287.47</v>
      </c>
      <c r="R135" s="93">
        <v>1293.28</v>
      </c>
      <c r="S135" s="93">
        <v>1270.47</v>
      </c>
      <c r="T135" s="93">
        <v>1290.77</v>
      </c>
      <c r="U135" s="94">
        <f t="shared" si="15"/>
        <v>19235.99</v>
      </c>
      <c r="V135" s="103">
        <f t="shared" si="12"/>
        <v>166.38</v>
      </c>
      <c r="W135" s="92">
        <v>170.26</v>
      </c>
      <c r="X135" s="92">
        <f t="shared" si="16"/>
        <v>19400</v>
      </c>
      <c r="Y135" s="92">
        <f t="shared" si="13"/>
        <v>2.59</v>
      </c>
      <c r="Z135" s="92">
        <v>2.6</v>
      </c>
      <c r="AA135" s="92">
        <f t="shared" si="18"/>
        <v>50.0000000000012</v>
      </c>
      <c r="AB135" s="97">
        <f t="shared" si="17"/>
        <v>19350</v>
      </c>
      <c r="AC135" s="96"/>
      <c r="AD135" s="92">
        <v>0.69</v>
      </c>
      <c r="AE135" s="92">
        <v>29.14</v>
      </c>
      <c r="AF135" s="92"/>
      <c r="AG135" s="92"/>
      <c r="AH135" s="92"/>
      <c r="AI135" s="92"/>
      <c r="AJ135" s="97" t="s">
        <v>78</v>
      </c>
    </row>
    <row r="136" spans="1:36">
      <c r="A136" s="84">
        <f t="shared" si="14"/>
        <v>138</v>
      </c>
      <c r="B136" s="91">
        <v>45881</v>
      </c>
      <c r="C136" s="48">
        <v>45881</v>
      </c>
      <c r="D136" s="104">
        <v>0.291666666666667</v>
      </c>
      <c r="E136" s="105">
        <v>0.739583333333333</v>
      </c>
      <c r="F136" s="100">
        <v>740.71</v>
      </c>
      <c r="G136" s="92">
        <v>780.4</v>
      </c>
      <c r="H136" s="92">
        <v>767.48</v>
      </c>
      <c r="I136" s="92">
        <v>776.79</v>
      </c>
      <c r="J136" s="92">
        <v>772.25</v>
      </c>
      <c r="K136" s="92">
        <v>763.63</v>
      </c>
      <c r="L136" s="92">
        <v>768.81</v>
      </c>
      <c r="M136" s="93">
        <v>802.48</v>
      </c>
      <c r="N136" s="93">
        <v>779.54</v>
      </c>
      <c r="O136" s="93">
        <v>770.03</v>
      </c>
      <c r="P136" s="93">
        <v>735.09</v>
      </c>
      <c r="Q136" s="93">
        <v>770.45</v>
      </c>
      <c r="R136" s="93">
        <v>781.6</v>
      </c>
      <c r="S136" s="93">
        <v>776.34</v>
      </c>
      <c r="T136" s="93">
        <v>780.88</v>
      </c>
      <c r="U136" s="94">
        <f t="shared" si="15"/>
        <v>11566.48</v>
      </c>
      <c r="V136" s="103">
        <f t="shared" si="12"/>
        <v>170.26</v>
      </c>
      <c r="W136" s="92">
        <v>172.55</v>
      </c>
      <c r="X136" s="92">
        <f t="shared" si="16"/>
        <v>11450.0000000001</v>
      </c>
      <c r="Y136" s="92">
        <f t="shared" si="13"/>
        <v>2.6</v>
      </c>
      <c r="Z136" s="92">
        <v>2.61</v>
      </c>
      <c r="AA136" s="92">
        <f t="shared" si="18"/>
        <v>49.9999999999989</v>
      </c>
      <c r="AB136" s="97">
        <f t="shared" si="17"/>
        <v>11400.0000000001</v>
      </c>
      <c r="AC136" s="96"/>
      <c r="AD136" s="92">
        <v>0.44</v>
      </c>
      <c r="AE136" s="92">
        <v>27.82</v>
      </c>
      <c r="AF136" s="92"/>
      <c r="AG136" s="92"/>
      <c r="AH136" s="92"/>
      <c r="AI136" s="92"/>
      <c r="AJ136" s="97" t="s">
        <v>79</v>
      </c>
    </row>
    <row r="137" spans="1:36">
      <c r="A137" s="84">
        <f t="shared" si="14"/>
        <v>139</v>
      </c>
      <c r="B137" s="91">
        <v>45882</v>
      </c>
      <c r="C137" s="48">
        <v>45882</v>
      </c>
      <c r="D137" s="104">
        <v>0.322916666666667</v>
      </c>
      <c r="E137" s="105">
        <v>0.791666666666667</v>
      </c>
      <c r="F137" s="100">
        <v>1070.82</v>
      </c>
      <c r="G137" s="92">
        <v>1130.57</v>
      </c>
      <c r="H137" s="92">
        <v>1117.71</v>
      </c>
      <c r="I137" s="92">
        <v>1126.48</v>
      </c>
      <c r="J137" s="92">
        <v>1125.89</v>
      </c>
      <c r="K137" s="92">
        <v>1098.01</v>
      </c>
      <c r="L137" s="92">
        <v>1081.46</v>
      </c>
      <c r="M137" s="93">
        <v>1110.15</v>
      </c>
      <c r="N137" s="93">
        <v>1047.8</v>
      </c>
      <c r="O137" s="93">
        <v>1074.29</v>
      </c>
      <c r="P137" s="93">
        <v>1053.77</v>
      </c>
      <c r="Q137" s="93">
        <v>1106.92</v>
      </c>
      <c r="R137" s="93">
        <v>1105.49</v>
      </c>
      <c r="S137" s="93">
        <v>1100.87</v>
      </c>
      <c r="T137" s="93">
        <v>1104.96</v>
      </c>
      <c r="U137" s="94">
        <f t="shared" si="15"/>
        <v>16455.19</v>
      </c>
      <c r="V137" s="103">
        <f t="shared" si="12"/>
        <v>172.55</v>
      </c>
      <c r="W137" s="92">
        <v>175.82</v>
      </c>
      <c r="X137" s="92">
        <f t="shared" si="16"/>
        <v>16349.9999999999</v>
      </c>
      <c r="Y137" s="92">
        <f t="shared" si="13"/>
        <v>2.61</v>
      </c>
      <c r="Z137" s="92">
        <v>2.62</v>
      </c>
      <c r="AA137" s="92">
        <f t="shared" si="18"/>
        <v>50.0000000000012</v>
      </c>
      <c r="AB137" s="97">
        <f t="shared" si="17"/>
        <v>16299.9999999999</v>
      </c>
      <c r="AC137" s="96"/>
      <c r="AD137" s="92">
        <v>0.54</v>
      </c>
      <c r="AE137" s="92">
        <v>28.41</v>
      </c>
      <c r="AF137" s="92"/>
      <c r="AG137" s="92"/>
      <c r="AH137" s="92"/>
      <c r="AI137" s="92"/>
      <c r="AJ137" s="97" t="s">
        <v>78</v>
      </c>
    </row>
    <row r="138" spans="1:36">
      <c r="A138" s="84">
        <f t="shared" si="14"/>
        <v>140</v>
      </c>
      <c r="B138" s="91">
        <v>45883</v>
      </c>
      <c r="C138" s="48">
        <v>45883</v>
      </c>
      <c r="D138" s="104">
        <v>0.28125</v>
      </c>
      <c r="E138" s="105">
        <v>0.791666666666667</v>
      </c>
      <c r="F138" s="100">
        <v>580.13</v>
      </c>
      <c r="G138" s="92">
        <v>611.36</v>
      </c>
      <c r="H138" s="92">
        <v>605.03</v>
      </c>
      <c r="I138" s="92">
        <v>583.87</v>
      </c>
      <c r="J138" s="92">
        <v>562.71</v>
      </c>
      <c r="K138" s="92">
        <v>556.99</v>
      </c>
      <c r="L138" s="92">
        <v>546.33</v>
      </c>
      <c r="M138" s="93">
        <v>547.44</v>
      </c>
      <c r="N138" s="93">
        <v>536.29</v>
      </c>
      <c r="O138" s="93">
        <v>551.43</v>
      </c>
      <c r="P138" s="93">
        <v>536.73</v>
      </c>
      <c r="Q138" s="93">
        <v>582.55</v>
      </c>
      <c r="R138" s="93">
        <v>559.92</v>
      </c>
      <c r="S138" s="93">
        <v>583.97</v>
      </c>
      <c r="T138" s="93">
        <v>607.15</v>
      </c>
      <c r="U138" s="94">
        <f t="shared" si="15"/>
        <v>8551.9</v>
      </c>
      <c r="V138" s="103">
        <f t="shared" si="12"/>
        <v>175.82</v>
      </c>
      <c r="W138" s="92">
        <v>177.53</v>
      </c>
      <c r="X138" s="92">
        <f t="shared" si="16"/>
        <v>8550.00000000004</v>
      </c>
      <c r="Y138" s="92">
        <f t="shared" si="13"/>
        <v>2.62</v>
      </c>
      <c r="Z138" s="92">
        <v>2.64</v>
      </c>
      <c r="AA138" s="92">
        <f t="shared" si="18"/>
        <v>100</v>
      </c>
      <c r="AB138" s="97">
        <f t="shared" si="17"/>
        <v>8450.00000000004</v>
      </c>
      <c r="AC138" s="96"/>
      <c r="AD138" s="92">
        <v>0.28</v>
      </c>
      <c r="AE138" s="92">
        <v>26.85</v>
      </c>
      <c r="AF138" s="92"/>
      <c r="AG138" s="92"/>
      <c r="AH138" s="92"/>
      <c r="AI138" s="92"/>
      <c r="AJ138" s="97" t="s">
        <v>79</v>
      </c>
    </row>
    <row r="139" spans="1:36">
      <c r="A139" s="84">
        <f t="shared" si="14"/>
        <v>141</v>
      </c>
      <c r="B139" s="91">
        <v>45884</v>
      </c>
      <c r="C139" s="48">
        <v>45884</v>
      </c>
      <c r="D139" s="104">
        <v>0.28125</v>
      </c>
      <c r="E139" s="105">
        <v>0.791666666666667</v>
      </c>
      <c r="F139" s="100">
        <v>450.29</v>
      </c>
      <c r="G139" s="92">
        <v>478.38</v>
      </c>
      <c r="H139" s="92">
        <v>469.14</v>
      </c>
      <c r="I139" s="92">
        <v>474.25</v>
      </c>
      <c r="J139" s="92">
        <v>474.94</v>
      </c>
      <c r="K139" s="92">
        <v>469.89</v>
      </c>
      <c r="L139" s="92">
        <v>472.7</v>
      </c>
      <c r="M139" s="93">
        <v>495.11</v>
      </c>
      <c r="N139" s="93">
        <v>467.03</v>
      </c>
      <c r="O139" s="93">
        <v>459.33</v>
      </c>
      <c r="P139" s="93">
        <v>443.8</v>
      </c>
      <c r="Q139" s="93">
        <v>470.68</v>
      </c>
      <c r="R139" s="93">
        <v>465.65</v>
      </c>
      <c r="S139" s="93">
        <v>465.43</v>
      </c>
      <c r="T139" s="93">
        <v>468.83</v>
      </c>
      <c r="U139" s="94">
        <f t="shared" si="15"/>
        <v>7025.45</v>
      </c>
      <c r="V139" s="103">
        <f t="shared" si="12"/>
        <v>177.53</v>
      </c>
      <c r="W139" s="92">
        <v>178.93</v>
      </c>
      <c r="X139" s="92">
        <f t="shared" si="16"/>
        <v>7000.00000000003</v>
      </c>
      <c r="Y139" s="92">
        <f t="shared" si="13"/>
        <v>2.64</v>
      </c>
      <c r="Z139" s="92">
        <v>2.65</v>
      </c>
      <c r="AA139" s="92">
        <f t="shared" si="18"/>
        <v>49.9999999999989</v>
      </c>
      <c r="AB139" s="97">
        <f t="shared" si="17"/>
        <v>6950.00000000003</v>
      </c>
      <c r="AC139" s="96"/>
      <c r="AD139" s="92">
        <v>0.23</v>
      </c>
      <c r="AE139" s="92">
        <v>27.93</v>
      </c>
      <c r="AF139" s="92"/>
      <c r="AG139" s="92"/>
      <c r="AH139" s="92"/>
      <c r="AI139" s="92"/>
      <c r="AJ139" s="97" t="s">
        <v>78</v>
      </c>
    </row>
    <row r="140" spans="1:36">
      <c r="A140" s="84">
        <f t="shared" si="14"/>
        <v>142</v>
      </c>
      <c r="B140" s="91">
        <v>45885</v>
      </c>
      <c r="C140" s="48">
        <v>45885</v>
      </c>
      <c r="D140" s="104">
        <v>0.28125</v>
      </c>
      <c r="E140" s="105">
        <v>0.791666666666667</v>
      </c>
      <c r="F140" s="100">
        <v>915.27</v>
      </c>
      <c r="G140" s="92">
        <v>964.4</v>
      </c>
      <c r="H140" s="92">
        <v>956.54</v>
      </c>
      <c r="I140" s="92">
        <v>962.46</v>
      </c>
      <c r="J140" s="92">
        <v>981.94</v>
      </c>
      <c r="K140" s="92">
        <v>954.74</v>
      </c>
      <c r="L140" s="92">
        <v>953.12</v>
      </c>
      <c r="M140" s="93">
        <v>996.28</v>
      </c>
      <c r="N140" s="93">
        <v>967.61</v>
      </c>
      <c r="O140" s="93">
        <v>952.36</v>
      </c>
      <c r="P140" s="93">
        <v>916.14</v>
      </c>
      <c r="Q140" s="93">
        <v>960.44</v>
      </c>
      <c r="R140" s="93">
        <v>969.04</v>
      </c>
      <c r="S140" s="93">
        <v>955.32</v>
      </c>
      <c r="T140" s="93">
        <v>975.86</v>
      </c>
      <c r="U140" s="94">
        <f t="shared" si="15"/>
        <v>14381.52</v>
      </c>
      <c r="V140" s="103">
        <f t="shared" si="12"/>
        <v>178.93</v>
      </c>
      <c r="W140" s="92">
        <v>181.82</v>
      </c>
      <c r="X140" s="92">
        <f t="shared" si="16"/>
        <v>14449.9999999999</v>
      </c>
      <c r="Y140" s="92">
        <f t="shared" si="13"/>
        <v>2.65</v>
      </c>
      <c r="Z140" s="92">
        <v>2.66</v>
      </c>
      <c r="AA140" s="92">
        <f t="shared" si="18"/>
        <v>50.0000000000012</v>
      </c>
      <c r="AB140" s="97">
        <f t="shared" si="17"/>
        <v>14399.9999999999</v>
      </c>
      <c r="AC140" s="96"/>
      <c r="AD140" s="92">
        <v>0.48</v>
      </c>
      <c r="AE140" s="92">
        <v>28.78</v>
      </c>
      <c r="AF140" s="92"/>
      <c r="AG140" s="92"/>
      <c r="AH140" s="92"/>
      <c r="AI140" s="92"/>
      <c r="AJ140" s="97" t="s">
        <v>79</v>
      </c>
    </row>
    <row r="141" spans="1:36">
      <c r="A141" s="84">
        <f t="shared" si="14"/>
        <v>143</v>
      </c>
      <c r="B141" s="91">
        <v>45886</v>
      </c>
      <c r="C141" s="48">
        <v>45886</v>
      </c>
      <c r="D141" s="104">
        <v>0.28125</v>
      </c>
      <c r="E141" s="105">
        <v>0.791666666666667</v>
      </c>
      <c r="F141" s="100">
        <v>1038.09</v>
      </c>
      <c r="G141" s="92">
        <v>1094.67</v>
      </c>
      <c r="H141" s="92">
        <v>1073.91</v>
      </c>
      <c r="I141" s="92">
        <v>1093.08</v>
      </c>
      <c r="J141" s="92">
        <v>1089.63</v>
      </c>
      <c r="K141" s="92">
        <v>1092.1</v>
      </c>
      <c r="L141" s="92">
        <v>1086.69</v>
      </c>
      <c r="M141" s="93">
        <v>1134.13</v>
      </c>
      <c r="N141" s="93">
        <v>1098.59</v>
      </c>
      <c r="O141" s="93">
        <v>1089.76</v>
      </c>
      <c r="P141" s="93">
        <v>1042.12</v>
      </c>
      <c r="Q141" s="93">
        <v>1105.55</v>
      </c>
      <c r="R141" s="93">
        <v>1108.22</v>
      </c>
      <c r="S141" s="93">
        <v>1096.09</v>
      </c>
      <c r="T141" s="93">
        <v>1108.16</v>
      </c>
      <c r="U141" s="94">
        <f t="shared" si="15"/>
        <v>16350.79</v>
      </c>
      <c r="V141" s="103">
        <f t="shared" ref="V141:V204" si="19">W140</f>
        <v>181.82</v>
      </c>
      <c r="W141" s="92">
        <v>185.04</v>
      </c>
      <c r="X141" s="92">
        <f t="shared" si="16"/>
        <v>16100</v>
      </c>
      <c r="Y141" s="92">
        <f t="shared" ref="Y141:Y204" si="20">Z140</f>
        <v>2.66</v>
      </c>
      <c r="Z141" s="92">
        <v>2.67</v>
      </c>
      <c r="AA141" s="92">
        <f t="shared" si="18"/>
        <v>49.9999999999989</v>
      </c>
      <c r="AB141" s="97">
        <f t="shared" si="17"/>
        <v>16050</v>
      </c>
      <c r="AC141" s="96"/>
      <c r="AD141" s="92">
        <v>0.51</v>
      </c>
      <c r="AE141" s="92">
        <v>30.21</v>
      </c>
      <c r="AF141" s="92"/>
      <c r="AG141" s="92"/>
      <c r="AH141" s="92"/>
      <c r="AI141" s="92"/>
      <c r="AJ141" s="97" t="s">
        <v>79</v>
      </c>
    </row>
    <row r="142" spans="1:36">
      <c r="A142" s="84">
        <f t="shared" si="14"/>
        <v>144</v>
      </c>
      <c r="B142" s="91">
        <v>45887</v>
      </c>
      <c r="C142" s="48">
        <v>45887</v>
      </c>
      <c r="D142" s="104">
        <v>0.291666666666667</v>
      </c>
      <c r="E142" s="105">
        <v>0.791666666666667</v>
      </c>
      <c r="F142" s="100">
        <v>998.61</v>
      </c>
      <c r="G142" s="92">
        <v>1057.82</v>
      </c>
      <c r="H142" s="92">
        <v>1039.82</v>
      </c>
      <c r="I142" s="92">
        <v>1058.9</v>
      </c>
      <c r="J142" s="92">
        <v>1050.44</v>
      </c>
      <c r="K142" s="92">
        <v>1048.64</v>
      </c>
      <c r="L142" s="92">
        <v>1058.18</v>
      </c>
      <c r="M142" s="93">
        <v>1045.2</v>
      </c>
      <c r="N142" s="93">
        <v>1039.14</v>
      </c>
      <c r="O142" s="93">
        <v>1029.45</v>
      </c>
      <c r="P142" s="93">
        <v>1060.34</v>
      </c>
      <c r="Q142" s="93">
        <v>1055.39</v>
      </c>
      <c r="R142" s="93">
        <v>1047.39</v>
      </c>
      <c r="S142" s="93">
        <v>1054.55</v>
      </c>
      <c r="T142" s="93">
        <v>1053.7</v>
      </c>
      <c r="U142" s="94">
        <f t="shared" si="15"/>
        <v>15697.57</v>
      </c>
      <c r="V142" s="103">
        <f t="shared" si="19"/>
        <v>185.04</v>
      </c>
      <c r="W142" s="92">
        <v>188.16</v>
      </c>
      <c r="X142" s="92">
        <f t="shared" si="16"/>
        <v>15600</v>
      </c>
      <c r="Y142" s="92">
        <f t="shared" si="20"/>
        <v>2.67</v>
      </c>
      <c r="Z142" s="92">
        <v>2.68</v>
      </c>
      <c r="AA142" s="92">
        <f t="shared" si="18"/>
        <v>50.0000000000012</v>
      </c>
      <c r="AB142" s="97">
        <f t="shared" si="17"/>
        <v>15550</v>
      </c>
      <c r="AC142" s="96"/>
      <c r="AD142" s="92">
        <v>3.1</v>
      </c>
      <c r="AE142" s="92">
        <v>30.9</v>
      </c>
      <c r="AF142" s="92"/>
      <c r="AG142" s="92"/>
      <c r="AH142" s="92"/>
      <c r="AI142" s="92"/>
      <c r="AJ142" s="97" t="s">
        <v>79</v>
      </c>
    </row>
    <row r="143" spans="1:36">
      <c r="A143" s="84">
        <f t="shared" si="14"/>
        <v>145</v>
      </c>
      <c r="B143" s="91">
        <v>45888</v>
      </c>
      <c r="C143" s="48">
        <v>45888</v>
      </c>
      <c r="D143" s="92"/>
      <c r="E143" s="97"/>
      <c r="F143" s="100"/>
      <c r="G143" s="92"/>
      <c r="H143" s="92"/>
      <c r="I143" s="92"/>
      <c r="J143" s="92"/>
      <c r="K143" s="92"/>
      <c r="L143" s="92"/>
      <c r="M143" s="93"/>
      <c r="N143" s="93"/>
      <c r="O143" s="93"/>
      <c r="P143" s="93"/>
      <c r="Q143" s="93"/>
      <c r="R143" s="93"/>
      <c r="S143" s="93"/>
      <c r="T143" s="93"/>
      <c r="U143" s="94">
        <f t="shared" si="15"/>
        <v>0</v>
      </c>
      <c r="V143" s="103">
        <f t="shared" si="19"/>
        <v>188.16</v>
      </c>
      <c r="W143" s="92">
        <v>191.13</v>
      </c>
      <c r="X143" s="92">
        <f t="shared" si="16"/>
        <v>14850</v>
      </c>
      <c r="Y143" s="92">
        <f t="shared" si="20"/>
        <v>2.68</v>
      </c>
      <c r="Z143" s="92">
        <v>2.69</v>
      </c>
      <c r="AA143" s="92">
        <f t="shared" si="18"/>
        <v>49.9999999999989</v>
      </c>
      <c r="AB143" s="97">
        <f t="shared" si="17"/>
        <v>14800</v>
      </c>
      <c r="AC143" s="96"/>
      <c r="AD143" s="92"/>
      <c r="AE143" s="92"/>
      <c r="AF143" s="92"/>
      <c r="AG143" s="92"/>
      <c r="AH143" s="92"/>
      <c r="AI143" s="92"/>
      <c r="AJ143" s="97"/>
    </row>
    <row r="144" s="83" customFormat="1" ht="15.75" spans="1:36">
      <c r="A144" s="83">
        <f t="shared" si="14"/>
        <v>146</v>
      </c>
      <c r="B144" s="108">
        <v>45889</v>
      </c>
      <c r="C144" s="71">
        <v>45889</v>
      </c>
      <c r="D144" s="106"/>
      <c r="E144" s="107"/>
      <c r="F144" s="109"/>
      <c r="G144" s="106"/>
      <c r="H144" s="106"/>
      <c r="I144" s="106"/>
      <c r="J144" s="110" t="s">
        <v>80</v>
      </c>
      <c r="K144" s="110"/>
      <c r="L144" s="110"/>
      <c r="M144" s="111"/>
      <c r="N144" s="111"/>
      <c r="O144" s="111"/>
      <c r="P144" s="111"/>
      <c r="Q144" s="111"/>
      <c r="R144" s="111"/>
      <c r="S144" s="112"/>
      <c r="T144" s="112"/>
      <c r="U144" s="113">
        <f t="shared" si="15"/>
        <v>0</v>
      </c>
      <c r="V144" s="114">
        <f t="shared" si="19"/>
        <v>191.13</v>
      </c>
      <c r="W144" s="106">
        <v>191.13</v>
      </c>
      <c r="X144" s="106">
        <f t="shared" si="16"/>
        <v>0</v>
      </c>
      <c r="Y144" s="106">
        <f t="shared" si="20"/>
        <v>2.69</v>
      </c>
      <c r="Z144" s="106">
        <v>2.69</v>
      </c>
      <c r="AA144" s="92">
        <f t="shared" si="18"/>
        <v>0</v>
      </c>
      <c r="AB144" s="107">
        <f t="shared" si="17"/>
        <v>0</v>
      </c>
      <c r="AC144" s="115"/>
      <c r="AD144" s="106"/>
      <c r="AE144" s="106"/>
      <c r="AF144" s="106"/>
      <c r="AG144" s="106"/>
      <c r="AH144" s="106"/>
      <c r="AI144" s="106"/>
      <c r="AJ144" s="107"/>
    </row>
    <row r="145" spans="1:36">
      <c r="A145" s="84">
        <f t="shared" si="14"/>
        <v>147</v>
      </c>
      <c r="B145" s="91">
        <v>45890</v>
      </c>
      <c r="C145" s="48">
        <v>45890</v>
      </c>
      <c r="D145" s="116"/>
      <c r="E145" s="117"/>
      <c r="F145" s="118"/>
      <c r="G145" s="116"/>
      <c r="H145" s="116"/>
      <c r="I145" s="116"/>
      <c r="J145" s="116"/>
      <c r="K145" s="116"/>
      <c r="L145" s="116"/>
      <c r="M145" s="119"/>
      <c r="N145" s="119"/>
      <c r="O145" s="119"/>
      <c r="P145" s="119"/>
      <c r="Q145" s="119"/>
      <c r="R145" s="119"/>
      <c r="S145" s="119"/>
      <c r="T145" s="119"/>
      <c r="U145" s="120">
        <f t="shared" si="15"/>
        <v>0</v>
      </c>
      <c r="V145" s="121">
        <f t="shared" si="19"/>
        <v>191.13</v>
      </c>
      <c r="W145" s="116">
        <v>191.13</v>
      </c>
      <c r="X145" s="116">
        <f t="shared" si="16"/>
        <v>0</v>
      </c>
      <c r="Y145" s="116">
        <f t="shared" si="20"/>
        <v>2.69</v>
      </c>
      <c r="Z145" s="116">
        <v>2.69</v>
      </c>
      <c r="AA145" s="116">
        <f t="shared" si="18"/>
        <v>0</v>
      </c>
      <c r="AB145" s="117">
        <f t="shared" si="17"/>
        <v>0</v>
      </c>
      <c r="AC145" s="122"/>
      <c r="AD145" s="116"/>
      <c r="AE145" s="116"/>
      <c r="AF145" s="116"/>
      <c r="AG145" s="116"/>
      <c r="AH145" s="116"/>
      <c r="AI145" s="116"/>
      <c r="AJ145" s="117"/>
    </row>
    <row r="146" spans="1:36">
      <c r="A146" s="84">
        <f t="shared" si="14"/>
        <v>148</v>
      </c>
      <c r="B146" s="91">
        <v>45891</v>
      </c>
      <c r="C146" s="48">
        <v>45891</v>
      </c>
      <c r="D146" s="116"/>
      <c r="E146" s="117"/>
      <c r="F146" s="118"/>
      <c r="G146" s="116"/>
      <c r="H146" s="123" t="s">
        <v>81</v>
      </c>
      <c r="I146" s="124"/>
      <c r="J146" s="124"/>
      <c r="K146" s="124"/>
      <c r="L146" s="124"/>
      <c r="M146" s="124"/>
      <c r="N146" s="124"/>
      <c r="O146" s="124"/>
      <c r="P146" s="124"/>
      <c r="Q146" s="124"/>
      <c r="R146" s="124"/>
      <c r="S146" s="124"/>
      <c r="T146" s="125"/>
      <c r="U146" s="120">
        <f t="shared" si="15"/>
        <v>0</v>
      </c>
      <c r="V146" s="121">
        <f t="shared" si="19"/>
        <v>191.13</v>
      </c>
      <c r="W146" s="116">
        <v>191.13</v>
      </c>
      <c r="X146" s="116">
        <f t="shared" si="16"/>
        <v>0</v>
      </c>
      <c r="Y146" s="116">
        <f t="shared" si="20"/>
        <v>2.69</v>
      </c>
      <c r="Z146" s="116">
        <v>2.69</v>
      </c>
      <c r="AA146" s="116">
        <f t="shared" si="18"/>
        <v>0</v>
      </c>
      <c r="AB146" s="117">
        <f t="shared" si="17"/>
        <v>0</v>
      </c>
      <c r="AC146" s="122"/>
      <c r="AD146" s="116"/>
      <c r="AE146" s="116"/>
      <c r="AF146" s="116"/>
      <c r="AG146" s="116"/>
      <c r="AH146" s="116"/>
      <c r="AI146" s="116"/>
      <c r="AJ146" s="117"/>
    </row>
    <row r="147" spans="1:36">
      <c r="A147" s="84">
        <f t="shared" si="14"/>
        <v>149</v>
      </c>
      <c r="B147" s="91">
        <v>45892</v>
      </c>
      <c r="C147" s="48">
        <v>45892</v>
      </c>
      <c r="D147" s="116"/>
      <c r="E147" s="117"/>
      <c r="F147" s="118"/>
      <c r="G147" s="116"/>
      <c r="H147" s="126"/>
      <c r="I147" s="127"/>
      <c r="J147" s="127"/>
      <c r="K147" s="127"/>
      <c r="L147" s="127"/>
      <c r="M147" s="127"/>
      <c r="N147" s="127"/>
      <c r="O147" s="127"/>
      <c r="P147" s="127"/>
      <c r="Q147" s="127"/>
      <c r="R147" s="127"/>
      <c r="S147" s="127"/>
      <c r="T147" s="128"/>
      <c r="U147" s="120">
        <f t="shared" si="15"/>
        <v>0</v>
      </c>
      <c r="V147" s="121">
        <f t="shared" si="19"/>
        <v>191.13</v>
      </c>
      <c r="W147" s="116">
        <v>191.13</v>
      </c>
      <c r="X147" s="116">
        <f t="shared" si="16"/>
        <v>0</v>
      </c>
      <c r="Y147" s="116">
        <f t="shared" si="20"/>
        <v>2.69</v>
      </c>
      <c r="Z147" s="116">
        <v>2.69</v>
      </c>
      <c r="AA147" s="116">
        <f t="shared" si="18"/>
        <v>0</v>
      </c>
      <c r="AB147" s="117">
        <f t="shared" si="17"/>
        <v>0</v>
      </c>
      <c r="AC147" s="122"/>
      <c r="AD147" s="116"/>
      <c r="AE147" s="116"/>
      <c r="AF147" s="116"/>
      <c r="AG147" s="116"/>
      <c r="AH147" s="116"/>
      <c r="AI147" s="116"/>
      <c r="AJ147" s="117"/>
    </row>
    <row r="148" spans="1:36">
      <c r="A148" s="84">
        <f t="shared" si="14"/>
        <v>150</v>
      </c>
      <c r="B148" s="91">
        <v>45893</v>
      </c>
      <c r="C148" s="48">
        <v>45893</v>
      </c>
      <c r="D148" s="116"/>
      <c r="E148" s="117"/>
      <c r="F148" s="118"/>
      <c r="G148" s="116"/>
      <c r="H148" s="126"/>
      <c r="I148" s="127"/>
      <c r="J148" s="127"/>
      <c r="K148" s="127"/>
      <c r="L148" s="127"/>
      <c r="M148" s="127"/>
      <c r="N148" s="127"/>
      <c r="O148" s="127"/>
      <c r="P148" s="127"/>
      <c r="Q148" s="127"/>
      <c r="R148" s="127"/>
      <c r="S148" s="127"/>
      <c r="T148" s="128"/>
      <c r="U148" s="120">
        <f t="shared" si="15"/>
        <v>0</v>
      </c>
      <c r="V148" s="121">
        <f t="shared" si="19"/>
        <v>191.13</v>
      </c>
      <c r="W148" s="116">
        <v>191.13</v>
      </c>
      <c r="X148" s="116">
        <f t="shared" si="16"/>
        <v>0</v>
      </c>
      <c r="Y148" s="116">
        <f t="shared" si="20"/>
        <v>2.69</v>
      </c>
      <c r="Z148" s="116">
        <v>2.69</v>
      </c>
      <c r="AA148" s="116">
        <f t="shared" si="18"/>
        <v>0</v>
      </c>
      <c r="AB148" s="117">
        <f t="shared" si="17"/>
        <v>0</v>
      </c>
      <c r="AC148" s="122"/>
      <c r="AD148" s="116"/>
      <c r="AE148" s="116"/>
      <c r="AF148" s="116"/>
      <c r="AG148" s="116"/>
      <c r="AH148" s="116"/>
      <c r="AI148" s="116"/>
      <c r="AJ148" s="117"/>
    </row>
    <row r="149" spans="1:36">
      <c r="A149" s="84">
        <f t="shared" si="14"/>
        <v>151</v>
      </c>
      <c r="B149" s="91">
        <v>45894</v>
      </c>
      <c r="C149" s="48">
        <v>45894</v>
      </c>
      <c r="D149" s="116"/>
      <c r="E149" s="117"/>
      <c r="F149" s="118"/>
      <c r="G149" s="116"/>
      <c r="H149" s="126"/>
      <c r="I149" s="127"/>
      <c r="J149" s="127"/>
      <c r="K149" s="127"/>
      <c r="L149" s="127"/>
      <c r="M149" s="127"/>
      <c r="N149" s="127"/>
      <c r="O149" s="127"/>
      <c r="P149" s="127"/>
      <c r="Q149" s="127"/>
      <c r="R149" s="127"/>
      <c r="S149" s="127"/>
      <c r="T149" s="128"/>
      <c r="U149" s="120">
        <f t="shared" si="15"/>
        <v>0</v>
      </c>
      <c r="V149" s="121">
        <f t="shared" si="19"/>
        <v>191.13</v>
      </c>
      <c r="W149" s="116">
        <v>191.13</v>
      </c>
      <c r="X149" s="116">
        <f t="shared" si="16"/>
        <v>0</v>
      </c>
      <c r="Y149" s="116">
        <f t="shared" si="20"/>
        <v>2.69</v>
      </c>
      <c r="Z149" s="116">
        <v>2.69</v>
      </c>
      <c r="AA149" s="116">
        <f t="shared" si="18"/>
        <v>0</v>
      </c>
      <c r="AB149" s="117">
        <f t="shared" si="17"/>
        <v>0</v>
      </c>
      <c r="AC149" s="122"/>
      <c r="AD149" s="116"/>
      <c r="AE149" s="116"/>
      <c r="AF149" s="116"/>
      <c r="AG149" s="116"/>
      <c r="AH149" s="116"/>
      <c r="AI149" s="116"/>
      <c r="AJ149" s="117"/>
    </row>
    <row r="150" spans="1:36">
      <c r="A150" s="84">
        <f t="shared" si="14"/>
        <v>152</v>
      </c>
      <c r="B150" s="91">
        <v>45895</v>
      </c>
      <c r="C150" s="48">
        <v>45895</v>
      </c>
      <c r="D150" s="116"/>
      <c r="E150" s="117"/>
      <c r="F150" s="118"/>
      <c r="G150" s="116"/>
      <c r="H150" s="126"/>
      <c r="I150" s="127"/>
      <c r="J150" s="127"/>
      <c r="K150" s="127"/>
      <c r="L150" s="127"/>
      <c r="M150" s="127"/>
      <c r="N150" s="127"/>
      <c r="O150" s="127"/>
      <c r="P150" s="127"/>
      <c r="Q150" s="127"/>
      <c r="R150" s="127"/>
      <c r="S150" s="127"/>
      <c r="T150" s="128"/>
      <c r="U150" s="120">
        <f t="shared" si="15"/>
        <v>0</v>
      </c>
      <c r="V150" s="121">
        <f t="shared" si="19"/>
        <v>191.13</v>
      </c>
      <c r="W150" s="116">
        <v>191.13</v>
      </c>
      <c r="X150" s="116">
        <f t="shared" si="16"/>
        <v>0</v>
      </c>
      <c r="Y150" s="116">
        <f t="shared" si="20"/>
        <v>2.69</v>
      </c>
      <c r="Z150" s="116">
        <v>2.69</v>
      </c>
      <c r="AA150" s="116">
        <f t="shared" si="18"/>
        <v>0</v>
      </c>
      <c r="AB150" s="117">
        <f t="shared" si="17"/>
        <v>0</v>
      </c>
      <c r="AC150" s="122"/>
      <c r="AD150" s="116"/>
      <c r="AE150" s="116"/>
      <c r="AF150" s="116"/>
      <c r="AG150" s="116"/>
      <c r="AH150" s="116"/>
      <c r="AI150" s="116"/>
      <c r="AJ150" s="117"/>
    </row>
    <row r="151" spans="1:36">
      <c r="A151" s="84">
        <f t="shared" si="14"/>
        <v>153</v>
      </c>
      <c r="B151" s="91">
        <v>45896</v>
      </c>
      <c r="C151" s="48">
        <v>45896</v>
      </c>
      <c r="D151" s="116"/>
      <c r="E151" s="117"/>
      <c r="F151" s="118"/>
      <c r="G151" s="116"/>
      <c r="H151" s="126"/>
      <c r="I151" s="127"/>
      <c r="J151" s="127"/>
      <c r="K151" s="127"/>
      <c r="L151" s="127"/>
      <c r="M151" s="127"/>
      <c r="N151" s="127"/>
      <c r="O151" s="127"/>
      <c r="P151" s="127"/>
      <c r="Q151" s="127"/>
      <c r="R151" s="127"/>
      <c r="S151" s="127"/>
      <c r="T151" s="128"/>
      <c r="U151" s="120">
        <f t="shared" si="15"/>
        <v>0</v>
      </c>
      <c r="V151" s="121">
        <f t="shared" si="19"/>
        <v>191.13</v>
      </c>
      <c r="W151" s="116">
        <v>191.13</v>
      </c>
      <c r="X151" s="116">
        <f t="shared" si="16"/>
        <v>0</v>
      </c>
      <c r="Y151" s="116">
        <f t="shared" si="20"/>
        <v>2.69</v>
      </c>
      <c r="Z151" s="116">
        <v>2.69</v>
      </c>
      <c r="AA151" s="116">
        <f t="shared" si="18"/>
        <v>0</v>
      </c>
      <c r="AB151" s="117">
        <f t="shared" si="17"/>
        <v>0</v>
      </c>
      <c r="AC151" s="122"/>
      <c r="AD151" s="116"/>
      <c r="AE151" s="116"/>
      <c r="AF151" s="116"/>
      <c r="AG151" s="116"/>
      <c r="AH151" s="116"/>
      <c r="AI151" s="116"/>
      <c r="AJ151" s="117"/>
    </row>
    <row r="152" spans="1:36">
      <c r="A152" s="84">
        <f t="shared" si="14"/>
        <v>154</v>
      </c>
      <c r="B152" s="91">
        <v>45897</v>
      </c>
      <c r="C152" s="48">
        <v>45897</v>
      </c>
      <c r="D152" s="116"/>
      <c r="E152" s="117"/>
      <c r="F152" s="118"/>
      <c r="G152" s="116"/>
      <c r="H152" s="126"/>
      <c r="I152" s="127"/>
      <c r="J152" s="127"/>
      <c r="K152" s="127"/>
      <c r="L152" s="127"/>
      <c r="M152" s="127"/>
      <c r="N152" s="127"/>
      <c r="O152" s="127"/>
      <c r="P152" s="127"/>
      <c r="Q152" s="127"/>
      <c r="R152" s="127"/>
      <c r="S152" s="127"/>
      <c r="T152" s="128"/>
      <c r="U152" s="120">
        <f t="shared" si="15"/>
        <v>0</v>
      </c>
      <c r="V152" s="121">
        <f t="shared" si="19"/>
        <v>191.13</v>
      </c>
      <c r="W152" s="116">
        <v>191.13</v>
      </c>
      <c r="X152" s="116">
        <f t="shared" si="16"/>
        <v>0</v>
      </c>
      <c r="Y152" s="116">
        <f t="shared" si="20"/>
        <v>2.69</v>
      </c>
      <c r="Z152" s="116">
        <v>2.69</v>
      </c>
      <c r="AA152" s="116">
        <f t="shared" si="18"/>
        <v>0</v>
      </c>
      <c r="AB152" s="117">
        <f t="shared" si="17"/>
        <v>0</v>
      </c>
      <c r="AC152" s="122"/>
      <c r="AD152" s="116"/>
      <c r="AE152" s="116"/>
      <c r="AF152" s="116"/>
      <c r="AG152" s="116"/>
      <c r="AH152" s="116"/>
      <c r="AI152" s="116"/>
      <c r="AJ152" s="117"/>
    </row>
    <row r="153" spans="1:36">
      <c r="A153" s="84">
        <f t="shared" si="14"/>
        <v>155</v>
      </c>
      <c r="B153" s="91">
        <v>45898</v>
      </c>
      <c r="C153" s="48">
        <v>45898</v>
      </c>
      <c r="D153" s="116"/>
      <c r="E153" s="117"/>
      <c r="F153" s="118"/>
      <c r="G153" s="116"/>
      <c r="H153" s="129"/>
      <c r="I153" s="130"/>
      <c r="J153" s="130"/>
      <c r="K153" s="130"/>
      <c r="L153" s="130"/>
      <c r="M153" s="130"/>
      <c r="N153" s="130"/>
      <c r="O153" s="130"/>
      <c r="P153" s="130"/>
      <c r="Q153" s="130"/>
      <c r="R153" s="130"/>
      <c r="S153" s="130"/>
      <c r="T153" s="131"/>
      <c r="U153" s="120">
        <f t="shared" si="15"/>
        <v>0</v>
      </c>
      <c r="V153" s="121">
        <f t="shared" si="19"/>
        <v>191.13</v>
      </c>
      <c r="W153" s="116">
        <v>191.13</v>
      </c>
      <c r="X153" s="116">
        <f t="shared" si="16"/>
        <v>0</v>
      </c>
      <c r="Y153" s="116">
        <f t="shared" si="20"/>
        <v>2.69</v>
      </c>
      <c r="Z153" s="116">
        <v>2.69</v>
      </c>
      <c r="AA153" s="116">
        <f t="shared" si="18"/>
        <v>0</v>
      </c>
      <c r="AB153" s="117">
        <f t="shared" si="17"/>
        <v>0</v>
      </c>
      <c r="AC153" s="122"/>
      <c r="AD153" s="116"/>
      <c r="AE153" s="116"/>
      <c r="AF153" s="116"/>
      <c r="AG153" s="116"/>
      <c r="AH153" s="116"/>
      <c r="AI153" s="116"/>
      <c r="AJ153" s="117"/>
    </row>
    <row r="154" spans="1:36">
      <c r="A154" s="84">
        <f t="shared" si="14"/>
        <v>156</v>
      </c>
      <c r="B154" s="91">
        <v>45899</v>
      </c>
      <c r="C154" s="48">
        <v>45899</v>
      </c>
      <c r="D154" s="92"/>
      <c r="E154" s="97"/>
      <c r="F154" s="100">
        <v>11.61</v>
      </c>
      <c r="G154" s="92">
        <v>114.39</v>
      </c>
      <c r="H154" s="92"/>
      <c r="I154" s="92"/>
      <c r="J154" s="92"/>
      <c r="K154" s="92">
        <v>110.8</v>
      </c>
      <c r="L154" s="92">
        <v>40.45</v>
      </c>
      <c r="M154" s="93"/>
      <c r="N154" s="93"/>
      <c r="O154" s="93"/>
      <c r="P154" s="93"/>
      <c r="Q154" s="93">
        <v>109.9</v>
      </c>
      <c r="R154" s="93">
        <v>106.96</v>
      </c>
      <c r="S154" s="93">
        <v>109.22</v>
      </c>
      <c r="T154" s="93"/>
      <c r="U154" s="94">
        <f t="shared" si="15"/>
        <v>603.33</v>
      </c>
      <c r="V154" s="103">
        <f t="shared" si="19"/>
        <v>191.13</v>
      </c>
      <c r="W154" s="132">
        <v>191.34</v>
      </c>
      <c r="X154" s="92">
        <f t="shared" si="16"/>
        <v>1050.00000000004</v>
      </c>
      <c r="Y154" s="92">
        <f t="shared" si="20"/>
        <v>2.69</v>
      </c>
      <c r="Z154" s="92">
        <v>2.76</v>
      </c>
      <c r="AA154" s="92">
        <f t="shared" si="18"/>
        <v>349.999999999999</v>
      </c>
      <c r="AB154" s="97">
        <f t="shared" si="17"/>
        <v>700.000000000041</v>
      </c>
      <c r="AC154" s="96"/>
      <c r="AD154" s="92"/>
      <c r="AE154" s="92"/>
      <c r="AF154" s="92"/>
      <c r="AG154" s="92"/>
      <c r="AH154" s="92"/>
      <c r="AI154" s="92"/>
      <c r="AJ154" s="97"/>
    </row>
    <row r="155" ht="18.75" spans="1:36">
      <c r="A155" s="84">
        <f t="shared" si="14"/>
        <v>157</v>
      </c>
      <c r="B155" s="91">
        <v>45900</v>
      </c>
      <c r="C155" s="48">
        <v>45900</v>
      </c>
      <c r="D155" s="116"/>
      <c r="E155" s="117"/>
      <c r="F155" s="118"/>
      <c r="G155" s="116"/>
      <c r="H155" s="133" t="s">
        <v>82</v>
      </c>
      <c r="I155" s="134"/>
      <c r="J155" s="134"/>
      <c r="K155" s="134"/>
      <c r="L155" s="134"/>
      <c r="M155" s="134"/>
      <c r="N155" s="134"/>
      <c r="O155" s="134"/>
      <c r="P155" s="134"/>
      <c r="Q155" s="134"/>
      <c r="R155" s="134"/>
      <c r="S155" s="134"/>
      <c r="T155" s="135"/>
      <c r="U155" s="120">
        <f t="shared" si="15"/>
        <v>0</v>
      </c>
      <c r="V155" s="121">
        <f t="shared" si="19"/>
        <v>191.34</v>
      </c>
      <c r="W155" s="116">
        <v>191.34</v>
      </c>
      <c r="X155" s="116">
        <f t="shared" si="16"/>
        <v>0</v>
      </c>
      <c r="Y155" s="116">
        <f t="shared" si="20"/>
        <v>2.76</v>
      </c>
      <c r="Z155" s="116"/>
      <c r="AA155" s="116">
        <f t="shared" si="18"/>
        <v>0</v>
      </c>
      <c r="AB155" s="117">
        <f t="shared" si="17"/>
        <v>0</v>
      </c>
      <c r="AC155" s="122"/>
      <c r="AD155" s="116"/>
      <c r="AE155" s="116"/>
      <c r="AF155" s="116"/>
      <c r="AG155" s="116"/>
      <c r="AH155" s="116"/>
      <c r="AI155" s="116"/>
      <c r="AJ155" s="117"/>
    </row>
    <row r="156" spans="1:36">
      <c r="A156" s="84">
        <f t="shared" si="14"/>
        <v>158</v>
      </c>
      <c r="B156" s="91">
        <v>45901</v>
      </c>
      <c r="C156" s="48">
        <v>45901</v>
      </c>
      <c r="D156" s="116"/>
      <c r="E156" s="117"/>
      <c r="F156" s="118"/>
      <c r="G156" s="116"/>
      <c r="H156" s="123" t="s">
        <v>83</v>
      </c>
      <c r="I156" s="124"/>
      <c r="J156" s="124"/>
      <c r="K156" s="124"/>
      <c r="L156" s="124"/>
      <c r="M156" s="124"/>
      <c r="N156" s="124"/>
      <c r="O156" s="124"/>
      <c r="P156" s="124"/>
      <c r="Q156" s="124"/>
      <c r="R156" s="124"/>
      <c r="S156" s="124"/>
      <c r="T156" s="125"/>
      <c r="U156" s="120">
        <f t="shared" si="15"/>
        <v>0</v>
      </c>
      <c r="V156" s="121">
        <f t="shared" si="19"/>
        <v>191.34</v>
      </c>
      <c r="W156" s="116">
        <v>191.34</v>
      </c>
      <c r="X156" s="116">
        <f t="shared" si="16"/>
        <v>0</v>
      </c>
      <c r="Y156" s="116">
        <f t="shared" si="20"/>
        <v>0</v>
      </c>
      <c r="Z156" s="116"/>
      <c r="AA156" s="116">
        <f t="shared" si="18"/>
        <v>0</v>
      </c>
      <c r="AB156" s="117">
        <f t="shared" si="17"/>
        <v>0</v>
      </c>
      <c r="AC156" s="122"/>
      <c r="AD156" s="116"/>
      <c r="AE156" s="116"/>
      <c r="AF156" s="116"/>
      <c r="AG156" s="116"/>
      <c r="AH156" s="116"/>
      <c r="AI156" s="116"/>
      <c r="AJ156" s="117"/>
    </row>
    <row r="157" spans="1:36">
      <c r="A157" s="84">
        <f t="shared" si="14"/>
        <v>159</v>
      </c>
      <c r="B157" s="91">
        <v>45902</v>
      </c>
      <c r="C157" s="48">
        <v>45902</v>
      </c>
      <c r="D157" s="116"/>
      <c r="E157" s="117"/>
      <c r="F157" s="118"/>
      <c r="G157" s="116"/>
      <c r="H157" s="126"/>
      <c r="I157" s="127"/>
      <c r="J157" s="127"/>
      <c r="K157" s="127"/>
      <c r="L157" s="127"/>
      <c r="M157" s="127"/>
      <c r="N157" s="127"/>
      <c r="O157" s="127"/>
      <c r="P157" s="127"/>
      <c r="Q157" s="127"/>
      <c r="R157" s="127"/>
      <c r="S157" s="127"/>
      <c r="T157" s="128"/>
      <c r="U157" s="120">
        <f t="shared" si="15"/>
        <v>0</v>
      </c>
      <c r="V157" s="121">
        <f t="shared" si="19"/>
        <v>191.34</v>
      </c>
      <c r="W157" s="116">
        <v>191.34</v>
      </c>
      <c r="X157" s="116">
        <f t="shared" si="16"/>
        <v>0</v>
      </c>
      <c r="Y157" s="116">
        <f t="shared" si="20"/>
        <v>0</v>
      </c>
      <c r="Z157" s="116"/>
      <c r="AA157" s="116">
        <f t="shared" si="18"/>
        <v>0</v>
      </c>
      <c r="AB157" s="117">
        <f t="shared" si="17"/>
        <v>0</v>
      </c>
      <c r="AC157" s="122"/>
      <c r="AD157" s="116"/>
      <c r="AE157" s="116"/>
      <c r="AF157" s="116"/>
      <c r="AG157" s="116"/>
      <c r="AH157" s="116"/>
      <c r="AI157" s="116"/>
      <c r="AJ157" s="117"/>
    </row>
    <row r="158" spans="1:36">
      <c r="A158" s="84">
        <f t="shared" si="14"/>
        <v>160</v>
      </c>
      <c r="B158" s="91">
        <v>45903</v>
      </c>
      <c r="C158" s="48">
        <v>45903</v>
      </c>
      <c r="D158" s="116"/>
      <c r="E158" s="117"/>
      <c r="F158" s="118"/>
      <c r="G158" s="116"/>
      <c r="H158" s="126"/>
      <c r="I158" s="127"/>
      <c r="J158" s="127"/>
      <c r="K158" s="127"/>
      <c r="L158" s="127"/>
      <c r="M158" s="127"/>
      <c r="N158" s="127"/>
      <c r="O158" s="127"/>
      <c r="P158" s="127"/>
      <c r="Q158" s="127"/>
      <c r="R158" s="127"/>
      <c r="S158" s="127"/>
      <c r="T158" s="128"/>
      <c r="U158" s="120">
        <f t="shared" si="15"/>
        <v>0</v>
      </c>
      <c r="V158" s="121">
        <f t="shared" si="19"/>
        <v>191.34</v>
      </c>
      <c r="W158" s="116">
        <v>191.34</v>
      </c>
      <c r="X158" s="116">
        <f t="shared" si="16"/>
        <v>0</v>
      </c>
      <c r="Y158" s="116">
        <f t="shared" si="20"/>
        <v>0</v>
      </c>
      <c r="Z158" s="116"/>
      <c r="AA158" s="116">
        <f t="shared" si="18"/>
        <v>0</v>
      </c>
      <c r="AB158" s="117">
        <f t="shared" si="17"/>
        <v>0</v>
      </c>
      <c r="AC158" s="122"/>
      <c r="AD158" s="116"/>
      <c r="AE158" s="116"/>
      <c r="AF158" s="116"/>
      <c r="AG158" s="116"/>
      <c r="AH158" s="116"/>
      <c r="AI158" s="116"/>
      <c r="AJ158" s="117"/>
    </row>
    <row r="159" spans="1:36">
      <c r="A159" s="84">
        <f t="shared" si="14"/>
        <v>161</v>
      </c>
      <c r="B159" s="91">
        <v>45904</v>
      </c>
      <c r="C159" s="48">
        <v>45904</v>
      </c>
      <c r="D159" s="116"/>
      <c r="E159" s="117"/>
      <c r="F159" s="118"/>
      <c r="G159" s="116"/>
      <c r="H159" s="126"/>
      <c r="I159" s="127"/>
      <c r="J159" s="127"/>
      <c r="K159" s="127"/>
      <c r="L159" s="127"/>
      <c r="M159" s="127"/>
      <c r="N159" s="127"/>
      <c r="O159" s="127"/>
      <c r="P159" s="127"/>
      <c r="Q159" s="127"/>
      <c r="R159" s="127"/>
      <c r="S159" s="127"/>
      <c r="T159" s="128"/>
      <c r="U159" s="120">
        <f t="shared" si="15"/>
        <v>0</v>
      </c>
      <c r="V159" s="121">
        <f t="shared" si="19"/>
        <v>191.34</v>
      </c>
      <c r="W159" s="116">
        <v>191.34</v>
      </c>
      <c r="X159" s="116">
        <f t="shared" si="16"/>
        <v>0</v>
      </c>
      <c r="Y159" s="116">
        <f t="shared" si="20"/>
        <v>0</v>
      </c>
      <c r="Z159" s="116"/>
      <c r="AA159" s="116">
        <f t="shared" si="18"/>
        <v>0</v>
      </c>
      <c r="AB159" s="117">
        <f t="shared" si="17"/>
        <v>0</v>
      </c>
      <c r="AC159" s="122"/>
      <c r="AD159" s="116"/>
      <c r="AE159" s="116"/>
      <c r="AF159" s="116"/>
      <c r="AG159" s="116"/>
      <c r="AH159" s="116"/>
      <c r="AI159" s="116"/>
      <c r="AJ159" s="117"/>
    </row>
    <row r="160" spans="1:36">
      <c r="A160" s="84">
        <f t="shared" si="14"/>
        <v>162</v>
      </c>
      <c r="B160" s="91">
        <v>45905</v>
      </c>
      <c r="C160" s="48">
        <v>45905</v>
      </c>
      <c r="D160" s="116"/>
      <c r="E160" s="117"/>
      <c r="F160" s="118"/>
      <c r="G160" s="116"/>
      <c r="H160" s="126"/>
      <c r="I160" s="127"/>
      <c r="J160" s="127"/>
      <c r="K160" s="127"/>
      <c r="L160" s="127"/>
      <c r="M160" s="127"/>
      <c r="N160" s="127"/>
      <c r="O160" s="127"/>
      <c r="P160" s="127"/>
      <c r="Q160" s="127"/>
      <c r="R160" s="127"/>
      <c r="S160" s="127"/>
      <c r="T160" s="128"/>
      <c r="U160" s="120">
        <f t="shared" si="15"/>
        <v>0</v>
      </c>
      <c r="V160" s="121">
        <f t="shared" si="19"/>
        <v>191.34</v>
      </c>
      <c r="W160" s="116">
        <v>191.34</v>
      </c>
      <c r="X160" s="116">
        <f t="shared" si="16"/>
        <v>0</v>
      </c>
      <c r="Y160" s="116">
        <f t="shared" si="20"/>
        <v>0</v>
      </c>
      <c r="Z160" s="116"/>
      <c r="AA160" s="116">
        <f t="shared" si="18"/>
        <v>0</v>
      </c>
      <c r="AB160" s="117">
        <f t="shared" si="17"/>
        <v>0</v>
      </c>
      <c r="AC160" s="122"/>
      <c r="AD160" s="116"/>
      <c r="AE160" s="116"/>
      <c r="AF160" s="116"/>
      <c r="AG160" s="116"/>
      <c r="AH160" s="116"/>
      <c r="AI160" s="116"/>
      <c r="AJ160" s="117"/>
    </row>
    <row r="161" spans="1:36">
      <c r="A161" s="84">
        <f t="shared" si="14"/>
        <v>163</v>
      </c>
      <c r="B161" s="91">
        <v>45906</v>
      </c>
      <c r="C161" s="48">
        <v>45906</v>
      </c>
      <c r="D161" s="116"/>
      <c r="E161" s="117"/>
      <c r="F161" s="118"/>
      <c r="G161" s="116"/>
      <c r="H161" s="126"/>
      <c r="I161" s="127"/>
      <c r="J161" s="127"/>
      <c r="K161" s="127"/>
      <c r="L161" s="127"/>
      <c r="M161" s="127"/>
      <c r="N161" s="127"/>
      <c r="O161" s="127"/>
      <c r="P161" s="127"/>
      <c r="Q161" s="127"/>
      <c r="R161" s="127"/>
      <c r="S161" s="127"/>
      <c r="T161" s="128"/>
      <c r="U161" s="120">
        <f t="shared" si="15"/>
        <v>0</v>
      </c>
      <c r="V161" s="121">
        <f t="shared" si="19"/>
        <v>191.34</v>
      </c>
      <c r="W161" s="116">
        <v>191.34</v>
      </c>
      <c r="X161" s="116">
        <f t="shared" si="16"/>
        <v>0</v>
      </c>
      <c r="Y161" s="116">
        <f t="shared" si="20"/>
        <v>0</v>
      </c>
      <c r="Z161" s="116"/>
      <c r="AA161" s="116">
        <f t="shared" si="18"/>
        <v>0</v>
      </c>
      <c r="AB161" s="117">
        <f t="shared" si="17"/>
        <v>0</v>
      </c>
      <c r="AC161" s="122"/>
      <c r="AD161" s="116"/>
      <c r="AE161" s="116"/>
      <c r="AF161" s="116"/>
      <c r="AG161" s="116"/>
      <c r="AH161" s="116"/>
      <c r="AI161" s="116"/>
      <c r="AJ161" s="117"/>
    </row>
    <row r="162" spans="1:36">
      <c r="A162" s="84">
        <f t="shared" si="14"/>
        <v>164</v>
      </c>
      <c r="B162" s="91">
        <v>45907</v>
      </c>
      <c r="C162" s="48">
        <v>45907</v>
      </c>
      <c r="D162" s="116"/>
      <c r="E162" s="117"/>
      <c r="F162" s="118"/>
      <c r="G162" s="116"/>
      <c r="H162" s="126"/>
      <c r="I162" s="127"/>
      <c r="J162" s="127"/>
      <c r="K162" s="127"/>
      <c r="L162" s="127"/>
      <c r="M162" s="127"/>
      <c r="N162" s="127"/>
      <c r="O162" s="127"/>
      <c r="P162" s="127"/>
      <c r="Q162" s="127"/>
      <c r="R162" s="127"/>
      <c r="S162" s="127"/>
      <c r="T162" s="128"/>
      <c r="U162" s="120">
        <f t="shared" si="15"/>
        <v>0</v>
      </c>
      <c r="V162" s="121">
        <f t="shared" si="19"/>
        <v>191.34</v>
      </c>
      <c r="W162" s="116">
        <v>191.34</v>
      </c>
      <c r="X162" s="116">
        <f t="shared" si="16"/>
        <v>0</v>
      </c>
      <c r="Y162" s="116">
        <f t="shared" si="20"/>
        <v>0</v>
      </c>
      <c r="Z162" s="116"/>
      <c r="AA162" s="116">
        <f t="shared" si="18"/>
        <v>0</v>
      </c>
      <c r="AB162" s="117">
        <f t="shared" si="17"/>
        <v>0</v>
      </c>
      <c r="AC162" s="122"/>
      <c r="AD162" s="116"/>
      <c r="AE162" s="116"/>
      <c r="AF162" s="116"/>
      <c r="AG162" s="116"/>
      <c r="AH162" s="116"/>
      <c r="AI162" s="116"/>
      <c r="AJ162" s="117"/>
    </row>
    <row r="163" spans="1:36">
      <c r="A163" s="84">
        <f t="shared" si="14"/>
        <v>165</v>
      </c>
      <c r="B163" s="91">
        <v>45908</v>
      </c>
      <c r="C163" s="48">
        <v>45908</v>
      </c>
      <c r="D163" s="116"/>
      <c r="E163" s="117"/>
      <c r="F163" s="118"/>
      <c r="G163" s="116"/>
      <c r="H163" s="129"/>
      <c r="I163" s="130"/>
      <c r="J163" s="130"/>
      <c r="K163" s="130"/>
      <c r="L163" s="130"/>
      <c r="M163" s="130"/>
      <c r="N163" s="130"/>
      <c r="O163" s="130"/>
      <c r="P163" s="130"/>
      <c r="Q163" s="130"/>
      <c r="R163" s="130"/>
      <c r="S163" s="130"/>
      <c r="T163" s="131"/>
      <c r="U163" s="120">
        <f t="shared" si="15"/>
        <v>0</v>
      </c>
      <c r="V163" s="121">
        <f t="shared" si="19"/>
        <v>191.34</v>
      </c>
      <c r="W163" s="116">
        <v>191.34</v>
      </c>
      <c r="X163" s="116">
        <f t="shared" si="16"/>
        <v>0</v>
      </c>
      <c r="Y163" s="116">
        <f t="shared" si="20"/>
        <v>0</v>
      </c>
      <c r="Z163" s="116"/>
      <c r="AA163" s="116">
        <f t="shared" si="18"/>
        <v>0</v>
      </c>
      <c r="AB163" s="117">
        <f t="shared" si="17"/>
        <v>0</v>
      </c>
      <c r="AC163" s="122"/>
      <c r="AD163" s="116"/>
      <c r="AE163" s="116"/>
      <c r="AF163" s="116"/>
      <c r="AG163" s="116"/>
      <c r="AH163" s="116"/>
      <c r="AI163" s="116"/>
      <c r="AJ163" s="117"/>
    </row>
    <row r="164" spans="1:36">
      <c r="A164" s="84">
        <f t="shared" si="14"/>
        <v>166</v>
      </c>
      <c r="B164" s="91">
        <v>45909</v>
      </c>
      <c r="C164" s="48">
        <v>45909</v>
      </c>
      <c r="D164" s="92"/>
      <c r="E164" s="97"/>
      <c r="F164" s="100"/>
      <c r="G164" s="92">
        <v>54.67</v>
      </c>
      <c r="H164" s="92">
        <v>57.4</v>
      </c>
      <c r="I164" s="92"/>
      <c r="J164" s="92"/>
      <c r="K164" s="92"/>
      <c r="L164" s="92">
        <v>50.95</v>
      </c>
      <c r="M164" s="93"/>
      <c r="N164" s="93"/>
      <c r="O164" s="93"/>
      <c r="P164" s="93"/>
      <c r="Q164" s="93">
        <v>43.19</v>
      </c>
      <c r="R164" s="93"/>
      <c r="S164" s="93"/>
      <c r="T164" s="93"/>
      <c r="U164" s="94">
        <f t="shared" si="15"/>
        <v>206.21</v>
      </c>
      <c r="V164" s="103">
        <f t="shared" si="19"/>
        <v>191.34</v>
      </c>
      <c r="W164" s="92">
        <v>191.42</v>
      </c>
      <c r="X164" s="92">
        <f t="shared" si="16"/>
        <v>399.99999999992</v>
      </c>
      <c r="Y164" s="92">
        <v>2.69</v>
      </c>
      <c r="Z164" s="92">
        <v>2.77</v>
      </c>
      <c r="AA164" s="92">
        <f t="shared" si="18"/>
        <v>400</v>
      </c>
      <c r="AB164" s="97">
        <f t="shared" si="17"/>
        <v>-7.99218469182961e-11</v>
      </c>
      <c r="AC164" s="96"/>
      <c r="AD164" s="92"/>
      <c r="AE164" s="92"/>
      <c r="AF164" s="92"/>
      <c r="AG164" s="92"/>
      <c r="AH164" s="92"/>
      <c r="AI164" s="92"/>
      <c r="AJ164" s="97"/>
    </row>
    <row r="165" spans="1:36">
      <c r="A165" s="84">
        <f t="shared" si="14"/>
        <v>167</v>
      </c>
      <c r="B165" s="91">
        <v>45910</v>
      </c>
      <c r="C165" s="48">
        <v>45910</v>
      </c>
      <c r="D165" s="92"/>
      <c r="E165" s="97"/>
      <c r="F165" s="100"/>
      <c r="G165" s="92">
        <v>192.75</v>
      </c>
      <c r="H165" s="92">
        <v>173.37</v>
      </c>
      <c r="I165" s="92"/>
      <c r="J165" s="92"/>
      <c r="K165" s="92"/>
      <c r="L165" s="92">
        <v>184.06</v>
      </c>
      <c r="M165" s="93"/>
      <c r="N165" s="93"/>
      <c r="O165" s="93"/>
      <c r="P165" s="93"/>
      <c r="Q165" s="93">
        <v>161.2</v>
      </c>
      <c r="R165" s="93">
        <v>169.05</v>
      </c>
      <c r="S165" s="93">
        <v>158.45</v>
      </c>
      <c r="T165" s="93"/>
      <c r="U165" s="94">
        <f t="shared" si="15"/>
        <v>1038.88</v>
      </c>
      <c r="V165" s="103">
        <f t="shared" si="19"/>
        <v>191.42</v>
      </c>
      <c r="W165" s="92">
        <v>191.71</v>
      </c>
      <c r="X165" s="92">
        <f t="shared" si="16"/>
        <v>1450.0000000001</v>
      </c>
      <c r="Y165" s="92">
        <v>2.78</v>
      </c>
      <c r="Z165" s="92">
        <f t="shared" ref="Z165:Z175" si="21">Y166</f>
        <v>2.79</v>
      </c>
      <c r="AA165" s="92">
        <f t="shared" si="18"/>
        <v>50.0000000000012</v>
      </c>
      <c r="AB165" s="97">
        <f t="shared" si="17"/>
        <v>1400.0000000001</v>
      </c>
      <c r="AC165" s="96"/>
      <c r="AD165" s="92"/>
      <c r="AE165" s="92"/>
      <c r="AF165" s="92"/>
      <c r="AG165" s="92"/>
      <c r="AH165" s="92"/>
      <c r="AI165" s="92"/>
      <c r="AJ165" s="97"/>
    </row>
    <row r="166" spans="1:36">
      <c r="A166" s="84">
        <f t="shared" si="14"/>
        <v>168</v>
      </c>
      <c r="B166" s="91">
        <v>45911</v>
      </c>
      <c r="C166" s="48">
        <v>45911</v>
      </c>
      <c r="D166" s="92"/>
      <c r="E166" s="97"/>
      <c r="F166" s="100"/>
      <c r="G166" s="92">
        <v>330.97</v>
      </c>
      <c r="H166" s="92">
        <v>769.06</v>
      </c>
      <c r="I166" s="92"/>
      <c r="J166" s="92"/>
      <c r="K166" s="92"/>
      <c r="L166" s="92">
        <v>1213.62</v>
      </c>
      <c r="M166" s="93"/>
      <c r="N166" s="93"/>
      <c r="O166" s="93"/>
      <c r="P166" s="93"/>
      <c r="Q166" s="93">
        <v>331</v>
      </c>
      <c r="R166" s="93">
        <v>332.24</v>
      </c>
      <c r="S166" s="93">
        <v>328.75</v>
      </c>
      <c r="T166" s="93"/>
      <c r="U166" s="94">
        <f t="shared" si="15"/>
        <v>3305.64</v>
      </c>
      <c r="V166" s="103">
        <f t="shared" si="19"/>
        <v>191.71</v>
      </c>
      <c r="W166" s="92">
        <v>192.64</v>
      </c>
      <c r="X166" s="92">
        <f t="shared" si="16"/>
        <v>4649.99999999989</v>
      </c>
      <c r="Y166" s="92">
        <v>2.79</v>
      </c>
      <c r="Z166" s="92">
        <v>2.79</v>
      </c>
      <c r="AA166" s="92">
        <f t="shared" si="18"/>
        <v>0</v>
      </c>
      <c r="AB166" s="97">
        <f t="shared" si="17"/>
        <v>4649.99999999989</v>
      </c>
      <c r="AC166" s="96"/>
      <c r="AD166" s="92"/>
      <c r="AE166" s="92"/>
      <c r="AF166" s="92"/>
      <c r="AG166" s="92"/>
      <c r="AH166" s="92"/>
      <c r="AI166" s="92"/>
      <c r="AJ166" s="97"/>
    </row>
    <row r="167" spans="1:36">
      <c r="A167" s="84">
        <f t="shared" si="14"/>
        <v>169</v>
      </c>
      <c r="B167" s="91">
        <v>45912</v>
      </c>
      <c r="C167" s="48">
        <v>45912</v>
      </c>
      <c r="D167" s="92"/>
      <c r="E167" s="97"/>
      <c r="F167" s="100" t="s">
        <v>84</v>
      </c>
      <c r="G167" s="92">
        <v>1530.65</v>
      </c>
      <c r="H167" s="92">
        <v>1148.43</v>
      </c>
      <c r="I167" s="92"/>
      <c r="J167" s="92"/>
      <c r="K167" s="92"/>
      <c r="L167" s="92">
        <v>1025.43</v>
      </c>
      <c r="M167" s="93" t="s">
        <v>84</v>
      </c>
      <c r="N167" s="93"/>
      <c r="O167" s="93"/>
      <c r="P167" s="93"/>
      <c r="Q167" s="93">
        <v>761.75</v>
      </c>
      <c r="R167" s="93">
        <v>971.2</v>
      </c>
      <c r="S167" s="93">
        <v>910.2</v>
      </c>
      <c r="T167" s="93"/>
      <c r="U167" s="94">
        <f t="shared" si="15"/>
        <v>6347.66</v>
      </c>
      <c r="V167" s="103">
        <f t="shared" si="19"/>
        <v>192.64</v>
      </c>
      <c r="W167" s="92">
        <v>194.62</v>
      </c>
      <c r="X167" s="92">
        <f t="shared" si="16"/>
        <v>9900.00000000009</v>
      </c>
      <c r="Y167" s="92">
        <v>2.81</v>
      </c>
      <c r="Z167" s="92">
        <f t="shared" si="21"/>
        <v>2.82</v>
      </c>
      <c r="AA167" s="92">
        <f t="shared" si="18"/>
        <v>49.9999999999989</v>
      </c>
      <c r="AB167" s="97">
        <f t="shared" si="17"/>
        <v>9850.00000000009</v>
      </c>
      <c r="AC167" s="96"/>
      <c r="AD167" s="92"/>
      <c r="AE167" s="92"/>
      <c r="AF167" s="92"/>
      <c r="AG167" s="92"/>
      <c r="AH167" s="92"/>
      <c r="AI167" s="92"/>
      <c r="AJ167" s="97"/>
    </row>
    <row r="168" spans="1:36">
      <c r="A168" s="84">
        <f t="shared" si="14"/>
        <v>170</v>
      </c>
      <c r="B168" s="91">
        <v>45913</v>
      </c>
      <c r="C168" s="48">
        <v>45913</v>
      </c>
      <c r="D168" s="92"/>
      <c r="E168" s="97"/>
      <c r="F168" s="92">
        <v>464.26</v>
      </c>
      <c r="G168" s="92">
        <v>1182.21</v>
      </c>
      <c r="H168" s="93">
        <v>897.34</v>
      </c>
      <c r="I168" s="93">
        <v>366.43</v>
      </c>
      <c r="J168" s="92"/>
      <c r="K168" s="92">
        <v>919.44</v>
      </c>
      <c r="L168" s="92">
        <v>802.08</v>
      </c>
      <c r="M168" s="92">
        <v>10.38</v>
      </c>
      <c r="N168" s="92"/>
      <c r="O168" s="93"/>
      <c r="P168" s="93"/>
      <c r="Q168" s="93">
        <v>954.9</v>
      </c>
      <c r="R168" s="93">
        <v>1031.28</v>
      </c>
      <c r="S168" s="93">
        <v>1014.41</v>
      </c>
      <c r="T168" s="93"/>
      <c r="U168" s="94">
        <f t="shared" si="15"/>
        <v>7642.73</v>
      </c>
      <c r="V168" s="103">
        <f t="shared" si="19"/>
        <v>194.62</v>
      </c>
      <c r="W168" s="92">
        <v>196.58</v>
      </c>
      <c r="X168" s="92">
        <f t="shared" si="16"/>
        <v>9800.00000000004</v>
      </c>
      <c r="Y168" s="92">
        <v>2.82</v>
      </c>
      <c r="Z168" s="92">
        <v>2.82</v>
      </c>
      <c r="AA168" s="92">
        <f t="shared" si="18"/>
        <v>0</v>
      </c>
      <c r="AB168" s="97">
        <f t="shared" si="17"/>
        <v>9800.00000000004</v>
      </c>
      <c r="AC168" s="96"/>
      <c r="AD168" s="92"/>
      <c r="AE168" s="92"/>
      <c r="AF168" s="92"/>
      <c r="AG168" s="92"/>
      <c r="AH168" s="92"/>
      <c r="AI168" s="92"/>
      <c r="AJ168" s="97"/>
    </row>
    <row r="169" spans="1:36">
      <c r="A169" s="84">
        <f t="shared" si="14"/>
        <v>171</v>
      </c>
      <c r="B169" s="91">
        <v>45914</v>
      </c>
      <c r="C169" s="48">
        <v>45914</v>
      </c>
      <c r="D169" s="92"/>
      <c r="E169" s="97"/>
      <c r="F169" s="92"/>
      <c r="G169" s="92"/>
      <c r="H169" s="93"/>
      <c r="I169" s="93"/>
      <c r="J169" s="92"/>
      <c r="K169" s="92"/>
      <c r="L169" s="92"/>
      <c r="M169" s="93"/>
      <c r="N169" s="93"/>
      <c r="O169" s="93"/>
      <c r="P169" s="93"/>
      <c r="Q169" s="93"/>
      <c r="R169" s="93"/>
      <c r="S169" s="93"/>
      <c r="T169" s="93"/>
      <c r="U169" s="94">
        <f t="shared" si="15"/>
        <v>0</v>
      </c>
      <c r="V169" s="103">
        <f t="shared" si="19"/>
        <v>196.58</v>
      </c>
      <c r="W169" s="92">
        <v>198.66</v>
      </c>
      <c r="X169" s="92">
        <f t="shared" si="16"/>
        <v>10399.9999999999</v>
      </c>
      <c r="Y169" s="92">
        <f>Z168</f>
        <v>2.82</v>
      </c>
      <c r="Z169" s="92">
        <f t="shared" si="21"/>
        <v>2.83</v>
      </c>
      <c r="AA169" s="92">
        <f t="shared" si="18"/>
        <v>50.0000000000012</v>
      </c>
      <c r="AB169" s="97">
        <f t="shared" si="17"/>
        <v>10349.9999999999</v>
      </c>
      <c r="AC169" s="96"/>
      <c r="AD169" s="92"/>
      <c r="AE169" s="92"/>
      <c r="AF169" s="92"/>
      <c r="AG169" s="92"/>
      <c r="AH169" s="92"/>
      <c r="AI169" s="92"/>
      <c r="AJ169" s="97"/>
    </row>
    <row r="170" spans="1:36">
      <c r="A170" s="84">
        <f t="shared" si="14"/>
        <v>172</v>
      </c>
      <c r="B170" s="91">
        <v>45915</v>
      </c>
      <c r="C170" s="48">
        <v>45915</v>
      </c>
      <c r="D170" s="92"/>
      <c r="E170" s="97"/>
      <c r="F170" s="100">
        <v>1240.23</v>
      </c>
      <c r="G170" s="92">
        <v>1280.32</v>
      </c>
      <c r="H170" s="92">
        <v>1116.53</v>
      </c>
      <c r="I170" s="92">
        <v>1274.74</v>
      </c>
      <c r="J170" s="92"/>
      <c r="K170" s="92">
        <v>1225.05</v>
      </c>
      <c r="L170" s="92">
        <v>1266.53</v>
      </c>
      <c r="M170" s="93">
        <v>1321.81</v>
      </c>
      <c r="N170" s="93"/>
      <c r="O170" s="93"/>
      <c r="P170" s="93"/>
      <c r="Q170" s="93">
        <v>1187.59</v>
      </c>
      <c r="R170" s="93">
        <v>1272.08</v>
      </c>
      <c r="S170" s="93">
        <v>1250.41</v>
      </c>
      <c r="T170" s="93"/>
      <c r="U170" s="94">
        <f t="shared" si="15"/>
        <v>12435.29</v>
      </c>
      <c r="V170" s="103">
        <f t="shared" si="19"/>
        <v>198.66</v>
      </c>
      <c r="W170" s="92">
        <v>201.59</v>
      </c>
      <c r="X170" s="92">
        <f t="shared" si="16"/>
        <v>14650</v>
      </c>
      <c r="Y170" s="92">
        <v>2.83</v>
      </c>
      <c r="Z170" s="92">
        <f t="shared" si="21"/>
        <v>2.85</v>
      </c>
      <c r="AA170" s="92">
        <f t="shared" si="18"/>
        <v>100</v>
      </c>
      <c r="AB170" s="97">
        <f t="shared" si="17"/>
        <v>14550</v>
      </c>
      <c r="AC170" s="96"/>
      <c r="AD170" s="92"/>
      <c r="AE170" s="92"/>
      <c r="AF170" s="92"/>
      <c r="AG170" s="92"/>
      <c r="AH170" s="92"/>
      <c r="AI170" s="92"/>
      <c r="AJ170" s="97"/>
    </row>
    <row r="171" spans="1:36">
      <c r="A171" s="84">
        <f t="shared" si="14"/>
        <v>173</v>
      </c>
      <c r="B171" s="91">
        <v>45916</v>
      </c>
      <c r="C171" s="48">
        <v>45916</v>
      </c>
      <c r="D171" s="92"/>
      <c r="E171" s="97"/>
      <c r="F171" s="100">
        <v>1514.4</v>
      </c>
      <c r="G171" s="92">
        <v>1507.33</v>
      </c>
      <c r="H171" s="92">
        <v>1451.06</v>
      </c>
      <c r="I171" s="92">
        <v>1511.81</v>
      </c>
      <c r="J171" s="136"/>
      <c r="K171" s="92">
        <v>1471.67</v>
      </c>
      <c r="L171" s="92">
        <v>1495.76</v>
      </c>
      <c r="M171" s="93">
        <v>1557.86</v>
      </c>
      <c r="N171" s="112"/>
      <c r="O171" s="136"/>
      <c r="P171" s="112"/>
      <c r="Q171" s="93">
        <v>1419.85</v>
      </c>
      <c r="R171" s="93">
        <v>1512.87</v>
      </c>
      <c r="S171" s="93">
        <v>1483.12</v>
      </c>
      <c r="T171" s="112"/>
      <c r="U171" s="94">
        <f t="shared" si="15"/>
        <v>14925.73</v>
      </c>
      <c r="V171" s="103">
        <f t="shared" si="19"/>
        <v>201.59</v>
      </c>
      <c r="W171" s="92">
        <v>205.13</v>
      </c>
      <c r="X171" s="92">
        <f t="shared" si="16"/>
        <v>17700</v>
      </c>
      <c r="Y171" s="92">
        <v>2.85</v>
      </c>
      <c r="Z171" s="92">
        <f t="shared" si="21"/>
        <v>2.86</v>
      </c>
      <c r="AA171" s="92">
        <f t="shared" si="18"/>
        <v>49.9999999999989</v>
      </c>
      <c r="AB171" s="97">
        <f t="shared" si="17"/>
        <v>17650</v>
      </c>
      <c r="AC171" s="96"/>
      <c r="AD171" s="92"/>
      <c r="AE171" s="92"/>
      <c r="AF171" s="92"/>
      <c r="AG171" s="92"/>
      <c r="AH171" s="92"/>
      <c r="AI171" s="92"/>
      <c r="AJ171" s="97"/>
    </row>
    <row r="172" spans="1:36">
      <c r="A172" s="84">
        <f t="shared" si="14"/>
        <v>174</v>
      </c>
      <c r="B172" s="91">
        <v>45917</v>
      </c>
      <c r="C172" s="48">
        <v>45917</v>
      </c>
      <c r="D172" s="92"/>
      <c r="E172" s="97"/>
      <c r="F172" s="100">
        <v>1435.18</v>
      </c>
      <c r="G172" s="92">
        <v>1430.15</v>
      </c>
      <c r="H172" s="92">
        <v>1384.95</v>
      </c>
      <c r="I172" s="92">
        <v>1254.42</v>
      </c>
      <c r="J172" s="136"/>
      <c r="K172" s="92">
        <v>1399.02</v>
      </c>
      <c r="L172" s="92">
        <v>1420.41</v>
      </c>
      <c r="M172" s="93">
        <v>1478.39</v>
      </c>
      <c r="N172" s="112"/>
      <c r="O172" s="136"/>
      <c r="P172" s="112"/>
      <c r="Q172" s="93">
        <v>1353.94</v>
      </c>
      <c r="R172" s="93">
        <v>1445.14</v>
      </c>
      <c r="S172" s="93">
        <v>1426.56</v>
      </c>
      <c r="T172" s="112"/>
      <c r="U172" s="94">
        <f t="shared" si="15"/>
        <v>14028.16</v>
      </c>
      <c r="V172" s="103">
        <f t="shared" si="19"/>
        <v>205.13</v>
      </c>
      <c r="W172" s="92">
        <v>208.5</v>
      </c>
      <c r="X172" s="92">
        <f t="shared" si="16"/>
        <v>16850</v>
      </c>
      <c r="Y172" s="92">
        <v>2.86</v>
      </c>
      <c r="Z172" s="92">
        <f t="shared" si="21"/>
        <v>2.87</v>
      </c>
      <c r="AA172" s="92">
        <f t="shared" si="18"/>
        <v>50.0000000000012</v>
      </c>
      <c r="AB172" s="97">
        <f t="shared" si="17"/>
        <v>16800</v>
      </c>
      <c r="AC172" s="96"/>
      <c r="AD172" s="92"/>
      <c r="AE172" s="92"/>
      <c r="AF172" s="92"/>
      <c r="AG172" s="92"/>
      <c r="AH172" s="92"/>
      <c r="AI172" s="92"/>
      <c r="AJ172" s="97"/>
    </row>
    <row r="173" spans="1:36">
      <c r="A173" s="84">
        <f t="shared" si="14"/>
        <v>175</v>
      </c>
      <c r="B173" s="91">
        <v>45918</v>
      </c>
      <c r="C173" s="48">
        <v>45918</v>
      </c>
      <c r="D173" s="92"/>
      <c r="E173" s="97"/>
      <c r="F173" s="100">
        <v>1743.32</v>
      </c>
      <c r="G173" s="92">
        <v>1695.58</v>
      </c>
      <c r="H173" s="92">
        <v>1639.17</v>
      </c>
      <c r="I173" s="92">
        <v>1699.63</v>
      </c>
      <c r="J173" s="136"/>
      <c r="K173" s="92">
        <v>1646.89</v>
      </c>
      <c r="L173" s="92">
        <v>1664.87</v>
      </c>
      <c r="M173" s="93">
        <v>1749.58</v>
      </c>
      <c r="N173" s="112"/>
      <c r="O173" s="136"/>
      <c r="P173" s="93"/>
      <c r="Q173" s="93">
        <v>1629.37</v>
      </c>
      <c r="R173" s="93">
        <v>1727.1</v>
      </c>
      <c r="S173" s="93">
        <v>1745.17</v>
      </c>
      <c r="T173" s="112"/>
      <c r="U173" s="94">
        <f t="shared" si="15"/>
        <v>16940.68</v>
      </c>
      <c r="V173" s="103">
        <f t="shared" si="19"/>
        <v>208.5</v>
      </c>
      <c r="W173" s="92">
        <v>212.53</v>
      </c>
      <c r="X173" s="92">
        <f t="shared" si="16"/>
        <v>20150</v>
      </c>
      <c r="Y173" s="92">
        <v>2.87</v>
      </c>
      <c r="Z173" s="92">
        <f t="shared" si="21"/>
        <v>2.89</v>
      </c>
      <c r="AA173" s="92">
        <f t="shared" si="18"/>
        <v>100</v>
      </c>
      <c r="AB173" s="97">
        <f t="shared" si="17"/>
        <v>20050</v>
      </c>
      <c r="AC173" s="96"/>
      <c r="AD173" s="92"/>
      <c r="AE173" s="92"/>
      <c r="AF173" s="92"/>
      <c r="AG173" s="92"/>
      <c r="AH173" s="92"/>
      <c r="AI173" s="92"/>
      <c r="AJ173" s="97"/>
    </row>
    <row r="174" spans="1:36">
      <c r="A174" s="84">
        <f t="shared" si="14"/>
        <v>176</v>
      </c>
      <c r="B174" s="91">
        <v>45919</v>
      </c>
      <c r="C174" s="48">
        <v>45919</v>
      </c>
      <c r="D174" s="92"/>
      <c r="E174" s="97"/>
      <c r="F174" s="92">
        <v>1468.1</v>
      </c>
      <c r="G174" s="92">
        <v>1462.8</v>
      </c>
      <c r="H174" s="93">
        <v>1414.8</v>
      </c>
      <c r="I174" s="93">
        <v>1452.43</v>
      </c>
      <c r="J174" s="136"/>
      <c r="K174" s="93">
        <v>1407.45</v>
      </c>
      <c r="L174" s="93">
        <v>1447.49</v>
      </c>
      <c r="M174" s="92">
        <v>1504.36</v>
      </c>
      <c r="N174" s="92">
        <v>24.97</v>
      </c>
      <c r="O174" s="136"/>
      <c r="P174" s="112"/>
      <c r="Q174" s="92">
        <v>1377.59</v>
      </c>
      <c r="R174" s="92">
        <v>1474.34</v>
      </c>
      <c r="S174" s="92">
        <v>1472.5</v>
      </c>
      <c r="T174" s="93">
        <v>4</v>
      </c>
      <c r="U174" s="94">
        <f t="shared" si="15"/>
        <v>14510.83</v>
      </c>
      <c r="V174" s="103">
        <f t="shared" si="19"/>
        <v>212.53</v>
      </c>
      <c r="W174" s="92">
        <v>215.97</v>
      </c>
      <c r="X174" s="92">
        <f t="shared" si="16"/>
        <v>17200</v>
      </c>
      <c r="Y174" s="92">
        <v>2.89</v>
      </c>
      <c r="Z174" s="92">
        <f t="shared" si="21"/>
        <v>2.9</v>
      </c>
      <c r="AA174" s="92">
        <f t="shared" si="18"/>
        <v>49.9999999999989</v>
      </c>
      <c r="AB174" s="97">
        <f t="shared" si="17"/>
        <v>17150</v>
      </c>
      <c r="AC174" s="96"/>
      <c r="AD174" s="92"/>
      <c r="AE174" s="92"/>
      <c r="AF174" s="92"/>
      <c r="AG174" s="92"/>
      <c r="AH174" s="92"/>
      <c r="AI174" s="92"/>
      <c r="AJ174" s="97"/>
    </row>
    <row r="175" spans="1:36">
      <c r="A175" s="84">
        <f t="shared" si="14"/>
        <v>177</v>
      </c>
      <c r="B175" s="91">
        <v>45920</v>
      </c>
      <c r="C175" s="48">
        <v>45920</v>
      </c>
      <c r="D175" s="92"/>
      <c r="E175" s="97"/>
      <c r="F175" s="100">
        <v>1191.11</v>
      </c>
      <c r="G175" s="92">
        <v>1182.45</v>
      </c>
      <c r="H175" s="92">
        <v>1160.36</v>
      </c>
      <c r="I175" s="92">
        <v>1168.63</v>
      </c>
      <c r="J175" s="136"/>
      <c r="K175" s="92">
        <v>1140.1</v>
      </c>
      <c r="L175" s="92">
        <v>1106.73</v>
      </c>
      <c r="M175" s="93">
        <v>1156.14</v>
      </c>
      <c r="N175" s="93">
        <v>1121.78</v>
      </c>
      <c r="O175" s="136"/>
      <c r="P175" s="93">
        <v>827.52</v>
      </c>
      <c r="Q175" s="93">
        <v>1113.58</v>
      </c>
      <c r="R175" s="93">
        <v>1177.27</v>
      </c>
      <c r="S175" s="93">
        <v>1174.19</v>
      </c>
      <c r="T175" s="93">
        <v>1180.26</v>
      </c>
      <c r="U175" s="94">
        <f t="shared" si="15"/>
        <v>14700.12</v>
      </c>
      <c r="V175" s="103">
        <f t="shared" si="19"/>
        <v>215.97</v>
      </c>
      <c r="W175" s="92">
        <v>219.34</v>
      </c>
      <c r="X175" s="92">
        <f t="shared" si="16"/>
        <v>16850</v>
      </c>
      <c r="Y175" s="92">
        <v>2.9</v>
      </c>
      <c r="Z175" s="92">
        <f t="shared" si="21"/>
        <v>2.91</v>
      </c>
      <c r="AA175" s="92">
        <f t="shared" si="18"/>
        <v>50.0000000000012</v>
      </c>
      <c r="AB175" s="97">
        <f t="shared" si="17"/>
        <v>16800</v>
      </c>
      <c r="AC175" s="96"/>
      <c r="AD175" s="92"/>
      <c r="AE175" s="92"/>
      <c r="AF175" s="92"/>
      <c r="AG175" s="92"/>
      <c r="AH175" s="92"/>
      <c r="AI175" s="92"/>
      <c r="AJ175" s="97"/>
    </row>
    <row r="176" spans="1:36">
      <c r="A176" s="84">
        <f t="shared" si="14"/>
        <v>178</v>
      </c>
      <c r="B176" s="91">
        <v>45921</v>
      </c>
      <c r="C176" s="48">
        <v>45921</v>
      </c>
      <c r="D176" s="104">
        <v>0.291666666666667</v>
      </c>
      <c r="E176" s="105">
        <v>0.770833333333333</v>
      </c>
      <c r="F176" s="100">
        <v>1059.81</v>
      </c>
      <c r="G176" s="92">
        <v>1058.61</v>
      </c>
      <c r="H176" s="92">
        <v>1033.27</v>
      </c>
      <c r="I176" s="92">
        <v>1051.12</v>
      </c>
      <c r="J176" s="136"/>
      <c r="K176" s="92">
        <v>1039.78</v>
      </c>
      <c r="L176" s="92">
        <v>980.91</v>
      </c>
      <c r="M176" s="93">
        <v>1090.06</v>
      </c>
      <c r="N176" s="93">
        <v>1051.78</v>
      </c>
      <c r="O176" s="137"/>
      <c r="P176" s="93">
        <v>1040.56</v>
      </c>
      <c r="Q176" s="93">
        <v>1056.41</v>
      </c>
      <c r="R176" s="93">
        <v>1050.34</v>
      </c>
      <c r="S176" s="93">
        <v>1070.75</v>
      </c>
      <c r="T176" s="93">
        <v>1068.78</v>
      </c>
      <c r="U176" s="94">
        <f t="shared" si="15"/>
        <v>13652.18</v>
      </c>
      <c r="V176" s="103">
        <f t="shared" si="19"/>
        <v>219.34</v>
      </c>
      <c r="W176" s="92">
        <v>222.45</v>
      </c>
      <c r="X176" s="92">
        <f t="shared" si="16"/>
        <v>15549.9999999999</v>
      </c>
      <c r="Y176" s="92">
        <v>2.91</v>
      </c>
      <c r="Z176" s="92">
        <v>2.91</v>
      </c>
      <c r="AA176" s="92">
        <f t="shared" si="18"/>
        <v>0</v>
      </c>
      <c r="AB176" s="97">
        <f t="shared" si="17"/>
        <v>15549.9999999999</v>
      </c>
      <c r="AC176" s="96"/>
      <c r="AD176" s="92">
        <v>3.75</v>
      </c>
      <c r="AE176" s="92">
        <v>29.49</v>
      </c>
      <c r="AF176" s="92"/>
      <c r="AG176" s="92"/>
      <c r="AH176" s="92"/>
      <c r="AI176" s="92"/>
      <c r="AJ176" s="97" t="s">
        <v>79</v>
      </c>
    </row>
    <row r="177" spans="1:36">
      <c r="A177" s="84">
        <f t="shared" si="14"/>
        <v>179</v>
      </c>
      <c r="B177" s="91">
        <v>45922</v>
      </c>
      <c r="C177" s="48">
        <v>45922</v>
      </c>
      <c r="D177" s="104">
        <v>0.3125</v>
      </c>
      <c r="E177" s="105">
        <v>0.78125</v>
      </c>
      <c r="F177" s="100">
        <v>1015.48</v>
      </c>
      <c r="G177" s="92">
        <v>923.05</v>
      </c>
      <c r="H177" s="92">
        <v>897.02</v>
      </c>
      <c r="I177" s="92">
        <v>917.7</v>
      </c>
      <c r="J177" s="136"/>
      <c r="K177" s="92">
        <v>902.27</v>
      </c>
      <c r="L177" s="92">
        <v>895.38</v>
      </c>
      <c r="M177" s="93">
        <v>942.55</v>
      </c>
      <c r="N177" s="93">
        <v>912.19</v>
      </c>
      <c r="O177" s="137"/>
      <c r="P177" s="93">
        <v>925.31</v>
      </c>
      <c r="Q177" s="93">
        <v>914.41</v>
      </c>
      <c r="R177" s="93">
        <v>922.83</v>
      </c>
      <c r="S177" s="93">
        <v>926.26</v>
      </c>
      <c r="T177" s="93">
        <v>926.96</v>
      </c>
      <c r="U177" s="94">
        <f t="shared" si="15"/>
        <v>12021.41</v>
      </c>
      <c r="V177" s="103">
        <f t="shared" si="19"/>
        <v>222.45</v>
      </c>
      <c r="W177" s="92">
        <v>225.22</v>
      </c>
      <c r="X177" s="92">
        <f t="shared" si="16"/>
        <v>13850.0000000001</v>
      </c>
      <c r="Y177" s="92">
        <f t="shared" si="20"/>
        <v>2.91</v>
      </c>
      <c r="Z177" s="92">
        <v>2.92</v>
      </c>
      <c r="AA177" s="92">
        <f t="shared" si="18"/>
        <v>49.9999999999989</v>
      </c>
      <c r="AB177" s="97">
        <f t="shared" si="17"/>
        <v>13800.0000000001</v>
      </c>
      <c r="AC177" s="96"/>
      <c r="AD177" s="92">
        <v>3.24</v>
      </c>
      <c r="AE177" s="92">
        <v>28.81</v>
      </c>
      <c r="AF177" s="92"/>
      <c r="AG177" s="92"/>
      <c r="AH177" s="92"/>
      <c r="AI177" s="92"/>
      <c r="AJ177" s="97" t="s">
        <v>79</v>
      </c>
    </row>
    <row r="178" spans="1:36">
      <c r="A178" s="84">
        <f t="shared" si="14"/>
        <v>180</v>
      </c>
      <c r="B178" s="91">
        <v>45923</v>
      </c>
      <c r="C178" s="48">
        <v>45923</v>
      </c>
      <c r="D178" s="104">
        <v>0.298611111111111</v>
      </c>
      <c r="E178" s="105">
        <v>0.791666666666667</v>
      </c>
      <c r="F178" s="100">
        <v>1245.34</v>
      </c>
      <c r="G178" s="92">
        <v>1245.9</v>
      </c>
      <c r="H178" s="92">
        <v>1224.16</v>
      </c>
      <c r="I178" s="92">
        <v>1242.6</v>
      </c>
      <c r="J178" s="136"/>
      <c r="K178" s="92">
        <v>1217.18</v>
      </c>
      <c r="L178" s="92">
        <v>1230.41</v>
      </c>
      <c r="M178" s="93">
        <v>1277.98</v>
      </c>
      <c r="N178" s="93">
        <v>1237.3</v>
      </c>
      <c r="O178" s="137"/>
      <c r="P178" s="93">
        <v>1242.92</v>
      </c>
      <c r="Q178" s="93">
        <v>1240.36</v>
      </c>
      <c r="R178" s="93">
        <v>1245.45</v>
      </c>
      <c r="S178" s="93">
        <v>1243.54</v>
      </c>
      <c r="T178" s="93">
        <v>1252.6</v>
      </c>
      <c r="U178" s="94">
        <f t="shared" si="15"/>
        <v>16145.74</v>
      </c>
      <c r="V178" s="103">
        <f t="shared" si="19"/>
        <v>225.22</v>
      </c>
      <c r="W178" s="92">
        <v>228.92</v>
      </c>
      <c r="X178" s="92">
        <f t="shared" si="16"/>
        <v>18499.9999999999</v>
      </c>
      <c r="Y178" s="92">
        <f t="shared" si="20"/>
        <v>2.92</v>
      </c>
      <c r="Z178" s="92">
        <v>2.93</v>
      </c>
      <c r="AA178" s="92">
        <f t="shared" si="18"/>
        <v>50.0000000000012</v>
      </c>
      <c r="AB178" s="97">
        <f t="shared" si="17"/>
        <v>18449.9999999999</v>
      </c>
      <c r="AC178" s="96"/>
      <c r="AD178" s="92">
        <v>3.9</v>
      </c>
      <c r="AE178" s="92">
        <v>30.8</v>
      </c>
      <c r="AF178" s="92"/>
      <c r="AG178" s="92"/>
      <c r="AH178" s="92"/>
      <c r="AI178" s="92"/>
      <c r="AJ178" s="97" t="s">
        <v>79</v>
      </c>
    </row>
    <row r="179" spans="1:36">
      <c r="A179" s="84">
        <f t="shared" si="14"/>
        <v>181</v>
      </c>
      <c r="B179" s="91">
        <v>45924</v>
      </c>
      <c r="C179" s="48">
        <v>45924</v>
      </c>
      <c r="D179" s="104">
        <v>0.28125</v>
      </c>
      <c r="E179" s="105">
        <v>0.770833333333333</v>
      </c>
      <c r="F179" s="100">
        <v>1495.85</v>
      </c>
      <c r="G179" s="92">
        <v>1494.16</v>
      </c>
      <c r="H179" s="92">
        <v>1448.61</v>
      </c>
      <c r="I179" s="92">
        <v>1434.97</v>
      </c>
      <c r="J179" s="136"/>
      <c r="K179" s="92">
        <v>1350.96</v>
      </c>
      <c r="L179" s="92">
        <v>1322.51</v>
      </c>
      <c r="M179" s="93">
        <v>1357.12</v>
      </c>
      <c r="N179" s="93">
        <v>1287.77</v>
      </c>
      <c r="O179" s="137"/>
      <c r="P179" s="93">
        <v>1420.06</v>
      </c>
      <c r="Q179" s="93">
        <v>1481.74</v>
      </c>
      <c r="R179" s="93">
        <v>1335.22</v>
      </c>
      <c r="S179" s="93">
        <v>1491.08</v>
      </c>
      <c r="T179" s="93">
        <v>1427.01</v>
      </c>
      <c r="U179" s="94">
        <f t="shared" si="15"/>
        <v>18347.06</v>
      </c>
      <c r="V179" s="103">
        <f t="shared" si="19"/>
        <v>228.92</v>
      </c>
      <c r="W179" s="92">
        <v>233.09</v>
      </c>
      <c r="X179" s="92">
        <f t="shared" si="16"/>
        <v>20850.0000000001</v>
      </c>
      <c r="Y179" s="92">
        <f t="shared" si="20"/>
        <v>2.93</v>
      </c>
      <c r="Z179" s="92">
        <v>2.94</v>
      </c>
      <c r="AA179" s="92">
        <f t="shared" si="18"/>
        <v>49.9999999999989</v>
      </c>
      <c r="AB179" s="97">
        <f t="shared" si="17"/>
        <v>20800.0000000001</v>
      </c>
      <c r="AC179" s="96"/>
      <c r="AD179" s="92">
        <v>2.18</v>
      </c>
      <c r="AE179" s="92">
        <v>30.36</v>
      </c>
      <c r="AF179" s="92"/>
      <c r="AG179" s="92"/>
      <c r="AH179" s="92"/>
      <c r="AI179" s="92"/>
      <c r="AJ179" s="97" t="s">
        <v>85</v>
      </c>
    </row>
    <row r="180" spans="1:36">
      <c r="A180" s="84">
        <f t="shared" si="14"/>
        <v>182</v>
      </c>
      <c r="B180" s="91">
        <v>45925</v>
      </c>
      <c r="C180" s="48">
        <v>45925</v>
      </c>
      <c r="D180" s="104">
        <v>0.286111111111111</v>
      </c>
      <c r="E180" s="105">
        <v>0.791666666666667</v>
      </c>
      <c r="F180" s="100">
        <v>1296.59</v>
      </c>
      <c r="G180" s="92">
        <v>1275.34</v>
      </c>
      <c r="H180" s="92">
        <v>1254.53</v>
      </c>
      <c r="I180" s="92">
        <v>1250.04</v>
      </c>
      <c r="J180" s="136"/>
      <c r="K180" s="92">
        <v>1162.8</v>
      </c>
      <c r="L180" s="92">
        <v>1192.8</v>
      </c>
      <c r="M180" s="93">
        <v>1242.96</v>
      </c>
      <c r="N180" s="93">
        <v>1159.3</v>
      </c>
      <c r="O180" s="137"/>
      <c r="P180" s="93">
        <v>1223.84</v>
      </c>
      <c r="Q180" s="93">
        <v>1245.95</v>
      </c>
      <c r="R180" s="93">
        <v>1227.56</v>
      </c>
      <c r="S180" s="93">
        <v>1271.03</v>
      </c>
      <c r="T180" s="93">
        <v>1241.16</v>
      </c>
      <c r="U180" s="94">
        <f t="shared" si="15"/>
        <v>16043.9</v>
      </c>
      <c r="V180" s="103">
        <f t="shared" si="19"/>
        <v>233.09</v>
      </c>
      <c r="W180" s="92">
        <v>236.73</v>
      </c>
      <c r="X180" s="92">
        <f t="shared" si="16"/>
        <v>18199.9999999999</v>
      </c>
      <c r="Y180" s="92">
        <f t="shared" si="20"/>
        <v>2.94</v>
      </c>
      <c r="Z180" s="92">
        <v>2.96</v>
      </c>
      <c r="AA180" s="92">
        <f t="shared" si="18"/>
        <v>100</v>
      </c>
      <c r="AB180" s="97">
        <f t="shared" si="17"/>
        <v>18099.9999999999</v>
      </c>
      <c r="AC180" s="96"/>
      <c r="AD180" s="92">
        <v>4.09</v>
      </c>
      <c r="AE180" s="92">
        <v>30.8</v>
      </c>
      <c r="AF180" s="92"/>
      <c r="AG180" s="92"/>
      <c r="AH180" s="92"/>
      <c r="AI180" s="92"/>
      <c r="AJ180" s="97" t="s">
        <v>85</v>
      </c>
    </row>
    <row r="181" spans="1:36">
      <c r="A181" s="84">
        <f t="shared" si="14"/>
        <v>183</v>
      </c>
      <c r="B181" s="91">
        <v>45926</v>
      </c>
      <c r="C181" s="48">
        <v>45926</v>
      </c>
      <c r="D181" s="104">
        <v>0.28125</v>
      </c>
      <c r="E181" s="105">
        <v>0.770833333333333</v>
      </c>
      <c r="F181" s="100">
        <v>1337.79</v>
      </c>
      <c r="G181" s="92">
        <v>1319.76</v>
      </c>
      <c r="H181" s="92">
        <v>1311.14</v>
      </c>
      <c r="I181" s="92">
        <v>1314.76</v>
      </c>
      <c r="J181" s="136"/>
      <c r="K181" s="92">
        <v>1257.66</v>
      </c>
      <c r="L181" s="92">
        <v>1307.11</v>
      </c>
      <c r="M181" s="93">
        <v>1326.31</v>
      </c>
      <c r="N181" s="93">
        <v>1345.27</v>
      </c>
      <c r="O181" s="137"/>
      <c r="P181" s="93">
        <v>1268.16</v>
      </c>
      <c r="Q181" s="93">
        <v>1344.93</v>
      </c>
      <c r="R181" s="93">
        <v>1346.8</v>
      </c>
      <c r="S181" s="93">
        <v>1360.55</v>
      </c>
      <c r="T181" s="93">
        <v>1350.57</v>
      </c>
      <c r="U181" s="94">
        <f t="shared" si="15"/>
        <v>17190.81</v>
      </c>
      <c r="V181" s="103">
        <f t="shared" si="19"/>
        <v>236.73</v>
      </c>
      <c r="W181" s="92">
        <v>240.67</v>
      </c>
      <c r="X181" s="92">
        <f t="shared" si="16"/>
        <v>19700</v>
      </c>
      <c r="Y181" s="92">
        <f t="shared" si="20"/>
        <v>2.96</v>
      </c>
      <c r="Z181" s="92">
        <v>2.97</v>
      </c>
      <c r="AA181" s="92">
        <f t="shared" si="18"/>
        <v>50.0000000000012</v>
      </c>
      <c r="AB181" s="97">
        <f t="shared" si="17"/>
        <v>19650</v>
      </c>
      <c r="AC181" s="96"/>
      <c r="AD181" s="92">
        <v>4.82</v>
      </c>
      <c r="AE181" s="92">
        <v>32.98</v>
      </c>
      <c r="AF181" s="92"/>
      <c r="AG181" s="92"/>
      <c r="AH181" s="92"/>
      <c r="AI181" s="92"/>
      <c r="AJ181" s="97" t="s">
        <v>85</v>
      </c>
    </row>
    <row r="182" spans="1:36">
      <c r="A182" s="84">
        <f t="shared" si="14"/>
        <v>184</v>
      </c>
      <c r="B182" s="91">
        <v>45927</v>
      </c>
      <c r="C182" s="48">
        <v>45927</v>
      </c>
      <c r="D182" s="104">
        <v>0.291666666666667</v>
      </c>
      <c r="E182" s="105">
        <v>0.75</v>
      </c>
      <c r="F182" s="100">
        <v>1385.47</v>
      </c>
      <c r="G182" s="92">
        <v>1387.63</v>
      </c>
      <c r="H182" s="92">
        <v>1376.92</v>
      </c>
      <c r="I182" s="92">
        <v>1386.72</v>
      </c>
      <c r="J182" s="136"/>
      <c r="K182" s="92">
        <v>1358.42</v>
      </c>
      <c r="L182" s="92">
        <v>1356.84</v>
      </c>
      <c r="M182" s="93">
        <v>1408.9</v>
      </c>
      <c r="N182" s="93">
        <v>1350.32</v>
      </c>
      <c r="O182" s="137"/>
      <c r="P182" s="93">
        <v>1375.78</v>
      </c>
      <c r="Q182" s="93">
        <v>1373.66</v>
      </c>
      <c r="R182" s="93">
        <v>1381.05</v>
      </c>
      <c r="S182" s="93">
        <v>1381.04</v>
      </c>
      <c r="T182" s="93">
        <v>1387.37</v>
      </c>
      <c r="U182" s="94">
        <f t="shared" si="15"/>
        <v>17910.12</v>
      </c>
      <c r="V182" s="103">
        <f t="shared" si="19"/>
        <v>240.67</v>
      </c>
      <c r="W182" s="92">
        <v>244.76</v>
      </c>
      <c r="X182" s="92">
        <f t="shared" si="16"/>
        <v>20450</v>
      </c>
      <c r="Y182" s="92">
        <f t="shared" si="20"/>
        <v>2.97</v>
      </c>
      <c r="Z182" s="92">
        <v>2.98</v>
      </c>
      <c r="AA182" s="92">
        <f t="shared" si="18"/>
        <v>49.9999999999989</v>
      </c>
      <c r="AB182" s="97">
        <f t="shared" si="17"/>
        <v>20400</v>
      </c>
      <c r="AC182" s="96"/>
      <c r="AD182" s="92">
        <v>4.02</v>
      </c>
      <c r="AE182" s="92">
        <v>32.09</v>
      </c>
      <c r="AF182" s="92"/>
      <c r="AG182" s="92"/>
      <c r="AH182" s="92"/>
      <c r="AI182" s="92"/>
      <c r="AJ182" s="97" t="s">
        <v>85</v>
      </c>
    </row>
    <row r="183" spans="1:36">
      <c r="A183" s="84">
        <f t="shared" si="14"/>
        <v>185</v>
      </c>
      <c r="B183" s="91">
        <v>45928</v>
      </c>
      <c r="C183" s="48">
        <v>45928</v>
      </c>
      <c r="D183" s="104">
        <v>0.291666666666667</v>
      </c>
      <c r="E183" s="105">
        <v>0.760416666666667</v>
      </c>
      <c r="F183" s="100">
        <v>449.34</v>
      </c>
      <c r="G183" s="92">
        <v>454.48</v>
      </c>
      <c r="H183" s="92">
        <v>448.84</v>
      </c>
      <c r="I183" s="92">
        <v>449.66</v>
      </c>
      <c r="J183" s="136"/>
      <c r="K183" s="92">
        <v>449.61</v>
      </c>
      <c r="L183" s="92">
        <v>445.91</v>
      </c>
      <c r="M183" s="93">
        <v>468.1</v>
      </c>
      <c r="N183" s="93">
        <v>453.91</v>
      </c>
      <c r="O183" s="93">
        <v>455.34</v>
      </c>
      <c r="P183" s="93">
        <v>455.45</v>
      </c>
      <c r="Q183" s="93">
        <v>459.59</v>
      </c>
      <c r="R183" s="93">
        <v>455.61</v>
      </c>
      <c r="S183" s="93">
        <v>459.45</v>
      </c>
      <c r="T183" s="93">
        <v>455.79</v>
      </c>
      <c r="U183" s="94">
        <f t="shared" si="15"/>
        <v>6361.08</v>
      </c>
      <c r="V183" s="103">
        <f t="shared" si="19"/>
        <v>244.76</v>
      </c>
      <c r="W183" s="92">
        <v>246.13</v>
      </c>
      <c r="X183" s="92">
        <f t="shared" si="16"/>
        <v>6850.00000000002</v>
      </c>
      <c r="Y183" s="92">
        <f t="shared" si="20"/>
        <v>2.98</v>
      </c>
      <c r="Z183" s="92">
        <v>2.99</v>
      </c>
      <c r="AA183" s="92">
        <f t="shared" si="18"/>
        <v>50.0000000000012</v>
      </c>
      <c r="AB183" s="97">
        <f t="shared" si="17"/>
        <v>6800.00000000002</v>
      </c>
      <c r="AC183" s="96"/>
      <c r="AD183" s="92">
        <v>1.73</v>
      </c>
      <c r="AE183" s="92">
        <v>28.04</v>
      </c>
      <c r="AF183" s="92"/>
      <c r="AG183" s="92"/>
      <c r="AH183" s="92"/>
      <c r="AI183" s="92"/>
      <c r="AJ183" s="97" t="s">
        <v>78</v>
      </c>
    </row>
    <row r="184" spans="1:36">
      <c r="A184" s="84">
        <f t="shared" si="14"/>
        <v>186</v>
      </c>
      <c r="B184" s="91">
        <v>45929</v>
      </c>
      <c r="C184" s="48">
        <v>45929</v>
      </c>
      <c r="D184" s="104">
        <v>0.372916666666667</v>
      </c>
      <c r="E184" s="105">
        <v>0.770833333333333</v>
      </c>
      <c r="F184" s="100">
        <v>432.46</v>
      </c>
      <c r="G184" s="92">
        <v>433.6</v>
      </c>
      <c r="H184" s="92">
        <v>431.72</v>
      </c>
      <c r="I184" s="92">
        <v>429.45</v>
      </c>
      <c r="J184" s="136"/>
      <c r="K184" s="92">
        <v>428.54</v>
      </c>
      <c r="L184" s="92">
        <v>424.8</v>
      </c>
      <c r="M184" s="93">
        <v>435.78</v>
      </c>
      <c r="N184" s="93">
        <v>440.53</v>
      </c>
      <c r="O184" s="93">
        <v>441.27</v>
      </c>
      <c r="P184" s="93">
        <v>442</v>
      </c>
      <c r="Q184" s="93">
        <v>435.65</v>
      </c>
      <c r="R184" s="93">
        <v>439.8</v>
      </c>
      <c r="S184" s="93">
        <v>439.37</v>
      </c>
      <c r="T184" s="93">
        <v>438.46</v>
      </c>
      <c r="U184" s="94">
        <f t="shared" si="15"/>
        <v>6093.43</v>
      </c>
      <c r="V184" s="103">
        <f t="shared" si="19"/>
        <v>246.13</v>
      </c>
      <c r="W184" s="92">
        <v>247.42</v>
      </c>
      <c r="X184" s="92">
        <f t="shared" si="16"/>
        <v>6449.99999999996</v>
      </c>
      <c r="Y184" s="92">
        <f t="shared" si="20"/>
        <v>2.99</v>
      </c>
      <c r="Z184" s="92">
        <v>3</v>
      </c>
      <c r="AA184" s="92">
        <f t="shared" si="18"/>
        <v>49.9999999999989</v>
      </c>
      <c r="AB184" s="97">
        <f t="shared" si="17"/>
        <v>6399.99999999996</v>
      </c>
      <c r="AC184" s="96"/>
      <c r="AD184" s="92">
        <v>1.43</v>
      </c>
      <c r="AE184" s="92">
        <v>26.65</v>
      </c>
      <c r="AF184" s="92"/>
      <c r="AG184" s="92"/>
      <c r="AH184" s="92"/>
      <c r="AI184" s="92"/>
      <c r="AJ184" s="97" t="s">
        <v>79</v>
      </c>
    </row>
    <row r="185" spans="1:36">
      <c r="A185" s="84">
        <f t="shared" si="14"/>
        <v>187</v>
      </c>
      <c r="B185" s="91">
        <v>45930</v>
      </c>
      <c r="C185" s="48">
        <v>45930</v>
      </c>
      <c r="D185" s="104">
        <v>0.291666666666667</v>
      </c>
      <c r="E185" s="105">
        <v>0.770833333333333</v>
      </c>
      <c r="F185" s="100">
        <v>561.78</v>
      </c>
      <c r="G185" s="92">
        <v>565.97</v>
      </c>
      <c r="H185" s="92">
        <v>563.32</v>
      </c>
      <c r="I185" s="92">
        <v>561.41</v>
      </c>
      <c r="J185" s="136"/>
      <c r="K185" s="92">
        <v>561.82</v>
      </c>
      <c r="L185" s="92">
        <v>557.78</v>
      </c>
      <c r="M185" s="93">
        <v>582.15</v>
      </c>
      <c r="N185" s="93">
        <v>562.06</v>
      </c>
      <c r="O185" s="137"/>
      <c r="P185" s="93">
        <v>561.79</v>
      </c>
      <c r="Q185" s="93">
        <v>563.03</v>
      </c>
      <c r="R185" s="93">
        <v>564.66</v>
      </c>
      <c r="S185" s="93">
        <v>561.18</v>
      </c>
      <c r="T185" s="93">
        <v>565.7</v>
      </c>
      <c r="U185" s="94">
        <f t="shared" si="15"/>
        <v>7332.65</v>
      </c>
      <c r="V185" s="103">
        <f t="shared" si="19"/>
        <v>247.42</v>
      </c>
      <c r="W185" s="92">
        <v>249.09</v>
      </c>
      <c r="X185" s="92">
        <f t="shared" si="16"/>
        <v>8350.00000000008</v>
      </c>
      <c r="Y185" s="92">
        <f t="shared" si="20"/>
        <v>3</v>
      </c>
      <c r="Z185" s="92">
        <v>3.01</v>
      </c>
      <c r="AA185" s="92">
        <f t="shared" si="18"/>
        <v>49.9999999999989</v>
      </c>
      <c r="AB185" s="97">
        <f t="shared" si="17"/>
        <v>8300.00000000008</v>
      </c>
      <c r="AC185" s="96"/>
      <c r="AD185" s="92">
        <v>1.27</v>
      </c>
      <c r="AE185" s="92">
        <v>24.44</v>
      </c>
      <c r="AF185" s="92"/>
      <c r="AG185" s="92"/>
      <c r="AH185" s="92"/>
      <c r="AI185" s="92"/>
      <c r="AJ185" s="97" t="s">
        <v>79</v>
      </c>
    </row>
    <row r="186" spans="1:36">
      <c r="A186" s="84">
        <f t="shared" si="14"/>
        <v>188</v>
      </c>
      <c r="B186" s="91">
        <v>45931</v>
      </c>
      <c r="C186" s="48">
        <v>45931</v>
      </c>
      <c r="D186" s="104">
        <v>0.28125</v>
      </c>
      <c r="E186" s="105">
        <v>0.78125</v>
      </c>
      <c r="F186" s="100">
        <v>588.44</v>
      </c>
      <c r="G186" s="92">
        <v>595.55</v>
      </c>
      <c r="H186" s="92">
        <v>591.32</v>
      </c>
      <c r="I186" s="92">
        <v>580.78</v>
      </c>
      <c r="J186" s="136"/>
      <c r="K186" s="92">
        <v>560.5</v>
      </c>
      <c r="L186" s="92">
        <v>547.33</v>
      </c>
      <c r="M186" s="93">
        <v>554.19</v>
      </c>
      <c r="N186" s="93">
        <v>531.98</v>
      </c>
      <c r="O186" s="137"/>
      <c r="P186" s="93">
        <v>576.17</v>
      </c>
      <c r="Q186" s="93">
        <v>598.81</v>
      </c>
      <c r="R186" s="93">
        <v>574.68</v>
      </c>
      <c r="S186" s="93">
        <v>595.02</v>
      </c>
      <c r="T186" s="93">
        <v>574.18</v>
      </c>
      <c r="U186" s="94">
        <f t="shared" si="15"/>
        <v>7468.95</v>
      </c>
      <c r="V186" s="103">
        <f t="shared" si="19"/>
        <v>249.09</v>
      </c>
      <c r="W186" s="92">
        <v>250.8</v>
      </c>
      <c r="X186" s="92">
        <f t="shared" si="16"/>
        <v>8550.00000000004</v>
      </c>
      <c r="Y186" s="92">
        <f t="shared" si="20"/>
        <v>3.01</v>
      </c>
      <c r="Z186" s="92">
        <v>3.02</v>
      </c>
      <c r="AA186" s="92">
        <f t="shared" si="18"/>
        <v>50.0000000000012</v>
      </c>
      <c r="AB186" s="97">
        <f t="shared" si="17"/>
        <v>8500.00000000004</v>
      </c>
      <c r="AC186" s="96"/>
      <c r="AD186" s="92">
        <v>1.61</v>
      </c>
      <c r="AE186" s="92">
        <v>25.44</v>
      </c>
      <c r="AF186" s="92"/>
      <c r="AG186" s="92"/>
      <c r="AH186" s="92"/>
      <c r="AI186" s="92"/>
      <c r="AJ186" s="97" t="s">
        <v>79</v>
      </c>
    </row>
    <row r="187" spans="1:36">
      <c r="A187" s="84">
        <f t="shared" si="14"/>
        <v>189</v>
      </c>
      <c r="B187" s="91">
        <v>45932</v>
      </c>
      <c r="C187" s="48">
        <v>45932</v>
      </c>
      <c r="D187" s="104" t="s">
        <v>86</v>
      </c>
      <c r="E187" s="105"/>
      <c r="F187" s="100">
        <v>542.23</v>
      </c>
      <c r="G187" s="92">
        <v>542.13</v>
      </c>
      <c r="H187" s="92">
        <v>536.83</v>
      </c>
      <c r="I187" s="92">
        <v>536.7</v>
      </c>
      <c r="J187" s="136"/>
      <c r="K187" s="92">
        <v>535.09</v>
      </c>
      <c r="L187" s="92">
        <v>533.36</v>
      </c>
      <c r="M187" s="93">
        <v>552.29</v>
      </c>
      <c r="N187" s="93">
        <v>535.94</v>
      </c>
      <c r="O187" s="93"/>
      <c r="P187" s="93">
        <v>536.94</v>
      </c>
      <c r="Q187" s="93">
        <v>538.96</v>
      </c>
      <c r="R187" s="93">
        <v>540.32</v>
      </c>
      <c r="S187" s="93">
        <v>540.15</v>
      </c>
      <c r="T187" s="93">
        <v>539.79</v>
      </c>
      <c r="U187" s="94">
        <f t="shared" si="15"/>
        <v>7010.73</v>
      </c>
      <c r="V187" s="103">
        <f t="shared" si="19"/>
        <v>250.8</v>
      </c>
      <c r="W187" s="92">
        <v>252.4</v>
      </c>
      <c r="X187" s="92">
        <f t="shared" si="16"/>
        <v>7999.99999999997</v>
      </c>
      <c r="Y187" s="92">
        <f t="shared" si="20"/>
        <v>3.02</v>
      </c>
      <c r="Z187" s="92">
        <v>3.03</v>
      </c>
      <c r="AA187" s="92">
        <f t="shared" si="18"/>
        <v>49.9999999999989</v>
      </c>
      <c r="AB187" s="97">
        <f t="shared" si="17"/>
        <v>7949.99999999997</v>
      </c>
      <c r="AC187" s="96"/>
      <c r="AD187" s="92"/>
      <c r="AE187" s="92"/>
      <c r="AF187" s="92"/>
      <c r="AG187" s="92"/>
      <c r="AH187" s="92"/>
      <c r="AI187" s="92"/>
      <c r="AJ187" s="97"/>
    </row>
    <row r="188" spans="1:36">
      <c r="A188" s="84">
        <f t="shared" si="14"/>
        <v>190</v>
      </c>
      <c r="B188" s="91">
        <v>45933</v>
      </c>
      <c r="C188" s="48">
        <v>45933</v>
      </c>
      <c r="D188" s="104">
        <v>0.416666666666667</v>
      </c>
      <c r="E188" s="105">
        <v>0.78125</v>
      </c>
      <c r="F188" s="100">
        <v>1325.21</v>
      </c>
      <c r="G188" s="92">
        <v>1253.37</v>
      </c>
      <c r="H188" s="92">
        <v>1291.75</v>
      </c>
      <c r="I188" s="92">
        <v>1255.35</v>
      </c>
      <c r="J188" s="136"/>
      <c r="K188" s="92">
        <v>1261.85</v>
      </c>
      <c r="L188" s="92">
        <v>1224.94</v>
      </c>
      <c r="M188" s="93">
        <v>1245.29</v>
      </c>
      <c r="N188" s="93">
        <v>1000.83</v>
      </c>
      <c r="O188" s="93"/>
      <c r="P188" s="93">
        <v>1109.26</v>
      </c>
      <c r="Q188" s="93">
        <v>1132.15</v>
      </c>
      <c r="R188" s="93">
        <v>1170.27</v>
      </c>
      <c r="S188" s="93">
        <v>1163.24</v>
      </c>
      <c r="T188" s="93">
        <v>1172.94</v>
      </c>
      <c r="U188" s="94">
        <f t="shared" si="15"/>
        <v>15606.45</v>
      </c>
      <c r="V188" s="103">
        <f t="shared" si="19"/>
        <v>252.4</v>
      </c>
      <c r="W188" s="92">
        <v>255.94</v>
      </c>
      <c r="X188" s="92">
        <f t="shared" si="16"/>
        <v>17700</v>
      </c>
      <c r="Y188" s="92">
        <f t="shared" si="20"/>
        <v>3.03</v>
      </c>
      <c r="Z188" s="92">
        <v>3.04</v>
      </c>
      <c r="AA188" s="92">
        <f t="shared" si="18"/>
        <v>50.0000000000012</v>
      </c>
      <c r="AB188" s="97">
        <f t="shared" si="17"/>
        <v>17650</v>
      </c>
      <c r="AC188" s="96"/>
      <c r="AD188" s="92">
        <v>4.2</v>
      </c>
      <c r="AE188" s="92">
        <v>31.51</v>
      </c>
      <c r="AF188" s="92"/>
      <c r="AG188" s="92"/>
      <c r="AH188" s="92"/>
      <c r="AI188" s="92"/>
      <c r="AJ188" s="97" t="s">
        <v>87</v>
      </c>
    </row>
    <row r="189" spans="1:36">
      <c r="A189" s="84">
        <f t="shared" si="14"/>
        <v>191</v>
      </c>
      <c r="B189" s="91">
        <v>45934</v>
      </c>
      <c r="C189" s="48">
        <v>45934</v>
      </c>
      <c r="D189" s="104">
        <v>0.286111111111111</v>
      </c>
      <c r="E189" s="105">
        <v>0.78125</v>
      </c>
      <c r="F189" s="100">
        <v>1386.94</v>
      </c>
      <c r="G189" s="92">
        <v>1379.71</v>
      </c>
      <c r="H189" s="92">
        <v>1373.11</v>
      </c>
      <c r="I189" s="92">
        <v>1388.6</v>
      </c>
      <c r="J189" s="92">
        <v>1239.19</v>
      </c>
      <c r="K189" s="92">
        <v>1365.64</v>
      </c>
      <c r="L189" s="92">
        <v>1359.36</v>
      </c>
      <c r="M189" s="93">
        <v>1425.2</v>
      </c>
      <c r="N189" s="93">
        <v>1338.51</v>
      </c>
      <c r="O189" s="93"/>
      <c r="P189" s="93">
        <v>1363.61</v>
      </c>
      <c r="Q189" s="93">
        <v>1363.55</v>
      </c>
      <c r="R189" s="93">
        <v>1370.82</v>
      </c>
      <c r="S189" s="93">
        <v>1362.28</v>
      </c>
      <c r="T189" s="93">
        <v>1374.65</v>
      </c>
      <c r="U189" s="94">
        <f t="shared" si="15"/>
        <v>19091.17</v>
      </c>
      <c r="V189" s="103">
        <f t="shared" si="19"/>
        <v>255.94</v>
      </c>
      <c r="W189" s="92">
        <v>259.97</v>
      </c>
      <c r="X189" s="92">
        <f t="shared" si="16"/>
        <v>20150.0000000001</v>
      </c>
      <c r="Y189" s="92">
        <f t="shared" si="20"/>
        <v>3.04</v>
      </c>
      <c r="Z189" s="92">
        <v>3.05</v>
      </c>
      <c r="AA189" s="92">
        <f t="shared" si="18"/>
        <v>49.9999999999989</v>
      </c>
      <c r="AB189" s="97">
        <f t="shared" si="17"/>
        <v>20100.0000000001</v>
      </c>
      <c r="AC189" s="96"/>
      <c r="AD189" s="92">
        <v>4.19</v>
      </c>
      <c r="AE189" s="92">
        <v>30.18</v>
      </c>
      <c r="AF189" s="92"/>
      <c r="AG189" s="92"/>
      <c r="AH189" s="92"/>
      <c r="AI189" s="92"/>
      <c r="AJ189" s="97" t="s">
        <v>87</v>
      </c>
    </row>
    <row r="190" spans="1:36">
      <c r="A190" s="84">
        <f t="shared" si="14"/>
        <v>192</v>
      </c>
      <c r="B190" s="91">
        <v>45935</v>
      </c>
      <c r="C190" s="48">
        <v>45935</v>
      </c>
      <c r="D190" s="104">
        <v>0.28125</v>
      </c>
      <c r="E190" s="105">
        <v>0.78125</v>
      </c>
      <c r="F190" s="100">
        <v>1309.78</v>
      </c>
      <c r="G190" s="92">
        <v>1309.74</v>
      </c>
      <c r="H190" s="92">
        <v>1288.99</v>
      </c>
      <c r="I190" s="92">
        <v>1308.57</v>
      </c>
      <c r="J190" s="92">
        <v>1299.52</v>
      </c>
      <c r="K190" s="92">
        <v>1289.24</v>
      </c>
      <c r="L190" s="92">
        <v>1306.95</v>
      </c>
      <c r="M190" s="93">
        <v>1355.07</v>
      </c>
      <c r="N190" s="93">
        <v>1299.41</v>
      </c>
      <c r="O190" s="93"/>
      <c r="P190" s="93">
        <v>1298.18</v>
      </c>
      <c r="Q190" s="93">
        <v>1294.15</v>
      </c>
      <c r="R190" s="93">
        <v>1299.48</v>
      </c>
      <c r="S190" s="93">
        <v>1290.45</v>
      </c>
      <c r="T190" s="93">
        <v>1295.45</v>
      </c>
      <c r="U190" s="94">
        <f t="shared" si="15"/>
        <v>18244.98</v>
      </c>
      <c r="V190" s="103">
        <f t="shared" si="19"/>
        <v>259.97</v>
      </c>
      <c r="W190" s="92">
        <v>263.85</v>
      </c>
      <c r="X190" s="92">
        <f t="shared" si="16"/>
        <v>19400</v>
      </c>
      <c r="Y190" s="92">
        <f t="shared" si="20"/>
        <v>3.05</v>
      </c>
      <c r="Z190" s="92">
        <v>3.06</v>
      </c>
      <c r="AA190" s="92">
        <f t="shared" si="18"/>
        <v>50.0000000000012</v>
      </c>
      <c r="AB190" s="97">
        <f t="shared" si="17"/>
        <v>19350</v>
      </c>
      <c r="AC190" s="96"/>
      <c r="AD190" s="92">
        <v>4.68</v>
      </c>
      <c r="AE190" s="92">
        <v>28.59</v>
      </c>
      <c r="AF190" s="92"/>
      <c r="AG190" s="92"/>
      <c r="AH190" s="92"/>
      <c r="AI190" s="92"/>
      <c r="AJ190" s="97" t="s">
        <v>87</v>
      </c>
    </row>
    <row r="191" spans="1:36">
      <c r="A191" s="84">
        <f t="shared" si="14"/>
        <v>193</v>
      </c>
      <c r="B191" s="91">
        <v>45936</v>
      </c>
      <c r="C191" s="48">
        <v>45936</v>
      </c>
      <c r="D191" s="104">
        <v>0.28125</v>
      </c>
      <c r="E191" s="105">
        <v>0.78125</v>
      </c>
      <c r="F191" s="100">
        <v>1632.42</v>
      </c>
      <c r="G191" s="92">
        <v>1632</v>
      </c>
      <c r="H191" s="92">
        <v>1608.72</v>
      </c>
      <c r="I191" s="92">
        <v>1575.69</v>
      </c>
      <c r="J191" s="92">
        <v>1588.11</v>
      </c>
      <c r="K191" s="92">
        <v>1248.78</v>
      </c>
      <c r="L191" s="92">
        <v>1557.63</v>
      </c>
      <c r="M191" s="93">
        <v>1610.05</v>
      </c>
      <c r="N191" s="93">
        <v>1488.94</v>
      </c>
      <c r="O191" s="93"/>
      <c r="P191" s="93">
        <v>1591.93</v>
      </c>
      <c r="Q191" s="93">
        <v>1619.77</v>
      </c>
      <c r="R191" s="93">
        <v>1618.91</v>
      </c>
      <c r="S191" s="93"/>
      <c r="T191" s="93">
        <v>1614.47</v>
      </c>
      <c r="U191" s="94">
        <f t="shared" si="15"/>
        <v>20387.42</v>
      </c>
      <c r="V191" s="103">
        <f t="shared" si="19"/>
        <v>263.85</v>
      </c>
      <c r="W191" s="92">
        <v>268.56</v>
      </c>
      <c r="X191" s="92">
        <f t="shared" si="16"/>
        <v>23549.9999999999</v>
      </c>
      <c r="Y191" s="92">
        <f t="shared" si="20"/>
        <v>3.06</v>
      </c>
      <c r="Z191" s="92">
        <v>3.07</v>
      </c>
      <c r="AA191" s="92">
        <f t="shared" si="18"/>
        <v>49.9999999999989</v>
      </c>
      <c r="AB191" s="97">
        <f t="shared" si="17"/>
        <v>23499.9999999999</v>
      </c>
      <c r="AC191" s="96"/>
      <c r="AD191" s="92">
        <v>4.79</v>
      </c>
      <c r="AE191" s="92">
        <v>28.95</v>
      </c>
      <c r="AF191" s="92"/>
      <c r="AG191" s="92"/>
      <c r="AH191" s="92"/>
      <c r="AI191" s="92"/>
      <c r="AJ191" s="97" t="s">
        <v>87</v>
      </c>
    </row>
    <row r="192" spans="1:36">
      <c r="A192" s="84">
        <f t="shared" si="14"/>
        <v>194</v>
      </c>
      <c r="B192" s="91">
        <v>45937</v>
      </c>
      <c r="C192" s="48">
        <v>45937</v>
      </c>
      <c r="D192" s="104">
        <v>0.28125</v>
      </c>
      <c r="E192" s="105">
        <v>0.78125</v>
      </c>
      <c r="F192" s="100">
        <v>1657.27</v>
      </c>
      <c r="G192" s="92">
        <v>1660.5</v>
      </c>
      <c r="H192" s="92">
        <v>1636.14</v>
      </c>
      <c r="I192" s="92">
        <v>1654.84</v>
      </c>
      <c r="J192" s="92">
        <v>1649.03</v>
      </c>
      <c r="K192" s="92">
        <v>1610.57</v>
      </c>
      <c r="L192" s="92">
        <v>1616.1</v>
      </c>
      <c r="M192" s="93">
        <v>1690.19</v>
      </c>
      <c r="N192" s="93">
        <v>1622.87</v>
      </c>
      <c r="O192" s="93"/>
      <c r="P192" s="93">
        <v>1642.03</v>
      </c>
      <c r="Q192" s="93">
        <v>1635.55</v>
      </c>
      <c r="R192" s="93">
        <v>1638.43</v>
      </c>
      <c r="S192" s="93"/>
      <c r="T192" s="93">
        <v>1656.15</v>
      </c>
      <c r="U192" s="94">
        <f t="shared" si="15"/>
        <v>21369.67</v>
      </c>
      <c r="V192" s="103">
        <f t="shared" si="19"/>
        <v>268.56</v>
      </c>
      <c r="W192" s="92">
        <v>273.43</v>
      </c>
      <c r="X192" s="92">
        <f t="shared" si="16"/>
        <v>24350</v>
      </c>
      <c r="Y192" s="92">
        <f t="shared" si="20"/>
        <v>3.07</v>
      </c>
      <c r="Z192" s="92">
        <v>3.09</v>
      </c>
      <c r="AA192" s="92">
        <f t="shared" si="18"/>
        <v>100</v>
      </c>
      <c r="AB192" s="97">
        <f t="shared" si="17"/>
        <v>24250</v>
      </c>
      <c r="AC192" s="96"/>
      <c r="AD192" s="92">
        <v>4.87</v>
      </c>
      <c r="AE192" s="92">
        <v>29.89</v>
      </c>
      <c r="AF192" s="92"/>
      <c r="AG192" s="92"/>
      <c r="AH192" s="92"/>
      <c r="AI192" s="92"/>
      <c r="AJ192" s="97" t="s">
        <v>87</v>
      </c>
    </row>
    <row r="193" spans="1:36">
      <c r="A193" s="84">
        <f t="shared" si="14"/>
        <v>195</v>
      </c>
      <c r="B193" s="91">
        <v>45938</v>
      </c>
      <c r="C193" s="48">
        <v>45938</v>
      </c>
      <c r="D193" s="104">
        <v>0.28125</v>
      </c>
      <c r="E193" s="105">
        <v>0.78125</v>
      </c>
      <c r="F193" s="100">
        <v>1776.18</v>
      </c>
      <c r="G193" s="92">
        <v>1769.71</v>
      </c>
      <c r="H193" s="92">
        <v>1772.24</v>
      </c>
      <c r="I193" s="92">
        <v>1784.08</v>
      </c>
      <c r="J193" s="92">
        <v>1761.71</v>
      </c>
      <c r="K193" s="92">
        <v>1767.32</v>
      </c>
      <c r="L193" s="92">
        <v>1763.08</v>
      </c>
      <c r="M193" s="93">
        <v>1834.31</v>
      </c>
      <c r="N193" s="93">
        <v>1744.85</v>
      </c>
      <c r="O193" s="93"/>
      <c r="P193" s="93">
        <v>1749.24</v>
      </c>
      <c r="Q193" s="93">
        <v>1750.5</v>
      </c>
      <c r="R193" s="93">
        <v>1753.75</v>
      </c>
      <c r="S193" s="93"/>
      <c r="T193" s="93">
        <v>1767.55</v>
      </c>
      <c r="U193" s="94">
        <f t="shared" si="15"/>
        <v>22994.52</v>
      </c>
      <c r="V193" s="103">
        <f t="shared" si="19"/>
        <v>273.43</v>
      </c>
      <c r="W193" s="92">
        <v>278.68</v>
      </c>
      <c r="X193" s="92">
        <f t="shared" si="16"/>
        <v>26250</v>
      </c>
      <c r="Y193" s="92">
        <f t="shared" si="20"/>
        <v>3.09</v>
      </c>
      <c r="Z193" s="92">
        <v>3.1</v>
      </c>
      <c r="AA193" s="92">
        <f t="shared" si="18"/>
        <v>50.0000000000012</v>
      </c>
      <c r="AB193" s="97">
        <f t="shared" si="17"/>
        <v>26200</v>
      </c>
      <c r="AC193" s="96"/>
      <c r="AD193" s="92">
        <v>4.72</v>
      </c>
      <c r="AE193" s="92">
        <v>31.68</v>
      </c>
      <c r="AF193" s="92"/>
      <c r="AG193" s="92"/>
      <c r="AH193" s="92"/>
      <c r="AI193" s="92"/>
      <c r="AJ193" s="97" t="s">
        <v>87</v>
      </c>
    </row>
    <row r="194" spans="1:36">
      <c r="A194" s="84">
        <f t="shared" si="14"/>
        <v>196</v>
      </c>
      <c r="B194" s="91">
        <v>45939</v>
      </c>
      <c r="C194" s="48">
        <v>45939</v>
      </c>
      <c r="D194" s="104">
        <v>0.28125</v>
      </c>
      <c r="E194" s="105">
        <v>0.78125</v>
      </c>
      <c r="F194" s="100">
        <v>1641.15</v>
      </c>
      <c r="G194" s="92">
        <v>1635.31</v>
      </c>
      <c r="H194" s="92">
        <v>1640.23</v>
      </c>
      <c r="I194" s="92">
        <v>1650.8</v>
      </c>
      <c r="J194" s="92">
        <v>1628.87</v>
      </c>
      <c r="K194" s="92">
        <v>1634.34</v>
      </c>
      <c r="L194" s="92">
        <v>1624.46</v>
      </c>
      <c r="M194" s="93">
        <v>1690.18</v>
      </c>
      <c r="N194" s="93">
        <v>1636.12</v>
      </c>
      <c r="O194" s="93"/>
      <c r="P194" s="93">
        <v>1645.28</v>
      </c>
      <c r="Q194" s="93">
        <v>1643.82</v>
      </c>
      <c r="R194" s="93">
        <v>1640.55</v>
      </c>
      <c r="S194" s="93"/>
      <c r="T194" s="93">
        <v>1647.14</v>
      </c>
      <c r="U194" s="94">
        <f t="shared" si="15"/>
        <v>21358.25</v>
      </c>
      <c r="V194" s="103">
        <f t="shared" si="19"/>
        <v>278.68</v>
      </c>
      <c r="W194" s="92">
        <v>283.56</v>
      </c>
      <c r="X194" s="92">
        <f t="shared" si="16"/>
        <v>24400</v>
      </c>
      <c r="Y194" s="92">
        <f t="shared" si="20"/>
        <v>3.1</v>
      </c>
      <c r="Z194" s="92">
        <v>3.11</v>
      </c>
      <c r="AA194" s="92">
        <f t="shared" si="18"/>
        <v>49.9999999999989</v>
      </c>
      <c r="AB194" s="97">
        <f t="shared" si="17"/>
        <v>24350</v>
      </c>
      <c r="AC194" s="96"/>
      <c r="AD194" s="92">
        <v>4.96</v>
      </c>
      <c r="AE194" s="92">
        <v>33.05</v>
      </c>
      <c r="AF194" s="92"/>
      <c r="AG194" s="92"/>
      <c r="AH194" s="92"/>
      <c r="AI194" s="92"/>
      <c r="AJ194" s="97" t="s">
        <v>87</v>
      </c>
    </row>
    <row r="195" spans="1:36">
      <c r="A195" s="84">
        <f t="shared" ref="A195:A258" si="22">A194+1</f>
        <v>197</v>
      </c>
      <c r="B195" s="91">
        <v>45940</v>
      </c>
      <c r="C195" s="48">
        <v>45940</v>
      </c>
      <c r="D195" s="104">
        <v>0.28125</v>
      </c>
      <c r="E195" s="105">
        <v>0.78125</v>
      </c>
      <c r="F195" s="100">
        <v>1737.56</v>
      </c>
      <c r="G195" s="92">
        <v>1770.39</v>
      </c>
      <c r="H195" s="92">
        <v>1760.42</v>
      </c>
      <c r="I195" s="92">
        <v>1749.4</v>
      </c>
      <c r="J195" s="92">
        <v>1726</v>
      </c>
      <c r="K195" s="92">
        <v>1750.99</v>
      </c>
      <c r="L195" s="92">
        <v>1752.33</v>
      </c>
      <c r="M195" s="93">
        <v>1765.27</v>
      </c>
      <c r="N195" s="93">
        <v>1707.96</v>
      </c>
      <c r="O195" s="93"/>
      <c r="P195" s="93">
        <v>1734.15</v>
      </c>
      <c r="Q195" s="93">
        <v>1731.2</v>
      </c>
      <c r="R195" s="93">
        <v>1736.35</v>
      </c>
      <c r="S195" s="93"/>
      <c r="T195" s="93">
        <v>1742.41</v>
      </c>
      <c r="U195" s="94">
        <f t="shared" ref="U195:U258" si="23">SUM(F195:T195)</f>
        <v>22664.43</v>
      </c>
      <c r="V195" s="103">
        <f t="shared" si="19"/>
        <v>283.56</v>
      </c>
      <c r="W195" s="92">
        <v>288.69</v>
      </c>
      <c r="X195" s="92">
        <f t="shared" ref="X195:X258" si="24">MAX((W195-V195)*5000,0)</f>
        <v>25650</v>
      </c>
      <c r="Y195" s="92">
        <f t="shared" si="20"/>
        <v>3.11</v>
      </c>
      <c r="Z195" s="92">
        <v>3.12</v>
      </c>
      <c r="AA195" s="92">
        <f t="shared" si="18"/>
        <v>50.0000000000012</v>
      </c>
      <c r="AB195" s="97">
        <f t="shared" ref="AB195:AB258" si="25">X195-AA195</f>
        <v>25600</v>
      </c>
      <c r="AC195" s="96"/>
      <c r="AD195" s="92">
        <v>3.9</v>
      </c>
      <c r="AE195" s="92">
        <v>33.03</v>
      </c>
      <c r="AF195" s="92"/>
      <c r="AG195" s="92"/>
      <c r="AH195" s="92"/>
      <c r="AI195" s="92"/>
      <c r="AJ195" s="97" t="s">
        <v>87</v>
      </c>
    </row>
    <row r="196" spans="1:36">
      <c r="A196" s="84">
        <f t="shared" si="22"/>
        <v>198</v>
      </c>
      <c r="B196" s="91">
        <v>45941</v>
      </c>
      <c r="C196" s="48">
        <v>45941</v>
      </c>
      <c r="D196" s="104">
        <v>0.291666666666667</v>
      </c>
      <c r="E196" s="105">
        <v>0.78125</v>
      </c>
      <c r="F196" s="100">
        <v>1707.54</v>
      </c>
      <c r="G196" s="92">
        <v>1704.14</v>
      </c>
      <c r="H196" s="92">
        <v>1712.54</v>
      </c>
      <c r="I196" s="92">
        <v>1710.66</v>
      </c>
      <c r="J196" s="92">
        <v>1707.19</v>
      </c>
      <c r="K196" s="92">
        <v>1708.1</v>
      </c>
      <c r="L196" s="92">
        <v>1701.04</v>
      </c>
      <c r="M196" s="93">
        <v>1697.33</v>
      </c>
      <c r="N196" s="93">
        <v>1705.09</v>
      </c>
      <c r="O196" s="93"/>
      <c r="P196" s="93">
        <v>1708.35</v>
      </c>
      <c r="Q196" s="93">
        <v>1716.8</v>
      </c>
      <c r="R196" s="93">
        <v>1712.45</v>
      </c>
      <c r="S196" s="93"/>
      <c r="T196" s="93">
        <v>1714.84</v>
      </c>
      <c r="U196" s="94">
        <f t="shared" si="23"/>
        <v>22206.07</v>
      </c>
      <c r="V196" s="103">
        <f t="shared" si="19"/>
        <v>288.69</v>
      </c>
      <c r="W196" s="92">
        <v>293.73</v>
      </c>
      <c r="X196" s="92">
        <f t="shared" si="24"/>
        <v>25200.0000000001</v>
      </c>
      <c r="Y196" s="92">
        <f t="shared" si="20"/>
        <v>3.12</v>
      </c>
      <c r="Z196" s="92">
        <v>3.13</v>
      </c>
      <c r="AA196" s="92">
        <f t="shared" ref="AA196:AA259" si="26">MAX((Z196-Y196)*5000,0)</f>
        <v>49.9999999999989</v>
      </c>
      <c r="AB196" s="97">
        <f t="shared" si="25"/>
        <v>25150.0000000001</v>
      </c>
      <c r="AC196" s="96"/>
      <c r="AD196" s="92">
        <v>3.48</v>
      </c>
      <c r="AE196" s="92">
        <v>33.08</v>
      </c>
      <c r="AF196" s="92"/>
      <c r="AG196" s="92"/>
      <c r="AH196" s="92"/>
      <c r="AI196" s="92"/>
      <c r="AJ196" s="97" t="s">
        <v>87</v>
      </c>
    </row>
    <row r="197" spans="1:36">
      <c r="A197" s="84">
        <f t="shared" si="22"/>
        <v>199</v>
      </c>
      <c r="B197" s="91">
        <v>45942</v>
      </c>
      <c r="C197" s="48">
        <v>45942</v>
      </c>
      <c r="D197" s="104">
        <v>0.28125</v>
      </c>
      <c r="E197" s="105">
        <v>0.78125</v>
      </c>
      <c r="F197" s="100">
        <v>1790.05</v>
      </c>
      <c r="G197" s="92">
        <v>1789.98</v>
      </c>
      <c r="H197" s="92">
        <v>1776.06</v>
      </c>
      <c r="I197" s="92">
        <v>1787.95</v>
      </c>
      <c r="J197" s="92">
        <v>1780.81</v>
      </c>
      <c r="K197" s="92">
        <v>1767.75</v>
      </c>
      <c r="L197" s="92">
        <v>1785.18</v>
      </c>
      <c r="M197" s="93">
        <v>1838.84</v>
      </c>
      <c r="N197" s="93">
        <v>1790.02</v>
      </c>
      <c r="O197" s="93"/>
      <c r="P197" s="93">
        <v>1786.84</v>
      </c>
      <c r="Q197" s="93">
        <v>1786.54</v>
      </c>
      <c r="R197" s="93">
        <v>1793.1</v>
      </c>
      <c r="S197" s="93"/>
      <c r="T197" s="93">
        <v>1797.75</v>
      </c>
      <c r="U197" s="94">
        <f t="shared" si="23"/>
        <v>23270.87</v>
      </c>
      <c r="V197" s="103">
        <f t="shared" si="19"/>
        <v>293.73</v>
      </c>
      <c r="W197" s="92">
        <v>299.05</v>
      </c>
      <c r="X197" s="92">
        <f t="shared" si="24"/>
        <v>26600</v>
      </c>
      <c r="Y197" s="92">
        <f t="shared" si="20"/>
        <v>3.13</v>
      </c>
      <c r="Z197" s="92">
        <v>3.15</v>
      </c>
      <c r="AA197" s="92">
        <f t="shared" si="26"/>
        <v>100</v>
      </c>
      <c r="AB197" s="97">
        <f t="shared" si="25"/>
        <v>26500</v>
      </c>
      <c r="AC197" s="96"/>
      <c r="AD197" s="92">
        <v>3.55</v>
      </c>
      <c r="AE197" s="92">
        <v>32.11</v>
      </c>
      <c r="AF197" s="92"/>
      <c r="AG197" s="92"/>
      <c r="AH197" s="92"/>
      <c r="AI197" s="92"/>
      <c r="AJ197" s="97" t="s">
        <v>87</v>
      </c>
    </row>
    <row r="198" spans="1:36">
      <c r="A198" s="84">
        <f t="shared" si="22"/>
        <v>200</v>
      </c>
      <c r="B198" s="91">
        <v>45943</v>
      </c>
      <c r="C198" s="48">
        <v>45943</v>
      </c>
      <c r="D198" s="104">
        <v>0.28125</v>
      </c>
      <c r="E198" s="105">
        <v>0.760416666666667</v>
      </c>
      <c r="F198" s="100">
        <v>1777.83</v>
      </c>
      <c r="G198" s="92">
        <v>1771.38</v>
      </c>
      <c r="H198" s="92">
        <v>1766.44</v>
      </c>
      <c r="I198" s="92">
        <v>1775.46</v>
      </c>
      <c r="J198" s="92">
        <v>1766.55</v>
      </c>
      <c r="K198" s="92">
        <v>1754.33</v>
      </c>
      <c r="L198" s="92">
        <v>1725.35</v>
      </c>
      <c r="M198" s="93">
        <v>1799.3</v>
      </c>
      <c r="N198" s="93">
        <v>1777.12</v>
      </c>
      <c r="O198" s="93"/>
      <c r="P198" s="93">
        <v>1776.29</v>
      </c>
      <c r="Q198" s="93">
        <v>1775.42</v>
      </c>
      <c r="R198" s="93">
        <v>1781.85</v>
      </c>
      <c r="S198" s="93"/>
      <c r="T198" s="93">
        <v>1783.17</v>
      </c>
      <c r="U198" s="94">
        <f t="shared" si="23"/>
        <v>23030.49</v>
      </c>
      <c r="V198" s="103">
        <f t="shared" si="19"/>
        <v>299.05</v>
      </c>
      <c r="W198" s="92">
        <v>304.29</v>
      </c>
      <c r="X198" s="92">
        <f t="shared" si="24"/>
        <v>26200</v>
      </c>
      <c r="Y198" s="92">
        <f t="shared" si="20"/>
        <v>3.15</v>
      </c>
      <c r="Z198" s="92">
        <v>3.16</v>
      </c>
      <c r="AA198" s="92">
        <f t="shared" si="26"/>
        <v>50.0000000000012</v>
      </c>
      <c r="AB198" s="97">
        <f t="shared" si="25"/>
        <v>26150</v>
      </c>
      <c r="AC198" s="96"/>
      <c r="AD198" s="92">
        <v>3.55</v>
      </c>
      <c r="AE198" s="92">
        <v>32.61</v>
      </c>
      <c r="AF198" s="92"/>
      <c r="AG198" s="92"/>
      <c r="AH198" s="92"/>
      <c r="AI198" s="92"/>
      <c r="AJ198" s="97" t="s">
        <v>87</v>
      </c>
    </row>
    <row r="199" spans="1:36">
      <c r="A199" s="84">
        <f t="shared" si="22"/>
        <v>201</v>
      </c>
      <c r="B199" s="91">
        <v>45944</v>
      </c>
      <c r="C199" s="48">
        <v>45944</v>
      </c>
      <c r="D199" s="104">
        <v>0.291666666666667</v>
      </c>
      <c r="E199" s="105">
        <v>0.760416666666667</v>
      </c>
      <c r="F199" s="100">
        <v>1726.75</v>
      </c>
      <c r="G199" s="92">
        <v>1719.45</v>
      </c>
      <c r="H199" s="92">
        <v>1712.78</v>
      </c>
      <c r="I199" s="92">
        <v>1724.68</v>
      </c>
      <c r="J199" s="92">
        <v>1716.53</v>
      </c>
      <c r="K199" s="92">
        <v>1709.54</v>
      </c>
      <c r="L199" s="92">
        <v>1704.29</v>
      </c>
      <c r="M199" s="93">
        <v>1730.83</v>
      </c>
      <c r="N199" s="93">
        <v>1730.45</v>
      </c>
      <c r="O199" s="93"/>
      <c r="P199" s="93">
        <v>1726.38</v>
      </c>
      <c r="Q199" s="93">
        <v>1725.66</v>
      </c>
      <c r="R199" s="93">
        <v>1732.98</v>
      </c>
      <c r="S199" s="93"/>
      <c r="T199" s="93">
        <v>1733.4</v>
      </c>
      <c r="U199" s="94">
        <f t="shared" si="23"/>
        <v>22393.72</v>
      </c>
      <c r="V199" s="103">
        <f t="shared" si="19"/>
        <v>304.29</v>
      </c>
      <c r="W199" s="92">
        <v>309.41</v>
      </c>
      <c r="X199" s="92">
        <f t="shared" si="24"/>
        <v>25600</v>
      </c>
      <c r="Y199" s="92">
        <f t="shared" si="20"/>
        <v>3.16</v>
      </c>
      <c r="Z199" s="92">
        <v>3.17</v>
      </c>
      <c r="AA199" s="92">
        <f t="shared" si="26"/>
        <v>49.9999999999989</v>
      </c>
      <c r="AB199" s="97">
        <f t="shared" si="25"/>
        <v>25550</v>
      </c>
      <c r="AC199" s="96"/>
      <c r="AD199" s="92">
        <v>3.45</v>
      </c>
      <c r="AE199" s="92">
        <v>32.21</v>
      </c>
      <c r="AF199" s="92"/>
      <c r="AG199" s="92"/>
      <c r="AH199" s="92"/>
      <c r="AI199" s="92"/>
      <c r="AJ199" s="97" t="s">
        <v>87</v>
      </c>
    </row>
    <row r="200" spans="1:36">
      <c r="A200" s="84">
        <f t="shared" si="22"/>
        <v>202</v>
      </c>
      <c r="B200" s="91">
        <v>45945</v>
      </c>
      <c r="C200" s="48">
        <v>45945</v>
      </c>
      <c r="D200" s="104">
        <v>0.283333333333333</v>
      </c>
      <c r="E200" s="105">
        <v>0.760416666666667</v>
      </c>
      <c r="F200" s="100">
        <v>1781.58</v>
      </c>
      <c r="G200" s="92">
        <v>1768.67</v>
      </c>
      <c r="H200" s="92">
        <v>1766.21</v>
      </c>
      <c r="I200" s="92">
        <v>1757.56</v>
      </c>
      <c r="J200" s="92">
        <v>1768.38</v>
      </c>
      <c r="K200" s="92">
        <v>1765.32</v>
      </c>
      <c r="L200" s="92">
        <v>1744.24</v>
      </c>
      <c r="M200" s="93">
        <v>1822.18</v>
      </c>
      <c r="N200" s="93">
        <v>1785.79</v>
      </c>
      <c r="O200" s="93"/>
      <c r="P200" s="93">
        <v>1783.92</v>
      </c>
      <c r="Q200" s="93">
        <v>1784.92</v>
      </c>
      <c r="R200" s="93">
        <v>1788.02</v>
      </c>
      <c r="S200" s="93"/>
      <c r="T200" s="93">
        <v>1790.96</v>
      </c>
      <c r="U200" s="94">
        <f t="shared" si="23"/>
        <v>23107.75</v>
      </c>
      <c r="V200" s="103">
        <f t="shared" si="19"/>
        <v>309.41</v>
      </c>
      <c r="W200" s="92">
        <v>314.69</v>
      </c>
      <c r="X200" s="92">
        <f t="shared" si="24"/>
        <v>26399.9999999999</v>
      </c>
      <c r="Y200" s="92">
        <f t="shared" si="20"/>
        <v>3.17</v>
      </c>
      <c r="Z200" s="92">
        <v>3.18</v>
      </c>
      <c r="AA200" s="92">
        <f t="shared" si="26"/>
        <v>50.0000000000012</v>
      </c>
      <c r="AB200" s="97">
        <f t="shared" si="25"/>
        <v>26349.9999999999</v>
      </c>
      <c r="AC200" s="96"/>
      <c r="AD200" s="92">
        <v>3.55</v>
      </c>
      <c r="AE200" s="92">
        <v>32.91</v>
      </c>
      <c r="AF200" s="92"/>
      <c r="AG200" s="92"/>
      <c r="AH200" s="92"/>
      <c r="AI200" s="92"/>
      <c r="AJ200" s="97" t="s">
        <v>87</v>
      </c>
    </row>
    <row r="201" spans="1:36">
      <c r="A201" s="84">
        <f t="shared" si="22"/>
        <v>203</v>
      </c>
      <c r="B201" s="91">
        <v>45946</v>
      </c>
      <c r="C201" s="48">
        <v>45946</v>
      </c>
      <c r="D201" s="104">
        <v>0.291666666666667</v>
      </c>
      <c r="E201" s="105">
        <v>0.760416666666667</v>
      </c>
      <c r="F201" s="100">
        <v>1542.41</v>
      </c>
      <c r="G201" s="92">
        <v>1535.24</v>
      </c>
      <c r="H201" s="92">
        <v>1537.01</v>
      </c>
      <c r="I201" s="92">
        <v>1556.41</v>
      </c>
      <c r="J201" s="92">
        <v>1545.43</v>
      </c>
      <c r="K201" s="92">
        <v>1529.4</v>
      </c>
      <c r="L201" s="92">
        <v>1534.23</v>
      </c>
      <c r="M201" s="93">
        <v>1621.65</v>
      </c>
      <c r="N201" s="93">
        <v>1546.34</v>
      </c>
      <c r="O201" s="93"/>
      <c r="P201" s="93">
        <v>1546.07</v>
      </c>
      <c r="Q201" s="93">
        <v>1550.02</v>
      </c>
      <c r="R201" s="93">
        <v>1552.7</v>
      </c>
      <c r="S201" s="93"/>
      <c r="T201" s="93">
        <v>1556.46</v>
      </c>
      <c r="U201" s="94">
        <f t="shared" si="23"/>
        <v>20153.37</v>
      </c>
      <c r="V201" s="103">
        <f t="shared" si="19"/>
        <v>314.69</v>
      </c>
      <c r="W201" s="92">
        <v>319.26</v>
      </c>
      <c r="X201" s="92">
        <f t="shared" si="24"/>
        <v>22850</v>
      </c>
      <c r="Y201" s="92">
        <f t="shared" si="20"/>
        <v>3.18</v>
      </c>
      <c r="Z201" s="92">
        <v>3.19</v>
      </c>
      <c r="AA201" s="92">
        <f t="shared" si="26"/>
        <v>49.9999999999989</v>
      </c>
      <c r="AB201" s="97">
        <f t="shared" si="25"/>
        <v>22800</v>
      </c>
      <c r="AC201" s="96"/>
      <c r="AD201" s="92">
        <v>3.37</v>
      </c>
      <c r="AE201" s="92">
        <v>34.4</v>
      </c>
      <c r="AF201" s="92"/>
      <c r="AG201" s="92"/>
      <c r="AH201" s="92"/>
      <c r="AI201" s="92"/>
      <c r="AJ201" s="97" t="s">
        <v>87</v>
      </c>
    </row>
    <row r="202" spans="1:36">
      <c r="A202" s="84">
        <f t="shared" si="22"/>
        <v>204</v>
      </c>
      <c r="B202" s="91">
        <v>45947</v>
      </c>
      <c r="C202" s="48">
        <v>45947</v>
      </c>
      <c r="D202" s="104">
        <v>0.291666666666667</v>
      </c>
      <c r="E202" s="105">
        <v>0.770833333333333</v>
      </c>
      <c r="F202" s="100">
        <v>1413.24</v>
      </c>
      <c r="G202" s="92">
        <v>1409.85</v>
      </c>
      <c r="H202" s="92">
        <v>1403.92</v>
      </c>
      <c r="I202" s="92">
        <v>1407.45</v>
      </c>
      <c r="J202" s="92">
        <v>1404.23</v>
      </c>
      <c r="K202" s="92">
        <v>1375.92</v>
      </c>
      <c r="L202" s="92">
        <v>1400.13</v>
      </c>
      <c r="M202" s="93">
        <v>1454.34</v>
      </c>
      <c r="N202" s="93">
        <v>1375.17</v>
      </c>
      <c r="O202" s="93"/>
      <c r="P202" s="93">
        <v>1417.82</v>
      </c>
      <c r="Q202" s="93">
        <v>1422.19</v>
      </c>
      <c r="R202" s="93">
        <v>1435.18</v>
      </c>
      <c r="S202" s="93"/>
      <c r="T202" s="93">
        <v>1440.97</v>
      </c>
      <c r="U202" s="94">
        <f t="shared" si="23"/>
        <v>18360.41</v>
      </c>
      <c r="V202" s="103">
        <f t="shared" si="19"/>
        <v>319.26</v>
      </c>
      <c r="W202" s="92">
        <v>323.44</v>
      </c>
      <c r="X202" s="92">
        <f t="shared" si="24"/>
        <v>20900</v>
      </c>
      <c r="Y202" s="92">
        <f t="shared" si="20"/>
        <v>3.19</v>
      </c>
      <c r="Z202" s="92">
        <v>3.21</v>
      </c>
      <c r="AA202" s="92">
        <f t="shared" si="26"/>
        <v>100</v>
      </c>
      <c r="AB202" s="97">
        <f t="shared" si="25"/>
        <v>20800</v>
      </c>
      <c r="AC202" s="96"/>
      <c r="AD202" s="92">
        <v>3.23</v>
      </c>
      <c r="AE202" s="92">
        <v>33.92</v>
      </c>
      <c r="AF202" s="92"/>
      <c r="AG202" s="92"/>
      <c r="AH202" s="92"/>
      <c r="AI202" s="92"/>
      <c r="AJ202" s="97" t="s">
        <v>87</v>
      </c>
    </row>
    <row r="203" spans="1:36">
      <c r="A203" s="84">
        <f t="shared" si="22"/>
        <v>205</v>
      </c>
      <c r="B203" s="91">
        <v>45948</v>
      </c>
      <c r="C203" s="48">
        <v>45948</v>
      </c>
      <c r="D203" s="104">
        <v>0.291666666666667</v>
      </c>
      <c r="E203" s="105">
        <v>0.770833333333333</v>
      </c>
      <c r="F203" s="100">
        <v>1782.1</v>
      </c>
      <c r="G203" s="92">
        <v>1773.64</v>
      </c>
      <c r="H203" s="92">
        <v>1765.8</v>
      </c>
      <c r="I203" s="92">
        <v>1780.53</v>
      </c>
      <c r="J203" s="92">
        <v>1745.15</v>
      </c>
      <c r="K203" s="92">
        <v>1768.25</v>
      </c>
      <c r="L203" s="92">
        <v>1680.84</v>
      </c>
      <c r="M203" s="93">
        <v>1770.96</v>
      </c>
      <c r="N203" s="93">
        <v>1703.35</v>
      </c>
      <c r="O203" s="93"/>
      <c r="P203" s="93">
        <v>1798.01</v>
      </c>
      <c r="Q203" s="93">
        <v>1810.45</v>
      </c>
      <c r="R203" s="93">
        <v>1811.71</v>
      </c>
      <c r="S203" s="93"/>
      <c r="T203" s="93">
        <v>1820.39</v>
      </c>
      <c r="U203" s="94">
        <f t="shared" si="23"/>
        <v>23011.18</v>
      </c>
      <c r="V203" s="103">
        <f t="shared" si="19"/>
        <v>323.44</v>
      </c>
      <c r="W203" s="92">
        <v>328.69</v>
      </c>
      <c r="X203" s="92">
        <f t="shared" si="24"/>
        <v>26250</v>
      </c>
      <c r="Y203" s="92">
        <f t="shared" si="20"/>
        <v>3.21</v>
      </c>
      <c r="Z203" s="92">
        <v>3.22</v>
      </c>
      <c r="AA203" s="92">
        <f t="shared" si="26"/>
        <v>50.0000000000012</v>
      </c>
      <c r="AB203" s="97">
        <f t="shared" si="25"/>
        <v>26200</v>
      </c>
      <c r="AC203" s="96"/>
      <c r="AD203" s="92">
        <v>3.9</v>
      </c>
      <c r="AE203" s="92">
        <v>33.48</v>
      </c>
      <c r="AF203" s="92"/>
      <c r="AG203" s="92"/>
      <c r="AH203" s="92"/>
      <c r="AI203" s="92"/>
      <c r="AJ203" s="97" t="s">
        <v>87</v>
      </c>
    </row>
    <row r="204" spans="1:36">
      <c r="A204" s="84">
        <f t="shared" si="22"/>
        <v>206</v>
      </c>
      <c r="B204" s="91">
        <v>45949</v>
      </c>
      <c r="C204" s="48">
        <v>45949</v>
      </c>
      <c r="D204" s="104">
        <v>0.291666666666667</v>
      </c>
      <c r="E204" s="105">
        <v>0.770833333333333</v>
      </c>
      <c r="F204" s="100">
        <v>1718.97</v>
      </c>
      <c r="G204" s="92">
        <v>1744.23</v>
      </c>
      <c r="H204" s="92">
        <v>1702.38</v>
      </c>
      <c r="I204" s="92">
        <v>1732.03</v>
      </c>
      <c r="J204" s="92">
        <v>1715.92</v>
      </c>
      <c r="K204" s="92">
        <v>1690.06</v>
      </c>
      <c r="L204" s="92">
        <v>1745.5</v>
      </c>
      <c r="M204" s="93">
        <v>1763.64</v>
      </c>
      <c r="N204" s="93">
        <v>1735.92</v>
      </c>
      <c r="O204" s="93"/>
      <c r="P204" s="93">
        <v>1742.01</v>
      </c>
      <c r="Q204" s="93">
        <v>1745.29</v>
      </c>
      <c r="R204" s="93">
        <v>1746.09</v>
      </c>
      <c r="S204" s="93"/>
      <c r="T204" s="93">
        <v>1753.75</v>
      </c>
      <c r="U204" s="94">
        <f t="shared" si="23"/>
        <v>22535.79</v>
      </c>
      <c r="V204" s="103">
        <f t="shared" si="19"/>
        <v>328.69</v>
      </c>
      <c r="W204" s="92">
        <v>333.82</v>
      </c>
      <c r="X204" s="92">
        <f t="shared" si="24"/>
        <v>25650</v>
      </c>
      <c r="Y204" s="92">
        <f t="shared" si="20"/>
        <v>3.22</v>
      </c>
      <c r="Z204" s="92">
        <v>3.23</v>
      </c>
      <c r="AA204" s="92">
        <f t="shared" si="26"/>
        <v>49.9999999999989</v>
      </c>
      <c r="AB204" s="97">
        <f t="shared" si="25"/>
        <v>25600</v>
      </c>
      <c r="AC204" s="96"/>
      <c r="AD204" s="92">
        <v>4.46</v>
      </c>
      <c r="AE204" s="92">
        <v>34.61</v>
      </c>
      <c r="AF204" s="92"/>
      <c r="AG204" s="92"/>
      <c r="AH204" s="92"/>
      <c r="AI204" s="92"/>
      <c r="AJ204" s="97" t="s">
        <v>87</v>
      </c>
    </row>
    <row r="205" spans="1:36">
      <c r="A205" s="84">
        <f t="shared" si="22"/>
        <v>207</v>
      </c>
      <c r="B205" s="91">
        <v>45950</v>
      </c>
      <c r="C205" s="48">
        <v>45950</v>
      </c>
      <c r="D205" s="104">
        <v>0.291666666666667</v>
      </c>
      <c r="E205" s="105">
        <v>0.770833333333333</v>
      </c>
      <c r="F205" s="100">
        <v>1504.87</v>
      </c>
      <c r="G205" s="92">
        <v>1555.86</v>
      </c>
      <c r="H205" s="92">
        <v>1488.94</v>
      </c>
      <c r="I205" s="92">
        <v>1443.63</v>
      </c>
      <c r="J205" s="92">
        <v>1544.76</v>
      </c>
      <c r="K205" s="92">
        <v>1564.89</v>
      </c>
      <c r="L205" s="92">
        <v>1533.55</v>
      </c>
      <c r="M205" s="93">
        <v>1656.67</v>
      </c>
      <c r="N205" s="93">
        <v>1514.9</v>
      </c>
      <c r="O205" s="93"/>
      <c r="P205" s="93">
        <v>1519.04</v>
      </c>
      <c r="Q205" s="93">
        <v>1522.18</v>
      </c>
      <c r="R205" s="93">
        <v>1519.9</v>
      </c>
      <c r="S205" s="93"/>
      <c r="T205" s="93">
        <v>1530.32</v>
      </c>
      <c r="U205" s="94">
        <f t="shared" si="23"/>
        <v>19899.51</v>
      </c>
      <c r="V205" s="103">
        <f t="shared" ref="V205:V268" si="27">W204</f>
        <v>333.82</v>
      </c>
      <c r="W205" s="92">
        <v>338.32</v>
      </c>
      <c r="X205" s="92">
        <f t="shared" si="24"/>
        <v>22500</v>
      </c>
      <c r="Y205" s="92">
        <f t="shared" ref="Y205:Y268" si="28">Z204</f>
        <v>3.23</v>
      </c>
      <c r="Z205" s="92">
        <v>3.24</v>
      </c>
      <c r="AA205" s="92">
        <f t="shared" si="26"/>
        <v>50.0000000000012</v>
      </c>
      <c r="AB205" s="97">
        <f t="shared" si="25"/>
        <v>22450</v>
      </c>
      <c r="AC205" s="96"/>
      <c r="AD205" s="92">
        <v>4.12</v>
      </c>
      <c r="AE205" s="92">
        <v>34.25</v>
      </c>
      <c r="AF205" s="92"/>
      <c r="AG205" s="92"/>
      <c r="AH205" s="92"/>
      <c r="AI205" s="92"/>
      <c r="AJ205" s="97" t="s">
        <v>87</v>
      </c>
    </row>
    <row r="206" spans="1:36">
      <c r="A206" s="84">
        <f t="shared" si="22"/>
        <v>208</v>
      </c>
      <c r="B206" s="91">
        <v>45951</v>
      </c>
      <c r="C206" s="48">
        <v>45951</v>
      </c>
      <c r="D206" s="104">
        <v>0.291666666666667</v>
      </c>
      <c r="E206" s="105">
        <v>0.770833333333333</v>
      </c>
      <c r="F206" s="100">
        <v>1390.34</v>
      </c>
      <c r="G206" s="92">
        <v>1361.31</v>
      </c>
      <c r="H206" s="92">
        <v>1394.31</v>
      </c>
      <c r="I206" s="92">
        <v>1402.05</v>
      </c>
      <c r="J206" s="92">
        <v>1403.55</v>
      </c>
      <c r="K206" s="92">
        <v>1368.14</v>
      </c>
      <c r="L206" s="92">
        <v>1367.4</v>
      </c>
      <c r="M206" s="93">
        <v>1442.95</v>
      </c>
      <c r="N206" s="93">
        <v>1409.35</v>
      </c>
      <c r="O206" s="93"/>
      <c r="P206" s="93">
        <v>1413.01</v>
      </c>
      <c r="Q206" s="93">
        <v>1412.98</v>
      </c>
      <c r="R206" s="93">
        <v>1412.5</v>
      </c>
      <c r="S206" s="93"/>
      <c r="T206" s="93">
        <v>1417.54</v>
      </c>
      <c r="U206" s="94">
        <f t="shared" si="23"/>
        <v>18195.43</v>
      </c>
      <c r="V206" s="103">
        <f t="shared" si="27"/>
        <v>338.32</v>
      </c>
      <c r="W206" s="92">
        <v>342.48</v>
      </c>
      <c r="X206" s="92">
        <f t="shared" si="24"/>
        <v>20800.0000000001</v>
      </c>
      <c r="Y206" s="92">
        <f t="shared" si="28"/>
        <v>3.24</v>
      </c>
      <c r="Z206" s="92">
        <v>3.26</v>
      </c>
      <c r="AA206" s="92">
        <f t="shared" si="26"/>
        <v>99.9999999999979</v>
      </c>
      <c r="AB206" s="97">
        <f t="shared" si="25"/>
        <v>20700.0000000001</v>
      </c>
      <c r="AC206" s="96"/>
      <c r="AD206" s="92">
        <v>3.84</v>
      </c>
      <c r="AE206" s="92">
        <v>33.93</v>
      </c>
      <c r="AF206" s="92"/>
      <c r="AG206" s="92"/>
      <c r="AH206" s="92"/>
      <c r="AI206" s="92"/>
      <c r="AJ206" s="97" t="s">
        <v>87</v>
      </c>
    </row>
    <row r="207" spans="1:36">
      <c r="A207" s="84">
        <f t="shared" si="22"/>
        <v>209</v>
      </c>
      <c r="B207" s="91">
        <v>45952</v>
      </c>
      <c r="C207" s="48">
        <v>45952</v>
      </c>
      <c r="D207" s="104">
        <v>0.291666666666667</v>
      </c>
      <c r="E207" s="105">
        <v>0.770833333333333</v>
      </c>
      <c r="F207" s="100">
        <v>1498.42</v>
      </c>
      <c r="G207" s="92">
        <v>1470.22</v>
      </c>
      <c r="H207" s="92">
        <v>1478.1</v>
      </c>
      <c r="I207" s="92">
        <v>1476.83</v>
      </c>
      <c r="J207" s="92">
        <v>1465.85</v>
      </c>
      <c r="K207" s="92">
        <v>1466.6</v>
      </c>
      <c r="L207" s="92">
        <v>1479.23</v>
      </c>
      <c r="M207" s="93">
        <v>1490.22</v>
      </c>
      <c r="N207" s="93">
        <v>1517.16</v>
      </c>
      <c r="O207" s="93"/>
      <c r="P207" s="93">
        <v>1522.69</v>
      </c>
      <c r="Q207" s="93">
        <v>1520.9</v>
      </c>
      <c r="R207" s="93">
        <v>1520.18</v>
      </c>
      <c r="S207" s="93"/>
      <c r="T207" s="93">
        <v>1527.77</v>
      </c>
      <c r="U207" s="94">
        <f t="shared" si="23"/>
        <v>19434.17</v>
      </c>
      <c r="V207" s="103">
        <f t="shared" si="27"/>
        <v>342.48</v>
      </c>
      <c r="W207" s="92">
        <v>346.99</v>
      </c>
      <c r="X207" s="92">
        <f t="shared" si="24"/>
        <v>22550</v>
      </c>
      <c r="Y207" s="92">
        <f t="shared" si="28"/>
        <v>3.26</v>
      </c>
      <c r="Z207" s="92">
        <v>3.27</v>
      </c>
      <c r="AA207" s="92">
        <f t="shared" si="26"/>
        <v>50.0000000000012</v>
      </c>
      <c r="AB207" s="97">
        <f t="shared" si="25"/>
        <v>22500</v>
      </c>
      <c r="AC207" s="96"/>
      <c r="AD207" s="92">
        <v>4.26</v>
      </c>
      <c r="AE207" s="92">
        <v>33.62</v>
      </c>
      <c r="AF207" s="92"/>
      <c r="AG207" s="92"/>
      <c r="AH207" s="92"/>
      <c r="AI207" s="92"/>
      <c r="AJ207" s="97" t="s">
        <v>87</v>
      </c>
    </row>
    <row r="208" spans="1:36">
      <c r="A208" s="84">
        <f t="shared" si="22"/>
        <v>210</v>
      </c>
      <c r="B208" s="91">
        <v>45953</v>
      </c>
      <c r="C208" s="48">
        <v>45953</v>
      </c>
      <c r="D208" s="104">
        <v>0.291666666666667</v>
      </c>
      <c r="E208" s="105">
        <v>0.770833333333333</v>
      </c>
      <c r="F208" s="100">
        <v>1492.78</v>
      </c>
      <c r="G208" s="92">
        <v>1466.67</v>
      </c>
      <c r="H208" s="92">
        <v>1475.13</v>
      </c>
      <c r="I208" s="92">
        <v>1455.23</v>
      </c>
      <c r="J208" s="92">
        <v>1457.76</v>
      </c>
      <c r="K208" s="92">
        <v>1470.99</v>
      </c>
      <c r="L208" s="92">
        <v>1454.87</v>
      </c>
      <c r="M208" s="93">
        <v>1488.34</v>
      </c>
      <c r="N208" s="93">
        <v>1522.6</v>
      </c>
      <c r="O208" s="93"/>
      <c r="P208" s="93">
        <v>1522.83</v>
      </c>
      <c r="Q208" s="93">
        <v>1520.9</v>
      </c>
      <c r="R208" s="93">
        <v>1518.85</v>
      </c>
      <c r="S208" s="93"/>
      <c r="T208" s="93">
        <v>1525.49</v>
      </c>
      <c r="U208" s="94">
        <f t="shared" si="23"/>
        <v>19372.44</v>
      </c>
      <c r="V208" s="103">
        <f t="shared" si="27"/>
        <v>346.99</v>
      </c>
      <c r="W208" s="92">
        <v>351.47</v>
      </c>
      <c r="X208" s="92">
        <f t="shared" si="24"/>
        <v>22400.0000000001</v>
      </c>
      <c r="Y208" s="92">
        <f t="shared" si="28"/>
        <v>3.27</v>
      </c>
      <c r="Z208" s="92">
        <v>3.28</v>
      </c>
      <c r="AA208" s="92">
        <f t="shared" si="26"/>
        <v>49.9999999999989</v>
      </c>
      <c r="AB208" s="97">
        <f t="shared" si="25"/>
        <v>22350.0000000001</v>
      </c>
      <c r="AC208" s="96"/>
      <c r="AD208" s="92">
        <v>3.78</v>
      </c>
      <c r="AE208" s="92">
        <v>35.06</v>
      </c>
      <c r="AF208" s="92"/>
      <c r="AG208" s="92"/>
      <c r="AH208" s="92"/>
      <c r="AI208" s="92"/>
      <c r="AJ208" s="97" t="s">
        <v>87</v>
      </c>
    </row>
    <row r="209" spans="1:36">
      <c r="A209" s="84">
        <f t="shared" si="22"/>
        <v>211</v>
      </c>
      <c r="B209" s="91">
        <v>45954</v>
      </c>
      <c r="C209" s="48">
        <v>45954</v>
      </c>
      <c r="D209" s="104">
        <v>0.28125</v>
      </c>
      <c r="E209" s="105">
        <v>0.770833333333333</v>
      </c>
      <c r="F209" s="100">
        <v>1387.81</v>
      </c>
      <c r="G209" s="92">
        <v>1406.69</v>
      </c>
      <c r="H209" s="92">
        <v>1386.19</v>
      </c>
      <c r="I209" s="92">
        <v>1399.55</v>
      </c>
      <c r="J209" s="92">
        <v>1357.78</v>
      </c>
      <c r="K209" s="92">
        <v>1380.21</v>
      </c>
      <c r="L209" s="92">
        <v>1398.25</v>
      </c>
      <c r="M209" s="93">
        <v>1376.98</v>
      </c>
      <c r="N209" s="93">
        <v>1426.12</v>
      </c>
      <c r="O209" s="93"/>
      <c r="P209" s="93">
        <v>1425.47</v>
      </c>
      <c r="Q209" s="93">
        <v>1417.04</v>
      </c>
      <c r="R209" s="93">
        <v>1416.32</v>
      </c>
      <c r="S209" s="93"/>
      <c r="T209" s="93">
        <v>1421.93</v>
      </c>
      <c r="U209" s="94">
        <f t="shared" si="23"/>
        <v>18200.34</v>
      </c>
      <c r="V209" s="103">
        <f t="shared" si="27"/>
        <v>351.47</v>
      </c>
      <c r="W209" s="92">
        <v>355.66</v>
      </c>
      <c r="X209" s="92">
        <f t="shared" si="24"/>
        <v>20950</v>
      </c>
      <c r="Y209" s="92">
        <f t="shared" si="28"/>
        <v>3.28</v>
      </c>
      <c r="Z209" s="92">
        <v>3.3</v>
      </c>
      <c r="AA209" s="92">
        <f t="shared" si="26"/>
        <v>100</v>
      </c>
      <c r="AB209" s="97">
        <f t="shared" si="25"/>
        <v>20850</v>
      </c>
      <c r="AC209" s="96"/>
      <c r="AD209" s="92">
        <v>3.86</v>
      </c>
      <c r="AE209" s="92">
        <v>33.28</v>
      </c>
      <c r="AF209" s="92"/>
      <c r="AG209" s="92"/>
      <c r="AH209" s="92"/>
      <c r="AI209" s="92"/>
      <c r="AJ209" s="97" t="s">
        <v>87</v>
      </c>
    </row>
    <row r="210" spans="1:36">
      <c r="A210" s="84">
        <f t="shared" si="22"/>
        <v>212</v>
      </c>
      <c r="B210" s="91">
        <v>45955</v>
      </c>
      <c r="C210" s="48">
        <v>45955</v>
      </c>
      <c r="D210" s="104">
        <v>0.291666666666667</v>
      </c>
      <c r="E210" s="105">
        <v>0.760416666666667</v>
      </c>
      <c r="F210" s="100">
        <v>1295.5</v>
      </c>
      <c r="G210" s="92">
        <v>1245.76</v>
      </c>
      <c r="H210" s="92">
        <v>1282.12</v>
      </c>
      <c r="I210" s="92">
        <v>1276.23</v>
      </c>
      <c r="J210" s="92">
        <v>1276.45</v>
      </c>
      <c r="K210" s="92">
        <v>1284.28</v>
      </c>
      <c r="L210" s="92">
        <v>1254.43</v>
      </c>
      <c r="M210" s="93">
        <v>1311.53</v>
      </c>
      <c r="N210" s="93">
        <v>1280.85</v>
      </c>
      <c r="O210" s="93"/>
      <c r="P210" s="93">
        <v>1282.23</v>
      </c>
      <c r="Q210" s="93">
        <v>1284.09</v>
      </c>
      <c r="R210" s="93">
        <v>1284.9</v>
      </c>
      <c r="S210" s="93"/>
      <c r="T210" s="93">
        <v>1289.85</v>
      </c>
      <c r="U210" s="94">
        <f t="shared" si="23"/>
        <v>16648.22</v>
      </c>
      <c r="V210" s="103">
        <f t="shared" si="27"/>
        <v>355.66</v>
      </c>
      <c r="W210" s="92">
        <v>359.49</v>
      </c>
      <c r="X210" s="92">
        <f t="shared" si="24"/>
        <v>19149.9999999999</v>
      </c>
      <c r="Y210" s="92">
        <f t="shared" si="28"/>
        <v>3.3</v>
      </c>
      <c r="Z210" s="92">
        <v>3.31</v>
      </c>
      <c r="AA210" s="92">
        <f t="shared" si="26"/>
        <v>50.0000000000012</v>
      </c>
      <c r="AB210" s="97">
        <f t="shared" si="25"/>
        <v>19099.9999999999</v>
      </c>
      <c r="AC210" s="96"/>
      <c r="AD210" s="92">
        <v>3.41</v>
      </c>
      <c r="AE210" s="92">
        <v>33.52</v>
      </c>
      <c r="AF210" s="92"/>
      <c r="AG210" s="92"/>
      <c r="AH210" s="92"/>
      <c r="AI210" s="92"/>
      <c r="AJ210" s="97" t="s">
        <v>87</v>
      </c>
    </row>
    <row r="211" spans="1:36">
      <c r="A211" s="84">
        <f t="shared" si="22"/>
        <v>213</v>
      </c>
      <c r="B211" s="91">
        <v>45956</v>
      </c>
      <c r="C211" s="48">
        <v>45956</v>
      </c>
      <c r="D211" s="104">
        <v>0.291666666666667</v>
      </c>
      <c r="E211" s="105">
        <v>0.739583333333333</v>
      </c>
      <c r="F211" s="100">
        <v>238.55</v>
      </c>
      <c r="G211" s="92">
        <v>244.21</v>
      </c>
      <c r="H211" s="92">
        <v>242.7</v>
      </c>
      <c r="I211" s="92">
        <v>238.89</v>
      </c>
      <c r="J211" s="92">
        <v>240.79</v>
      </c>
      <c r="K211" s="92">
        <v>242.76</v>
      </c>
      <c r="L211" s="92">
        <v>239.76</v>
      </c>
      <c r="M211" s="93">
        <v>239.34</v>
      </c>
      <c r="N211" s="93">
        <v>247.12</v>
      </c>
      <c r="O211" s="93">
        <v>236.45</v>
      </c>
      <c r="P211" s="93">
        <v>242.42</v>
      </c>
      <c r="Q211" s="93">
        <v>239.97</v>
      </c>
      <c r="R211" s="93">
        <v>242.41</v>
      </c>
      <c r="S211" s="93">
        <v>241.41</v>
      </c>
      <c r="T211" s="84">
        <v>240.29</v>
      </c>
      <c r="U211" s="94">
        <f t="shared" si="23"/>
        <v>3617.07</v>
      </c>
      <c r="V211" s="103">
        <f t="shared" si="27"/>
        <v>359.49</v>
      </c>
      <c r="W211" s="92">
        <v>360.19</v>
      </c>
      <c r="X211" s="92">
        <f t="shared" si="24"/>
        <v>3499.99999999994</v>
      </c>
      <c r="Y211" s="92">
        <f t="shared" si="28"/>
        <v>3.31</v>
      </c>
      <c r="Z211" s="92">
        <v>3.32</v>
      </c>
      <c r="AA211" s="92">
        <f t="shared" si="26"/>
        <v>49.9999999999989</v>
      </c>
      <c r="AB211" s="97">
        <f t="shared" si="25"/>
        <v>3449.99999999994</v>
      </c>
      <c r="AC211" s="96"/>
      <c r="AD211" s="92">
        <v>0.69</v>
      </c>
      <c r="AE211" s="92">
        <v>25.65</v>
      </c>
      <c r="AF211" s="92"/>
      <c r="AG211" s="92"/>
      <c r="AH211" s="92"/>
      <c r="AI211" s="92"/>
      <c r="AJ211" s="97" t="s">
        <v>78</v>
      </c>
    </row>
    <row r="212" spans="1:36">
      <c r="A212" s="84">
        <f t="shared" si="22"/>
        <v>214</v>
      </c>
      <c r="B212" s="91">
        <v>45957</v>
      </c>
      <c r="C212" s="48">
        <v>45957</v>
      </c>
      <c r="D212" s="104">
        <v>0.302083333333333</v>
      </c>
      <c r="E212" s="105">
        <v>0.760416666666667</v>
      </c>
      <c r="F212" s="100">
        <v>493.5</v>
      </c>
      <c r="G212" s="92">
        <v>478.21</v>
      </c>
      <c r="H212" s="92">
        <v>473.11</v>
      </c>
      <c r="I212" s="92">
        <v>474.09</v>
      </c>
      <c r="J212" s="92">
        <v>475.43</v>
      </c>
      <c r="K212" s="92">
        <v>474.23</v>
      </c>
      <c r="L212" s="92">
        <v>472.21</v>
      </c>
      <c r="M212" s="93">
        <v>490.12</v>
      </c>
      <c r="N212" s="93">
        <v>475.73</v>
      </c>
      <c r="O212" s="93">
        <v>457.61</v>
      </c>
      <c r="P212" s="93">
        <v>474.67</v>
      </c>
      <c r="Q212" s="93">
        <v>471.12</v>
      </c>
      <c r="R212" s="93">
        <v>477.45</v>
      </c>
      <c r="S212" s="93">
        <v>475.18</v>
      </c>
      <c r="T212" s="93">
        <v>475.95</v>
      </c>
      <c r="U212" s="94">
        <f t="shared" si="23"/>
        <v>7138.61</v>
      </c>
      <c r="V212" s="103">
        <f t="shared" si="27"/>
        <v>360.19</v>
      </c>
      <c r="W212" s="92">
        <v>361.6</v>
      </c>
      <c r="X212" s="92">
        <f t="shared" si="24"/>
        <v>7050.00000000013</v>
      </c>
      <c r="Y212" s="92">
        <f t="shared" si="28"/>
        <v>3.32</v>
      </c>
      <c r="Z212" s="92">
        <v>3.33</v>
      </c>
      <c r="AA212" s="92">
        <f t="shared" si="26"/>
        <v>50.0000000000012</v>
      </c>
      <c r="AB212" s="97">
        <f t="shared" si="25"/>
        <v>7000.00000000012</v>
      </c>
      <c r="AC212" s="96"/>
      <c r="AD212" s="92">
        <v>1.36</v>
      </c>
      <c r="AE212" s="92">
        <v>25.67</v>
      </c>
      <c r="AF212" s="92"/>
      <c r="AG212" s="92"/>
      <c r="AH212" s="92"/>
      <c r="AI212" s="92"/>
      <c r="AJ212" s="97" t="s">
        <v>79</v>
      </c>
    </row>
    <row r="213" spans="1:36">
      <c r="A213" s="84">
        <f t="shared" si="22"/>
        <v>215</v>
      </c>
      <c r="B213" s="91">
        <v>45958</v>
      </c>
      <c r="C213" s="48">
        <v>45958</v>
      </c>
      <c r="D213" s="104">
        <v>0.333333333333333</v>
      </c>
      <c r="E213" s="105">
        <v>0.760416666666667</v>
      </c>
      <c r="F213" s="100">
        <v>201.46</v>
      </c>
      <c r="G213" s="92">
        <v>203.55</v>
      </c>
      <c r="H213" s="92">
        <v>205.37</v>
      </c>
      <c r="I213" s="92">
        <v>207.56</v>
      </c>
      <c r="J213" s="92">
        <v>208.56</v>
      </c>
      <c r="K213" s="92">
        <v>206.64</v>
      </c>
      <c r="L213" s="92">
        <v>206.43</v>
      </c>
      <c r="M213" s="93">
        <v>209.78</v>
      </c>
      <c r="N213" s="93">
        <v>202.27</v>
      </c>
      <c r="O213" s="93">
        <v>207.31</v>
      </c>
      <c r="P213" s="93">
        <v>205.66</v>
      </c>
      <c r="Q213" s="93">
        <v>207.14</v>
      </c>
      <c r="R213" s="93">
        <v>205.51</v>
      </c>
      <c r="S213" s="93">
        <v>206.54</v>
      </c>
      <c r="T213" s="93">
        <v>204.15</v>
      </c>
      <c r="U213" s="94">
        <f t="shared" si="23"/>
        <v>3087.93</v>
      </c>
      <c r="V213" s="103">
        <f t="shared" si="27"/>
        <v>361.6</v>
      </c>
      <c r="W213" s="92">
        <v>362.2</v>
      </c>
      <c r="X213" s="92">
        <f t="shared" si="24"/>
        <v>2999.99999999983</v>
      </c>
      <c r="Y213" s="92">
        <f t="shared" si="28"/>
        <v>3.33</v>
      </c>
      <c r="Z213" s="92">
        <v>3.35</v>
      </c>
      <c r="AA213" s="92">
        <f t="shared" si="26"/>
        <v>100</v>
      </c>
      <c r="AB213" s="97">
        <f t="shared" si="25"/>
        <v>2899.99999999983</v>
      </c>
      <c r="AC213" s="96"/>
      <c r="AD213" s="92">
        <v>0.56</v>
      </c>
      <c r="AE213" s="92">
        <v>24.4</v>
      </c>
      <c r="AF213" s="92"/>
      <c r="AG213" s="92"/>
      <c r="AH213" s="92"/>
      <c r="AI213" s="92"/>
      <c r="AJ213" s="97" t="s">
        <v>79</v>
      </c>
    </row>
    <row r="214" spans="1:36">
      <c r="A214" s="84">
        <f t="shared" si="22"/>
        <v>216</v>
      </c>
      <c r="B214" s="91">
        <v>45959</v>
      </c>
      <c r="C214" s="48">
        <v>45959</v>
      </c>
      <c r="D214" s="104">
        <v>0.302083333333333</v>
      </c>
      <c r="E214" s="105">
        <v>0.739583333333333</v>
      </c>
      <c r="F214" s="100">
        <v>427.3</v>
      </c>
      <c r="G214" s="92">
        <v>456.25</v>
      </c>
      <c r="H214" s="92">
        <v>429.17</v>
      </c>
      <c r="I214" s="92">
        <v>467.24</v>
      </c>
      <c r="J214" s="92">
        <v>429.33</v>
      </c>
      <c r="K214" s="92">
        <v>437.15</v>
      </c>
      <c r="L214" s="92">
        <v>435.29</v>
      </c>
      <c r="M214" s="93">
        <v>436.45</v>
      </c>
      <c r="N214" s="84">
        <v>434.76</v>
      </c>
      <c r="O214" s="93">
        <v>434.18</v>
      </c>
      <c r="P214" s="93">
        <v>432.26</v>
      </c>
      <c r="Q214" s="93">
        <v>433.21</v>
      </c>
      <c r="R214" s="93">
        <v>430.92</v>
      </c>
      <c r="S214" s="93">
        <v>433.55</v>
      </c>
      <c r="T214" s="93">
        <v>432.56</v>
      </c>
      <c r="U214" s="94">
        <f t="shared" si="23"/>
        <v>6549.62</v>
      </c>
      <c r="V214" s="103">
        <f t="shared" si="27"/>
        <v>362.2</v>
      </c>
      <c r="W214" s="92">
        <v>363.48</v>
      </c>
      <c r="X214" s="92">
        <f t="shared" si="24"/>
        <v>6400.00000000015</v>
      </c>
      <c r="Y214" s="92">
        <f t="shared" si="28"/>
        <v>3.35</v>
      </c>
      <c r="Z214" s="92">
        <v>3.36</v>
      </c>
      <c r="AA214" s="92">
        <f t="shared" si="26"/>
        <v>49.9999999999989</v>
      </c>
      <c r="AB214" s="97">
        <f t="shared" si="25"/>
        <v>6350.00000000015</v>
      </c>
      <c r="AC214" s="96"/>
      <c r="AD214" s="92">
        <v>1.34</v>
      </c>
      <c r="AE214" s="92">
        <v>25.89</v>
      </c>
      <c r="AF214" s="92"/>
      <c r="AG214" s="92"/>
      <c r="AH214" s="92"/>
      <c r="AI214" s="92"/>
      <c r="AJ214" s="97" t="s">
        <v>78</v>
      </c>
    </row>
    <row r="215" spans="1:36">
      <c r="A215" s="84">
        <f t="shared" si="22"/>
        <v>217</v>
      </c>
      <c r="B215" s="91">
        <v>45960</v>
      </c>
      <c r="C215" s="48">
        <v>45960</v>
      </c>
      <c r="D215" s="104">
        <v>0.302083333333333</v>
      </c>
      <c r="E215" s="105">
        <v>0.760416666666667</v>
      </c>
      <c r="F215" s="100">
        <v>473.56</v>
      </c>
      <c r="G215" s="92">
        <v>467.54</v>
      </c>
      <c r="H215" s="92">
        <v>474.27</v>
      </c>
      <c r="I215" s="92">
        <v>435.55</v>
      </c>
      <c r="J215" s="92">
        <v>475.44</v>
      </c>
      <c r="K215" s="92">
        <v>474.95</v>
      </c>
      <c r="L215" s="92">
        <v>456.67</v>
      </c>
      <c r="M215" s="93">
        <v>487.66</v>
      </c>
      <c r="N215" s="93">
        <v>476.45</v>
      </c>
      <c r="O215" s="93">
        <v>478.09</v>
      </c>
      <c r="P215" s="93">
        <v>477.84</v>
      </c>
      <c r="Q215" s="93">
        <v>477.92</v>
      </c>
      <c r="R215" s="93">
        <v>475.33</v>
      </c>
      <c r="S215" s="93">
        <v>479.84</v>
      </c>
      <c r="T215" s="93">
        <v>478.28</v>
      </c>
      <c r="U215" s="94">
        <f t="shared" si="23"/>
        <v>7089.39</v>
      </c>
      <c r="V215" s="103">
        <f t="shared" si="27"/>
        <v>363.48</v>
      </c>
      <c r="W215" s="92">
        <v>364.89</v>
      </c>
      <c r="X215" s="92">
        <f t="shared" si="24"/>
        <v>7049.99999999984</v>
      </c>
      <c r="Y215" s="92">
        <f t="shared" si="28"/>
        <v>3.36</v>
      </c>
      <c r="Z215" s="92">
        <v>3.37</v>
      </c>
      <c r="AA215" s="92">
        <f t="shared" si="26"/>
        <v>50.0000000000012</v>
      </c>
      <c r="AB215" s="97">
        <f t="shared" si="25"/>
        <v>6999.99999999984</v>
      </c>
      <c r="AC215" s="96"/>
      <c r="AD215" s="92">
        <v>1.64</v>
      </c>
      <c r="AE215" s="92">
        <v>26.46</v>
      </c>
      <c r="AF215" s="92"/>
      <c r="AG215" s="92"/>
      <c r="AH215" s="92"/>
      <c r="AI215" s="92"/>
      <c r="AJ215" s="97" t="s">
        <v>79</v>
      </c>
    </row>
    <row r="216" spans="1:36">
      <c r="A216" s="84">
        <f t="shared" si="22"/>
        <v>218</v>
      </c>
      <c r="B216" s="91">
        <v>45961</v>
      </c>
      <c r="C216" s="48">
        <v>45961</v>
      </c>
      <c r="D216" s="104">
        <v>0.302083333333333</v>
      </c>
      <c r="E216" s="105">
        <v>0.760416666666667</v>
      </c>
      <c r="F216" s="100">
        <v>507.01</v>
      </c>
      <c r="G216" s="92">
        <v>507.56</v>
      </c>
      <c r="H216" s="92">
        <v>503.37</v>
      </c>
      <c r="I216" s="92">
        <v>505.43</v>
      </c>
      <c r="J216" s="92">
        <v>508.34</v>
      </c>
      <c r="K216" s="92">
        <v>506.67</v>
      </c>
      <c r="L216" s="92">
        <v>507.65</v>
      </c>
      <c r="M216" s="93">
        <v>509.88</v>
      </c>
      <c r="N216" s="93">
        <v>501.78</v>
      </c>
      <c r="O216" s="93">
        <v>508.72</v>
      </c>
      <c r="P216" s="93">
        <v>500.07</v>
      </c>
      <c r="Q216" s="93">
        <v>501.9</v>
      </c>
      <c r="R216" s="93">
        <v>504.45</v>
      </c>
      <c r="S216" s="93">
        <v>502</v>
      </c>
      <c r="T216" s="93">
        <v>506.04</v>
      </c>
      <c r="U216" s="94">
        <f t="shared" si="23"/>
        <v>7580.87</v>
      </c>
      <c r="V216" s="103">
        <f t="shared" si="27"/>
        <v>364.89</v>
      </c>
      <c r="W216" s="92">
        <v>366.39</v>
      </c>
      <c r="X216" s="92">
        <f t="shared" si="24"/>
        <v>7500</v>
      </c>
      <c r="Y216" s="92">
        <f t="shared" si="28"/>
        <v>3.37</v>
      </c>
      <c r="Z216" s="92">
        <v>3.39</v>
      </c>
      <c r="AA216" s="92">
        <f t="shared" si="26"/>
        <v>100</v>
      </c>
      <c r="AB216" s="97">
        <f t="shared" si="25"/>
        <v>7400</v>
      </c>
      <c r="AC216" s="96"/>
      <c r="AD216" s="92">
        <v>1.47</v>
      </c>
      <c r="AE216" s="92">
        <v>25.95</v>
      </c>
      <c r="AF216" s="92"/>
      <c r="AG216" s="92"/>
      <c r="AH216" s="92"/>
      <c r="AI216" s="92"/>
      <c r="AJ216" s="97" t="s">
        <v>78</v>
      </c>
    </row>
    <row r="217" spans="1:36">
      <c r="A217" s="84">
        <f t="shared" si="22"/>
        <v>219</v>
      </c>
      <c r="B217" s="91">
        <v>45962</v>
      </c>
      <c r="C217" s="48">
        <v>45962</v>
      </c>
      <c r="D217" s="104">
        <v>0.291666666666667</v>
      </c>
      <c r="E217" s="105">
        <v>0.770833333333333</v>
      </c>
      <c r="F217" s="100">
        <v>957.38</v>
      </c>
      <c r="G217" s="92">
        <v>945.44</v>
      </c>
      <c r="H217" s="92">
        <v>952.41</v>
      </c>
      <c r="I217" s="92">
        <v>945.67</v>
      </c>
      <c r="J217" s="92">
        <v>950.93</v>
      </c>
      <c r="K217" s="92">
        <v>963.45</v>
      </c>
      <c r="L217" s="92">
        <v>942.66</v>
      </c>
      <c r="M217" s="93">
        <v>970.76</v>
      </c>
      <c r="N217" s="93">
        <v>946.9</v>
      </c>
      <c r="O217" s="93">
        <v>959.24</v>
      </c>
      <c r="P217" s="93">
        <v>944.58</v>
      </c>
      <c r="Q217" s="93">
        <v>948.98</v>
      </c>
      <c r="R217" s="93">
        <v>955.78</v>
      </c>
      <c r="S217" s="93">
        <v>948.59</v>
      </c>
      <c r="T217" s="93">
        <v>957.82</v>
      </c>
      <c r="U217" s="94">
        <f t="shared" si="23"/>
        <v>14290.59</v>
      </c>
      <c r="V217" s="103">
        <f t="shared" si="27"/>
        <v>366.39</v>
      </c>
      <c r="W217" s="92">
        <v>369.22</v>
      </c>
      <c r="X217" s="92">
        <f t="shared" si="24"/>
        <v>14150.0000000002</v>
      </c>
      <c r="Y217" s="92">
        <f t="shared" si="28"/>
        <v>3.39</v>
      </c>
      <c r="Z217" s="92">
        <v>3.4</v>
      </c>
      <c r="AA217" s="92">
        <f t="shared" si="26"/>
        <v>49.9999999999989</v>
      </c>
      <c r="AB217" s="97">
        <f t="shared" si="25"/>
        <v>14100.0000000002</v>
      </c>
      <c r="AC217" s="96"/>
      <c r="AD217" s="92">
        <v>2.64</v>
      </c>
      <c r="AE217" s="92">
        <v>29.02</v>
      </c>
      <c r="AF217" s="92"/>
      <c r="AG217" s="92"/>
      <c r="AH217" s="92"/>
      <c r="AI217" s="92"/>
      <c r="AJ217" s="97" t="s">
        <v>78</v>
      </c>
    </row>
    <row r="218" spans="1:36">
      <c r="A218" s="84">
        <f t="shared" si="22"/>
        <v>220</v>
      </c>
      <c r="B218" s="91">
        <v>45963</v>
      </c>
      <c r="C218" s="48">
        <v>45963</v>
      </c>
      <c r="D218" s="104">
        <v>0.302083333333333</v>
      </c>
      <c r="E218" s="105">
        <v>0.75</v>
      </c>
      <c r="F218" s="100">
        <v>1317.29</v>
      </c>
      <c r="G218" s="92">
        <v>1304.73</v>
      </c>
      <c r="H218" s="92">
        <v>1294.8</v>
      </c>
      <c r="I218" s="92">
        <v>1303.74</v>
      </c>
      <c r="J218" s="92">
        <v>1296.78</v>
      </c>
      <c r="K218" s="92">
        <v>1269.77</v>
      </c>
      <c r="L218" s="92">
        <v>1256.15</v>
      </c>
      <c r="M218" s="93">
        <v>1309.17</v>
      </c>
      <c r="N218" s="93">
        <v>1265.85</v>
      </c>
      <c r="O218" s="93">
        <v>1304.6</v>
      </c>
      <c r="P218" s="93">
        <v>1334.31</v>
      </c>
      <c r="Q218" s="93">
        <v>1307.15</v>
      </c>
      <c r="R218" s="93">
        <v>1342.11</v>
      </c>
      <c r="S218" s="93">
        <v>1310.88</v>
      </c>
      <c r="T218" s="93">
        <v>1300.29</v>
      </c>
      <c r="U218" s="94">
        <f t="shared" si="23"/>
        <v>19517.62</v>
      </c>
      <c r="V218" s="103">
        <f t="shared" si="27"/>
        <v>369.22</v>
      </c>
      <c r="W218" s="92">
        <v>373.09</v>
      </c>
      <c r="X218" s="92">
        <f t="shared" si="24"/>
        <v>19349.9999999997</v>
      </c>
      <c r="Y218" s="92">
        <f t="shared" si="28"/>
        <v>3.4</v>
      </c>
      <c r="Z218" s="92">
        <v>3.41</v>
      </c>
      <c r="AA218" s="92">
        <f t="shared" si="26"/>
        <v>50.0000000000012</v>
      </c>
      <c r="AB218" s="97">
        <f t="shared" si="25"/>
        <v>19299.9999999997</v>
      </c>
      <c r="AC218" s="96"/>
      <c r="AD218" s="92">
        <v>2.92</v>
      </c>
      <c r="AE218" s="92">
        <v>30.73</v>
      </c>
      <c r="AF218" s="92"/>
      <c r="AG218" s="92"/>
      <c r="AH218" s="92"/>
      <c r="AI218" s="92"/>
      <c r="AJ218" s="97" t="s">
        <v>87</v>
      </c>
    </row>
    <row r="219" spans="1:36">
      <c r="A219" s="84">
        <f t="shared" si="22"/>
        <v>221</v>
      </c>
      <c r="B219" s="91">
        <v>45964</v>
      </c>
      <c r="C219" s="48">
        <v>45964</v>
      </c>
      <c r="D219" s="104">
        <v>0.291666666666667</v>
      </c>
      <c r="E219" s="105">
        <v>0.75</v>
      </c>
      <c r="F219" s="100">
        <v>1440.88</v>
      </c>
      <c r="G219" s="92">
        <v>1430.26</v>
      </c>
      <c r="H219" s="92">
        <v>1421.43</v>
      </c>
      <c r="I219" s="92">
        <v>1430.77</v>
      </c>
      <c r="J219" s="92">
        <v>1456.68</v>
      </c>
      <c r="K219" s="92">
        <v>1418.96</v>
      </c>
      <c r="L219" s="92">
        <v>1418.1</v>
      </c>
      <c r="M219" s="93">
        <v>1455.67</v>
      </c>
      <c r="N219" s="93">
        <v>1432.08</v>
      </c>
      <c r="O219" s="93">
        <v>1432.65</v>
      </c>
      <c r="P219" s="93">
        <v>1430.98</v>
      </c>
      <c r="Q219" s="93">
        <v>1431.62</v>
      </c>
      <c r="R219" s="93">
        <v>1439.9</v>
      </c>
      <c r="S219" s="93">
        <v>1426.66</v>
      </c>
      <c r="T219" s="93">
        <v>1437.5</v>
      </c>
      <c r="U219" s="94">
        <f t="shared" si="23"/>
        <v>21504.14</v>
      </c>
      <c r="V219" s="103">
        <f t="shared" si="27"/>
        <v>373.09</v>
      </c>
      <c r="W219" s="92">
        <v>377.34</v>
      </c>
      <c r="X219" s="92">
        <f t="shared" si="24"/>
        <v>21250</v>
      </c>
      <c r="Y219" s="92">
        <f t="shared" si="28"/>
        <v>3.41</v>
      </c>
      <c r="Z219" s="92">
        <v>3.43</v>
      </c>
      <c r="AA219" s="92">
        <f t="shared" si="26"/>
        <v>100</v>
      </c>
      <c r="AB219" s="97">
        <f t="shared" si="25"/>
        <v>21150</v>
      </c>
      <c r="AC219" s="96"/>
      <c r="AD219" s="92">
        <v>3.98</v>
      </c>
      <c r="AE219" s="92">
        <v>29.54</v>
      </c>
      <c r="AF219" s="92"/>
      <c r="AG219" s="92"/>
      <c r="AH219" s="92"/>
      <c r="AI219" s="92"/>
      <c r="AJ219" s="97" t="s">
        <v>87</v>
      </c>
    </row>
    <row r="220" spans="1:36">
      <c r="A220" s="84">
        <f t="shared" si="22"/>
        <v>222</v>
      </c>
      <c r="B220" s="91">
        <v>45965</v>
      </c>
      <c r="C220" s="48">
        <v>45965</v>
      </c>
      <c r="D220" s="104">
        <v>0.291666666666667</v>
      </c>
      <c r="E220" s="105">
        <v>0.770833333333333</v>
      </c>
      <c r="F220" s="100">
        <v>1598.88</v>
      </c>
      <c r="G220" s="92">
        <v>1576.33</v>
      </c>
      <c r="H220" s="92">
        <v>1576.38</v>
      </c>
      <c r="I220" s="92">
        <v>1555.54</v>
      </c>
      <c r="J220" s="92">
        <v>1534.87</v>
      </c>
      <c r="K220" s="92">
        <v>1553.75</v>
      </c>
      <c r="L220" s="92">
        <v>1565.76</v>
      </c>
      <c r="M220" s="93">
        <v>1588.66</v>
      </c>
      <c r="N220" s="93">
        <v>1585.93</v>
      </c>
      <c r="O220" s="93">
        <v>1578.83</v>
      </c>
      <c r="P220" s="93">
        <v>1610.95</v>
      </c>
      <c r="Q220" s="93">
        <v>1587.97</v>
      </c>
      <c r="R220" s="93">
        <v>1606.28</v>
      </c>
      <c r="S220" s="93">
        <v>1592.17</v>
      </c>
      <c r="T220" s="93">
        <v>1579.5</v>
      </c>
      <c r="U220" s="94">
        <f t="shared" si="23"/>
        <v>23691.8</v>
      </c>
      <c r="V220" s="103">
        <f t="shared" si="27"/>
        <v>377.34</v>
      </c>
      <c r="W220" s="92">
        <v>382.04</v>
      </c>
      <c r="X220" s="92">
        <f t="shared" si="24"/>
        <v>23500.0000000002</v>
      </c>
      <c r="Y220" s="92">
        <f t="shared" si="28"/>
        <v>3.43</v>
      </c>
      <c r="Z220" s="92">
        <v>3.44</v>
      </c>
      <c r="AA220" s="92">
        <f t="shared" si="26"/>
        <v>49.9999999999989</v>
      </c>
      <c r="AB220" s="97">
        <f t="shared" si="25"/>
        <v>23450.0000000002</v>
      </c>
      <c r="AC220" s="96"/>
      <c r="AD220" s="92">
        <v>4</v>
      </c>
      <c r="AE220" s="92">
        <v>28.49</v>
      </c>
      <c r="AF220" s="92"/>
      <c r="AG220" s="92"/>
      <c r="AH220" s="92"/>
      <c r="AI220" s="92"/>
      <c r="AJ220" s="97" t="s">
        <v>87</v>
      </c>
    </row>
    <row r="221" spans="1:36">
      <c r="A221" s="84">
        <f t="shared" si="22"/>
        <v>223</v>
      </c>
      <c r="B221" s="91">
        <v>45966</v>
      </c>
      <c r="C221" s="48">
        <v>45966</v>
      </c>
      <c r="D221" s="104">
        <v>0.291666666666667</v>
      </c>
      <c r="E221" s="105">
        <v>0.770833333333333</v>
      </c>
      <c r="F221" s="100">
        <v>1712.84</v>
      </c>
      <c r="G221" s="92">
        <v>1767.87</v>
      </c>
      <c r="H221" s="92">
        <v>1723.54</v>
      </c>
      <c r="I221" s="92">
        <v>1724.54</v>
      </c>
      <c r="J221" s="92">
        <v>1766.34</v>
      </c>
      <c r="K221" s="92">
        <v>1765.44</v>
      </c>
      <c r="L221" s="92">
        <v>1744.33</v>
      </c>
      <c r="M221" s="93">
        <v>1756.76</v>
      </c>
      <c r="N221" s="93">
        <v>1716.28</v>
      </c>
      <c r="O221" s="93">
        <v>1714.12</v>
      </c>
      <c r="P221" s="93">
        <v>1715.85</v>
      </c>
      <c r="Q221" s="93">
        <v>1712.75</v>
      </c>
      <c r="R221" s="93">
        <v>1719.9</v>
      </c>
      <c r="S221" s="93">
        <v>1715.87</v>
      </c>
      <c r="T221" s="93">
        <v>1724.94</v>
      </c>
      <c r="U221" s="94">
        <f t="shared" si="23"/>
        <v>25981.37</v>
      </c>
      <c r="V221" s="103">
        <f t="shared" si="27"/>
        <v>382.04</v>
      </c>
      <c r="W221" s="92">
        <v>387.13</v>
      </c>
      <c r="X221" s="92">
        <f t="shared" si="24"/>
        <v>25449.9999999999</v>
      </c>
      <c r="Y221" s="92">
        <f t="shared" si="28"/>
        <v>3.44</v>
      </c>
      <c r="Z221" s="92">
        <v>3.45</v>
      </c>
      <c r="AA221" s="92">
        <f t="shared" si="26"/>
        <v>50.0000000000012</v>
      </c>
      <c r="AB221" s="97">
        <f t="shared" si="25"/>
        <v>25399.9999999999</v>
      </c>
      <c r="AC221" s="96"/>
      <c r="AD221" s="92">
        <v>4.39</v>
      </c>
      <c r="AE221" s="92">
        <v>31.86</v>
      </c>
      <c r="AF221" s="92"/>
      <c r="AG221" s="92"/>
      <c r="AH221" s="92"/>
      <c r="AI221" s="92"/>
      <c r="AJ221" s="97" t="s">
        <v>87</v>
      </c>
    </row>
    <row r="222" spans="1:36">
      <c r="A222" s="84">
        <f t="shared" si="22"/>
        <v>224</v>
      </c>
      <c r="B222" s="91">
        <v>45967</v>
      </c>
      <c r="C222" s="48">
        <v>45967</v>
      </c>
      <c r="D222" s="104">
        <v>0.291666666666667</v>
      </c>
      <c r="E222" s="105">
        <v>0.75</v>
      </c>
      <c r="F222" s="100">
        <v>1686.73</v>
      </c>
      <c r="G222" s="92">
        <v>1664.55</v>
      </c>
      <c r="H222" s="92">
        <v>1665.38</v>
      </c>
      <c r="I222" s="92">
        <v>1663.5</v>
      </c>
      <c r="J222" s="92">
        <v>1667.55</v>
      </c>
      <c r="K222" s="92">
        <v>1662.5</v>
      </c>
      <c r="L222" s="92">
        <v>1643.4</v>
      </c>
      <c r="M222" s="93">
        <v>1656.54</v>
      </c>
      <c r="N222" s="93">
        <v>1690.12</v>
      </c>
      <c r="O222" s="93">
        <v>1689.3</v>
      </c>
      <c r="P222" s="93">
        <v>1691.55</v>
      </c>
      <c r="Q222" s="93">
        <v>1689.65</v>
      </c>
      <c r="R222" s="93">
        <v>1695.29</v>
      </c>
      <c r="S222" s="93">
        <v>1688.6</v>
      </c>
      <c r="T222" s="93">
        <v>1698.88</v>
      </c>
      <c r="U222" s="94">
        <f t="shared" si="23"/>
        <v>25153.54</v>
      </c>
      <c r="V222" s="103">
        <f t="shared" si="27"/>
        <v>387.13</v>
      </c>
      <c r="W222" s="92">
        <v>392.12</v>
      </c>
      <c r="X222" s="92">
        <f t="shared" si="24"/>
        <v>24950</v>
      </c>
      <c r="Y222" s="92">
        <f t="shared" si="28"/>
        <v>3.45</v>
      </c>
      <c r="Z222" s="92">
        <v>3.46</v>
      </c>
      <c r="AA222" s="92">
        <f t="shared" si="26"/>
        <v>49.9999999999989</v>
      </c>
      <c r="AB222" s="97">
        <f t="shared" si="25"/>
        <v>24900</v>
      </c>
      <c r="AC222" s="96"/>
      <c r="AD222" s="92">
        <v>4.39</v>
      </c>
      <c r="AE222" s="92">
        <v>31.59</v>
      </c>
      <c r="AF222" s="92"/>
      <c r="AG222" s="92"/>
      <c r="AH222" s="92"/>
      <c r="AI222" s="92"/>
      <c r="AJ222" s="97" t="s">
        <v>87</v>
      </c>
    </row>
    <row r="223" spans="1:36">
      <c r="A223" s="84">
        <f t="shared" si="22"/>
        <v>225</v>
      </c>
      <c r="B223" s="91">
        <v>45968</v>
      </c>
      <c r="C223" s="48">
        <v>45968</v>
      </c>
      <c r="D223" s="104">
        <v>0.302083333333333</v>
      </c>
      <c r="E223" s="105">
        <v>0.75</v>
      </c>
      <c r="F223" s="100">
        <v>1600.04</v>
      </c>
      <c r="G223" s="92">
        <v>1588.66</v>
      </c>
      <c r="H223" s="92">
        <v>1581.8</v>
      </c>
      <c r="I223" s="92">
        <v>1595.1</v>
      </c>
      <c r="J223" s="92">
        <v>1590.12</v>
      </c>
      <c r="K223" s="92">
        <v>1578.53</v>
      </c>
      <c r="L223" s="92">
        <v>1585.76</v>
      </c>
      <c r="M223" s="93">
        <v>1651.23</v>
      </c>
      <c r="N223" s="93">
        <v>1606.78</v>
      </c>
      <c r="O223" s="93">
        <v>1609.12</v>
      </c>
      <c r="P223" s="93">
        <v>1605.29</v>
      </c>
      <c r="Q223" s="93">
        <v>1609.88</v>
      </c>
      <c r="R223" s="93">
        <v>1614.77</v>
      </c>
      <c r="S223" s="93">
        <v>1601.53</v>
      </c>
      <c r="T223" s="93">
        <v>1612.39</v>
      </c>
      <c r="U223" s="94">
        <f t="shared" si="23"/>
        <v>24031</v>
      </c>
      <c r="V223" s="103">
        <f t="shared" si="27"/>
        <v>392.12</v>
      </c>
      <c r="W223" s="92">
        <v>396.88</v>
      </c>
      <c r="X223" s="92">
        <f t="shared" si="24"/>
        <v>23800</v>
      </c>
      <c r="Y223" s="92">
        <f t="shared" si="28"/>
        <v>3.46</v>
      </c>
      <c r="Z223" s="92">
        <v>3.48</v>
      </c>
      <c r="AA223" s="92">
        <f t="shared" si="26"/>
        <v>100</v>
      </c>
      <c r="AB223" s="97">
        <f t="shared" si="25"/>
        <v>23700</v>
      </c>
      <c r="AC223" s="96"/>
      <c r="AD223" s="92">
        <v>4.27</v>
      </c>
      <c r="AE223" s="92">
        <v>32.19</v>
      </c>
      <c r="AF223" s="92"/>
      <c r="AG223" s="92"/>
      <c r="AH223" s="92"/>
      <c r="AI223" s="92"/>
      <c r="AJ223" s="97" t="s">
        <v>87</v>
      </c>
    </row>
    <row r="224" spans="1:36">
      <c r="A224" s="84">
        <f t="shared" si="22"/>
        <v>226</v>
      </c>
      <c r="B224" s="91">
        <v>45969</v>
      </c>
      <c r="C224" s="48">
        <v>45969</v>
      </c>
      <c r="D224" s="104">
        <v>0.291666666666667</v>
      </c>
      <c r="E224" s="105">
        <v>0.75</v>
      </c>
      <c r="F224" s="100">
        <v>1672.77</v>
      </c>
      <c r="G224" s="92">
        <v>1644.45</v>
      </c>
      <c r="H224" s="92">
        <v>1657.11</v>
      </c>
      <c r="I224" s="92">
        <v>1673.76</v>
      </c>
      <c r="J224" s="92">
        <v>1666.32</v>
      </c>
      <c r="K224" s="92">
        <v>1656.34</v>
      </c>
      <c r="L224" s="92">
        <v>1643.54</v>
      </c>
      <c r="M224" s="93">
        <v>1678.44</v>
      </c>
      <c r="N224" s="93">
        <v>1677.55</v>
      </c>
      <c r="O224" s="93">
        <v>1680.15</v>
      </c>
      <c r="P224" s="93">
        <v>1673.45</v>
      </c>
      <c r="Q224" s="93">
        <v>1677.33</v>
      </c>
      <c r="R224" s="93">
        <v>1683.22</v>
      </c>
      <c r="S224" s="93">
        <v>1675.12</v>
      </c>
      <c r="T224" s="93">
        <v>1690.26</v>
      </c>
      <c r="U224" s="94">
        <f t="shared" si="23"/>
        <v>25049.81</v>
      </c>
      <c r="V224" s="103">
        <f t="shared" si="27"/>
        <v>396.88</v>
      </c>
      <c r="W224" s="92">
        <v>401.86</v>
      </c>
      <c r="X224" s="92">
        <f t="shared" si="24"/>
        <v>24900.0000000001</v>
      </c>
      <c r="Y224" s="92">
        <f t="shared" si="28"/>
        <v>3.48</v>
      </c>
      <c r="Z224" s="92">
        <v>3.49</v>
      </c>
      <c r="AA224" s="92">
        <f t="shared" si="26"/>
        <v>50.0000000000012</v>
      </c>
      <c r="AB224" s="97">
        <f t="shared" si="25"/>
        <v>24850.0000000001</v>
      </c>
      <c r="AC224" s="96"/>
      <c r="AD224" s="92">
        <v>4.48</v>
      </c>
      <c r="AE224" s="92">
        <v>30.01</v>
      </c>
      <c r="AF224" s="92"/>
      <c r="AG224" s="92"/>
      <c r="AH224" s="92"/>
      <c r="AI224" s="92"/>
      <c r="AJ224" s="97" t="s">
        <v>87</v>
      </c>
    </row>
    <row r="225" spans="1:36">
      <c r="A225" s="84">
        <f t="shared" si="22"/>
        <v>227</v>
      </c>
      <c r="B225" s="91">
        <v>45970</v>
      </c>
      <c r="C225" s="48">
        <v>45970</v>
      </c>
      <c r="D225" s="104">
        <v>0.291666666666667</v>
      </c>
      <c r="E225" s="105">
        <v>0.75</v>
      </c>
      <c r="F225" s="100">
        <v>1665.66</v>
      </c>
      <c r="G225" s="92">
        <v>1642.78</v>
      </c>
      <c r="H225" s="92">
        <v>1648.6</v>
      </c>
      <c r="I225" s="92">
        <v>1644.35</v>
      </c>
      <c r="J225" s="92">
        <v>1655.67</v>
      </c>
      <c r="K225" s="92">
        <v>1638.9</v>
      </c>
      <c r="L225" s="92">
        <v>1676.56</v>
      </c>
      <c r="M225" s="93">
        <v>1677.56</v>
      </c>
      <c r="N225" s="93">
        <v>1646.54</v>
      </c>
      <c r="O225" s="93">
        <v>1673.55</v>
      </c>
      <c r="P225" s="93">
        <v>1664.29</v>
      </c>
      <c r="Q225" s="93">
        <v>1672.1</v>
      </c>
      <c r="R225" s="93">
        <v>1681.56</v>
      </c>
      <c r="S225" s="93">
        <v>1670.22</v>
      </c>
      <c r="T225" s="93">
        <v>1678.92</v>
      </c>
      <c r="U225" s="94">
        <f t="shared" si="23"/>
        <v>24937.26</v>
      </c>
      <c r="V225" s="103">
        <f t="shared" si="27"/>
        <v>401.86</v>
      </c>
      <c r="W225" s="92">
        <v>406.82</v>
      </c>
      <c r="X225" s="92">
        <f t="shared" si="24"/>
        <v>24799.9999999999</v>
      </c>
      <c r="Y225" s="92">
        <f t="shared" si="28"/>
        <v>3.49</v>
      </c>
      <c r="Z225" s="92">
        <v>3.5</v>
      </c>
      <c r="AA225" s="92">
        <f t="shared" si="26"/>
        <v>49.9999999999989</v>
      </c>
      <c r="AB225" s="97">
        <f t="shared" si="25"/>
        <v>24749.9999999999</v>
      </c>
      <c r="AC225" s="96"/>
      <c r="AD225" s="92">
        <v>4.46</v>
      </c>
      <c r="AE225" s="92">
        <v>29.54</v>
      </c>
      <c r="AF225" s="92"/>
      <c r="AG225" s="92"/>
      <c r="AH225" s="92"/>
      <c r="AI225" s="92"/>
      <c r="AJ225" s="97" t="s">
        <v>87</v>
      </c>
    </row>
    <row r="226" spans="1:36">
      <c r="A226" s="84">
        <f t="shared" si="22"/>
        <v>228</v>
      </c>
      <c r="B226" s="91">
        <v>45971</v>
      </c>
      <c r="C226" s="48">
        <v>45971</v>
      </c>
      <c r="D226" s="104">
        <v>0.291666666666667</v>
      </c>
      <c r="E226" s="105">
        <v>0.752777777777778</v>
      </c>
      <c r="F226" s="100">
        <v>1625.65</v>
      </c>
      <c r="G226" s="92">
        <v>1656.23</v>
      </c>
      <c r="H226" s="92">
        <v>1632.44</v>
      </c>
      <c r="I226" s="92">
        <v>1643.24</v>
      </c>
      <c r="J226" s="92">
        <v>1644.43</v>
      </c>
      <c r="K226" s="92">
        <v>1644.56</v>
      </c>
      <c r="L226" s="92">
        <v>1623.76</v>
      </c>
      <c r="M226" s="93">
        <v>1678.79</v>
      </c>
      <c r="N226" s="93">
        <v>1604.5</v>
      </c>
      <c r="O226" s="93">
        <v>1610.92</v>
      </c>
      <c r="P226" s="93">
        <v>1623.33</v>
      </c>
      <c r="Q226" s="93">
        <v>1629.04</v>
      </c>
      <c r="R226" s="93">
        <v>1643.4</v>
      </c>
      <c r="S226" s="93">
        <v>1623.44</v>
      </c>
      <c r="T226" s="93">
        <v>1640.76</v>
      </c>
      <c r="U226" s="94">
        <f t="shared" si="23"/>
        <v>24524.49</v>
      </c>
      <c r="V226" s="103">
        <f t="shared" si="27"/>
        <v>406.82</v>
      </c>
      <c r="W226" s="92">
        <v>411.63</v>
      </c>
      <c r="X226" s="92">
        <f t="shared" si="24"/>
        <v>24050</v>
      </c>
      <c r="Y226" s="92">
        <f t="shared" si="28"/>
        <v>3.5</v>
      </c>
      <c r="Z226" s="92">
        <v>3.52</v>
      </c>
      <c r="AA226" s="92">
        <f t="shared" si="26"/>
        <v>100</v>
      </c>
      <c r="AB226" s="97">
        <f t="shared" si="25"/>
        <v>23950</v>
      </c>
      <c r="AC226" s="96"/>
      <c r="AD226" s="92">
        <v>2.21</v>
      </c>
      <c r="AE226" s="92">
        <v>31.64</v>
      </c>
      <c r="AF226" s="92"/>
      <c r="AG226" s="92"/>
      <c r="AH226" s="92"/>
      <c r="AI226" s="92"/>
      <c r="AJ226" s="97" t="s">
        <v>87</v>
      </c>
    </row>
    <row r="227" spans="1:36">
      <c r="A227" s="84">
        <f t="shared" si="22"/>
        <v>229</v>
      </c>
      <c r="B227" s="91">
        <v>45972</v>
      </c>
      <c r="C227" s="48">
        <v>45972</v>
      </c>
      <c r="D227" s="104">
        <v>0.291666666666667</v>
      </c>
      <c r="E227" s="105">
        <v>0.75</v>
      </c>
      <c r="F227" s="100">
        <v>1635.47</v>
      </c>
      <c r="G227" s="92">
        <v>1655.65</v>
      </c>
      <c r="H227" s="92">
        <v>1644.54</v>
      </c>
      <c r="I227" s="92">
        <v>1623.55</v>
      </c>
      <c r="J227" s="92">
        <v>1634.78</v>
      </c>
      <c r="K227" s="92">
        <v>1633.23</v>
      </c>
      <c r="L227" s="92">
        <v>1667.54</v>
      </c>
      <c r="M227" s="93">
        <v>1677.65</v>
      </c>
      <c r="N227" s="93">
        <v>1640.02</v>
      </c>
      <c r="O227" s="93">
        <v>1645.11</v>
      </c>
      <c r="P227" s="93">
        <v>1633.64</v>
      </c>
      <c r="Q227" s="93">
        <v>1639.77</v>
      </c>
      <c r="R227" s="93">
        <v>1652.97</v>
      </c>
      <c r="S227" s="93">
        <v>1642.14</v>
      </c>
      <c r="T227" s="93">
        <v>1656.38</v>
      </c>
      <c r="U227" s="94">
        <f t="shared" si="23"/>
        <v>24682.44</v>
      </c>
      <c r="V227" s="103">
        <f t="shared" si="27"/>
        <v>411.63</v>
      </c>
      <c r="W227" s="92">
        <v>416.49</v>
      </c>
      <c r="X227" s="92">
        <f t="shared" si="24"/>
        <v>24300.0000000001</v>
      </c>
      <c r="Y227" s="92">
        <f t="shared" si="28"/>
        <v>3.52</v>
      </c>
      <c r="Z227" s="92">
        <v>3.53</v>
      </c>
      <c r="AA227" s="92">
        <f t="shared" si="26"/>
        <v>49.9999999999989</v>
      </c>
      <c r="AB227" s="97">
        <f t="shared" si="25"/>
        <v>24250.0000000001</v>
      </c>
      <c r="AC227" s="96"/>
      <c r="AD227" s="92">
        <v>4.33</v>
      </c>
      <c r="AE227" s="92">
        <v>29.64</v>
      </c>
      <c r="AF227" s="92"/>
      <c r="AG227" s="92"/>
      <c r="AH227" s="92"/>
      <c r="AI227" s="92"/>
      <c r="AJ227" s="97" t="s">
        <v>87</v>
      </c>
    </row>
    <row r="228" spans="1:36">
      <c r="A228" s="84">
        <f t="shared" si="22"/>
        <v>230</v>
      </c>
      <c r="B228" s="91">
        <v>45973</v>
      </c>
      <c r="C228" s="48">
        <v>45973</v>
      </c>
      <c r="D228" s="104">
        <v>0.291666666666667</v>
      </c>
      <c r="E228" s="105">
        <v>0.75</v>
      </c>
      <c r="F228" s="100">
        <v>1605.24</v>
      </c>
      <c r="G228" s="92">
        <v>1601.39</v>
      </c>
      <c r="H228" s="92">
        <v>1589.21</v>
      </c>
      <c r="I228" s="92">
        <v>1603.46</v>
      </c>
      <c r="J228" s="92">
        <v>1579.43</v>
      </c>
      <c r="K228" s="92">
        <v>1588.04</v>
      </c>
      <c r="L228" s="92">
        <v>1663.13</v>
      </c>
      <c r="M228" s="93">
        <v>1623.13</v>
      </c>
      <c r="N228" s="93">
        <v>1623.76</v>
      </c>
      <c r="O228" s="93">
        <v>1620.61</v>
      </c>
      <c r="P228" s="93">
        <v>1622.51</v>
      </c>
      <c r="Q228" s="93">
        <v>1620.51</v>
      </c>
      <c r="R228" s="93">
        <v>1625.75</v>
      </c>
      <c r="S228" s="93">
        <v>1613.16</v>
      </c>
      <c r="T228" s="93">
        <v>1630.16</v>
      </c>
      <c r="U228" s="94">
        <f t="shared" si="23"/>
        <v>24209.49</v>
      </c>
      <c r="V228" s="103">
        <f t="shared" si="27"/>
        <v>416.49</v>
      </c>
      <c r="W228" s="92">
        <v>421.28</v>
      </c>
      <c r="X228" s="92">
        <f t="shared" si="24"/>
        <v>23949.9999999998</v>
      </c>
      <c r="Y228" s="92">
        <f t="shared" si="28"/>
        <v>3.53</v>
      </c>
      <c r="Z228" s="92">
        <v>3.54</v>
      </c>
      <c r="AA228" s="92">
        <f t="shared" si="26"/>
        <v>50.0000000000012</v>
      </c>
      <c r="AB228" s="97">
        <f t="shared" si="25"/>
        <v>23899.9999999998</v>
      </c>
      <c r="AC228" s="96"/>
      <c r="AD228" s="92">
        <v>4.3</v>
      </c>
      <c r="AE228" s="92">
        <v>29.62</v>
      </c>
      <c r="AF228" s="92"/>
      <c r="AG228" s="92"/>
      <c r="AH228" s="92"/>
      <c r="AI228" s="92"/>
      <c r="AJ228" s="97" t="s">
        <v>87</v>
      </c>
    </row>
    <row r="229" spans="1:36">
      <c r="A229" s="84">
        <f t="shared" si="22"/>
        <v>231</v>
      </c>
      <c r="B229" s="91">
        <v>45974</v>
      </c>
      <c r="C229" s="48">
        <v>45974</v>
      </c>
      <c r="D229" s="104">
        <v>0.291666666666667</v>
      </c>
      <c r="E229" s="105">
        <v>0.75</v>
      </c>
      <c r="F229" s="100">
        <v>1572.36</v>
      </c>
      <c r="G229" s="92">
        <v>1567.48</v>
      </c>
      <c r="H229" s="92">
        <v>1555.88</v>
      </c>
      <c r="I229" s="92">
        <v>1562.78</v>
      </c>
      <c r="J229" s="92">
        <v>1569.18</v>
      </c>
      <c r="K229" s="92">
        <v>1545.2</v>
      </c>
      <c r="L229" s="92">
        <v>1558.31</v>
      </c>
      <c r="M229" s="93">
        <v>1626.75</v>
      </c>
      <c r="N229" s="93">
        <v>1592.88</v>
      </c>
      <c r="O229" s="93">
        <v>1584.17</v>
      </c>
      <c r="P229" s="93">
        <v>1692.77</v>
      </c>
      <c r="Q229" s="93">
        <v>1589.97</v>
      </c>
      <c r="R229" s="93">
        <v>1591.42</v>
      </c>
      <c r="S229" s="93">
        <v>1590.67</v>
      </c>
      <c r="T229" s="93">
        <v>1594.96</v>
      </c>
      <c r="U229" s="94">
        <f t="shared" si="23"/>
        <v>23794.78</v>
      </c>
      <c r="V229" s="103">
        <f t="shared" si="27"/>
        <v>421.28</v>
      </c>
      <c r="W229" s="92">
        <v>425.97</v>
      </c>
      <c r="X229" s="92">
        <f t="shared" si="24"/>
        <v>23450.0000000003</v>
      </c>
      <c r="Y229" s="92">
        <f t="shared" si="28"/>
        <v>3.54</v>
      </c>
      <c r="Z229" s="92">
        <v>3.56</v>
      </c>
      <c r="AA229" s="92">
        <f t="shared" si="26"/>
        <v>100</v>
      </c>
      <c r="AB229" s="97">
        <f t="shared" si="25"/>
        <v>23350.0000000003</v>
      </c>
      <c r="AC229" s="96"/>
      <c r="AD229" s="92">
        <v>4.25</v>
      </c>
      <c r="AE229" s="92">
        <v>29.37</v>
      </c>
      <c r="AF229" s="92"/>
      <c r="AG229" s="92"/>
      <c r="AH229" s="92"/>
      <c r="AI229" s="92"/>
      <c r="AJ229" s="97" t="s">
        <v>87</v>
      </c>
    </row>
    <row r="230" spans="1:36">
      <c r="A230" s="84">
        <f t="shared" si="22"/>
        <v>232</v>
      </c>
      <c r="B230" s="91">
        <v>45975</v>
      </c>
      <c r="C230" s="48">
        <v>45975</v>
      </c>
      <c r="D230" s="104">
        <v>0.291666666666667</v>
      </c>
      <c r="E230" s="105">
        <v>0.75</v>
      </c>
      <c r="F230" s="100">
        <v>1564.32</v>
      </c>
      <c r="G230" s="92">
        <v>1578.67</v>
      </c>
      <c r="H230" s="92">
        <v>1544.23</v>
      </c>
      <c r="I230" s="92">
        <v>1555.65</v>
      </c>
      <c r="J230" s="92">
        <v>1563.52</v>
      </c>
      <c r="K230" s="92">
        <v>1565.45</v>
      </c>
      <c r="L230" s="92">
        <v>1545.33</v>
      </c>
      <c r="M230" s="93">
        <v>1544.36</v>
      </c>
      <c r="N230" s="93">
        <v>1576.16</v>
      </c>
      <c r="O230" s="93">
        <v>1574.53</v>
      </c>
      <c r="P230" s="93">
        <v>1577.55</v>
      </c>
      <c r="Q230" s="93">
        <v>1575.87</v>
      </c>
      <c r="R230" s="93">
        <v>1580.93</v>
      </c>
      <c r="S230" s="93">
        <v>1580.8</v>
      </c>
      <c r="T230" s="93">
        <v>1583.92</v>
      </c>
      <c r="U230" s="94">
        <f t="shared" si="23"/>
        <v>23511.29</v>
      </c>
      <c r="V230" s="103">
        <f t="shared" si="27"/>
        <v>425.97</v>
      </c>
      <c r="W230" s="92">
        <v>430.63</v>
      </c>
      <c r="X230" s="92">
        <f t="shared" si="24"/>
        <v>23299.9999999998</v>
      </c>
      <c r="Y230" s="92">
        <f t="shared" si="28"/>
        <v>3.56</v>
      </c>
      <c r="Z230" s="92">
        <v>3.57</v>
      </c>
      <c r="AA230" s="92">
        <f t="shared" si="26"/>
        <v>49.9999999999989</v>
      </c>
      <c r="AB230" s="97">
        <f t="shared" si="25"/>
        <v>23249.9999999998</v>
      </c>
      <c r="AC230" s="96"/>
      <c r="AD230" s="92">
        <v>4.27</v>
      </c>
      <c r="AE230" s="92">
        <v>29.49</v>
      </c>
      <c r="AF230" s="92"/>
      <c r="AG230" s="92"/>
      <c r="AH230" s="92"/>
      <c r="AI230" s="92"/>
      <c r="AJ230" s="97" t="s">
        <v>87</v>
      </c>
    </row>
    <row r="231" spans="1:36">
      <c r="A231" s="84">
        <f t="shared" si="22"/>
        <v>233</v>
      </c>
      <c r="B231" s="91">
        <v>45976</v>
      </c>
      <c r="C231" s="48">
        <v>45976</v>
      </c>
      <c r="D231" s="104">
        <v>0.514583333333333</v>
      </c>
      <c r="E231" s="105">
        <v>0.760416666666667</v>
      </c>
      <c r="F231" s="100">
        <v>778.23</v>
      </c>
      <c r="G231" s="92">
        <v>742.57</v>
      </c>
      <c r="H231" s="92">
        <v>765.43</v>
      </c>
      <c r="I231" s="92">
        <v>756.66</v>
      </c>
      <c r="J231" s="92">
        <v>756.9</v>
      </c>
      <c r="K231" s="92">
        <v>732.33</v>
      </c>
      <c r="L231" s="92">
        <v>744.54</v>
      </c>
      <c r="M231" s="93">
        <v>744.76</v>
      </c>
      <c r="N231" s="93">
        <v>793.76</v>
      </c>
      <c r="O231" s="93">
        <v>791.36</v>
      </c>
      <c r="P231" s="93">
        <v>791.83</v>
      </c>
      <c r="Q231" s="93">
        <v>790.22</v>
      </c>
      <c r="R231" s="93">
        <v>793.05</v>
      </c>
      <c r="S231" s="93">
        <v>794.09</v>
      </c>
      <c r="T231" s="93">
        <v>799.26</v>
      </c>
      <c r="U231" s="94">
        <f t="shared" si="23"/>
        <v>11574.99</v>
      </c>
      <c r="V231" s="103">
        <f t="shared" si="27"/>
        <v>430.63</v>
      </c>
      <c r="W231" s="92">
        <v>432.97</v>
      </c>
      <c r="X231" s="92">
        <f t="shared" si="24"/>
        <v>11700.0000000002</v>
      </c>
      <c r="Y231" s="92">
        <f t="shared" si="28"/>
        <v>3.57</v>
      </c>
      <c r="Z231" s="92">
        <v>3.58</v>
      </c>
      <c r="AA231" s="92">
        <f t="shared" si="26"/>
        <v>50.0000000000012</v>
      </c>
      <c r="AB231" s="97">
        <f t="shared" si="25"/>
        <v>11650.0000000002</v>
      </c>
      <c r="AC231" s="96"/>
      <c r="AD231" s="92">
        <v>2.41</v>
      </c>
      <c r="AE231" s="92">
        <v>32.38</v>
      </c>
      <c r="AF231" s="92"/>
      <c r="AG231" s="92"/>
      <c r="AH231" s="92"/>
      <c r="AI231" s="92"/>
      <c r="AJ231" s="97" t="s">
        <v>87</v>
      </c>
    </row>
    <row r="232" spans="1:36">
      <c r="A232" s="84">
        <f t="shared" si="22"/>
        <v>234</v>
      </c>
      <c r="B232" s="91">
        <v>45977</v>
      </c>
      <c r="C232" s="48">
        <v>45977</v>
      </c>
      <c r="D232" s="104">
        <v>0.302083333333333</v>
      </c>
      <c r="E232" s="105">
        <v>0.760416666666667</v>
      </c>
      <c r="F232" s="100">
        <v>1434.45</v>
      </c>
      <c r="G232" s="92">
        <v>1440.34</v>
      </c>
      <c r="H232" s="92">
        <v>1406.12</v>
      </c>
      <c r="I232" s="92">
        <v>1411.1</v>
      </c>
      <c r="J232" s="92">
        <v>1397.09</v>
      </c>
      <c r="K232" s="92">
        <v>1355.23</v>
      </c>
      <c r="L232" s="92">
        <v>1334.11</v>
      </c>
      <c r="M232" s="93">
        <v>1370.19</v>
      </c>
      <c r="N232" s="93">
        <v>1332.66</v>
      </c>
      <c r="O232" s="93">
        <v>1447.18</v>
      </c>
      <c r="P232" s="93">
        <v>1418.57</v>
      </c>
      <c r="Q232" s="93">
        <v>1462.53</v>
      </c>
      <c r="R232" s="93">
        <v>1449.44</v>
      </c>
      <c r="S232" s="93">
        <v>1461.4</v>
      </c>
      <c r="T232" s="93">
        <v>1445.53</v>
      </c>
      <c r="U232" s="94">
        <f t="shared" si="23"/>
        <v>21165.94</v>
      </c>
      <c r="V232" s="103">
        <f t="shared" si="27"/>
        <v>432.97</v>
      </c>
      <c r="W232" s="92">
        <v>437.16</v>
      </c>
      <c r="X232" s="92">
        <f t="shared" si="24"/>
        <v>20950</v>
      </c>
      <c r="Y232" s="92">
        <f t="shared" si="28"/>
        <v>3.58</v>
      </c>
      <c r="Z232" s="92">
        <v>3.59</v>
      </c>
      <c r="AA232" s="92">
        <f t="shared" si="26"/>
        <v>49.9999999999989</v>
      </c>
      <c r="AB232" s="97">
        <f t="shared" si="25"/>
        <v>20900</v>
      </c>
      <c r="AC232" s="96"/>
      <c r="AD232" s="92">
        <v>4.01</v>
      </c>
      <c r="AE232" s="92">
        <v>28.62</v>
      </c>
      <c r="AF232" s="92"/>
      <c r="AG232" s="92"/>
      <c r="AH232" s="92"/>
      <c r="AI232" s="92"/>
      <c r="AJ232" s="97" t="s">
        <v>87</v>
      </c>
    </row>
    <row r="233" spans="1:36">
      <c r="A233" s="84">
        <f t="shared" si="22"/>
        <v>235</v>
      </c>
      <c r="B233" s="91">
        <v>45978</v>
      </c>
      <c r="C233" s="48">
        <v>45978</v>
      </c>
      <c r="D233" s="104">
        <v>0.302083333333333</v>
      </c>
      <c r="E233" s="105">
        <v>0.760416666666667</v>
      </c>
      <c r="F233" s="100">
        <v>1535.12</v>
      </c>
      <c r="G233" s="92">
        <v>1546.32</v>
      </c>
      <c r="H233" s="92">
        <v>1522.5</v>
      </c>
      <c r="I233" s="92">
        <v>1573.65</v>
      </c>
      <c r="J233" s="92">
        <v>1567.44</v>
      </c>
      <c r="K233" s="92">
        <v>1534.43</v>
      </c>
      <c r="L233" s="92">
        <v>1533.55</v>
      </c>
      <c r="M233" s="93">
        <v>1587.56</v>
      </c>
      <c r="N233" s="93">
        <v>1547.28</v>
      </c>
      <c r="O233" s="93">
        <v>1544.63</v>
      </c>
      <c r="P233" s="93">
        <v>1544.7</v>
      </c>
      <c r="Q233" s="93">
        <v>1546.14</v>
      </c>
      <c r="R233" s="93">
        <v>1549.88</v>
      </c>
      <c r="S233" s="93">
        <v>1548.1</v>
      </c>
      <c r="T233" s="93">
        <v>1557.84</v>
      </c>
      <c r="U233" s="94">
        <f t="shared" si="23"/>
        <v>23239.14</v>
      </c>
      <c r="V233" s="103">
        <f t="shared" si="27"/>
        <v>437.16</v>
      </c>
      <c r="W233" s="92">
        <v>441.72</v>
      </c>
      <c r="X233" s="92">
        <f t="shared" si="24"/>
        <v>22800</v>
      </c>
      <c r="Y233" s="92">
        <f t="shared" si="28"/>
        <v>3.59</v>
      </c>
      <c r="Z233" s="92">
        <v>3.61</v>
      </c>
      <c r="AA233" s="92">
        <f t="shared" si="26"/>
        <v>100</v>
      </c>
      <c r="AB233" s="97">
        <f t="shared" si="25"/>
        <v>22700</v>
      </c>
      <c r="AC233" s="96"/>
      <c r="AD233" s="92">
        <v>4.21</v>
      </c>
      <c r="AE233" s="92">
        <v>27.89</v>
      </c>
      <c r="AF233" s="92"/>
      <c r="AG233" s="92"/>
      <c r="AH233" s="92"/>
      <c r="AI233" s="92"/>
      <c r="AJ233" s="97" t="s">
        <v>87</v>
      </c>
    </row>
    <row r="234" spans="1:36">
      <c r="A234" s="84">
        <f t="shared" si="22"/>
        <v>236</v>
      </c>
      <c r="B234" s="91">
        <v>45979</v>
      </c>
      <c r="C234" s="48">
        <v>45979</v>
      </c>
      <c r="D234" s="104">
        <v>0.302083333333333</v>
      </c>
      <c r="E234" s="105">
        <v>0.75</v>
      </c>
      <c r="F234" s="100">
        <v>1532.4</v>
      </c>
      <c r="G234" s="92">
        <v>1567.43</v>
      </c>
      <c r="H234" s="92">
        <v>1518.1</v>
      </c>
      <c r="I234" s="92">
        <v>1555.3</v>
      </c>
      <c r="J234" s="92">
        <v>1510.44</v>
      </c>
      <c r="K234" s="92">
        <v>1460.87</v>
      </c>
      <c r="L234" s="92">
        <v>1554.33</v>
      </c>
      <c r="M234" s="93">
        <v>1523.97</v>
      </c>
      <c r="N234" s="93">
        <v>1583.15</v>
      </c>
      <c r="O234" s="93">
        <v>1520.69</v>
      </c>
      <c r="P234" s="93">
        <v>1542.11</v>
      </c>
      <c r="Q234" s="93">
        <v>1541.18</v>
      </c>
      <c r="R234" s="93">
        <v>1544.93</v>
      </c>
      <c r="S234" s="93">
        <v>1539.7</v>
      </c>
      <c r="T234" s="93">
        <v>1553.62</v>
      </c>
      <c r="U234" s="94">
        <f t="shared" si="23"/>
        <v>23048.22</v>
      </c>
      <c r="V234" s="103">
        <f t="shared" si="27"/>
        <v>441.72</v>
      </c>
      <c r="W234" s="92">
        <v>446.22</v>
      </c>
      <c r="X234" s="92">
        <f t="shared" si="24"/>
        <v>22500</v>
      </c>
      <c r="Y234" s="92">
        <f t="shared" si="28"/>
        <v>3.61</v>
      </c>
      <c r="Z234" s="92">
        <v>3.62</v>
      </c>
      <c r="AA234" s="92">
        <f t="shared" si="26"/>
        <v>50.0000000000012</v>
      </c>
      <c r="AB234" s="97">
        <f t="shared" si="25"/>
        <v>22450</v>
      </c>
      <c r="AC234" s="96"/>
      <c r="AD234" s="92">
        <v>4.22</v>
      </c>
      <c r="AE234" s="92">
        <v>27.59</v>
      </c>
      <c r="AF234" s="92"/>
      <c r="AG234" s="92"/>
      <c r="AH234" s="92"/>
      <c r="AI234" s="92"/>
      <c r="AJ234" s="97" t="s">
        <v>87</v>
      </c>
    </row>
    <row r="235" spans="1:36">
      <c r="A235" s="84">
        <f t="shared" si="22"/>
        <v>237</v>
      </c>
      <c r="B235" s="91">
        <v>45980</v>
      </c>
      <c r="C235" s="48">
        <v>45980</v>
      </c>
      <c r="D235" s="104">
        <v>0.302083333333333</v>
      </c>
      <c r="E235" s="105">
        <v>0.75</v>
      </c>
      <c r="F235" s="100">
        <v>1454.4</v>
      </c>
      <c r="G235" s="92">
        <v>1425.06</v>
      </c>
      <c r="H235" s="92">
        <v>1445.65</v>
      </c>
      <c r="I235" s="92">
        <v>1425.94</v>
      </c>
      <c r="J235" s="92">
        <v>1421.77</v>
      </c>
      <c r="K235" s="92">
        <v>1433.9</v>
      </c>
      <c r="L235" s="92">
        <v>1412.42</v>
      </c>
      <c r="M235" s="93">
        <v>1454.44</v>
      </c>
      <c r="N235" s="93">
        <v>1475.42</v>
      </c>
      <c r="O235" s="93">
        <v>1450.74</v>
      </c>
      <c r="P235" s="93">
        <v>1452.45</v>
      </c>
      <c r="Q235" s="93">
        <v>1448.1</v>
      </c>
      <c r="R235" s="93">
        <v>1451.99</v>
      </c>
      <c r="S235" s="93">
        <v>1450.18</v>
      </c>
      <c r="T235" s="93">
        <v>1459.48</v>
      </c>
      <c r="U235" s="94">
        <f t="shared" si="23"/>
        <v>21661.94</v>
      </c>
      <c r="V235" s="103">
        <f t="shared" si="27"/>
        <v>446.22</v>
      </c>
      <c r="W235" s="92">
        <v>450.52</v>
      </c>
      <c r="X235" s="92">
        <f t="shared" si="24"/>
        <v>21499.9999999998</v>
      </c>
      <c r="Y235" s="92">
        <f t="shared" si="28"/>
        <v>3.62</v>
      </c>
      <c r="Z235" s="92">
        <v>3.63</v>
      </c>
      <c r="AA235" s="92">
        <f t="shared" si="26"/>
        <v>49.9999999999989</v>
      </c>
      <c r="AB235" s="97">
        <f t="shared" si="25"/>
        <v>21449.9999999998</v>
      </c>
      <c r="AC235" s="96"/>
      <c r="AD235" s="92">
        <v>3.96</v>
      </c>
      <c r="AE235" s="92">
        <v>28.06</v>
      </c>
      <c r="AF235" s="92"/>
      <c r="AG235" s="92"/>
      <c r="AH235" s="92"/>
      <c r="AI235" s="92"/>
      <c r="AJ235" s="97" t="s">
        <v>87</v>
      </c>
    </row>
    <row r="236" spans="1:36">
      <c r="A236" s="84">
        <f t="shared" si="22"/>
        <v>238</v>
      </c>
      <c r="B236" s="91">
        <v>45981</v>
      </c>
      <c r="C236" s="48">
        <v>45981</v>
      </c>
      <c r="D236" s="104">
        <v>0.302083333333333</v>
      </c>
      <c r="E236" s="105">
        <v>0.760416666666667</v>
      </c>
      <c r="F236" s="100">
        <v>1475.23</v>
      </c>
      <c r="G236" s="92">
        <v>1446.35</v>
      </c>
      <c r="H236" s="92">
        <v>1455.7</v>
      </c>
      <c r="I236" s="92">
        <v>1459.78</v>
      </c>
      <c r="J236" s="92">
        <v>1420.45</v>
      </c>
      <c r="K236" s="92">
        <v>1429.2</v>
      </c>
      <c r="L236" s="92">
        <v>1439.5</v>
      </c>
      <c r="M236" s="93">
        <v>1475.1</v>
      </c>
      <c r="N236" s="93">
        <v>1457.88</v>
      </c>
      <c r="O236" s="93">
        <v>1456.14</v>
      </c>
      <c r="P236" s="93">
        <v>1455.46</v>
      </c>
      <c r="Q236" s="93">
        <v>1458.56</v>
      </c>
      <c r="R236" s="93">
        <v>1457.1</v>
      </c>
      <c r="S236" s="93">
        <v>1450.83</v>
      </c>
      <c r="T236" s="93">
        <v>1464.33</v>
      </c>
      <c r="U236" s="94">
        <f t="shared" si="23"/>
        <v>21801.61</v>
      </c>
      <c r="V236" s="103">
        <f t="shared" si="27"/>
        <v>450.52</v>
      </c>
      <c r="W236" s="92">
        <v>454.83</v>
      </c>
      <c r="X236" s="92">
        <f t="shared" si="24"/>
        <v>21550</v>
      </c>
      <c r="Y236" s="92">
        <f t="shared" si="28"/>
        <v>3.63</v>
      </c>
      <c r="Z236" s="92">
        <v>3.64</v>
      </c>
      <c r="AA236" s="92">
        <f t="shared" si="26"/>
        <v>50.0000000000012</v>
      </c>
      <c r="AB236" s="97">
        <f t="shared" si="25"/>
        <v>21500</v>
      </c>
      <c r="AC236" s="96"/>
      <c r="AD236" s="92">
        <v>3.94</v>
      </c>
      <c r="AE236" s="92">
        <v>28.06</v>
      </c>
      <c r="AF236" s="92"/>
      <c r="AG236" s="92"/>
      <c r="AH236" s="92"/>
      <c r="AI236" s="92"/>
      <c r="AJ236" s="97" t="s">
        <v>87</v>
      </c>
    </row>
    <row r="237" spans="1:36">
      <c r="A237" s="84">
        <f t="shared" si="22"/>
        <v>239</v>
      </c>
      <c r="B237" s="91">
        <v>45982</v>
      </c>
      <c r="C237" s="48">
        <v>45982</v>
      </c>
      <c r="D237" s="104">
        <v>0.302083333333333</v>
      </c>
      <c r="E237" s="105">
        <v>0.760416666666667</v>
      </c>
      <c r="F237" s="100">
        <v>1313.2</v>
      </c>
      <c r="G237" s="92">
        <v>1289.32</v>
      </c>
      <c r="H237" s="92">
        <v>1298.02</v>
      </c>
      <c r="I237" s="92">
        <v>1355.77</v>
      </c>
      <c r="J237" s="92">
        <v>1255.65</v>
      </c>
      <c r="K237" s="92">
        <v>1289.64</v>
      </c>
      <c r="L237" s="92">
        <v>1264.44</v>
      </c>
      <c r="M237" s="93">
        <v>1279.2</v>
      </c>
      <c r="N237" s="93">
        <v>1296.26</v>
      </c>
      <c r="O237" s="93">
        <v>1293.04</v>
      </c>
      <c r="P237" s="93">
        <v>1292.02</v>
      </c>
      <c r="Q237" s="93">
        <v>1300.01</v>
      </c>
      <c r="R237" s="93">
        <v>1300.86</v>
      </c>
      <c r="S237" s="93">
        <v>1291.06</v>
      </c>
      <c r="T237" s="93">
        <v>1305.92</v>
      </c>
      <c r="U237" s="94">
        <f t="shared" si="23"/>
        <v>19424.41</v>
      </c>
      <c r="V237" s="103">
        <f t="shared" si="27"/>
        <v>454.83</v>
      </c>
      <c r="W237" s="92">
        <v>458.7</v>
      </c>
      <c r="X237" s="92">
        <f t="shared" si="24"/>
        <v>19350</v>
      </c>
      <c r="Y237" s="92">
        <f t="shared" si="28"/>
        <v>3.64</v>
      </c>
      <c r="Z237" s="92">
        <v>3.66</v>
      </c>
      <c r="AA237" s="92">
        <f t="shared" si="26"/>
        <v>100</v>
      </c>
      <c r="AB237" s="97">
        <f t="shared" si="25"/>
        <v>19250</v>
      </c>
      <c r="AC237" s="96"/>
      <c r="AD237" s="92">
        <v>3.67</v>
      </c>
      <c r="AE237" s="92">
        <v>28.24</v>
      </c>
      <c r="AF237" s="92"/>
      <c r="AG237" s="92"/>
      <c r="AH237" s="92"/>
      <c r="AI237" s="92"/>
      <c r="AJ237" s="97" t="s">
        <v>87</v>
      </c>
    </row>
    <row r="238" spans="1:36">
      <c r="A238" s="84">
        <f t="shared" si="22"/>
        <v>240</v>
      </c>
      <c r="B238" s="91">
        <v>45983</v>
      </c>
      <c r="C238" s="48">
        <v>45983</v>
      </c>
      <c r="D238" s="104">
        <v>0.302083333333333</v>
      </c>
      <c r="E238" s="105">
        <v>0.760416666666667</v>
      </c>
      <c r="F238" s="100">
        <v>1443.16</v>
      </c>
      <c r="G238" s="92">
        <v>1422.67</v>
      </c>
      <c r="H238" s="92">
        <v>1424.16</v>
      </c>
      <c r="I238" s="92">
        <v>1433.15</v>
      </c>
      <c r="J238" s="92">
        <v>1455.35</v>
      </c>
      <c r="K238" s="92">
        <v>1433.42</v>
      </c>
      <c r="L238" s="92">
        <v>1454.33</v>
      </c>
      <c r="M238" s="93">
        <v>1466.44</v>
      </c>
      <c r="N238" s="93">
        <v>1428.45</v>
      </c>
      <c r="O238" s="93">
        <v>1425.84</v>
      </c>
      <c r="P238" s="93">
        <v>1423.02</v>
      </c>
      <c r="Q238" s="93">
        <v>1427.77</v>
      </c>
      <c r="R238" s="93">
        <v>1426.67</v>
      </c>
      <c r="S238" s="93">
        <v>1424.54</v>
      </c>
      <c r="T238" s="93">
        <v>1433.73</v>
      </c>
      <c r="U238" s="94">
        <f t="shared" si="23"/>
        <v>21522.7</v>
      </c>
      <c r="V238" s="103">
        <f t="shared" si="27"/>
        <v>458.7</v>
      </c>
      <c r="W238" s="92">
        <v>462.96</v>
      </c>
      <c r="X238" s="92">
        <f t="shared" si="24"/>
        <v>21300</v>
      </c>
      <c r="Y238" s="92">
        <f t="shared" si="28"/>
        <v>3.66</v>
      </c>
      <c r="Z238" s="92">
        <v>3.67</v>
      </c>
      <c r="AA238" s="92">
        <f t="shared" si="26"/>
        <v>49.9999999999989</v>
      </c>
      <c r="AB238" s="97">
        <f t="shared" si="25"/>
        <v>21250</v>
      </c>
      <c r="AC238" s="96"/>
      <c r="AD238" s="92">
        <v>3.92</v>
      </c>
      <c r="AE238" s="92">
        <v>27.83</v>
      </c>
      <c r="AF238" s="92"/>
      <c r="AG238" s="92"/>
      <c r="AH238" s="92"/>
      <c r="AI238" s="92"/>
      <c r="AJ238" s="97" t="s">
        <v>87</v>
      </c>
    </row>
    <row r="239" spans="1:36">
      <c r="A239" s="84">
        <f t="shared" si="22"/>
        <v>241</v>
      </c>
      <c r="B239" s="91">
        <v>45984</v>
      </c>
      <c r="C239" s="48">
        <v>45984</v>
      </c>
      <c r="D239" s="104">
        <v>0.3125</v>
      </c>
      <c r="E239" s="105">
        <v>0.75</v>
      </c>
      <c r="F239" s="100">
        <v>1470.2</v>
      </c>
      <c r="G239" s="92">
        <v>1472.27</v>
      </c>
      <c r="H239" s="92">
        <v>1451.21</v>
      </c>
      <c r="I239" s="92">
        <v>1461.74</v>
      </c>
      <c r="J239" s="92">
        <v>1466.43</v>
      </c>
      <c r="K239" s="92">
        <v>1436.84</v>
      </c>
      <c r="L239" s="92">
        <v>1446.44</v>
      </c>
      <c r="M239" s="93">
        <v>1525.19</v>
      </c>
      <c r="N239" s="93">
        <v>1456.01</v>
      </c>
      <c r="O239" s="93">
        <v>1455.22</v>
      </c>
      <c r="P239" s="93">
        <v>1450.38</v>
      </c>
      <c r="Q239" s="93">
        <v>1457.1</v>
      </c>
      <c r="R239" s="93">
        <v>1456.03</v>
      </c>
      <c r="S239" s="93">
        <v>1276.42</v>
      </c>
      <c r="T239" s="93">
        <v>1463.1</v>
      </c>
      <c r="U239" s="94">
        <f t="shared" si="23"/>
        <v>21744.58</v>
      </c>
      <c r="V239" s="103">
        <f t="shared" si="27"/>
        <v>462.96</v>
      </c>
      <c r="W239" s="92">
        <v>467.3</v>
      </c>
      <c r="X239" s="92">
        <f t="shared" si="24"/>
        <v>21700.0000000002</v>
      </c>
      <c r="Y239" s="92">
        <f t="shared" si="28"/>
        <v>3.67</v>
      </c>
      <c r="Z239" s="92">
        <v>3.68</v>
      </c>
      <c r="AA239" s="92">
        <f t="shared" si="26"/>
        <v>50.0000000000012</v>
      </c>
      <c r="AB239" s="97">
        <f t="shared" si="25"/>
        <v>21650.0000000002</v>
      </c>
      <c r="AC239" s="96"/>
      <c r="AD239" s="92">
        <v>4.02</v>
      </c>
      <c r="AE239" s="92">
        <v>28.42</v>
      </c>
      <c r="AF239" s="92"/>
      <c r="AG239" s="92"/>
      <c r="AH239" s="92"/>
      <c r="AI239" s="92"/>
      <c r="AJ239" s="97" t="s">
        <v>87</v>
      </c>
    </row>
    <row r="240" spans="1:36">
      <c r="A240" s="84">
        <f t="shared" si="22"/>
        <v>242</v>
      </c>
      <c r="B240" s="91">
        <v>45985</v>
      </c>
      <c r="C240" s="48">
        <v>45985</v>
      </c>
      <c r="D240" s="104">
        <v>0.302083333333333</v>
      </c>
      <c r="E240" s="105">
        <v>0.760416666666667</v>
      </c>
      <c r="F240" s="100">
        <v>1568.42</v>
      </c>
      <c r="G240" s="92">
        <v>1552.13</v>
      </c>
      <c r="H240" s="92">
        <v>1548.57</v>
      </c>
      <c r="I240" s="92">
        <v>1544.19</v>
      </c>
      <c r="J240" s="92">
        <v>1562.65</v>
      </c>
      <c r="K240" s="92">
        <v>1534.85</v>
      </c>
      <c r="L240" s="92">
        <v>1541.14</v>
      </c>
      <c r="M240" s="93">
        <v>1580.29</v>
      </c>
      <c r="N240" s="93">
        <v>1554.9</v>
      </c>
      <c r="O240" s="93">
        <v>1547.76</v>
      </c>
      <c r="P240" s="93">
        <v>1552.77</v>
      </c>
      <c r="Q240" s="93">
        <v>1551.67</v>
      </c>
      <c r="R240" s="93">
        <v>1551.46</v>
      </c>
      <c r="S240" s="93">
        <v>1545.73</v>
      </c>
      <c r="T240" s="93">
        <v>1560.78</v>
      </c>
      <c r="U240" s="94">
        <f t="shared" si="23"/>
        <v>23297.31</v>
      </c>
      <c r="V240" s="103">
        <f t="shared" si="27"/>
        <v>467.3</v>
      </c>
      <c r="W240" s="92">
        <v>471.93</v>
      </c>
      <c r="X240" s="92">
        <f t="shared" si="24"/>
        <v>23150</v>
      </c>
      <c r="Y240" s="92">
        <f t="shared" si="28"/>
        <v>3.68</v>
      </c>
      <c r="Z240" s="92">
        <v>3.69</v>
      </c>
      <c r="AA240" s="92">
        <f t="shared" si="26"/>
        <v>49.9999999999989</v>
      </c>
      <c r="AB240" s="97">
        <f t="shared" si="25"/>
        <v>23100</v>
      </c>
      <c r="AC240" s="96"/>
      <c r="AD240" s="92">
        <v>4.16</v>
      </c>
      <c r="AE240" s="92">
        <v>28.04</v>
      </c>
      <c r="AF240" s="92"/>
      <c r="AG240" s="92"/>
      <c r="AH240" s="92"/>
      <c r="AI240" s="92"/>
      <c r="AJ240" s="97" t="s">
        <v>87</v>
      </c>
    </row>
    <row r="241" spans="1:36">
      <c r="A241" s="84">
        <f t="shared" si="22"/>
        <v>243</v>
      </c>
      <c r="B241" s="91">
        <v>45986</v>
      </c>
      <c r="C241" s="48">
        <v>45986</v>
      </c>
      <c r="D241" s="104">
        <v>0.302083333333333</v>
      </c>
      <c r="E241" s="105">
        <v>0.760416666666667</v>
      </c>
      <c r="F241" s="100">
        <v>1468.46</v>
      </c>
      <c r="G241" s="92">
        <v>1487.54</v>
      </c>
      <c r="H241" s="92">
        <v>1447.37</v>
      </c>
      <c r="I241" s="92">
        <v>1435.76</v>
      </c>
      <c r="J241" s="92">
        <v>1472.22</v>
      </c>
      <c r="K241" s="92">
        <v>1456.33</v>
      </c>
      <c r="L241" s="92">
        <v>1466.45</v>
      </c>
      <c r="M241" s="93">
        <v>1466.43</v>
      </c>
      <c r="N241" s="93">
        <v>1445.65</v>
      </c>
      <c r="O241" s="93">
        <v>1447.65</v>
      </c>
      <c r="P241" s="93">
        <v>1444.32</v>
      </c>
      <c r="Q241" s="93">
        <v>1450.95</v>
      </c>
      <c r="R241" s="93">
        <v>1451.25</v>
      </c>
      <c r="S241" s="93">
        <v>1441.09</v>
      </c>
      <c r="T241" s="93">
        <v>1457.16</v>
      </c>
      <c r="U241" s="94">
        <f t="shared" si="23"/>
        <v>21838.63</v>
      </c>
      <c r="V241" s="103">
        <f t="shared" si="27"/>
        <v>471.93</v>
      </c>
      <c r="W241" s="92">
        <v>476.26</v>
      </c>
      <c r="X241" s="92">
        <f t="shared" si="24"/>
        <v>21649.9999999999</v>
      </c>
      <c r="Y241" s="92">
        <f t="shared" si="28"/>
        <v>3.69</v>
      </c>
      <c r="Z241" s="92">
        <v>3.71</v>
      </c>
      <c r="AA241" s="92">
        <f t="shared" si="26"/>
        <v>100</v>
      </c>
      <c r="AB241" s="97">
        <f t="shared" si="25"/>
        <v>21549.9999999999</v>
      </c>
      <c r="AC241" s="96"/>
      <c r="AD241" s="92">
        <v>3.9</v>
      </c>
      <c r="AE241" s="92">
        <v>27.69</v>
      </c>
      <c r="AF241" s="92"/>
      <c r="AG241" s="92"/>
      <c r="AH241" s="92"/>
      <c r="AI241" s="92"/>
      <c r="AJ241" s="97" t="s">
        <v>87</v>
      </c>
    </row>
    <row r="242" spans="1:36">
      <c r="A242" s="84">
        <f t="shared" si="22"/>
        <v>244</v>
      </c>
      <c r="B242" s="91">
        <v>45987</v>
      </c>
      <c r="C242" s="48">
        <v>45987</v>
      </c>
      <c r="D242" s="104">
        <v>0.302083333333333</v>
      </c>
      <c r="E242" s="105">
        <v>0.760416666666667</v>
      </c>
      <c r="F242" s="100">
        <v>1372.23</v>
      </c>
      <c r="G242" s="92">
        <v>1352.34</v>
      </c>
      <c r="H242" s="92">
        <v>1354.22</v>
      </c>
      <c r="I242" s="92">
        <v>1377.46</v>
      </c>
      <c r="J242" s="92">
        <v>1389.52</v>
      </c>
      <c r="K242" s="92">
        <v>1365.34</v>
      </c>
      <c r="L242" s="92">
        <v>1376.25</v>
      </c>
      <c r="M242" s="93">
        <v>1355.63</v>
      </c>
      <c r="N242" s="93">
        <v>1345.77</v>
      </c>
      <c r="O242" s="93">
        <v>1351</v>
      </c>
      <c r="P242" s="93">
        <v>1342.33</v>
      </c>
      <c r="Q242" s="93">
        <v>1345.24</v>
      </c>
      <c r="R242" s="93">
        <v>1355.89</v>
      </c>
      <c r="S242" s="93">
        <v>1338.07</v>
      </c>
      <c r="T242" s="93">
        <v>1351.02</v>
      </c>
      <c r="U242" s="94">
        <f t="shared" si="23"/>
        <v>20372.31</v>
      </c>
      <c r="V242" s="103">
        <f t="shared" si="27"/>
        <v>476.26</v>
      </c>
      <c r="W242" s="92">
        <v>480.29</v>
      </c>
      <c r="X242" s="92">
        <f t="shared" si="24"/>
        <v>20150.0000000001</v>
      </c>
      <c r="Y242" s="92">
        <f t="shared" si="28"/>
        <v>3.71</v>
      </c>
      <c r="Z242" s="92">
        <v>3.72</v>
      </c>
      <c r="AA242" s="92">
        <f t="shared" si="26"/>
        <v>50.0000000000012</v>
      </c>
      <c r="AB242" s="97">
        <f t="shared" si="25"/>
        <v>20100.0000000001</v>
      </c>
      <c r="AC242" s="96"/>
      <c r="AD242" s="92">
        <v>3.7</v>
      </c>
      <c r="AE242" s="92">
        <v>28.45</v>
      </c>
      <c r="AF242" s="92"/>
      <c r="AG242" s="92"/>
      <c r="AH242" s="92"/>
      <c r="AI242" s="92"/>
      <c r="AJ242" s="97" t="s">
        <v>87</v>
      </c>
    </row>
    <row r="243" spans="1:36">
      <c r="A243" s="84">
        <f t="shared" si="22"/>
        <v>245</v>
      </c>
      <c r="B243" s="91">
        <v>45988</v>
      </c>
      <c r="C243" s="48">
        <v>45988</v>
      </c>
      <c r="D243" s="104">
        <v>0.302083333333333</v>
      </c>
      <c r="E243" s="105">
        <v>0.760416666666667</v>
      </c>
      <c r="F243" s="100">
        <v>1282.24</v>
      </c>
      <c r="G243" s="92">
        <v>1280.88</v>
      </c>
      <c r="H243" s="92">
        <v>1269.75</v>
      </c>
      <c r="I243" s="92">
        <v>1280.59</v>
      </c>
      <c r="J243" s="92">
        <v>1265.61</v>
      </c>
      <c r="K243" s="92">
        <v>1260.86</v>
      </c>
      <c r="L243" s="92">
        <v>1270.8</v>
      </c>
      <c r="M243" s="93">
        <v>1315.82</v>
      </c>
      <c r="N243" s="93">
        <v>1255.57</v>
      </c>
      <c r="O243" s="93">
        <v>1281.44</v>
      </c>
      <c r="P243" s="93">
        <v>1249.75</v>
      </c>
      <c r="Q243" s="93">
        <v>1258.61</v>
      </c>
      <c r="R243" s="93">
        <v>1289.62</v>
      </c>
      <c r="S243" s="93">
        <v>1249.13</v>
      </c>
      <c r="T243" s="93">
        <v>1278.88</v>
      </c>
      <c r="U243" s="94">
        <f t="shared" si="23"/>
        <v>19089.55</v>
      </c>
      <c r="V243" s="103">
        <f t="shared" si="27"/>
        <v>480.29</v>
      </c>
      <c r="W243" s="92">
        <v>484.08</v>
      </c>
      <c r="X243" s="92">
        <f t="shared" si="24"/>
        <v>18949.9999999998</v>
      </c>
      <c r="Y243" s="92">
        <f t="shared" si="28"/>
        <v>3.72</v>
      </c>
      <c r="Z243" s="92">
        <v>3.73</v>
      </c>
      <c r="AA243" s="92">
        <f t="shared" si="26"/>
        <v>49.9999999999989</v>
      </c>
      <c r="AB243" s="97">
        <f t="shared" si="25"/>
        <v>18899.9999999998</v>
      </c>
      <c r="AC243" s="96"/>
      <c r="AD243" s="92">
        <v>3.43</v>
      </c>
      <c r="AE243" s="92">
        <v>28.17</v>
      </c>
      <c r="AF243" s="92"/>
      <c r="AG243" s="92"/>
      <c r="AH243" s="92"/>
      <c r="AI243" s="92"/>
      <c r="AJ243" s="97" t="s">
        <v>87</v>
      </c>
    </row>
    <row r="244" spans="1:36">
      <c r="A244" s="84">
        <f t="shared" si="22"/>
        <v>246</v>
      </c>
      <c r="B244" s="91">
        <v>45989</v>
      </c>
      <c r="C244" s="48">
        <v>45989</v>
      </c>
      <c r="D244" s="104">
        <v>0.3125</v>
      </c>
      <c r="E244" s="105">
        <v>0.760416666666667</v>
      </c>
      <c r="F244" s="100">
        <v>1130.03</v>
      </c>
      <c r="G244" s="92">
        <v>1122.75</v>
      </c>
      <c r="H244" s="92">
        <v>1115.12</v>
      </c>
      <c r="I244" s="92">
        <v>1122.15</v>
      </c>
      <c r="J244" s="92">
        <v>1108.8</v>
      </c>
      <c r="K244" s="92">
        <v>1107.2</v>
      </c>
      <c r="L244" s="92">
        <v>1117.03</v>
      </c>
      <c r="M244" s="93">
        <v>1155.01</v>
      </c>
      <c r="N244" s="93">
        <v>1122.09</v>
      </c>
      <c r="O244" s="93">
        <v>1132.65</v>
      </c>
      <c r="P244" s="93">
        <v>1123.88</v>
      </c>
      <c r="Q244" s="93">
        <v>1116.53</v>
      </c>
      <c r="R244" s="93">
        <v>1135.07</v>
      </c>
      <c r="S244" s="93">
        <v>1100.12</v>
      </c>
      <c r="T244" s="93">
        <v>1129.4</v>
      </c>
      <c r="U244" s="94">
        <f t="shared" si="23"/>
        <v>16837.83</v>
      </c>
      <c r="V244" s="103">
        <f t="shared" si="27"/>
        <v>484.08</v>
      </c>
      <c r="W244" s="92">
        <v>487.41</v>
      </c>
      <c r="X244" s="92">
        <f t="shared" si="24"/>
        <v>16650.0000000002</v>
      </c>
      <c r="Y244" s="92">
        <f t="shared" si="28"/>
        <v>3.73</v>
      </c>
      <c r="Z244" s="92">
        <v>3.74</v>
      </c>
      <c r="AA244" s="92">
        <f t="shared" si="26"/>
        <v>50.0000000000012</v>
      </c>
      <c r="AB244" s="97">
        <f t="shared" si="25"/>
        <v>16600.0000000002</v>
      </c>
      <c r="AC244" s="96"/>
      <c r="AD244" s="92">
        <v>3.13</v>
      </c>
      <c r="AE244" s="92">
        <v>29.06</v>
      </c>
      <c r="AF244" s="92"/>
      <c r="AG244" s="92"/>
      <c r="AH244" s="92"/>
      <c r="AI244" s="92"/>
      <c r="AJ244" s="97" t="s">
        <v>87</v>
      </c>
    </row>
    <row r="245" spans="1:36">
      <c r="A245" s="84">
        <f t="shared" si="22"/>
        <v>247</v>
      </c>
      <c r="B245" s="91">
        <v>45990</v>
      </c>
      <c r="C245" s="48">
        <v>45990</v>
      </c>
      <c r="D245" s="104">
        <v>0.302083333333333</v>
      </c>
      <c r="E245" s="105">
        <v>0.739583333333333</v>
      </c>
      <c r="F245" s="100">
        <v>1170.57</v>
      </c>
      <c r="G245" s="92">
        <v>1169</v>
      </c>
      <c r="H245" s="92">
        <v>1157.41</v>
      </c>
      <c r="I245" s="92">
        <v>1168.12</v>
      </c>
      <c r="J245" s="92">
        <v>1156.12</v>
      </c>
      <c r="K245" s="92">
        <v>1156.19</v>
      </c>
      <c r="L245" s="92">
        <v>1152.98</v>
      </c>
      <c r="M245" s="93">
        <v>1163.4</v>
      </c>
      <c r="N245" s="93">
        <v>1190.22</v>
      </c>
      <c r="O245" s="93">
        <v>1159.78</v>
      </c>
      <c r="P245" s="93">
        <v>1166.5</v>
      </c>
      <c r="Q245" s="93">
        <v>1153.93</v>
      </c>
      <c r="R245" s="93">
        <v>1160.78</v>
      </c>
      <c r="S245" s="93">
        <v>1180.26</v>
      </c>
      <c r="T245" s="93">
        <v>1155.97</v>
      </c>
      <c r="U245" s="94">
        <f t="shared" si="23"/>
        <v>17461.23</v>
      </c>
      <c r="V245" s="103">
        <f t="shared" si="27"/>
        <v>487.41</v>
      </c>
      <c r="W245" s="92">
        <v>490.88</v>
      </c>
      <c r="X245" s="92">
        <f t="shared" si="24"/>
        <v>17349.9999999999</v>
      </c>
      <c r="Y245" s="92">
        <f t="shared" si="28"/>
        <v>3.74</v>
      </c>
      <c r="Z245" s="92">
        <v>3.75</v>
      </c>
      <c r="AA245" s="92">
        <f t="shared" si="26"/>
        <v>49.9999999999989</v>
      </c>
      <c r="AB245" s="97">
        <f t="shared" si="25"/>
        <v>17299.9999999999</v>
      </c>
      <c r="AC245" s="96"/>
      <c r="AD245" s="92">
        <v>3.35</v>
      </c>
      <c r="AE245" s="92">
        <v>29.04</v>
      </c>
      <c r="AF245" s="92"/>
      <c r="AG245" s="92"/>
      <c r="AH245" s="92"/>
      <c r="AI245" s="92"/>
      <c r="AJ245" s="97" t="s">
        <v>87</v>
      </c>
    </row>
    <row r="246" spans="1:36">
      <c r="A246" s="84">
        <f t="shared" si="22"/>
        <v>248</v>
      </c>
      <c r="B246" s="91">
        <v>45991</v>
      </c>
      <c r="C246" s="48">
        <v>45991</v>
      </c>
      <c r="D246" s="104">
        <v>0.302083333333333</v>
      </c>
      <c r="E246" s="105">
        <v>0.739583333333333</v>
      </c>
      <c r="F246" s="100">
        <v>1357.75</v>
      </c>
      <c r="G246" s="92">
        <v>1354.97</v>
      </c>
      <c r="H246" s="92">
        <v>1342.3</v>
      </c>
      <c r="I246" s="92">
        <v>1355.81</v>
      </c>
      <c r="J246" s="92">
        <v>1347.33</v>
      </c>
      <c r="K246" s="92">
        <v>1333.95</v>
      </c>
      <c r="L246" s="92">
        <v>1347.23</v>
      </c>
      <c r="M246" s="93">
        <v>1382.15</v>
      </c>
      <c r="N246" s="93">
        <v>1349.56</v>
      </c>
      <c r="O246" s="93">
        <v>1367.85</v>
      </c>
      <c r="P246" s="93">
        <v>1347.38</v>
      </c>
      <c r="Q246" s="93">
        <v>1362.66</v>
      </c>
      <c r="R246" s="93">
        <v>1373.19</v>
      </c>
      <c r="S246" s="93">
        <v>1358.09</v>
      </c>
      <c r="T246" s="93">
        <v>1368.36</v>
      </c>
      <c r="U246" s="94">
        <f t="shared" si="23"/>
        <v>20348.58</v>
      </c>
      <c r="V246" s="103">
        <f t="shared" si="27"/>
        <v>490.88</v>
      </c>
      <c r="W246" s="92">
        <v>494.91</v>
      </c>
      <c r="X246" s="92">
        <f t="shared" si="24"/>
        <v>20150.0000000001</v>
      </c>
      <c r="Y246" s="92">
        <f t="shared" si="28"/>
        <v>3.75</v>
      </c>
      <c r="Z246" s="92">
        <v>3.77</v>
      </c>
      <c r="AA246" s="92">
        <f t="shared" si="26"/>
        <v>100</v>
      </c>
      <c r="AB246" s="97">
        <f t="shared" si="25"/>
        <v>20050.0000000001</v>
      </c>
      <c r="AC246" s="96"/>
      <c r="AD246" s="92">
        <v>3.71</v>
      </c>
      <c r="AE246" s="92">
        <v>29.18</v>
      </c>
      <c r="AF246" s="92"/>
      <c r="AG246" s="92"/>
      <c r="AH246" s="92"/>
      <c r="AI246" s="92"/>
      <c r="AJ246" s="97" t="s">
        <v>87</v>
      </c>
    </row>
    <row r="247" spans="1:36">
      <c r="A247" s="84">
        <f t="shared" si="22"/>
        <v>249</v>
      </c>
      <c r="B247" s="91">
        <v>45992</v>
      </c>
      <c r="C247" s="48">
        <v>45992</v>
      </c>
      <c r="D247" s="104">
        <v>0.302083333333333</v>
      </c>
      <c r="E247" s="105">
        <v>0.739583333333333</v>
      </c>
      <c r="F247" s="100">
        <v>1438.72</v>
      </c>
      <c r="G247" s="92">
        <v>1433.45</v>
      </c>
      <c r="H247" s="92">
        <v>1454.75</v>
      </c>
      <c r="I247" s="92">
        <v>1566.78</v>
      </c>
      <c r="J247" s="92">
        <v>1452.66</v>
      </c>
      <c r="K247" s="92">
        <v>1443.32</v>
      </c>
      <c r="L247" s="92">
        <v>1467.23</v>
      </c>
      <c r="M247" s="93">
        <v>1476.35</v>
      </c>
      <c r="N247" s="93">
        <v>1432.02</v>
      </c>
      <c r="O247" s="93">
        <v>1449.58</v>
      </c>
      <c r="P247" s="93">
        <v>1430.12</v>
      </c>
      <c r="Q247" s="93">
        <v>1435.72</v>
      </c>
      <c r="R247" s="93">
        <v>1455.73</v>
      </c>
      <c r="S247" s="93">
        <v>1439.12</v>
      </c>
      <c r="T247" s="93">
        <v>1450.02</v>
      </c>
      <c r="U247" s="94">
        <f t="shared" si="23"/>
        <v>21825.57</v>
      </c>
      <c r="V247" s="103">
        <f t="shared" si="27"/>
        <v>494.91</v>
      </c>
      <c r="W247" s="92">
        <v>499.18</v>
      </c>
      <c r="X247" s="92">
        <f t="shared" si="24"/>
        <v>21349.9999999999</v>
      </c>
      <c r="Y247" s="92">
        <f t="shared" si="28"/>
        <v>3.77</v>
      </c>
      <c r="Z247" s="92">
        <v>3.78</v>
      </c>
      <c r="AA247" s="92">
        <f t="shared" si="26"/>
        <v>49.9999999999989</v>
      </c>
      <c r="AB247" s="97">
        <f t="shared" si="25"/>
        <v>21299.9999999999</v>
      </c>
      <c r="AC247" s="96"/>
      <c r="AD247" s="92">
        <v>3.81</v>
      </c>
      <c r="AE247" s="92">
        <v>28.74</v>
      </c>
      <c r="AF247" s="92"/>
      <c r="AG247" s="92"/>
      <c r="AH247" s="92"/>
      <c r="AI247" s="92"/>
      <c r="AJ247" s="97" t="s">
        <v>87</v>
      </c>
    </row>
    <row r="248" spans="1:36">
      <c r="A248" s="84">
        <f t="shared" si="22"/>
        <v>250</v>
      </c>
      <c r="B248" s="91">
        <v>45993</v>
      </c>
      <c r="C248" s="48">
        <v>45993</v>
      </c>
      <c r="D248" s="104">
        <v>0.302083333333333</v>
      </c>
      <c r="E248" s="105">
        <v>0.760416666666667</v>
      </c>
      <c r="F248" s="100">
        <v>1302.81</v>
      </c>
      <c r="G248" s="92">
        <v>1284.66</v>
      </c>
      <c r="H248" s="92">
        <v>1290.12</v>
      </c>
      <c r="I248" s="92">
        <v>1300.02</v>
      </c>
      <c r="J248" s="92">
        <v>1286.4</v>
      </c>
      <c r="K248" s="92">
        <v>1278.51</v>
      </c>
      <c r="L248" s="92">
        <v>1291.94</v>
      </c>
      <c r="M248" s="93">
        <v>1336.99</v>
      </c>
      <c r="N248" s="93">
        <v>1297.13</v>
      </c>
      <c r="O248" s="93">
        <v>1313.26</v>
      </c>
      <c r="P248" s="93">
        <v>1292.73</v>
      </c>
      <c r="Q248" s="93">
        <v>1301.88</v>
      </c>
      <c r="R248" s="93">
        <v>1317.7</v>
      </c>
      <c r="S248" s="93">
        <v>1303.34</v>
      </c>
      <c r="T248" s="93">
        <v>1313.9</v>
      </c>
      <c r="U248" s="94">
        <f t="shared" si="23"/>
        <v>19511.39</v>
      </c>
      <c r="V248" s="103">
        <f t="shared" si="27"/>
        <v>499.18</v>
      </c>
      <c r="W248" s="92">
        <v>503.04</v>
      </c>
      <c r="X248" s="92">
        <f t="shared" si="24"/>
        <v>19300.0000000001</v>
      </c>
      <c r="Y248" s="92">
        <f t="shared" si="28"/>
        <v>3.78</v>
      </c>
      <c r="Z248" s="92">
        <v>3.79</v>
      </c>
      <c r="AA248" s="92">
        <f t="shared" si="26"/>
        <v>50.0000000000012</v>
      </c>
      <c r="AB248" s="97">
        <f t="shared" si="25"/>
        <v>19250.0000000001</v>
      </c>
      <c r="AC248" s="96"/>
      <c r="AD248" s="92">
        <v>3.5</v>
      </c>
      <c r="AE248" s="92">
        <v>26.88</v>
      </c>
      <c r="AF248" s="92"/>
      <c r="AG248" s="92"/>
      <c r="AH248" s="92"/>
      <c r="AI248" s="92"/>
      <c r="AJ248" s="97" t="s">
        <v>87</v>
      </c>
    </row>
    <row r="249" spans="1:36">
      <c r="A249" s="84">
        <f t="shared" si="22"/>
        <v>251</v>
      </c>
      <c r="B249" s="91">
        <v>45994</v>
      </c>
      <c r="C249" s="48">
        <v>45994</v>
      </c>
      <c r="D249" s="104">
        <v>0.302083333333333</v>
      </c>
      <c r="E249" s="105">
        <v>0.760416666666667</v>
      </c>
      <c r="F249" s="100">
        <v>1429.04</v>
      </c>
      <c r="G249" s="92">
        <v>1426.14</v>
      </c>
      <c r="H249" s="92">
        <v>1414.32</v>
      </c>
      <c r="I249" s="92">
        <v>1426.08</v>
      </c>
      <c r="J249" s="92">
        <v>1412.61</v>
      </c>
      <c r="K249" s="92">
        <v>1406.92</v>
      </c>
      <c r="L249" s="92">
        <v>1418.38</v>
      </c>
      <c r="M249" s="93">
        <v>1470.01</v>
      </c>
      <c r="N249" s="93">
        <v>1432.33</v>
      </c>
      <c r="O249" s="93">
        <v>1439.16</v>
      </c>
      <c r="P249" s="93">
        <v>1433.99</v>
      </c>
      <c r="Q249" s="93">
        <v>1426.29</v>
      </c>
      <c r="R249" s="93">
        <v>1447</v>
      </c>
      <c r="S249" s="93">
        <v>1426.82</v>
      </c>
      <c r="T249" s="93">
        <v>1439.47</v>
      </c>
      <c r="U249" s="94">
        <f t="shared" si="23"/>
        <v>21448.56</v>
      </c>
      <c r="V249" s="103">
        <f t="shared" si="27"/>
        <v>503.04</v>
      </c>
      <c r="W249" s="92">
        <v>507.3</v>
      </c>
      <c r="X249" s="92">
        <f t="shared" si="24"/>
        <v>21300</v>
      </c>
      <c r="Y249" s="92">
        <f t="shared" si="28"/>
        <v>3.79</v>
      </c>
      <c r="Z249" s="92">
        <v>3.8</v>
      </c>
      <c r="AA249" s="92">
        <f t="shared" si="26"/>
        <v>49.9999999999989</v>
      </c>
      <c r="AB249" s="97">
        <f t="shared" si="25"/>
        <v>21250</v>
      </c>
      <c r="AC249" s="96"/>
      <c r="AD249" s="92">
        <v>3.8</v>
      </c>
      <c r="AE249" s="92">
        <v>27.71</v>
      </c>
      <c r="AF249" s="92"/>
      <c r="AG249" s="92"/>
      <c r="AH249" s="92"/>
      <c r="AI249" s="92"/>
      <c r="AJ249" s="97" t="s">
        <v>87</v>
      </c>
    </row>
    <row r="250" spans="1:36">
      <c r="A250" s="84">
        <f t="shared" si="22"/>
        <v>252</v>
      </c>
      <c r="B250" s="91">
        <v>45995</v>
      </c>
      <c r="C250" s="48">
        <v>45995</v>
      </c>
      <c r="D250" s="104">
        <v>0.302083333333333</v>
      </c>
      <c r="E250" s="105">
        <v>0.760416666666667</v>
      </c>
      <c r="F250" s="100">
        <v>1359.02</v>
      </c>
      <c r="G250" s="92">
        <v>1345.66</v>
      </c>
      <c r="H250" s="92">
        <v>1341.32</v>
      </c>
      <c r="I250" s="92">
        <v>1350.03</v>
      </c>
      <c r="J250" s="92">
        <v>1339.15</v>
      </c>
      <c r="K250" s="92">
        <v>1331.35</v>
      </c>
      <c r="L250" s="92">
        <v>1340.25</v>
      </c>
      <c r="M250" s="93">
        <v>1389.9</v>
      </c>
      <c r="N250" s="93">
        <v>1345.63</v>
      </c>
      <c r="O250" s="93">
        <v>1359.98</v>
      </c>
      <c r="P250" s="93">
        <v>1345.25</v>
      </c>
      <c r="Q250" s="93">
        <v>1351.9</v>
      </c>
      <c r="R250" s="93">
        <v>1366.17</v>
      </c>
      <c r="S250" s="93">
        <v>1349.77</v>
      </c>
      <c r="T250" s="93">
        <v>1360.45</v>
      </c>
      <c r="U250" s="94">
        <f t="shared" si="23"/>
        <v>20275.83</v>
      </c>
      <c r="V250" s="103">
        <f t="shared" si="27"/>
        <v>507.3</v>
      </c>
      <c r="W250" s="92">
        <v>511.3</v>
      </c>
      <c r="X250" s="92">
        <f t="shared" si="24"/>
        <v>20000</v>
      </c>
      <c r="Y250" s="92">
        <f t="shared" si="28"/>
        <v>3.8</v>
      </c>
      <c r="Z250" s="92">
        <v>3.82</v>
      </c>
      <c r="AA250" s="92">
        <f t="shared" si="26"/>
        <v>100</v>
      </c>
      <c r="AB250" s="97">
        <f t="shared" si="25"/>
        <v>19900</v>
      </c>
      <c r="AC250" s="96"/>
      <c r="AD250" s="92">
        <v>3.65</v>
      </c>
      <c r="AE250" s="92">
        <v>27.5</v>
      </c>
      <c r="AF250" s="92"/>
      <c r="AG250" s="92"/>
      <c r="AH250" s="92"/>
      <c r="AI250" s="92"/>
      <c r="AJ250" s="97" t="s">
        <v>87</v>
      </c>
    </row>
    <row r="251" spans="1:36">
      <c r="A251" s="84">
        <f t="shared" si="22"/>
        <v>253</v>
      </c>
      <c r="B251" s="91">
        <v>45996</v>
      </c>
      <c r="C251" s="48">
        <v>45996</v>
      </c>
      <c r="D251" s="104">
        <v>0.302083333333333</v>
      </c>
      <c r="E251" s="105">
        <v>0.760416666666667</v>
      </c>
      <c r="F251" s="100">
        <v>1367.26</v>
      </c>
      <c r="G251" s="92">
        <v>1345.66</v>
      </c>
      <c r="H251" s="92">
        <v>1352.41</v>
      </c>
      <c r="I251" s="92">
        <v>1361.09</v>
      </c>
      <c r="J251" s="92">
        <v>1350.12</v>
      </c>
      <c r="K251" s="92">
        <v>1341.33</v>
      </c>
      <c r="L251" s="92">
        <v>1353.54</v>
      </c>
      <c r="M251" s="93">
        <v>1398.22</v>
      </c>
      <c r="N251" s="93">
        <v>1362.71</v>
      </c>
      <c r="O251" s="93">
        <v>1378.49</v>
      </c>
      <c r="P251" s="93">
        <v>1369</v>
      </c>
      <c r="Q251" s="93">
        <v>1365.93</v>
      </c>
      <c r="R251" s="93">
        <v>1383.02</v>
      </c>
      <c r="S251" s="93">
        <v>1379.88</v>
      </c>
      <c r="T251" s="93">
        <v>1376.09</v>
      </c>
      <c r="U251" s="94">
        <f t="shared" si="23"/>
        <v>20484.75</v>
      </c>
      <c r="V251" s="103">
        <f t="shared" si="27"/>
        <v>511.3</v>
      </c>
      <c r="W251" s="92">
        <v>515.37</v>
      </c>
      <c r="X251" s="92">
        <f t="shared" si="24"/>
        <v>20350</v>
      </c>
      <c r="Y251" s="92">
        <f t="shared" si="28"/>
        <v>3.82</v>
      </c>
      <c r="Z251" s="92">
        <v>3.83</v>
      </c>
      <c r="AA251" s="92">
        <f t="shared" si="26"/>
        <v>50.0000000000012</v>
      </c>
      <c r="AB251" s="97">
        <f t="shared" si="25"/>
        <v>20300</v>
      </c>
      <c r="AC251" s="96"/>
      <c r="AD251" s="92">
        <v>3.65</v>
      </c>
      <c r="AE251" s="92">
        <v>28.12</v>
      </c>
      <c r="AF251" s="92"/>
      <c r="AG251" s="92"/>
      <c r="AH251" s="92"/>
      <c r="AI251" s="92"/>
      <c r="AJ251" s="97" t="s">
        <v>87</v>
      </c>
    </row>
    <row r="252" spans="1:36">
      <c r="A252" s="84">
        <f t="shared" si="22"/>
        <v>254</v>
      </c>
      <c r="B252" s="91">
        <v>45997</v>
      </c>
      <c r="C252" s="48">
        <v>45997</v>
      </c>
      <c r="D252" s="104">
        <v>0.302083333333333</v>
      </c>
      <c r="E252" s="105">
        <v>0.760416666666667</v>
      </c>
      <c r="F252" s="100">
        <v>1292.19</v>
      </c>
      <c r="G252" s="92">
        <v>1284.93</v>
      </c>
      <c r="H252" s="92">
        <v>1296.96</v>
      </c>
      <c r="I252" s="92">
        <v>1283.54</v>
      </c>
      <c r="J252" s="92">
        <v>1262.79</v>
      </c>
      <c r="K252" s="92">
        <v>1265.72</v>
      </c>
      <c r="L252" s="92">
        <v>1277.91</v>
      </c>
      <c r="M252" s="93">
        <v>1321.4</v>
      </c>
      <c r="N252" s="93">
        <v>1301.87</v>
      </c>
      <c r="O252" s="93">
        <v>1300</v>
      </c>
      <c r="P252" s="93">
        <v>1312.43</v>
      </c>
      <c r="Q252" s="93">
        <v>1309.55</v>
      </c>
      <c r="R252" s="93">
        <v>1304</v>
      </c>
      <c r="S252" s="93">
        <v>1311.46</v>
      </c>
      <c r="T252" s="93">
        <v>1296.79</v>
      </c>
      <c r="U252" s="94">
        <f t="shared" si="23"/>
        <v>19421.54</v>
      </c>
      <c r="V252" s="103">
        <f t="shared" si="27"/>
        <v>515.37</v>
      </c>
      <c r="W252" s="92">
        <v>519.21</v>
      </c>
      <c r="X252" s="92">
        <f t="shared" si="24"/>
        <v>19200.0000000002</v>
      </c>
      <c r="Y252" s="92">
        <f t="shared" si="28"/>
        <v>3.83</v>
      </c>
      <c r="Z252" s="92">
        <v>3.84</v>
      </c>
      <c r="AA252" s="92">
        <f t="shared" si="26"/>
        <v>49.9999999999989</v>
      </c>
      <c r="AB252" s="97">
        <f t="shared" si="25"/>
        <v>19150.0000000002</v>
      </c>
      <c r="AC252" s="96"/>
      <c r="AD252" s="92">
        <v>3.45</v>
      </c>
      <c r="AE252" s="92">
        <v>26.79</v>
      </c>
      <c r="AF252" s="92"/>
      <c r="AG252" s="92"/>
      <c r="AH252" s="92"/>
      <c r="AI252" s="92"/>
      <c r="AJ252" s="97" t="s">
        <v>87</v>
      </c>
    </row>
    <row r="253" spans="1:36">
      <c r="A253" s="84">
        <f t="shared" si="22"/>
        <v>255</v>
      </c>
      <c r="B253" s="91">
        <v>45998</v>
      </c>
      <c r="C253" s="48">
        <v>45998</v>
      </c>
      <c r="D253" s="104">
        <v>0.3125</v>
      </c>
      <c r="E253" s="105">
        <v>0.75</v>
      </c>
      <c r="F253" s="100">
        <v>1440.55</v>
      </c>
      <c r="G253" s="92">
        <v>1430.37</v>
      </c>
      <c r="H253" s="92">
        <v>1426.22</v>
      </c>
      <c r="I253" s="92">
        <v>1434.46</v>
      </c>
      <c r="J253" s="92">
        <v>1428.88</v>
      </c>
      <c r="K253" s="92">
        <v>1414.26</v>
      </c>
      <c r="L253" s="92">
        <v>1423.9</v>
      </c>
      <c r="M253" s="93">
        <v>1456.99</v>
      </c>
      <c r="N253" s="93">
        <v>1457.48</v>
      </c>
      <c r="O253" s="93">
        <v>1454.11</v>
      </c>
      <c r="P253" s="93">
        <v>1469.54</v>
      </c>
      <c r="Q253" s="93">
        <v>1459.45</v>
      </c>
      <c r="R253" s="93">
        <v>1462.17</v>
      </c>
      <c r="S253" s="93">
        <v>1457.44</v>
      </c>
      <c r="T253" s="93">
        <v>1460.36</v>
      </c>
      <c r="U253" s="94">
        <f t="shared" si="23"/>
        <v>21676.18</v>
      </c>
      <c r="V253" s="103">
        <f t="shared" si="27"/>
        <v>519.21</v>
      </c>
      <c r="W253" s="92">
        <v>523.5</v>
      </c>
      <c r="X253" s="92">
        <f t="shared" si="24"/>
        <v>21449.9999999998</v>
      </c>
      <c r="Y253" s="92">
        <f t="shared" si="28"/>
        <v>3.84</v>
      </c>
      <c r="Z253" s="92">
        <v>3.86</v>
      </c>
      <c r="AA253" s="92">
        <f t="shared" si="26"/>
        <v>100</v>
      </c>
      <c r="AB253" s="97">
        <f t="shared" si="25"/>
        <v>21349.9999999998</v>
      </c>
      <c r="AC253" s="96"/>
      <c r="AD253" s="92">
        <v>3.81</v>
      </c>
      <c r="AE253" s="92">
        <v>28.15</v>
      </c>
      <c r="AF253" s="92"/>
      <c r="AG253" s="92"/>
      <c r="AH253" s="92"/>
      <c r="AI253" s="92"/>
      <c r="AJ253" s="97" t="s">
        <v>87</v>
      </c>
    </row>
    <row r="254" spans="1:36">
      <c r="A254" s="84">
        <f t="shared" si="22"/>
        <v>256</v>
      </c>
      <c r="B254" s="91">
        <v>45999</v>
      </c>
      <c r="C254" s="48">
        <v>45999</v>
      </c>
      <c r="D254" s="104">
        <v>0.302083333333333</v>
      </c>
      <c r="E254" s="105">
        <v>0.75</v>
      </c>
      <c r="F254" s="100">
        <v>1422.05</v>
      </c>
      <c r="G254" s="92">
        <v>1428.48</v>
      </c>
      <c r="H254" s="92">
        <v>1421.7</v>
      </c>
      <c r="I254" s="92">
        <v>1431.27</v>
      </c>
      <c r="J254" s="92">
        <v>1424.9</v>
      </c>
      <c r="K254" s="92">
        <v>1408.14</v>
      </c>
      <c r="L254" s="92">
        <v>1419.5</v>
      </c>
      <c r="M254" s="93">
        <v>1451.55</v>
      </c>
      <c r="N254" s="93">
        <v>1453.91</v>
      </c>
      <c r="O254" s="93">
        <v>1469.08</v>
      </c>
      <c r="P254" s="93">
        <v>1468.55</v>
      </c>
      <c r="Q254" s="93">
        <v>1462.12</v>
      </c>
      <c r="R254" s="93">
        <v>1484.44</v>
      </c>
      <c r="S254" s="93">
        <v>1464.8</v>
      </c>
      <c r="T254" s="93">
        <v>1478.98</v>
      </c>
      <c r="U254" s="94">
        <f t="shared" si="23"/>
        <v>21689.47</v>
      </c>
      <c r="V254" s="103">
        <f t="shared" si="27"/>
        <v>523.5</v>
      </c>
      <c r="W254" s="92">
        <v>527.79</v>
      </c>
      <c r="X254" s="92">
        <f t="shared" si="24"/>
        <v>21449.9999999998</v>
      </c>
      <c r="Y254" s="92">
        <f t="shared" si="28"/>
        <v>3.86</v>
      </c>
      <c r="Z254" s="92">
        <v>3.87</v>
      </c>
      <c r="AA254" s="92">
        <f t="shared" si="26"/>
        <v>50.0000000000012</v>
      </c>
      <c r="AB254" s="97">
        <f t="shared" si="25"/>
        <v>21399.9999999998</v>
      </c>
      <c r="AC254" s="96"/>
      <c r="AD254" s="92">
        <v>3.82</v>
      </c>
      <c r="AE254" s="92">
        <v>27.64</v>
      </c>
      <c r="AF254" s="92"/>
      <c r="AG254" s="92"/>
      <c r="AH254" s="92"/>
      <c r="AI254" s="92"/>
      <c r="AJ254" s="97" t="s">
        <v>87</v>
      </c>
    </row>
    <row r="255" spans="1:36">
      <c r="A255" s="84">
        <f t="shared" si="22"/>
        <v>257</v>
      </c>
      <c r="B255" s="91">
        <v>46000</v>
      </c>
      <c r="C255" s="48">
        <v>46000</v>
      </c>
      <c r="D255" s="104">
        <v>0.302083333333333</v>
      </c>
      <c r="E255" s="105">
        <v>0.75</v>
      </c>
      <c r="F255" s="100">
        <v>1508.89</v>
      </c>
      <c r="G255" s="92">
        <v>1531.91</v>
      </c>
      <c r="H255" s="92">
        <v>1560.83</v>
      </c>
      <c r="I255" s="92">
        <v>1538.14</v>
      </c>
      <c r="J255" s="92">
        <v>1521.02</v>
      </c>
      <c r="K255" s="92">
        <v>1551.7</v>
      </c>
      <c r="L255" s="92">
        <v>1521.17</v>
      </c>
      <c r="M255" s="93">
        <v>1580.89</v>
      </c>
      <c r="N255" s="93">
        <v>1582.75</v>
      </c>
      <c r="O255" s="93">
        <v>1584.76</v>
      </c>
      <c r="P255" s="93">
        <v>1580.88</v>
      </c>
      <c r="Q255" s="93">
        <v>1468.62</v>
      </c>
      <c r="R255" s="93">
        <v>1604.7</v>
      </c>
      <c r="S255" s="93">
        <v>1578.18</v>
      </c>
      <c r="T255" s="93">
        <v>1590.59</v>
      </c>
      <c r="U255" s="94">
        <f t="shared" si="23"/>
        <v>23305.03</v>
      </c>
      <c r="V255" s="103">
        <f t="shared" si="27"/>
        <v>527.79</v>
      </c>
      <c r="W255" s="92">
        <v>532.41</v>
      </c>
      <c r="X255" s="92">
        <f t="shared" si="24"/>
        <v>23100</v>
      </c>
      <c r="Y255" s="92">
        <f t="shared" si="28"/>
        <v>3.87</v>
      </c>
      <c r="Z255" s="92">
        <v>3.88</v>
      </c>
      <c r="AA255" s="92">
        <f t="shared" si="26"/>
        <v>49.9999999999989</v>
      </c>
      <c r="AB255" s="97">
        <f t="shared" si="25"/>
        <v>23050</v>
      </c>
      <c r="AC255" s="96"/>
      <c r="AD255" s="92">
        <v>4.13</v>
      </c>
      <c r="AE255" s="92">
        <v>28.57</v>
      </c>
      <c r="AF255" s="92"/>
      <c r="AG255" s="92"/>
      <c r="AH255" s="92"/>
      <c r="AI255" s="92"/>
      <c r="AJ255" s="97" t="s">
        <v>87</v>
      </c>
    </row>
    <row r="256" spans="1:36">
      <c r="A256" s="84">
        <f t="shared" si="22"/>
        <v>258</v>
      </c>
      <c r="B256" s="91">
        <v>46001</v>
      </c>
      <c r="C256" s="48">
        <v>46001</v>
      </c>
      <c r="D256" s="104">
        <v>0.302083333333333</v>
      </c>
      <c r="E256" s="105">
        <v>0.75</v>
      </c>
      <c r="F256" s="100">
        <v>1534.14</v>
      </c>
      <c r="G256" s="92">
        <v>1550.49</v>
      </c>
      <c r="H256" s="92">
        <v>1566.01</v>
      </c>
      <c r="I256" s="92">
        <v>1564.83</v>
      </c>
      <c r="J256" s="92">
        <v>1532.47</v>
      </c>
      <c r="K256" s="92">
        <v>1564.68</v>
      </c>
      <c r="L256" s="92">
        <v>1539.17</v>
      </c>
      <c r="M256" s="93">
        <v>1596.34</v>
      </c>
      <c r="N256" s="93">
        <v>1562.29</v>
      </c>
      <c r="O256" s="93">
        <v>1581.59</v>
      </c>
      <c r="P256" s="93">
        <v>1578.19</v>
      </c>
      <c r="Q256" s="93">
        <v>1562.78</v>
      </c>
      <c r="R256" s="93">
        <v>1600.4</v>
      </c>
      <c r="S256" s="93">
        <v>1571.35</v>
      </c>
      <c r="T256" s="93">
        <v>1591.53</v>
      </c>
      <c r="U256" s="94">
        <f t="shared" si="23"/>
        <v>23496.26</v>
      </c>
      <c r="V256" s="103">
        <f t="shared" si="27"/>
        <v>532.41</v>
      </c>
      <c r="W256" s="92">
        <v>537.06</v>
      </c>
      <c r="X256" s="92">
        <f t="shared" si="24"/>
        <v>23249.9999999999</v>
      </c>
      <c r="Y256" s="92">
        <f t="shared" si="28"/>
        <v>3.88</v>
      </c>
      <c r="Z256" s="92">
        <v>3.89</v>
      </c>
      <c r="AA256" s="92">
        <f t="shared" si="26"/>
        <v>50.0000000000012</v>
      </c>
      <c r="AB256" s="97">
        <f t="shared" si="25"/>
        <v>23199.9999999999</v>
      </c>
      <c r="AC256" s="96"/>
      <c r="AD256" s="92">
        <v>4.07</v>
      </c>
      <c r="AE256" s="92">
        <v>28.95</v>
      </c>
      <c r="AF256" s="92"/>
      <c r="AG256" s="92"/>
      <c r="AH256" s="92"/>
      <c r="AI256" s="92"/>
      <c r="AJ256" s="97" t="s">
        <v>87</v>
      </c>
    </row>
    <row r="257" spans="1:36">
      <c r="A257" s="84">
        <f t="shared" si="22"/>
        <v>259</v>
      </c>
      <c r="B257" s="91">
        <v>46002</v>
      </c>
      <c r="C257" s="48">
        <v>46002</v>
      </c>
      <c r="D257" s="104">
        <v>0.302083333333333</v>
      </c>
      <c r="E257" s="105">
        <v>0.75</v>
      </c>
      <c r="F257" s="100">
        <v>1569.25</v>
      </c>
      <c r="G257" s="92">
        <v>1524.73</v>
      </c>
      <c r="H257" s="92">
        <v>1539.23</v>
      </c>
      <c r="I257" s="92">
        <v>1539.11</v>
      </c>
      <c r="J257" s="92">
        <v>1498.02</v>
      </c>
      <c r="K257" s="92">
        <v>1533.12</v>
      </c>
      <c r="L257" s="92">
        <v>1512.03</v>
      </c>
      <c r="M257" s="93">
        <v>1552.15</v>
      </c>
      <c r="N257" s="93">
        <v>1545.3</v>
      </c>
      <c r="O257" s="93">
        <v>1554.85</v>
      </c>
      <c r="P257" s="93">
        <v>1546.47</v>
      </c>
      <c r="Q257" s="93">
        <v>1542</v>
      </c>
      <c r="R257" s="93">
        <v>1572.86</v>
      </c>
      <c r="S257" s="93">
        <v>1551.4</v>
      </c>
      <c r="T257" s="93">
        <v>1562.26</v>
      </c>
      <c r="U257" s="94">
        <f t="shared" si="23"/>
        <v>23142.78</v>
      </c>
      <c r="V257" s="103">
        <f t="shared" si="27"/>
        <v>537.06</v>
      </c>
      <c r="W257" s="92">
        <v>541.64</v>
      </c>
      <c r="X257" s="92">
        <f t="shared" si="24"/>
        <v>22900.0000000002</v>
      </c>
      <c r="Y257" s="92">
        <f t="shared" si="28"/>
        <v>3.89</v>
      </c>
      <c r="Z257" s="92">
        <v>3.91</v>
      </c>
      <c r="AA257" s="92">
        <f t="shared" si="26"/>
        <v>100</v>
      </c>
      <c r="AB257" s="97">
        <f t="shared" si="25"/>
        <v>22800.0000000002</v>
      </c>
      <c r="AC257" s="96"/>
      <c r="AD257" s="92">
        <v>4.12</v>
      </c>
      <c r="AE257" s="92">
        <v>28.66</v>
      </c>
      <c r="AF257" s="92"/>
      <c r="AG257" s="92"/>
      <c r="AH257" s="92"/>
      <c r="AI257" s="92"/>
      <c r="AJ257" s="97" t="s">
        <v>87</v>
      </c>
    </row>
    <row r="258" spans="1:36">
      <c r="A258" s="84">
        <f t="shared" si="22"/>
        <v>260</v>
      </c>
      <c r="B258" s="91">
        <v>46003</v>
      </c>
      <c r="C258" s="48">
        <v>46003</v>
      </c>
      <c r="D258" s="104">
        <v>0.3125</v>
      </c>
      <c r="E258" s="105">
        <v>0.75</v>
      </c>
      <c r="F258" s="100">
        <v>1583.19</v>
      </c>
      <c r="G258" s="92">
        <v>1555.66</v>
      </c>
      <c r="H258" s="92">
        <v>1554.32</v>
      </c>
      <c r="I258" s="92">
        <v>1572.61</v>
      </c>
      <c r="J258" s="92">
        <v>1532.09</v>
      </c>
      <c r="K258" s="92">
        <v>1550.82</v>
      </c>
      <c r="L258" s="92">
        <v>1545.39</v>
      </c>
      <c r="M258" s="93">
        <v>1583.09</v>
      </c>
      <c r="N258" s="93">
        <v>1552.06</v>
      </c>
      <c r="O258" s="93">
        <v>1569.4</v>
      </c>
      <c r="P258" s="93">
        <v>1564.92</v>
      </c>
      <c r="Q258" s="93">
        <v>1560.89</v>
      </c>
      <c r="R258" s="93">
        <v>1585.11</v>
      </c>
      <c r="S258" s="93">
        <v>1561.33</v>
      </c>
      <c r="T258" s="93">
        <v>1577.5</v>
      </c>
      <c r="U258" s="94">
        <f t="shared" si="23"/>
        <v>23448.38</v>
      </c>
      <c r="V258" s="103">
        <f t="shared" si="27"/>
        <v>541.64</v>
      </c>
      <c r="W258" s="92">
        <v>546.27</v>
      </c>
      <c r="X258" s="92">
        <f t="shared" si="24"/>
        <v>23150</v>
      </c>
      <c r="Y258" s="92">
        <f t="shared" si="28"/>
        <v>3.91</v>
      </c>
      <c r="Z258" s="92">
        <v>3.92</v>
      </c>
      <c r="AA258" s="92">
        <f t="shared" si="26"/>
        <v>49.9999999999989</v>
      </c>
      <c r="AB258" s="97">
        <f t="shared" si="25"/>
        <v>23100</v>
      </c>
      <c r="AC258" s="96"/>
      <c r="AD258" s="92">
        <v>4.15</v>
      </c>
      <c r="AE258" s="92">
        <v>27.63</v>
      </c>
      <c r="AF258" s="92"/>
      <c r="AG258" s="92"/>
      <c r="AH258" s="92"/>
      <c r="AI258" s="92"/>
      <c r="AJ258" s="97" t="s">
        <v>87</v>
      </c>
    </row>
    <row r="259" spans="1:36">
      <c r="A259" s="84">
        <f t="shared" ref="A259:A322" si="29">A258+1</f>
        <v>261</v>
      </c>
      <c r="B259" s="91">
        <v>46004</v>
      </c>
      <c r="C259" s="48">
        <v>46004</v>
      </c>
      <c r="D259" s="104">
        <v>0.3125</v>
      </c>
      <c r="E259" s="105">
        <v>0.75</v>
      </c>
      <c r="F259" s="100">
        <v>1495.2</v>
      </c>
      <c r="G259" s="92">
        <v>1555.38</v>
      </c>
      <c r="H259" s="92">
        <v>1506.98</v>
      </c>
      <c r="I259" s="92">
        <v>1533.12</v>
      </c>
      <c r="J259" s="92">
        <v>1549.12</v>
      </c>
      <c r="K259" s="92">
        <v>1501.18</v>
      </c>
      <c r="L259" s="92">
        <v>1510.05</v>
      </c>
      <c r="M259" s="93">
        <v>1607.09</v>
      </c>
      <c r="N259" s="93">
        <v>1501.27</v>
      </c>
      <c r="O259" s="93">
        <v>1519.5</v>
      </c>
      <c r="P259" s="93">
        <v>1517.08</v>
      </c>
      <c r="Q259" s="93">
        <v>1508.25</v>
      </c>
      <c r="R259" s="93">
        <v>1540.9</v>
      </c>
      <c r="S259" s="93">
        <v>1512.9</v>
      </c>
      <c r="T259" s="93">
        <v>1527.17</v>
      </c>
      <c r="U259" s="94">
        <f t="shared" ref="U259:U322" si="30">SUM(F259:T259)</f>
        <v>22885.19</v>
      </c>
      <c r="V259" s="103">
        <f t="shared" si="27"/>
        <v>546.27</v>
      </c>
      <c r="W259" s="92">
        <v>550.8</v>
      </c>
      <c r="X259" s="92">
        <f t="shared" ref="X259:X322" si="31">MAX((W259-V259)*5000,0)</f>
        <v>22649.9999999999</v>
      </c>
      <c r="Y259" s="92">
        <f t="shared" si="28"/>
        <v>3.92</v>
      </c>
      <c r="Z259" s="92">
        <v>3.93</v>
      </c>
      <c r="AA259" s="92">
        <f t="shared" si="26"/>
        <v>50.0000000000012</v>
      </c>
      <c r="AB259" s="97">
        <f t="shared" ref="AB259:AB322" si="32">X259-AA259</f>
        <v>22599.9999999999</v>
      </c>
      <c r="AC259" s="96"/>
      <c r="AD259" s="92">
        <v>4.02</v>
      </c>
      <c r="AE259" s="92">
        <v>27.95</v>
      </c>
      <c r="AF259" s="92"/>
      <c r="AG259" s="92"/>
      <c r="AH259" s="92"/>
      <c r="AI259" s="92"/>
      <c r="AJ259" s="97" t="s">
        <v>87</v>
      </c>
    </row>
    <row r="260" spans="1:36">
      <c r="A260" s="84">
        <f t="shared" si="29"/>
        <v>262</v>
      </c>
      <c r="B260" s="91">
        <v>46005</v>
      </c>
      <c r="C260" s="48">
        <v>46005</v>
      </c>
      <c r="D260" s="104">
        <v>0.3125</v>
      </c>
      <c r="E260" s="105">
        <v>0.75</v>
      </c>
      <c r="F260" s="100">
        <v>1412.7</v>
      </c>
      <c r="G260" s="92">
        <v>1510.84</v>
      </c>
      <c r="H260" s="92">
        <v>1452.02</v>
      </c>
      <c r="I260" s="92">
        <v>1479.3</v>
      </c>
      <c r="J260" s="92">
        <v>1504.16</v>
      </c>
      <c r="K260" s="92">
        <v>1450.08</v>
      </c>
      <c r="L260" s="92">
        <v>1458.35</v>
      </c>
      <c r="M260" s="93">
        <v>1564.6</v>
      </c>
      <c r="N260" s="93">
        <v>1457.46</v>
      </c>
      <c r="O260" s="93">
        <v>1473.37</v>
      </c>
      <c r="P260" s="93">
        <v>1464.72</v>
      </c>
      <c r="Q260" s="93">
        <v>1461.35</v>
      </c>
      <c r="R260" s="93">
        <v>1493.41</v>
      </c>
      <c r="S260" s="93">
        <v>1465.22</v>
      </c>
      <c r="T260" s="93">
        <v>1483.24</v>
      </c>
      <c r="U260" s="94">
        <f t="shared" si="30"/>
        <v>22130.82</v>
      </c>
      <c r="V260" s="103">
        <f t="shared" si="27"/>
        <v>550.8</v>
      </c>
      <c r="W260" s="92">
        <v>555.18</v>
      </c>
      <c r="X260" s="92">
        <f t="shared" si="31"/>
        <v>21900</v>
      </c>
      <c r="Y260" s="92">
        <f t="shared" si="28"/>
        <v>3.93</v>
      </c>
      <c r="Z260" s="92">
        <v>3.94</v>
      </c>
      <c r="AA260" s="92">
        <f t="shared" ref="AA260:AA323" si="33">MAX((Z260-Y260)*5000,0)</f>
        <v>49.9999999999989</v>
      </c>
      <c r="AB260" s="97">
        <f t="shared" si="32"/>
        <v>21850</v>
      </c>
      <c r="AC260" s="96"/>
      <c r="AD260" s="92">
        <v>3.91</v>
      </c>
      <c r="AE260" s="92">
        <v>28.55</v>
      </c>
      <c r="AF260" s="92"/>
      <c r="AG260" s="92"/>
      <c r="AH260" s="92"/>
      <c r="AI260" s="92"/>
      <c r="AJ260" s="97" t="s">
        <v>87</v>
      </c>
    </row>
    <row r="261" spans="1:36">
      <c r="A261" s="84">
        <f t="shared" si="29"/>
        <v>263</v>
      </c>
      <c r="B261" s="91">
        <v>46006</v>
      </c>
      <c r="C261" s="48">
        <v>46006</v>
      </c>
      <c r="D261" s="104">
        <v>0.3125</v>
      </c>
      <c r="E261" s="105">
        <v>0.75</v>
      </c>
      <c r="F261" s="100">
        <v>1534.04</v>
      </c>
      <c r="G261" s="92">
        <v>1560.84</v>
      </c>
      <c r="H261" s="92">
        <v>1477.55</v>
      </c>
      <c r="I261" s="92">
        <v>1529.3</v>
      </c>
      <c r="J261" s="92">
        <v>1557.19</v>
      </c>
      <c r="K261" s="92">
        <v>1500.96</v>
      </c>
      <c r="L261" s="92">
        <v>1488.25</v>
      </c>
      <c r="M261" s="93">
        <v>1616.73</v>
      </c>
      <c r="N261" s="93">
        <v>1487.65</v>
      </c>
      <c r="O261" s="93">
        <v>1503.69</v>
      </c>
      <c r="P261" s="93">
        <v>1518.15</v>
      </c>
      <c r="Q261" s="93">
        <v>1510.78</v>
      </c>
      <c r="R261" s="93">
        <v>1543.6</v>
      </c>
      <c r="S261" s="93">
        <v>1518.45</v>
      </c>
      <c r="T261" s="93">
        <v>1530</v>
      </c>
      <c r="U261" s="94">
        <f t="shared" si="30"/>
        <v>22877.18</v>
      </c>
      <c r="V261" s="103">
        <f t="shared" si="27"/>
        <v>555.18</v>
      </c>
      <c r="W261" s="92">
        <v>559.7</v>
      </c>
      <c r="X261" s="92">
        <f t="shared" si="31"/>
        <v>22600.0000000005</v>
      </c>
      <c r="Y261" s="92">
        <f t="shared" si="28"/>
        <v>3.94</v>
      </c>
      <c r="Z261" s="92">
        <v>3.96</v>
      </c>
      <c r="AA261" s="92">
        <f t="shared" si="33"/>
        <v>100</v>
      </c>
      <c r="AB261" s="97">
        <f t="shared" si="32"/>
        <v>22500.0000000005</v>
      </c>
      <c r="AC261" s="96"/>
      <c r="AD261" s="92">
        <v>3.99</v>
      </c>
      <c r="AE261" s="92">
        <v>28.96</v>
      </c>
      <c r="AF261" s="92"/>
      <c r="AG261" s="92"/>
      <c r="AH261" s="92"/>
      <c r="AI261" s="92"/>
      <c r="AJ261" s="97" t="s">
        <v>87</v>
      </c>
    </row>
    <row r="262" spans="1:36">
      <c r="A262" s="84">
        <f t="shared" si="29"/>
        <v>264</v>
      </c>
      <c r="B262" s="91">
        <v>46007</v>
      </c>
      <c r="C262" s="48">
        <v>46007</v>
      </c>
      <c r="D262" s="104">
        <v>0.3125</v>
      </c>
      <c r="E262" s="105">
        <v>0.75</v>
      </c>
      <c r="F262" s="100">
        <v>1473.56</v>
      </c>
      <c r="G262" s="92">
        <v>1505.39</v>
      </c>
      <c r="H262" s="92">
        <v>1422.84</v>
      </c>
      <c r="I262" s="92">
        <v>1434.61</v>
      </c>
      <c r="J262" s="92">
        <v>1499.11</v>
      </c>
      <c r="K262" s="92">
        <v>1441.93</v>
      </c>
      <c r="L262" s="92">
        <v>1457.25</v>
      </c>
      <c r="M262" s="93">
        <v>1556.8</v>
      </c>
      <c r="N262" s="93">
        <v>1448.04</v>
      </c>
      <c r="O262" s="93">
        <v>1468.37</v>
      </c>
      <c r="P262" s="93">
        <v>1460.16</v>
      </c>
      <c r="Q262" s="93">
        <v>1454.29</v>
      </c>
      <c r="R262" s="93">
        <v>1485.82</v>
      </c>
      <c r="S262" s="93">
        <v>1461.25</v>
      </c>
      <c r="T262" s="93">
        <v>1474.1</v>
      </c>
      <c r="U262" s="94">
        <f t="shared" si="30"/>
        <v>22043.52</v>
      </c>
      <c r="V262" s="103">
        <f t="shared" si="27"/>
        <v>559.7</v>
      </c>
      <c r="W262" s="92">
        <v>564.06</v>
      </c>
      <c r="X262" s="92">
        <f t="shared" si="31"/>
        <v>21799.9999999995</v>
      </c>
      <c r="Y262" s="92">
        <f t="shared" si="28"/>
        <v>3.96</v>
      </c>
      <c r="Z262" s="92">
        <v>3.97</v>
      </c>
      <c r="AA262" s="92">
        <f t="shared" si="33"/>
        <v>50.0000000000012</v>
      </c>
      <c r="AB262" s="97">
        <f t="shared" si="32"/>
        <v>21749.9999999995</v>
      </c>
      <c r="AC262" s="96"/>
      <c r="AD262" s="92">
        <v>3.75</v>
      </c>
      <c r="AE262" s="92">
        <v>29.24</v>
      </c>
      <c r="AF262" s="92"/>
      <c r="AG262" s="92"/>
      <c r="AH262" s="92"/>
      <c r="AI262" s="92"/>
      <c r="AJ262" s="97" t="s">
        <v>87</v>
      </c>
    </row>
    <row r="263" spans="1:36">
      <c r="A263" s="84">
        <f t="shared" si="29"/>
        <v>265</v>
      </c>
      <c r="B263" s="91">
        <v>46008</v>
      </c>
      <c r="C263" s="48">
        <v>46008</v>
      </c>
      <c r="D263" s="104">
        <v>0.353472222222222</v>
      </c>
      <c r="E263" s="105">
        <v>0.75</v>
      </c>
      <c r="F263" s="100">
        <v>1374.81</v>
      </c>
      <c r="G263" s="92">
        <v>1309.92</v>
      </c>
      <c r="H263" s="92">
        <v>1331.25</v>
      </c>
      <c r="I263" s="92">
        <v>1397.42</v>
      </c>
      <c r="J263" s="92">
        <v>1383.65</v>
      </c>
      <c r="K263" s="92">
        <v>1350.6</v>
      </c>
      <c r="L263" s="92">
        <v>1319.82</v>
      </c>
      <c r="M263" s="93">
        <v>1440.21</v>
      </c>
      <c r="N263" s="93">
        <v>1333.78</v>
      </c>
      <c r="O263" s="93">
        <v>1350.65</v>
      </c>
      <c r="P263" s="93">
        <v>1343.83</v>
      </c>
      <c r="Q263" s="93">
        <v>1341.73</v>
      </c>
      <c r="R263" s="93">
        <v>1328.82</v>
      </c>
      <c r="S263" s="93">
        <v>1345.63</v>
      </c>
      <c r="T263" s="93">
        <v>1359.03</v>
      </c>
      <c r="U263" s="94">
        <f t="shared" si="30"/>
        <v>20311.15</v>
      </c>
      <c r="V263" s="103">
        <f t="shared" si="27"/>
        <v>564.06</v>
      </c>
      <c r="W263" s="92">
        <v>568.09</v>
      </c>
      <c r="X263" s="92">
        <f t="shared" si="31"/>
        <v>20150.0000000004</v>
      </c>
      <c r="Y263" s="92">
        <f t="shared" si="28"/>
        <v>3.97</v>
      </c>
      <c r="Z263" s="92">
        <v>3.97</v>
      </c>
      <c r="AA263" s="92">
        <f t="shared" si="33"/>
        <v>0</v>
      </c>
      <c r="AB263" s="97">
        <f t="shared" si="32"/>
        <v>20150.0000000004</v>
      </c>
      <c r="AC263" s="96"/>
      <c r="AD263" s="92">
        <v>3.49</v>
      </c>
      <c r="AE263" s="92">
        <v>29.86</v>
      </c>
      <c r="AF263" s="92"/>
      <c r="AG263" s="92"/>
      <c r="AH263" s="92"/>
      <c r="AI263" s="92"/>
      <c r="AJ263" s="97" t="s">
        <v>87</v>
      </c>
    </row>
    <row r="264" spans="1:36">
      <c r="A264" s="84">
        <f t="shared" si="29"/>
        <v>266</v>
      </c>
      <c r="B264" s="91">
        <v>46009</v>
      </c>
      <c r="C264" s="48">
        <v>46009</v>
      </c>
      <c r="D264" s="104">
        <v>0.3125</v>
      </c>
      <c r="E264" s="105">
        <v>0.75</v>
      </c>
      <c r="F264" s="100">
        <v>1435.14</v>
      </c>
      <c r="G264" s="92">
        <v>1450.48</v>
      </c>
      <c r="H264" s="92">
        <v>1406.76</v>
      </c>
      <c r="I264" s="92">
        <v>1463.01</v>
      </c>
      <c r="J264" s="92">
        <v>1435.49</v>
      </c>
      <c r="K264" s="92">
        <v>1399.48</v>
      </c>
      <c r="L264" s="92">
        <v>1339.88</v>
      </c>
      <c r="M264" s="93">
        <v>1491.44</v>
      </c>
      <c r="N264" s="93">
        <v>1371.82</v>
      </c>
      <c r="O264" s="93">
        <v>1404.93</v>
      </c>
      <c r="P264" s="93">
        <v>1401.04</v>
      </c>
      <c r="Q264" s="93">
        <v>1394.51</v>
      </c>
      <c r="R264" s="93">
        <v>1349.57</v>
      </c>
      <c r="S264" s="93">
        <v>1400.69</v>
      </c>
      <c r="T264" s="93">
        <v>1409.34</v>
      </c>
      <c r="U264" s="94">
        <f t="shared" si="30"/>
        <v>21153.58</v>
      </c>
      <c r="V264" s="103">
        <f t="shared" si="27"/>
        <v>568.09</v>
      </c>
      <c r="W264" s="92">
        <v>572.26</v>
      </c>
      <c r="X264" s="92">
        <f t="shared" si="31"/>
        <v>20849.9999999998</v>
      </c>
      <c r="Y264" s="92">
        <f t="shared" si="28"/>
        <v>3.97</v>
      </c>
      <c r="Z264" s="92">
        <v>3.98</v>
      </c>
      <c r="AA264" s="92">
        <f t="shared" si="33"/>
        <v>49.9999999999989</v>
      </c>
      <c r="AB264" s="97">
        <f t="shared" si="32"/>
        <v>20799.9999999998</v>
      </c>
      <c r="AC264" s="96"/>
      <c r="AD264" s="92">
        <v>3.74</v>
      </c>
      <c r="AE264" s="92">
        <v>29.33</v>
      </c>
      <c r="AF264" s="92"/>
      <c r="AG264" s="92"/>
      <c r="AH264" s="92"/>
      <c r="AI264" s="92"/>
      <c r="AJ264" s="97" t="s">
        <v>87</v>
      </c>
    </row>
    <row r="265" spans="1:36">
      <c r="A265" s="84">
        <f t="shared" si="29"/>
        <v>267</v>
      </c>
      <c r="B265" s="91">
        <v>46010</v>
      </c>
      <c r="C265" s="48">
        <v>46010</v>
      </c>
      <c r="D265" s="104">
        <v>0.3125</v>
      </c>
      <c r="E265" s="105">
        <v>0.75</v>
      </c>
      <c r="F265" s="100">
        <v>1587.19</v>
      </c>
      <c r="G265" s="92">
        <v>1607.99</v>
      </c>
      <c r="H265" s="92">
        <v>1553.93</v>
      </c>
      <c r="I265" s="92">
        <v>1508.98</v>
      </c>
      <c r="J265" s="92">
        <v>1541.46</v>
      </c>
      <c r="K265" s="92">
        <v>1564.19</v>
      </c>
      <c r="L265" s="92">
        <v>1492.21</v>
      </c>
      <c r="M265" s="93">
        <v>1652.83</v>
      </c>
      <c r="N265" s="93">
        <v>1539.14</v>
      </c>
      <c r="O265" s="93">
        <v>1547.12</v>
      </c>
      <c r="P265" s="93">
        <v>1547.29</v>
      </c>
      <c r="Q265" s="93">
        <v>1542.67</v>
      </c>
      <c r="R265" s="93">
        <v>1498.56</v>
      </c>
      <c r="S265" s="93">
        <v>1549.38</v>
      </c>
      <c r="T265" s="93">
        <v>1563.73</v>
      </c>
      <c r="U265" s="94">
        <f t="shared" si="30"/>
        <v>23296.67</v>
      </c>
      <c r="V265" s="103">
        <f t="shared" si="27"/>
        <v>572.26</v>
      </c>
      <c r="W265" s="92">
        <v>576.87</v>
      </c>
      <c r="X265" s="92">
        <f t="shared" si="31"/>
        <v>23050.0000000001</v>
      </c>
      <c r="Y265" s="92">
        <f t="shared" si="28"/>
        <v>3.98</v>
      </c>
      <c r="Z265" s="92">
        <v>3.99</v>
      </c>
      <c r="AA265" s="92">
        <f t="shared" si="33"/>
        <v>50.0000000000012</v>
      </c>
      <c r="AB265" s="97">
        <f t="shared" si="32"/>
        <v>23000.0000000001</v>
      </c>
      <c r="AC265" s="96"/>
      <c r="AD265" s="92">
        <v>3.94</v>
      </c>
      <c r="AE265" s="92">
        <v>28.19</v>
      </c>
      <c r="AF265" s="92"/>
      <c r="AG265" s="92"/>
      <c r="AH265" s="92"/>
      <c r="AI265" s="92"/>
      <c r="AJ265" s="97" t="s">
        <v>87</v>
      </c>
    </row>
    <row r="266" spans="1:36">
      <c r="A266" s="84">
        <f t="shared" si="29"/>
        <v>268</v>
      </c>
      <c r="B266" s="91">
        <v>46011</v>
      </c>
      <c r="C266" s="48">
        <v>46011</v>
      </c>
      <c r="D266" s="104">
        <v>0.3125</v>
      </c>
      <c r="E266" s="105">
        <v>0.75</v>
      </c>
      <c r="F266" s="100">
        <v>1573.4</v>
      </c>
      <c r="G266" s="92">
        <v>1592.15</v>
      </c>
      <c r="H266" s="92">
        <v>1541.45</v>
      </c>
      <c r="I266" s="92">
        <v>1495.95</v>
      </c>
      <c r="J266" s="92">
        <v>1579.8</v>
      </c>
      <c r="K266" s="92">
        <v>1553.3</v>
      </c>
      <c r="L266" s="92">
        <v>1474.14</v>
      </c>
      <c r="M266" s="93">
        <v>1640.11</v>
      </c>
      <c r="N266" s="93">
        <v>1524.74</v>
      </c>
      <c r="O266" s="93">
        <v>1547.52</v>
      </c>
      <c r="P266" s="93">
        <v>1535.85</v>
      </c>
      <c r="Q266" s="93">
        <v>1530.92</v>
      </c>
      <c r="R266" s="93">
        <v>1482.95</v>
      </c>
      <c r="S266" s="93">
        <v>1541.14</v>
      </c>
      <c r="T266" s="93">
        <v>1551.25</v>
      </c>
      <c r="U266" s="94">
        <f t="shared" si="30"/>
        <v>23164.67</v>
      </c>
      <c r="V266" s="103">
        <f t="shared" si="27"/>
        <v>576.87</v>
      </c>
      <c r="W266" s="92">
        <v>581.46</v>
      </c>
      <c r="X266" s="92">
        <f t="shared" si="31"/>
        <v>22950.0000000002</v>
      </c>
      <c r="Y266" s="92">
        <f t="shared" si="28"/>
        <v>3.99</v>
      </c>
      <c r="Z266" s="92">
        <v>4</v>
      </c>
      <c r="AA266" s="92">
        <f t="shared" si="33"/>
        <v>49.9999999999989</v>
      </c>
      <c r="AB266" s="97">
        <f t="shared" si="32"/>
        <v>22900.0000000002</v>
      </c>
      <c r="AC266" s="96"/>
      <c r="AD266" s="92">
        <v>4.1</v>
      </c>
      <c r="AE266" s="92">
        <v>29.68</v>
      </c>
      <c r="AF266" s="92"/>
      <c r="AG266" s="92"/>
      <c r="AH266" s="92"/>
      <c r="AI266" s="92"/>
      <c r="AJ266" s="97" t="s">
        <v>87</v>
      </c>
    </row>
    <row r="267" spans="1:36">
      <c r="A267" s="84">
        <f t="shared" si="29"/>
        <v>269</v>
      </c>
      <c r="B267" s="91">
        <v>46012</v>
      </c>
      <c r="C267" s="48">
        <v>46012</v>
      </c>
      <c r="D267" s="104">
        <v>0.3125</v>
      </c>
      <c r="E267" s="105">
        <v>0.75</v>
      </c>
      <c r="F267" s="100">
        <v>1356.05</v>
      </c>
      <c r="G267" s="92">
        <v>1367.44</v>
      </c>
      <c r="H267" s="92">
        <v>1330.1</v>
      </c>
      <c r="I267" s="92">
        <v>1282.37</v>
      </c>
      <c r="J267" s="92">
        <v>1352.28</v>
      </c>
      <c r="K267" s="92">
        <v>1338.4</v>
      </c>
      <c r="L267" s="92">
        <v>1268.63</v>
      </c>
      <c r="M267" s="93">
        <v>1405.75</v>
      </c>
      <c r="N267" s="93">
        <v>1313.73</v>
      </c>
      <c r="O267" s="93">
        <v>1329.74</v>
      </c>
      <c r="P267" s="93">
        <v>1321.61</v>
      </c>
      <c r="Q267" s="93">
        <v>1316.3</v>
      </c>
      <c r="R267" s="93">
        <v>1273.42</v>
      </c>
      <c r="S267" s="93">
        <v>1321.82</v>
      </c>
      <c r="T267" s="93">
        <v>1332.21</v>
      </c>
      <c r="U267" s="94">
        <f t="shared" si="30"/>
        <v>19909.85</v>
      </c>
      <c r="V267" s="103">
        <f t="shared" si="27"/>
        <v>581.46</v>
      </c>
      <c r="W267" s="92">
        <v>585.4</v>
      </c>
      <c r="X267" s="92">
        <f t="shared" si="31"/>
        <v>19699.9999999997</v>
      </c>
      <c r="Y267" s="92">
        <f t="shared" si="28"/>
        <v>4</v>
      </c>
      <c r="Z267" s="92">
        <v>4.01</v>
      </c>
      <c r="AA267" s="92">
        <f t="shared" si="33"/>
        <v>49.9999999999989</v>
      </c>
      <c r="AB267" s="97">
        <f t="shared" si="32"/>
        <v>19649.9999999997</v>
      </c>
      <c r="AC267" s="96"/>
      <c r="AD267" s="92">
        <v>3.22</v>
      </c>
      <c r="AE267" s="92">
        <v>27.76</v>
      </c>
      <c r="AF267" s="92"/>
      <c r="AG267" s="92"/>
      <c r="AH267" s="92"/>
      <c r="AI267" s="92"/>
      <c r="AJ267" s="97" t="s">
        <v>87</v>
      </c>
    </row>
    <row r="268" spans="1:36">
      <c r="A268" s="84">
        <f t="shared" si="29"/>
        <v>270</v>
      </c>
      <c r="B268" s="91">
        <v>46013</v>
      </c>
      <c r="C268" s="48">
        <v>46013</v>
      </c>
      <c r="D268" s="104">
        <v>0.3125</v>
      </c>
      <c r="E268" s="105">
        <v>0.75</v>
      </c>
      <c r="F268" s="100">
        <v>1472.5</v>
      </c>
      <c r="G268" s="92">
        <v>1489.44</v>
      </c>
      <c r="H268" s="92">
        <v>1444.88</v>
      </c>
      <c r="I268" s="92">
        <v>1398.54</v>
      </c>
      <c r="J268" s="92">
        <v>1473.55</v>
      </c>
      <c r="K268" s="92" t="s">
        <v>88</v>
      </c>
      <c r="L268" s="92">
        <v>1377.6</v>
      </c>
      <c r="M268" s="93">
        <v>1531.14</v>
      </c>
      <c r="N268" s="93">
        <v>1430.83</v>
      </c>
      <c r="O268" s="93">
        <v>1445.84</v>
      </c>
      <c r="P268" s="93">
        <v>1431.86</v>
      </c>
      <c r="Q268" s="93">
        <v>1433.54</v>
      </c>
      <c r="R268" s="93">
        <v>1388.67</v>
      </c>
      <c r="S268" s="93">
        <v>1442.28</v>
      </c>
      <c r="T268" s="93">
        <v>1451.29</v>
      </c>
      <c r="U268" s="94">
        <f t="shared" si="30"/>
        <v>20211.96</v>
      </c>
      <c r="V268" s="103">
        <f t="shared" si="27"/>
        <v>585.4</v>
      </c>
      <c r="W268" s="92">
        <v>589.69</v>
      </c>
      <c r="X268" s="92">
        <f t="shared" si="31"/>
        <v>21450.0000000004</v>
      </c>
      <c r="Y268" s="92">
        <f t="shared" si="28"/>
        <v>4.01</v>
      </c>
      <c r="Z268" s="92">
        <v>4.02</v>
      </c>
      <c r="AA268" s="92">
        <f t="shared" si="33"/>
        <v>49.9999999999989</v>
      </c>
      <c r="AB268" s="97">
        <f t="shared" si="32"/>
        <v>21400.0000000004</v>
      </c>
      <c r="AC268" s="96"/>
      <c r="AD268" s="92">
        <v>3.9</v>
      </c>
      <c r="AE268" s="92">
        <v>28</v>
      </c>
      <c r="AF268" s="92"/>
      <c r="AG268" s="92"/>
      <c r="AH268" s="92"/>
      <c r="AI268" s="92"/>
      <c r="AJ268" s="97" t="s">
        <v>87</v>
      </c>
    </row>
    <row r="269" spans="1:36">
      <c r="A269" s="84">
        <f t="shared" si="29"/>
        <v>271</v>
      </c>
      <c r="B269" s="91">
        <v>46014</v>
      </c>
      <c r="C269" s="48">
        <v>46014</v>
      </c>
      <c r="D269" s="104">
        <v>0.3125</v>
      </c>
      <c r="E269" s="105">
        <v>0.75</v>
      </c>
      <c r="F269" s="100">
        <v>1478.38</v>
      </c>
      <c r="G269" s="92">
        <v>1495.92</v>
      </c>
      <c r="H269" s="92">
        <v>1451.72</v>
      </c>
      <c r="I269" s="92">
        <v>1403.63</v>
      </c>
      <c r="J269" s="92">
        <v>1483.08</v>
      </c>
      <c r="K269" s="92">
        <v>1458.13</v>
      </c>
      <c r="L269" s="92">
        <v>1383.86</v>
      </c>
      <c r="M269" s="93">
        <v>1538.29</v>
      </c>
      <c r="N269" s="93">
        <v>1434.44</v>
      </c>
      <c r="O269" s="93">
        <v>1449.65</v>
      </c>
      <c r="P269" s="93">
        <v>1442.43</v>
      </c>
      <c r="Q269" s="93">
        <v>1440.02</v>
      </c>
      <c r="R269" s="93">
        <v>1469.05</v>
      </c>
      <c r="S269" s="93">
        <v>1444.46</v>
      </c>
      <c r="T269" s="93">
        <v>1456.35</v>
      </c>
      <c r="U269" s="94">
        <f t="shared" si="30"/>
        <v>21829.41</v>
      </c>
      <c r="V269" s="103">
        <f t="shared" ref="V269:V332" si="34">W268</f>
        <v>589.69</v>
      </c>
      <c r="W269" s="92">
        <v>594.01</v>
      </c>
      <c r="X269" s="92">
        <f t="shared" si="31"/>
        <v>21599.9999999997</v>
      </c>
      <c r="Y269" s="92">
        <f t="shared" ref="Y269:Y332" si="35">Z268</f>
        <v>4.02</v>
      </c>
      <c r="Z269" s="92">
        <v>4.04</v>
      </c>
      <c r="AA269" s="92">
        <f t="shared" si="33"/>
        <v>100.000000000002</v>
      </c>
      <c r="AB269" s="97">
        <f t="shared" si="32"/>
        <v>21499.9999999997</v>
      </c>
      <c r="AC269" s="96"/>
      <c r="AD269" s="92">
        <v>3.86</v>
      </c>
      <c r="AE269" s="92">
        <v>28.32</v>
      </c>
      <c r="AF269" s="92"/>
      <c r="AG269" s="92"/>
      <c r="AH269" s="92"/>
      <c r="AI269" s="92"/>
      <c r="AJ269" s="97" t="s">
        <v>87</v>
      </c>
    </row>
    <row r="270" spans="1:36">
      <c r="A270" s="84">
        <f t="shared" si="29"/>
        <v>272</v>
      </c>
      <c r="B270" s="91">
        <v>46015</v>
      </c>
      <c r="C270" s="48">
        <v>46015</v>
      </c>
      <c r="D270" s="104">
        <v>0.3125</v>
      </c>
      <c r="E270" s="105">
        <v>0.75</v>
      </c>
      <c r="F270" s="100">
        <v>1482.11</v>
      </c>
      <c r="G270" s="92">
        <v>1400.93</v>
      </c>
      <c r="H270" s="92">
        <v>1445.24</v>
      </c>
      <c r="I270" s="92">
        <v>1400.8</v>
      </c>
      <c r="J270" s="92">
        <v>1478.68</v>
      </c>
      <c r="K270" s="92">
        <v>1454.7</v>
      </c>
      <c r="L270" s="92">
        <v>1377.99</v>
      </c>
      <c r="M270" s="93">
        <v>1533.9</v>
      </c>
      <c r="N270" s="93">
        <v>1434.25</v>
      </c>
      <c r="O270" s="93">
        <v>1450.03</v>
      </c>
      <c r="P270" s="93">
        <v>1438.61</v>
      </c>
      <c r="Q270" s="93">
        <v>1436.9</v>
      </c>
      <c r="R270" s="93">
        <v>1467.18</v>
      </c>
      <c r="S270" s="93">
        <v>1444.76</v>
      </c>
      <c r="T270" s="93">
        <v>1460.49</v>
      </c>
      <c r="U270" s="94">
        <f t="shared" si="30"/>
        <v>21706.57</v>
      </c>
      <c r="V270" s="103">
        <f t="shared" si="34"/>
        <v>594.01</v>
      </c>
      <c r="W270" s="92">
        <v>598.33</v>
      </c>
      <c r="X270" s="92">
        <f t="shared" si="31"/>
        <v>21600.0000000003</v>
      </c>
      <c r="Y270" s="92">
        <f t="shared" si="35"/>
        <v>4.04</v>
      </c>
      <c r="Z270" s="92">
        <v>4.05</v>
      </c>
      <c r="AA270" s="92">
        <f t="shared" si="33"/>
        <v>49.9999999999989</v>
      </c>
      <c r="AB270" s="97">
        <f t="shared" si="32"/>
        <v>21550.0000000003</v>
      </c>
      <c r="AC270" s="96"/>
      <c r="AD270" s="92">
        <v>3.93</v>
      </c>
      <c r="AE270" s="92">
        <v>28.73</v>
      </c>
      <c r="AF270" s="92"/>
      <c r="AG270" s="92"/>
      <c r="AH270" s="92"/>
      <c r="AI270" s="92"/>
      <c r="AJ270" s="97" t="s">
        <v>87</v>
      </c>
    </row>
    <row r="271" spans="1:36">
      <c r="A271" s="84">
        <f t="shared" si="29"/>
        <v>273</v>
      </c>
      <c r="B271" s="91">
        <v>46016</v>
      </c>
      <c r="C271" s="48">
        <v>46016</v>
      </c>
      <c r="D271" s="104">
        <v>0.3125</v>
      </c>
      <c r="E271" s="105">
        <v>0.75</v>
      </c>
      <c r="F271" s="100">
        <v>1490.6</v>
      </c>
      <c r="G271" s="92">
        <v>1497.11</v>
      </c>
      <c r="H271" s="92">
        <v>1454.29</v>
      </c>
      <c r="I271" s="92">
        <v>1404.32</v>
      </c>
      <c r="J271" s="92">
        <v>1483.33</v>
      </c>
      <c r="K271" s="92">
        <v>1460.2</v>
      </c>
      <c r="L271" s="92">
        <v>1381.68</v>
      </c>
      <c r="M271" s="93">
        <v>1540.44</v>
      </c>
      <c r="N271" s="93">
        <v>1441.61</v>
      </c>
      <c r="O271" s="93">
        <v>1460.21</v>
      </c>
      <c r="P271" s="93">
        <v>1451.18</v>
      </c>
      <c r="Q271" s="93">
        <v>1447.56</v>
      </c>
      <c r="R271" s="93">
        <v>1481.4</v>
      </c>
      <c r="S271" s="93">
        <v>1452.25</v>
      </c>
      <c r="T271" s="93">
        <v>1481.48</v>
      </c>
      <c r="U271" s="94">
        <f t="shared" si="30"/>
        <v>21927.66</v>
      </c>
      <c r="V271" s="103">
        <f t="shared" si="34"/>
        <v>598.33</v>
      </c>
      <c r="W271" s="92">
        <v>602.68</v>
      </c>
      <c r="X271" s="92">
        <f t="shared" si="31"/>
        <v>21749.9999999995</v>
      </c>
      <c r="Y271" s="92">
        <f t="shared" si="35"/>
        <v>4.05</v>
      </c>
      <c r="Z271" s="92">
        <v>4.06</v>
      </c>
      <c r="AA271" s="92">
        <f t="shared" si="33"/>
        <v>49.9999999999989</v>
      </c>
      <c r="AB271" s="97">
        <f t="shared" si="32"/>
        <v>21699.9999999995</v>
      </c>
      <c r="AC271" s="96"/>
      <c r="AD271" s="92">
        <v>3.87</v>
      </c>
      <c r="AE271" s="92">
        <v>27.3</v>
      </c>
      <c r="AF271" s="92"/>
      <c r="AG271" s="92"/>
      <c r="AH271" s="92"/>
      <c r="AI271" s="92"/>
      <c r="AJ271" s="97" t="s">
        <v>87</v>
      </c>
    </row>
    <row r="272" spans="1:36">
      <c r="A272" s="84">
        <f t="shared" si="29"/>
        <v>274</v>
      </c>
      <c r="B272" s="91">
        <v>46017</v>
      </c>
      <c r="C272" s="48">
        <v>46017</v>
      </c>
      <c r="D272" s="104">
        <v>0.3125</v>
      </c>
      <c r="E272" s="105">
        <v>0.75</v>
      </c>
      <c r="F272" s="100">
        <v>1393.14</v>
      </c>
      <c r="G272" s="92">
        <v>1404.07</v>
      </c>
      <c r="H272" s="92">
        <v>1362.18</v>
      </c>
      <c r="I272" s="92">
        <v>1318.78</v>
      </c>
      <c r="J272" s="92">
        <v>1389.81</v>
      </c>
      <c r="K272" s="92">
        <v>1369.56</v>
      </c>
      <c r="L272" s="92">
        <v>1362.65</v>
      </c>
      <c r="M272" s="93">
        <v>1444.65</v>
      </c>
      <c r="N272" s="93">
        <v>1351.74</v>
      </c>
      <c r="O272" s="93">
        <v>1366.19</v>
      </c>
      <c r="P272" s="93">
        <v>1357.31</v>
      </c>
      <c r="Q272" s="93">
        <v>1352.09</v>
      </c>
      <c r="R272" s="93">
        <v>1381.27</v>
      </c>
      <c r="S272" s="93">
        <v>1356.14</v>
      </c>
      <c r="T272" s="93">
        <v>1396.22</v>
      </c>
      <c r="U272" s="94">
        <f t="shared" si="30"/>
        <v>20605.8</v>
      </c>
      <c r="V272" s="103">
        <f t="shared" si="34"/>
        <v>602.68</v>
      </c>
      <c r="W272" s="92">
        <v>606.76</v>
      </c>
      <c r="X272" s="92">
        <f t="shared" si="31"/>
        <v>20400.0000000002</v>
      </c>
      <c r="Y272" s="92">
        <f t="shared" si="35"/>
        <v>4.06</v>
      </c>
      <c r="Z272" s="92">
        <v>4.07</v>
      </c>
      <c r="AA272" s="92">
        <f t="shared" si="33"/>
        <v>50.0000000000034</v>
      </c>
      <c r="AB272" s="97">
        <f t="shared" si="32"/>
        <v>20350.0000000002</v>
      </c>
      <c r="AC272" s="96"/>
      <c r="AD272" s="92">
        <v>3.23</v>
      </c>
      <c r="AE272" s="92"/>
      <c r="AF272" s="92"/>
      <c r="AG272" s="92"/>
      <c r="AH272" s="92"/>
      <c r="AI272" s="92"/>
      <c r="AJ272" s="97" t="s">
        <v>87</v>
      </c>
    </row>
    <row r="273" spans="1:36">
      <c r="A273" s="84">
        <f t="shared" si="29"/>
        <v>275</v>
      </c>
      <c r="B273" s="91">
        <v>46018</v>
      </c>
      <c r="C273" s="48">
        <v>46018</v>
      </c>
      <c r="D273" s="104">
        <v>0.3125</v>
      </c>
      <c r="E273" s="105">
        <v>0.75</v>
      </c>
      <c r="F273" s="100">
        <v>1338.31</v>
      </c>
      <c r="G273" s="92">
        <v>1265.19</v>
      </c>
      <c r="H273" s="92">
        <v>1308.27</v>
      </c>
      <c r="I273" s="92">
        <v>1348.38</v>
      </c>
      <c r="J273" s="92">
        <v>1333.7</v>
      </c>
      <c r="K273" s="92">
        <v>1315.66</v>
      </c>
      <c r="L273" s="92">
        <v>1306.04</v>
      </c>
      <c r="M273" s="93">
        <v>1384.04</v>
      </c>
      <c r="N273" s="93">
        <v>1298.46</v>
      </c>
      <c r="O273" s="93">
        <v>1312.24</v>
      </c>
      <c r="P273" s="93">
        <v>1305.21</v>
      </c>
      <c r="Q273" s="93">
        <v>1320.19</v>
      </c>
      <c r="R273" s="93">
        <v>1328.59</v>
      </c>
      <c r="S273" s="93">
        <v>1326.78</v>
      </c>
      <c r="T273" s="93">
        <v>1347.1</v>
      </c>
      <c r="U273" s="94">
        <f t="shared" si="30"/>
        <v>19838.16</v>
      </c>
      <c r="V273" s="103">
        <f t="shared" si="34"/>
        <v>606.76</v>
      </c>
      <c r="W273" s="92">
        <v>610.68</v>
      </c>
      <c r="X273" s="92">
        <f t="shared" si="31"/>
        <v>19599.9999999998</v>
      </c>
      <c r="Y273" s="92">
        <f t="shared" si="35"/>
        <v>4.07</v>
      </c>
      <c r="Z273" s="92">
        <v>4.08</v>
      </c>
      <c r="AA273" s="92">
        <f t="shared" si="33"/>
        <v>49.9999999999989</v>
      </c>
      <c r="AB273" s="97">
        <f t="shared" si="32"/>
        <v>19549.9999999998</v>
      </c>
      <c r="AC273" s="96"/>
      <c r="AD273" s="92">
        <v>3.62</v>
      </c>
      <c r="AE273" s="92"/>
      <c r="AF273" s="92"/>
      <c r="AG273" s="92"/>
      <c r="AH273" s="92"/>
      <c r="AI273" s="92"/>
      <c r="AJ273" s="97" t="s">
        <v>87</v>
      </c>
    </row>
    <row r="274" spans="1:36">
      <c r="A274" s="84">
        <f t="shared" si="29"/>
        <v>276</v>
      </c>
      <c r="B274" s="91">
        <v>46019</v>
      </c>
      <c r="C274" s="48">
        <v>46019</v>
      </c>
      <c r="D274" s="104">
        <v>0.322916666666667</v>
      </c>
      <c r="E274" s="105">
        <v>0.75</v>
      </c>
      <c r="F274" s="100">
        <v>1348.09</v>
      </c>
      <c r="G274" s="92">
        <v>1351.91</v>
      </c>
      <c r="H274" s="92">
        <v>1310.5</v>
      </c>
      <c r="I274" s="92">
        <v>1266.72</v>
      </c>
      <c r="J274" s="92">
        <v>1336.5</v>
      </c>
      <c r="K274" s="92">
        <v>1317.61</v>
      </c>
      <c r="L274" s="92">
        <v>1308.65</v>
      </c>
      <c r="M274" s="93">
        <v>1388.01</v>
      </c>
      <c r="N274" s="93">
        <v>1300.54</v>
      </c>
      <c r="O274" s="93">
        <v>1315.24</v>
      </c>
      <c r="P274" s="93">
        <v>1307.81</v>
      </c>
      <c r="Q274" s="93">
        <v>1329.24</v>
      </c>
      <c r="R274" s="93">
        <v>1335.61</v>
      </c>
      <c r="S274" s="93">
        <v>1332.66</v>
      </c>
      <c r="T274" s="93">
        <v>1358.05</v>
      </c>
      <c r="U274" s="94">
        <f t="shared" si="30"/>
        <v>19907.14</v>
      </c>
      <c r="V274" s="103">
        <f t="shared" si="34"/>
        <v>610.68</v>
      </c>
      <c r="W274" s="92">
        <v>614.61</v>
      </c>
      <c r="X274" s="92">
        <f t="shared" si="31"/>
        <v>19650.0000000003</v>
      </c>
      <c r="Y274" s="92">
        <f t="shared" si="35"/>
        <v>4.08</v>
      </c>
      <c r="Z274" s="92">
        <v>4.09</v>
      </c>
      <c r="AA274" s="92">
        <f t="shared" si="33"/>
        <v>49.9999999999989</v>
      </c>
      <c r="AB274" s="97">
        <f t="shared" si="32"/>
        <v>19600.0000000003</v>
      </c>
      <c r="AC274" s="96"/>
      <c r="AD274" s="92">
        <v>3.63</v>
      </c>
      <c r="AE274" s="92">
        <v>27.85</v>
      </c>
      <c r="AF274" s="92"/>
      <c r="AG274" s="92"/>
      <c r="AH274" s="92"/>
      <c r="AI274" s="92"/>
      <c r="AJ274" s="97" t="s">
        <v>87</v>
      </c>
    </row>
    <row r="275" spans="1:36">
      <c r="A275" s="84">
        <f t="shared" si="29"/>
        <v>277</v>
      </c>
      <c r="B275" s="91">
        <v>46020</v>
      </c>
      <c r="C275" s="48">
        <v>46020</v>
      </c>
      <c r="D275" s="104">
        <v>0.3125</v>
      </c>
      <c r="E275" s="105">
        <v>0.75</v>
      </c>
      <c r="F275" s="100">
        <v>1337.53</v>
      </c>
      <c r="G275" s="92">
        <v>1338.04</v>
      </c>
      <c r="H275" s="92">
        <v>1298.98</v>
      </c>
      <c r="I275" s="92">
        <v>1253.14</v>
      </c>
      <c r="J275" s="92">
        <v>1321.76</v>
      </c>
      <c r="K275" s="92">
        <v>1305.03</v>
      </c>
      <c r="L275" s="92">
        <v>1295.55</v>
      </c>
      <c r="M275" s="93">
        <v>1373.4</v>
      </c>
      <c r="N275" s="93">
        <v>1294.55</v>
      </c>
      <c r="O275" s="93">
        <v>1312.78</v>
      </c>
      <c r="P275" s="93">
        <v>1300.8</v>
      </c>
      <c r="Q275" s="93">
        <v>1290.6</v>
      </c>
      <c r="R275" s="93">
        <v>1329.05</v>
      </c>
      <c r="S275" s="93">
        <v>1293.35</v>
      </c>
      <c r="T275" s="93">
        <v>1345.8</v>
      </c>
      <c r="U275" s="94">
        <f t="shared" si="30"/>
        <v>19690.36</v>
      </c>
      <c r="V275" s="103">
        <f t="shared" si="34"/>
        <v>614.61</v>
      </c>
      <c r="W275" s="92">
        <v>618.51</v>
      </c>
      <c r="X275" s="92">
        <f t="shared" si="31"/>
        <v>19499.9999999999</v>
      </c>
      <c r="Y275" s="92">
        <f t="shared" si="35"/>
        <v>4.09</v>
      </c>
      <c r="Z275" s="92">
        <v>4.11</v>
      </c>
      <c r="AA275" s="92">
        <f t="shared" si="33"/>
        <v>100.000000000002</v>
      </c>
      <c r="AB275" s="97">
        <f t="shared" si="32"/>
        <v>19399.9999999999</v>
      </c>
      <c r="AC275" s="96"/>
      <c r="AD275" s="92">
        <v>3.62</v>
      </c>
      <c r="AE275" s="92">
        <v>27.25</v>
      </c>
      <c r="AF275" s="92"/>
      <c r="AG275" s="92"/>
      <c r="AH275" s="92"/>
      <c r="AI275" s="92"/>
      <c r="AJ275" s="97" t="s">
        <v>87</v>
      </c>
    </row>
    <row r="276" spans="1:36">
      <c r="A276" s="84">
        <f t="shared" si="29"/>
        <v>278</v>
      </c>
      <c r="B276" s="91">
        <v>46021</v>
      </c>
      <c r="C276" s="48">
        <v>46021</v>
      </c>
      <c r="D276" s="104">
        <v>0.322916666666667</v>
      </c>
      <c r="E276" s="105">
        <v>0.75</v>
      </c>
      <c r="F276" s="100">
        <v>1334.22</v>
      </c>
      <c r="G276" s="92">
        <v>1341.3</v>
      </c>
      <c r="H276" s="92">
        <v>1296.22</v>
      </c>
      <c r="I276" s="92">
        <v>1253.38</v>
      </c>
      <c r="J276" s="92">
        <v>1322.63</v>
      </c>
      <c r="K276" s="92">
        <v>1302.01</v>
      </c>
      <c r="L276" s="92">
        <v>1297.28</v>
      </c>
      <c r="M276" s="93">
        <v>1374.55</v>
      </c>
      <c r="N276" s="93">
        <v>1289.19</v>
      </c>
      <c r="O276" s="93">
        <v>1321.79</v>
      </c>
      <c r="P276" s="93">
        <v>1293.27</v>
      </c>
      <c r="Q276" s="93">
        <v>1289.7</v>
      </c>
      <c r="R276" s="93">
        <v>1241.16</v>
      </c>
      <c r="S276" s="93">
        <v>1291.18</v>
      </c>
      <c r="T276" s="93">
        <v>1348.46</v>
      </c>
      <c r="U276" s="94">
        <f t="shared" si="30"/>
        <v>19596.34</v>
      </c>
      <c r="V276" s="103">
        <f t="shared" si="34"/>
        <v>618.51</v>
      </c>
      <c r="W276" s="92">
        <v>622.41</v>
      </c>
      <c r="X276" s="92">
        <f t="shared" si="31"/>
        <v>19499.9999999999</v>
      </c>
      <c r="Y276" s="92">
        <f t="shared" si="35"/>
        <v>4.11</v>
      </c>
      <c r="Z276" s="92">
        <v>4.12</v>
      </c>
      <c r="AA276" s="92">
        <f t="shared" si="33"/>
        <v>49.9999999999989</v>
      </c>
      <c r="AB276" s="97">
        <f t="shared" si="32"/>
        <v>19449.9999999999</v>
      </c>
      <c r="AC276" s="96"/>
      <c r="AD276" s="92">
        <v>3.5</v>
      </c>
      <c r="AE276" s="92">
        <v>26.113</v>
      </c>
      <c r="AF276" s="92"/>
      <c r="AG276" s="92"/>
      <c r="AH276" s="92"/>
      <c r="AI276" s="92"/>
      <c r="AJ276" s="97" t="s">
        <v>87</v>
      </c>
    </row>
    <row r="277" spans="1:36">
      <c r="A277" s="84">
        <f t="shared" si="29"/>
        <v>279</v>
      </c>
      <c r="B277" s="91">
        <v>46022</v>
      </c>
      <c r="C277" s="48">
        <v>46022</v>
      </c>
      <c r="D277" s="104">
        <v>0.3125</v>
      </c>
      <c r="E277" s="105">
        <v>0.75</v>
      </c>
      <c r="F277" s="100">
        <v>1178.03</v>
      </c>
      <c r="G277" s="92">
        <v>1176.17</v>
      </c>
      <c r="H277" s="92">
        <v>1137.1</v>
      </c>
      <c r="I277" s="92">
        <v>1154.9</v>
      </c>
      <c r="J277" s="92">
        <v>1156.33</v>
      </c>
      <c r="K277" s="92">
        <v>1146.6</v>
      </c>
      <c r="L277" s="92">
        <v>1134.74</v>
      </c>
      <c r="M277" s="93">
        <v>1199.54</v>
      </c>
      <c r="N277" s="93">
        <v>1136.16</v>
      </c>
      <c r="O277" s="93">
        <v>1164.34</v>
      </c>
      <c r="P277" s="93">
        <v>1143</v>
      </c>
      <c r="Q277" s="93">
        <v>1138.8</v>
      </c>
      <c r="R277" s="93">
        <v>1182.1</v>
      </c>
      <c r="S277" s="93">
        <v>1143.03</v>
      </c>
      <c r="T277" s="93">
        <v>1183.99</v>
      </c>
      <c r="U277" s="94">
        <f t="shared" si="30"/>
        <v>17374.83</v>
      </c>
      <c r="V277" s="103">
        <f t="shared" si="34"/>
        <v>622.41</v>
      </c>
      <c r="W277" s="92">
        <v>625.85</v>
      </c>
      <c r="X277" s="92">
        <f t="shared" si="31"/>
        <v>17200.0000000003</v>
      </c>
      <c r="Y277" s="92">
        <f t="shared" si="35"/>
        <v>4.12</v>
      </c>
      <c r="Z277" s="92">
        <v>4.13</v>
      </c>
      <c r="AA277" s="92">
        <f t="shared" si="33"/>
        <v>49.9999999999989</v>
      </c>
      <c r="AB277" s="97">
        <f t="shared" si="32"/>
        <v>17150.0000000003</v>
      </c>
      <c r="AC277" s="96"/>
      <c r="AD277" s="92">
        <v>3.13</v>
      </c>
      <c r="AE277" s="92">
        <v>25.09</v>
      </c>
      <c r="AF277" s="92"/>
      <c r="AG277" s="92"/>
      <c r="AH277" s="92"/>
      <c r="AI277" s="92"/>
      <c r="AJ277" s="97" t="s">
        <v>87</v>
      </c>
    </row>
    <row r="278" spans="1:36">
      <c r="A278" s="84">
        <f t="shared" si="29"/>
        <v>280</v>
      </c>
      <c r="B278" s="91">
        <v>46023</v>
      </c>
      <c r="C278" s="48">
        <v>46023</v>
      </c>
      <c r="D278" s="104">
        <v>0.3125</v>
      </c>
      <c r="E278" s="105">
        <v>0.770833333333333</v>
      </c>
      <c r="F278" s="100">
        <v>1399.64</v>
      </c>
      <c r="G278" s="92">
        <v>1404.68</v>
      </c>
      <c r="H278" s="92">
        <v>1371.56</v>
      </c>
      <c r="I278" s="92">
        <v>1388.05</v>
      </c>
      <c r="J278" s="92">
        <v>1392.57</v>
      </c>
      <c r="K278" s="92">
        <v>1377.19</v>
      </c>
      <c r="L278" s="92">
        <v>1371.46</v>
      </c>
      <c r="M278" s="93">
        <v>1451.55</v>
      </c>
      <c r="N278" s="93">
        <v>1332.83</v>
      </c>
      <c r="O278" s="93">
        <v>1368.5</v>
      </c>
      <c r="P278" s="93">
        <v>1338.45</v>
      </c>
      <c r="Q278" s="93">
        <v>1336.64</v>
      </c>
      <c r="R278" s="93">
        <v>1393.68</v>
      </c>
      <c r="S278" s="93">
        <v>1345.4</v>
      </c>
      <c r="T278" s="93">
        <v>1403.44</v>
      </c>
      <c r="U278" s="94">
        <f t="shared" si="30"/>
        <v>20675.64</v>
      </c>
      <c r="V278" s="103">
        <f t="shared" si="34"/>
        <v>625.85</v>
      </c>
      <c r="W278" s="92">
        <v>629.94</v>
      </c>
      <c r="X278" s="92">
        <f t="shared" si="31"/>
        <v>20450.0000000002</v>
      </c>
      <c r="Y278" s="92">
        <f t="shared" si="35"/>
        <v>4.13</v>
      </c>
      <c r="Z278" s="92">
        <v>4.14</v>
      </c>
      <c r="AA278" s="92">
        <f t="shared" si="33"/>
        <v>49.9999999999989</v>
      </c>
      <c r="AB278" s="97">
        <f t="shared" si="32"/>
        <v>20400.0000000002</v>
      </c>
      <c r="AC278" s="96"/>
      <c r="AD278" s="92">
        <v>3.37</v>
      </c>
      <c r="AE278" s="92">
        <v>25.64</v>
      </c>
      <c r="AF278" s="92"/>
      <c r="AG278" s="92"/>
      <c r="AH278" s="92"/>
      <c r="AI278" s="92"/>
      <c r="AJ278" s="97" t="s">
        <v>87</v>
      </c>
    </row>
    <row r="279" spans="1:36">
      <c r="A279" s="84">
        <f t="shared" si="29"/>
        <v>281</v>
      </c>
      <c r="B279" s="91">
        <v>46024</v>
      </c>
      <c r="C279" s="48">
        <v>46024</v>
      </c>
      <c r="D279" s="104">
        <v>0.3125</v>
      </c>
      <c r="E279" s="105">
        <v>0.770833333333333</v>
      </c>
      <c r="F279" s="100">
        <v>1499.39</v>
      </c>
      <c r="G279" s="92">
        <v>1499</v>
      </c>
      <c r="H279" s="92">
        <v>1449.79</v>
      </c>
      <c r="I279" s="92">
        <v>1474.7</v>
      </c>
      <c r="J279" s="92">
        <v>1483.35</v>
      </c>
      <c r="K279" s="92">
        <v>1452.88</v>
      </c>
      <c r="L279" s="92">
        <v>1451.31</v>
      </c>
      <c r="M279" s="93">
        <v>1539.43</v>
      </c>
      <c r="N279" s="93">
        <v>1439.28</v>
      </c>
      <c r="O279" s="93">
        <v>1479.41</v>
      </c>
      <c r="P279" s="93">
        <v>1442.07</v>
      </c>
      <c r="Q279" s="93">
        <v>1445.23</v>
      </c>
      <c r="R279" s="93">
        <v>1504.48</v>
      </c>
      <c r="S279" s="93">
        <v>1448.18</v>
      </c>
      <c r="T279" s="93">
        <v>1512.24</v>
      </c>
      <c r="U279" s="94">
        <f t="shared" si="30"/>
        <v>22120.74</v>
      </c>
      <c r="V279" s="103">
        <f t="shared" si="34"/>
        <v>629.94</v>
      </c>
      <c r="W279" s="92">
        <v>634.32</v>
      </c>
      <c r="X279" s="92">
        <f t="shared" si="31"/>
        <v>21900</v>
      </c>
      <c r="Y279" s="92">
        <f t="shared" si="35"/>
        <v>4.14</v>
      </c>
      <c r="Z279" s="92">
        <v>4.16</v>
      </c>
      <c r="AA279" s="92">
        <f t="shared" si="33"/>
        <v>100.000000000002</v>
      </c>
      <c r="AB279" s="97">
        <f t="shared" si="32"/>
        <v>21800</v>
      </c>
      <c r="AC279" s="96"/>
      <c r="AD279" s="92">
        <v>3.89</v>
      </c>
      <c r="AE279" s="92">
        <v>24.37</v>
      </c>
      <c r="AF279" s="92"/>
      <c r="AG279" s="92"/>
      <c r="AH279" s="92"/>
      <c r="AI279" s="92"/>
      <c r="AJ279" s="97" t="s">
        <v>87</v>
      </c>
    </row>
    <row r="280" spans="1:36">
      <c r="A280" s="84">
        <f t="shared" si="29"/>
        <v>282</v>
      </c>
      <c r="B280" s="91">
        <v>46025</v>
      </c>
      <c r="C280" s="48">
        <v>46025</v>
      </c>
      <c r="D280" s="104">
        <v>0.3125</v>
      </c>
      <c r="E280" s="105">
        <v>0.770833333333333</v>
      </c>
      <c r="F280" s="100">
        <v>1606.66</v>
      </c>
      <c r="G280" s="92">
        <v>1605.83</v>
      </c>
      <c r="H280" s="92">
        <v>1554.21</v>
      </c>
      <c r="I280" s="92">
        <v>1560.79</v>
      </c>
      <c r="J280" s="92">
        <v>1569.17</v>
      </c>
      <c r="K280" s="92">
        <v>1537.16</v>
      </c>
      <c r="L280" s="92">
        <v>1532.9</v>
      </c>
      <c r="M280" s="93">
        <v>1624.65</v>
      </c>
      <c r="N280" s="93">
        <v>1521.67</v>
      </c>
      <c r="O280" s="93">
        <v>1586.53</v>
      </c>
      <c r="P280" s="93">
        <v>1550.44</v>
      </c>
      <c r="Q280" s="93">
        <v>1551.5</v>
      </c>
      <c r="R280" s="93">
        <v>1591.57</v>
      </c>
      <c r="S280" s="93">
        <v>1551.41</v>
      </c>
      <c r="T280" s="93">
        <v>1632.5</v>
      </c>
      <c r="U280" s="94">
        <f t="shared" si="30"/>
        <v>23576.99</v>
      </c>
      <c r="V280" s="103">
        <f t="shared" si="34"/>
        <v>634.32</v>
      </c>
      <c r="W280" s="92">
        <v>638.58</v>
      </c>
      <c r="X280" s="92">
        <f t="shared" si="31"/>
        <v>21300</v>
      </c>
      <c r="Y280" s="92">
        <f t="shared" si="35"/>
        <v>4.16</v>
      </c>
      <c r="Z280" s="92">
        <v>4.17</v>
      </c>
      <c r="AA280" s="92">
        <f t="shared" si="33"/>
        <v>49.9999999999989</v>
      </c>
      <c r="AB280" s="97">
        <f t="shared" si="32"/>
        <v>21250</v>
      </c>
      <c r="AC280" s="96"/>
      <c r="AD280" s="92">
        <v>4.04</v>
      </c>
      <c r="AE280" s="92">
        <v>23.24</v>
      </c>
      <c r="AF280" s="92"/>
      <c r="AG280" s="92"/>
      <c r="AH280" s="92"/>
      <c r="AI280" s="92"/>
      <c r="AJ280" s="97" t="s">
        <v>87</v>
      </c>
    </row>
    <row r="281" spans="1:36">
      <c r="A281" s="84">
        <f t="shared" si="29"/>
        <v>283</v>
      </c>
      <c r="B281" s="91">
        <v>46026</v>
      </c>
      <c r="C281" s="48">
        <v>46026</v>
      </c>
      <c r="D281" s="104">
        <v>0.3125</v>
      </c>
      <c r="E281" s="105">
        <v>0.770833333333333</v>
      </c>
      <c r="F281" s="100">
        <v>1518.57</v>
      </c>
      <c r="G281" s="92">
        <v>1517.17</v>
      </c>
      <c r="H281" s="92">
        <v>1479.78</v>
      </c>
      <c r="I281" s="92">
        <v>1496.56</v>
      </c>
      <c r="J281" s="92">
        <v>1507.08</v>
      </c>
      <c r="K281" s="92">
        <v>1476.9</v>
      </c>
      <c r="L281" s="92">
        <v>1468.58</v>
      </c>
      <c r="M281" s="93">
        <v>1556.46</v>
      </c>
      <c r="N281" s="93">
        <v>1462.3</v>
      </c>
      <c r="O281" s="93">
        <v>1497.33</v>
      </c>
      <c r="P281" s="93">
        <v>1469.59</v>
      </c>
      <c r="Q281" s="93">
        <v>1466.09</v>
      </c>
      <c r="R281" s="93">
        <v>1523.1</v>
      </c>
      <c r="S281" s="93">
        <v>1468.56</v>
      </c>
      <c r="T281" s="93">
        <v>1528.33</v>
      </c>
      <c r="U281" s="94">
        <f t="shared" si="30"/>
        <v>22436.4</v>
      </c>
      <c r="V281" s="103">
        <f t="shared" si="34"/>
        <v>638.58</v>
      </c>
      <c r="W281" s="92">
        <v>643.42</v>
      </c>
      <c r="X281" s="92">
        <f t="shared" si="31"/>
        <v>24199.9999999996</v>
      </c>
      <c r="Y281" s="92">
        <f t="shared" si="35"/>
        <v>4.17</v>
      </c>
      <c r="Z281" s="92">
        <v>4.18</v>
      </c>
      <c r="AA281" s="92">
        <f t="shared" si="33"/>
        <v>49.9999999999989</v>
      </c>
      <c r="AB281" s="97">
        <f t="shared" si="32"/>
        <v>24149.9999999996</v>
      </c>
      <c r="AC281" s="96"/>
      <c r="AD281" s="92">
        <v>4.01</v>
      </c>
      <c r="AE281" s="92">
        <v>25.42</v>
      </c>
      <c r="AF281" s="92"/>
      <c r="AG281" s="92"/>
      <c r="AH281" s="92"/>
      <c r="AI281" s="92"/>
      <c r="AJ281" s="97" t="s">
        <v>87</v>
      </c>
    </row>
    <row r="282" spans="1:36">
      <c r="A282" s="84">
        <f t="shared" si="29"/>
        <v>284</v>
      </c>
      <c r="B282" s="91">
        <v>46027</v>
      </c>
      <c r="C282" s="48">
        <v>46027</v>
      </c>
      <c r="D282" s="104">
        <v>0.3125</v>
      </c>
      <c r="E282" s="105">
        <v>0.770833333333333</v>
      </c>
      <c r="F282" s="100">
        <v>1495.96</v>
      </c>
      <c r="G282" s="92">
        <v>1497.68</v>
      </c>
      <c r="H282" s="92">
        <v>1448.45</v>
      </c>
      <c r="I282" s="92">
        <v>1473.08</v>
      </c>
      <c r="J282" s="92">
        <v>1483.2</v>
      </c>
      <c r="K282" s="92">
        <v>1455.23</v>
      </c>
      <c r="L282" s="92">
        <v>1447.36</v>
      </c>
      <c r="M282" s="93">
        <v>1535.22</v>
      </c>
      <c r="N282" s="93">
        <v>1443.94</v>
      </c>
      <c r="O282" s="93">
        <v>1477.35</v>
      </c>
      <c r="P282" s="93">
        <v>1448.24</v>
      </c>
      <c r="Q282" s="93">
        <v>1446.33</v>
      </c>
      <c r="R282" s="93">
        <v>1502.06</v>
      </c>
      <c r="S282" s="93">
        <v>1448.57</v>
      </c>
      <c r="T282" s="93">
        <v>1510.04</v>
      </c>
      <c r="U282" s="94">
        <f t="shared" si="30"/>
        <v>22112.71</v>
      </c>
      <c r="V282" s="103">
        <f t="shared" si="34"/>
        <v>643.42</v>
      </c>
      <c r="W282" s="92">
        <v>647.79</v>
      </c>
      <c r="X282" s="92">
        <f t="shared" si="31"/>
        <v>21850</v>
      </c>
      <c r="Y282" s="92">
        <f t="shared" si="35"/>
        <v>4.18</v>
      </c>
      <c r="Z282" s="92">
        <v>4.19</v>
      </c>
      <c r="AA282" s="92">
        <f t="shared" si="33"/>
        <v>50.0000000000034</v>
      </c>
      <c r="AB282" s="97">
        <f t="shared" si="32"/>
        <v>21800</v>
      </c>
      <c r="AC282" s="96"/>
      <c r="AD282" s="92">
        <v>3.99</v>
      </c>
      <c r="AE282" s="92">
        <v>3.99</v>
      </c>
      <c r="AF282" s="92"/>
      <c r="AG282" s="92"/>
      <c r="AH282" s="92"/>
      <c r="AI282" s="92"/>
      <c r="AJ282" s="97" t="s">
        <v>87</v>
      </c>
    </row>
    <row r="283" spans="1:36">
      <c r="A283" s="84">
        <f t="shared" si="29"/>
        <v>285</v>
      </c>
      <c r="B283" s="91">
        <v>46028</v>
      </c>
      <c r="C283" s="48">
        <v>46028</v>
      </c>
      <c r="D283" s="104">
        <v>0.3125</v>
      </c>
      <c r="E283" s="105">
        <v>0.760416666666667</v>
      </c>
      <c r="F283" s="100">
        <v>1455.07</v>
      </c>
      <c r="G283" s="92">
        <v>1454.22</v>
      </c>
      <c r="H283" s="92">
        <v>1412.56</v>
      </c>
      <c r="I283" s="92">
        <v>1431.27</v>
      </c>
      <c r="J283" s="92">
        <v>1440.31</v>
      </c>
      <c r="K283" s="92">
        <v>1413.96</v>
      </c>
      <c r="L283" s="92">
        <v>1407.7</v>
      </c>
      <c r="M283" s="93">
        <v>1491.81</v>
      </c>
      <c r="N283" s="93">
        <v>1403.49</v>
      </c>
      <c r="O283" s="93">
        <v>1437.45</v>
      </c>
      <c r="P283" s="93">
        <v>1409.3</v>
      </c>
      <c r="Q283" s="93">
        <v>1407.22</v>
      </c>
      <c r="R283" s="93">
        <v>1460.84</v>
      </c>
      <c r="S283" s="93">
        <v>1408.64</v>
      </c>
      <c r="T283" s="93">
        <v>1467.34</v>
      </c>
      <c r="U283" s="94">
        <f t="shared" si="30"/>
        <v>21501.18</v>
      </c>
      <c r="V283" s="103">
        <f t="shared" si="34"/>
        <v>647.79</v>
      </c>
      <c r="W283" s="92">
        <v>652.05</v>
      </c>
      <c r="X283" s="92">
        <f t="shared" si="31"/>
        <v>21300</v>
      </c>
      <c r="Y283" s="92">
        <f t="shared" si="35"/>
        <v>4.19</v>
      </c>
      <c r="Z283" s="92">
        <v>4.21</v>
      </c>
      <c r="AA283" s="92">
        <f t="shared" si="33"/>
        <v>99.9999999999979</v>
      </c>
      <c r="AB283" s="97">
        <f t="shared" si="32"/>
        <v>21200</v>
      </c>
      <c r="AC283" s="96"/>
      <c r="AD283" s="92">
        <v>4.01</v>
      </c>
      <c r="AE283" s="92" t="s">
        <v>89</v>
      </c>
      <c r="AF283" s="92"/>
      <c r="AG283" s="92"/>
      <c r="AH283" s="92"/>
      <c r="AI283" s="92"/>
      <c r="AJ283" s="97" t="s">
        <v>87</v>
      </c>
    </row>
    <row r="284" spans="1:36">
      <c r="A284" s="84">
        <f t="shared" si="29"/>
        <v>286</v>
      </c>
      <c r="B284" s="91">
        <v>46029</v>
      </c>
      <c r="C284" s="48">
        <v>46029</v>
      </c>
      <c r="D284" s="104">
        <v>0.3125</v>
      </c>
      <c r="E284" s="105">
        <v>0.760416666666667</v>
      </c>
      <c r="F284" s="100">
        <v>1499.57</v>
      </c>
      <c r="G284" s="92">
        <v>1502.76</v>
      </c>
      <c r="H284" s="92">
        <v>1452.49</v>
      </c>
      <c r="I284" s="92">
        <v>1480.11</v>
      </c>
      <c r="J284" s="92">
        <v>1488.53</v>
      </c>
      <c r="K284" s="92">
        <v>1455.94</v>
      </c>
      <c r="L284" s="92">
        <v>1453.32</v>
      </c>
      <c r="M284" s="93">
        <v>1543.81</v>
      </c>
      <c r="N284" s="93">
        <v>1447.03</v>
      </c>
      <c r="O284" s="93">
        <v>1485.94</v>
      </c>
      <c r="P284" s="93">
        <v>1450.7</v>
      </c>
      <c r="Q284" s="93">
        <v>1453.05</v>
      </c>
      <c r="R284" s="93">
        <v>1508.1</v>
      </c>
      <c r="S284" s="93">
        <v>1454.68</v>
      </c>
      <c r="T284" s="93">
        <v>1518.52</v>
      </c>
      <c r="U284" s="94">
        <f t="shared" si="30"/>
        <v>22194.55</v>
      </c>
      <c r="V284" s="103">
        <f t="shared" si="34"/>
        <v>652.05</v>
      </c>
      <c r="W284" s="92">
        <v>656.43</v>
      </c>
      <c r="X284" s="92">
        <f t="shared" si="31"/>
        <v>21900</v>
      </c>
      <c r="Y284" s="92">
        <f t="shared" si="35"/>
        <v>4.21</v>
      </c>
      <c r="Z284" s="92">
        <v>4.22</v>
      </c>
      <c r="AA284" s="92">
        <f t="shared" si="33"/>
        <v>49.9999999999989</v>
      </c>
      <c r="AB284" s="97">
        <f t="shared" si="32"/>
        <v>21850</v>
      </c>
      <c r="AC284" s="96"/>
      <c r="AD284" s="92">
        <v>3.81</v>
      </c>
      <c r="AE284" s="92"/>
      <c r="AF284" s="92"/>
      <c r="AG284" s="92"/>
      <c r="AH284" s="92"/>
      <c r="AI284" s="92"/>
      <c r="AJ284" s="97" t="s">
        <v>87</v>
      </c>
    </row>
    <row r="285" spans="1:36">
      <c r="A285" s="84">
        <f t="shared" si="29"/>
        <v>287</v>
      </c>
      <c r="B285" s="91">
        <v>46030</v>
      </c>
      <c r="C285" s="48">
        <v>46030</v>
      </c>
      <c r="D285" s="104">
        <v>0.3125</v>
      </c>
      <c r="E285" s="105">
        <v>0.760416666666667</v>
      </c>
      <c r="F285" s="100">
        <v>1373.69</v>
      </c>
      <c r="G285" s="92">
        <v>1377.14</v>
      </c>
      <c r="H285" s="92">
        <v>1332.01</v>
      </c>
      <c r="I285" s="92">
        <v>1354.71</v>
      </c>
      <c r="J285" s="92">
        <v>1364.55</v>
      </c>
      <c r="K285" s="92">
        <v>1337.59</v>
      </c>
      <c r="L285" s="92">
        <v>1332.88</v>
      </c>
      <c r="M285" s="93">
        <v>1416.26</v>
      </c>
      <c r="N285" s="93">
        <v>1325.91</v>
      </c>
      <c r="O285" s="93">
        <v>1360.85</v>
      </c>
      <c r="P285" s="93">
        <v>1332.86</v>
      </c>
      <c r="Q285" s="93">
        <v>1330.3</v>
      </c>
      <c r="R285" s="93">
        <v>1381.68</v>
      </c>
      <c r="S285" s="93">
        <v>1332.13</v>
      </c>
      <c r="T285" s="93">
        <v>1390.93</v>
      </c>
      <c r="U285" s="94">
        <f t="shared" si="30"/>
        <v>20343.49</v>
      </c>
      <c r="V285" s="103">
        <f t="shared" si="34"/>
        <v>656.43</v>
      </c>
      <c r="W285" s="92">
        <v>660.46</v>
      </c>
      <c r="X285" s="92">
        <f t="shared" si="31"/>
        <v>20150.0000000004</v>
      </c>
      <c r="Y285" s="92">
        <f t="shared" si="35"/>
        <v>4.22</v>
      </c>
      <c r="Z285" s="92">
        <v>4.23</v>
      </c>
      <c r="AA285" s="92">
        <f t="shared" si="33"/>
        <v>50.0000000000034</v>
      </c>
      <c r="AB285" s="97">
        <f t="shared" si="32"/>
        <v>20100.0000000004</v>
      </c>
      <c r="AC285" s="96"/>
      <c r="AD285" s="92">
        <v>3.81</v>
      </c>
      <c r="AE285" s="92"/>
      <c r="AF285" s="92"/>
      <c r="AG285" s="92"/>
      <c r="AH285" s="92"/>
      <c r="AI285" s="92"/>
      <c r="AJ285" s="97" t="s">
        <v>87</v>
      </c>
    </row>
    <row r="286" spans="1:36">
      <c r="A286" s="84">
        <f t="shared" si="29"/>
        <v>288</v>
      </c>
      <c r="B286" s="91">
        <v>46031</v>
      </c>
      <c r="C286" s="48">
        <v>46031</v>
      </c>
      <c r="D286" s="104">
        <v>0.3125</v>
      </c>
      <c r="E286" s="105">
        <v>0.760416666666667</v>
      </c>
      <c r="F286" s="100">
        <v>1486.07</v>
      </c>
      <c r="G286" s="92">
        <v>1428.17</v>
      </c>
      <c r="H286" s="92">
        <v>1438.37</v>
      </c>
      <c r="I286" s="92">
        <v>1463.98</v>
      </c>
      <c r="J286" s="92">
        <v>1475.05</v>
      </c>
      <c r="K286" s="92">
        <v>1443.55</v>
      </c>
      <c r="L286" s="92">
        <v>1437.92</v>
      </c>
      <c r="M286" s="93">
        <v>1527.65</v>
      </c>
      <c r="N286" s="93">
        <v>1428.64</v>
      </c>
      <c r="O286" s="93">
        <v>1465.89</v>
      </c>
      <c r="P286" s="93">
        <v>1335.37</v>
      </c>
      <c r="Q286" s="93">
        <v>1434.7</v>
      </c>
      <c r="R286" s="93">
        <v>1491.3</v>
      </c>
      <c r="S286" s="93">
        <v>1435.12</v>
      </c>
      <c r="T286" s="93">
        <v>1499.18</v>
      </c>
      <c r="U286" s="94">
        <f t="shared" si="30"/>
        <v>21790.96</v>
      </c>
      <c r="V286" s="103">
        <f t="shared" si="34"/>
        <v>660.46</v>
      </c>
      <c r="W286" s="92">
        <v>664.8</v>
      </c>
      <c r="X286" s="92">
        <f t="shared" si="31"/>
        <v>21699.9999999996</v>
      </c>
      <c r="Y286" s="92">
        <f t="shared" si="35"/>
        <v>4.23</v>
      </c>
      <c r="Z286" s="92">
        <v>4.24</v>
      </c>
      <c r="AA286" s="92">
        <f t="shared" si="33"/>
        <v>49.9999999999989</v>
      </c>
      <c r="AB286" s="97">
        <f t="shared" si="32"/>
        <v>21649.9999999996</v>
      </c>
      <c r="AC286" s="96"/>
      <c r="AD286" s="92">
        <v>3.98</v>
      </c>
      <c r="AE286" s="92"/>
      <c r="AF286" s="92"/>
      <c r="AG286" s="92"/>
      <c r="AH286" s="92"/>
      <c r="AI286" s="92"/>
      <c r="AJ286" s="97" t="s">
        <v>87</v>
      </c>
    </row>
    <row r="287" spans="1:36">
      <c r="A287" s="84">
        <f t="shared" si="29"/>
        <v>289</v>
      </c>
      <c r="B287" s="91">
        <v>46032</v>
      </c>
      <c r="C287" s="48">
        <v>46032</v>
      </c>
      <c r="D287" s="104">
        <v>0.3125</v>
      </c>
      <c r="E287" s="105">
        <v>0.760416666666667</v>
      </c>
      <c r="F287" s="100">
        <v>1528.92</v>
      </c>
      <c r="G287" s="92">
        <v>1531.95</v>
      </c>
      <c r="H287" s="92">
        <v>1481.2</v>
      </c>
      <c r="I287" s="92">
        <v>1507.99</v>
      </c>
      <c r="J287" s="92">
        <v>1518.95</v>
      </c>
      <c r="K287" s="92">
        <v>1488.02</v>
      </c>
      <c r="L287" s="92">
        <v>1482.1</v>
      </c>
      <c r="M287" s="93">
        <v>1575.22</v>
      </c>
      <c r="N287" s="93">
        <v>1471.38</v>
      </c>
      <c r="O287" s="93">
        <v>1510.39</v>
      </c>
      <c r="P287" s="93">
        <v>1478.05</v>
      </c>
      <c r="Q287" s="93">
        <v>1478.58</v>
      </c>
      <c r="R287" s="93">
        <v>1535.48</v>
      </c>
      <c r="S287" s="93">
        <v>1476.92</v>
      </c>
      <c r="T287" s="93">
        <v>1544.9</v>
      </c>
      <c r="U287" s="94">
        <f t="shared" si="30"/>
        <v>22610.05</v>
      </c>
      <c r="V287" s="103">
        <f t="shared" si="34"/>
        <v>664.8</v>
      </c>
      <c r="W287" s="92">
        <v>669.28</v>
      </c>
      <c r="X287" s="92">
        <f t="shared" si="31"/>
        <v>22400.0000000001</v>
      </c>
      <c r="Y287" s="92">
        <f t="shared" si="35"/>
        <v>4.24</v>
      </c>
      <c r="Z287" s="92">
        <v>4.25</v>
      </c>
      <c r="AA287" s="92">
        <f t="shared" si="33"/>
        <v>49.9999999999989</v>
      </c>
      <c r="AB287" s="97">
        <f t="shared" si="32"/>
        <v>22350.0000000001</v>
      </c>
      <c r="AC287" s="96"/>
      <c r="AD287" s="92">
        <v>4.11</v>
      </c>
      <c r="AE287" s="92">
        <v>22.31</v>
      </c>
      <c r="AF287" s="92"/>
      <c r="AG287" s="92"/>
      <c r="AH287" s="92"/>
      <c r="AI287" s="92"/>
      <c r="AJ287" s="97" t="s">
        <v>87</v>
      </c>
    </row>
    <row r="288" spans="1:36">
      <c r="A288" s="84">
        <f t="shared" si="29"/>
        <v>290</v>
      </c>
      <c r="B288" s="91">
        <v>46033</v>
      </c>
      <c r="C288" s="48">
        <v>46033</v>
      </c>
      <c r="D288" s="104">
        <v>0.3125</v>
      </c>
      <c r="E288" s="105">
        <v>0.760416666666667</v>
      </c>
      <c r="F288" s="100">
        <v>1491.93</v>
      </c>
      <c r="G288" s="92">
        <v>1497.92</v>
      </c>
      <c r="H288" s="92">
        <v>1444.46</v>
      </c>
      <c r="I288" s="92">
        <v>1472.36</v>
      </c>
      <c r="J288" s="92">
        <v>1481.67</v>
      </c>
      <c r="K288" s="92">
        <v>1452.52</v>
      </c>
      <c r="L288" s="92">
        <v>1445.47</v>
      </c>
      <c r="M288" s="93">
        <v>1534.82</v>
      </c>
      <c r="N288" s="93">
        <v>1439.78</v>
      </c>
      <c r="O288" s="93">
        <v>1478.28</v>
      </c>
      <c r="P288" s="93">
        <v>1443.19</v>
      </c>
      <c r="Q288" s="93">
        <v>1445.3</v>
      </c>
      <c r="R288" s="93">
        <v>1500.53</v>
      </c>
      <c r="S288" s="93">
        <v>1443.53</v>
      </c>
      <c r="T288" s="93">
        <v>1512.02</v>
      </c>
      <c r="U288" s="94">
        <f t="shared" si="30"/>
        <v>22083.78</v>
      </c>
      <c r="V288" s="103">
        <f t="shared" si="34"/>
        <v>669.28</v>
      </c>
      <c r="W288" s="92">
        <v>673.65</v>
      </c>
      <c r="X288" s="92">
        <f t="shared" si="31"/>
        <v>21850</v>
      </c>
      <c r="Y288" s="92">
        <f t="shared" si="35"/>
        <v>4.25</v>
      </c>
      <c r="Z288" s="92">
        <v>4.27</v>
      </c>
      <c r="AA288" s="92">
        <f t="shared" si="33"/>
        <v>99.9999999999979</v>
      </c>
      <c r="AB288" s="97">
        <f t="shared" si="32"/>
        <v>21750</v>
      </c>
      <c r="AC288" s="96"/>
      <c r="AD288" s="92">
        <v>4.08</v>
      </c>
      <c r="AE288" s="92">
        <v>22.81</v>
      </c>
      <c r="AF288" s="92"/>
      <c r="AG288" s="92"/>
      <c r="AH288" s="92"/>
      <c r="AI288" s="92"/>
      <c r="AJ288" s="97" t="s">
        <v>87</v>
      </c>
    </row>
    <row r="289" spans="1:36">
      <c r="A289" s="84">
        <f t="shared" si="29"/>
        <v>291</v>
      </c>
      <c r="B289" s="91">
        <v>46034</v>
      </c>
      <c r="C289" s="48">
        <v>46034</v>
      </c>
      <c r="D289" s="104">
        <v>0.3125</v>
      </c>
      <c r="E289" s="105">
        <v>0.760416666666667</v>
      </c>
      <c r="F289" s="100">
        <v>1443.83</v>
      </c>
      <c r="G289" s="92">
        <v>1445.39</v>
      </c>
      <c r="H289" s="92">
        <v>1398.7</v>
      </c>
      <c r="I289" s="92">
        <v>1420.74</v>
      </c>
      <c r="J289" s="92">
        <v>1430.29</v>
      </c>
      <c r="K289" s="92">
        <v>1402.93</v>
      </c>
      <c r="L289" s="92">
        <v>1393.92</v>
      </c>
      <c r="M289" s="93">
        <v>1480</v>
      </c>
      <c r="N289" s="93">
        <v>1390.39</v>
      </c>
      <c r="O289" s="93">
        <v>1426.39</v>
      </c>
      <c r="P289" s="93">
        <v>1396.61</v>
      </c>
      <c r="Q289" s="93">
        <v>1395.95</v>
      </c>
      <c r="R289" s="93">
        <v>1449.14</v>
      </c>
      <c r="S289" s="93">
        <v>1396.05</v>
      </c>
      <c r="T289" s="93">
        <v>1457.78</v>
      </c>
      <c r="U289" s="94">
        <f t="shared" si="30"/>
        <v>21328.11</v>
      </c>
      <c r="V289" s="103">
        <f t="shared" si="34"/>
        <v>673.65</v>
      </c>
      <c r="W289" s="92">
        <v>677.87</v>
      </c>
      <c r="X289" s="92">
        <f t="shared" si="31"/>
        <v>21100.0000000001</v>
      </c>
      <c r="Y289" s="92">
        <f t="shared" si="35"/>
        <v>4.27</v>
      </c>
      <c r="Z289" s="92">
        <v>4.28</v>
      </c>
      <c r="AA289" s="92">
        <f t="shared" si="33"/>
        <v>50.0000000000034</v>
      </c>
      <c r="AB289" s="97">
        <f t="shared" si="32"/>
        <v>21050.0000000001</v>
      </c>
      <c r="AC289" s="96"/>
      <c r="AD289" s="92">
        <v>3.95</v>
      </c>
      <c r="AE289" s="92">
        <v>25.32</v>
      </c>
      <c r="AF289" s="92"/>
      <c r="AG289" s="92"/>
      <c r="AH289" s="92"/>
      <c r="AI289" s="92"/>
      <c r="AJ289" s="97" t="s">
        <v>87</v>
      </c>
    </row>
    <row r="290" spans="1:36">
      <c r="A290" s="84">
        <f t="shared" si="29"/>
        <v>292</v>
      </c>
      <c r="B290" s="91">
        <v>46035</v>
      </c>
      <c r="C290" s="48">
        <v>46035</v>
      </c>
      <c r="D290" s="104">
        <v>0.3125</v>
      </c>
      <c r="E290" s="105">
        <v>0.760416666666667</v>
      </c>
      <c r="F290" s="100">
        <v>1419.34</v>
      </c>
      <c r="G290" s="92">
        <v>1424.07</v>
      </c>
      <c r="H290" s="92">
        <v>1374.68</v>
      </c>
      <c r="I290" s="92">
        <v>1399.11</v>
      </c>
      <c r="J290" s="92">
        <v>1409.25</v>
      </c>
      <c r="K290" s="92">
        <v>1379.8</v>
      </c>
      <c r="L290" s="92">
        <v>1375.55</v>
      </c>
      <c r="M290" s="93">
        <v>1458.46</v>
      </c>
      <c r="N290" s="93">
        <v>1367.76</v>
      </c>
      <c r="O290" s="93">
        <v>1402.79</v>
      </c>
      <c r="P290" s="93">
        <v>1370.6</v>
      </c>
      <c r="Q290" s="93">
        <v>1370.99</v>
      </c>
      <c r="R290" s="93">
        <v>1425.84</v>
      </c>
      <c r="S290" s="93">
        <v>1372.86</v>
      </c>
      <c r="T290" s="93">
        <v>1335.82</v>
      </c>
      <c r="U290" s="94">
        <f t="shared" si="30"/>
        <v>20886.92</v>
      </c>
      <c r="V290" s="103">
        <f t="shared" si="34"/>
        <v>677.87</v>
      </c>
      <c r="W290" s="92">
        <v>682.02</v>
      </c>
      <c r="X290" s="92">
        <f t="shared" si="31"/>
        <v>20749.9999999999</v>
      </c>
      <c r="Y290" s="92">
        <f t="shared" si="35"/>
        <v>4.28</v>
      </c>
      <c r="Z290" s="92">
        <v>4.29</v>
      </c>
      <c r="AA290" s="92">
        <f t="shared" si="33"/>
        <v>49.9999999999989</v>
      </c>
      <c r="AB290" s="97">
        <f t="shared" si="32"/>
        <v>20699.9999999999</v>
      </c>
      <c r="AC290" s="96"/>
      <c r="AD290" s="92">
        <v>3.88</v>
      </c>
      <c r="AE290" s="92">
        <v>25.32</v>
      </c>
      <c r="AF290" s="92"/>
      <c r="AG290" s="92"/>
      <c r="AH290" s="92"/>
      <c r="AI290" s="92"/>
      <c r="AJ290" s="97" t="s">
        <v>87</v>
      </c>
    </row>
    <row r="291" spans="1:36">
      <c r="A291" s="84">
        <f t="shared" si="29"/>
        <v>293</v>
      </c>
      <c r="B291" s="91">
        <v>46036</v>
      </c>
      <c r="C291" s="48">
        <v>46036</v>
      </c>
      <c r="D291" s="104">
        <v>0.3125</v>
      </c>
      <c r="E291" s="105">
        <v>0.760416666666667</v>
      </c>
      <c r="F291" s="100">
        <v>1622.72</v>
      </c>
      <c r="G291" s="92">
        <v>1627.15</v>
      </c>
      <c r="H291" s="92">
        <v>1667.92</v>
      </c>
      <c r="I291" s="92">
        <v>1600.43</v>
      </c>
      <c r="J291" s="92">
        <v>1612.25</v>
      </c>
      <c r="K291" s="92">
        <v>1576.55</v>
      </c>
      <c r="L291" s="92">
        <v>1569.11</v>
      </c>
      <c r="M291" s="93">
        <v>1668.53</v>
      </c>
      <c r="N291" s="93">
        <v>1561.54</v>
      </c>
      <c r="O291" s="93">
        <v>1601.75</v>
      </c>
      <c r="P291" s="93">
        <v>1567.94</v>
      </c>
      <c r="Q291" s="93">
        <v>1568.12</v>
      </c>
      <c r="R291" s="93">
        <v>1630.08</v>
      </c>
      <c r="S291" s="93">
        <v>1567.54</v>
      </c>
      <c r="T291" s="93">
        <v>1639.97</v>
      </c>
      <c r="U291" s="94">
        <f t="shared" si="30"/>
        <v>24081.6</v>
      </c>
      <c r="V291" s="103">
        <f t="shared" si="34"/>
        <v>682.02</v>
      </c>
      <c r="W291" s="92">
        <v>686.76</v>
      </c>
      <c r="X291" s="92">
        <f t="shared" si="31"/>
        <v>23700</v>
      </c>
      <c r="Y291" s="92">
        <f t="shared" si="35"/>
        <v>4.29</v>
      </c>
      <c r="Z291" s="92">
        <v>4.3</v>
      </c>
      <c r="AA291" s="92">
        <f t="shared" si="33"/>
        <v>49.9999999999989</v>
      </c>
      <c r="AB291" s="97">
        <f t="shared" si="32"/>
        <v>23650</v>
      </c>
      <c r="AC291" s="96"/>
      <c r="AD291" s="92">
        <v>4.39</v>
      </c>
      <c r="AE291" s="92">
        <v>24.13</v>
      </c>
      <c r="AF291" s="92"/>
      <c r="AG291" s="92"/>
      <c r="AH291" s="92"/>
      <c r="AI291" s="92"/>
      <c r="AJ291" s="97" t="s">
        <v>87</v>
      </c>
    </row>
    <row r="292" spans="1:36">
      <c r="A292" s="84">
        <f t="shared" si="29"/>
        <v>294</v>
      </c>
      <c r="B292" s="91">
        <v>46037</v>
      </c>
      <c r="C292" s="48">
        <v>46037</v>
      </c>
      <c r="D292" s="104">
        <v>0.3125</v>
      </c>
      <c r="E292" s="105">
        <v>0.760416666666667</v>
      </c>
      <c r="F292" s="100">
        <v>1611.47</v>
      </c>
      <c r="G292" s="92">
        <v>1611.08</v>
      </c>
      <c r="H292" s="92">
        <v>1557.62</v>
      </c>
      <c r="I292" s="92">
        <v>1587.35</v>
      </c>
      <c r="J292" s="92">
        <v>1597.69</v>
      </c>
      <c r="K292" s="92">
        <v>1569.18</v>
      </c>
      <c r="L292" s="92">
        <v>1554.38</v>
      </c>
      <c r="M292" s="93">
        <v>1651.76</v>
      </c>
      <c r="N292" s="93">
        <v>1557.19</v>
      </c>
      <c r="O292" s="93">
        <v>1590.33</v>
      </c>
      <c r="P292" s="93">
        <v>1562.84</v>
      </c>
      <c r="Q292" s="93">
        <v>1561.74</v>
      </c>
      <c r="R292" s="93">
        <v>1618.45</v>
      </c>
      <c r="S292" s="93">
        <v>1559.09</v>
      </c>
      <c r="T292" s="93">
        <v>1624.94</v>
      </c>
      <c r="U292" s="94">
        <f t="shared" si="30"/>
        <v>23815.11</v>
      </c>
      <c r="V292" s="103">
        <f t="shared" si="34"/>
        <v>686.76</v>
      </c>
      <c r="W292" s="92">
        <v>691.48</v>
      </c>
      <c r="X292" s="92">
        <f t="shared" si="31"/>
        <v>23600.0000000001</v>
      </c>
      <c r="Y292" s="92">
        <f t="shared" si="35"/>
        <v>4.3</v>
      </c>
      <c r="Z292" s="92">
        <v>4.31</v>
      </c>
      <c r="AA292" s="92">
        <f t="shared" si="33"/>
        <v>49.9999999999989</v>
      </c>
      <c r="AB292" s="97">
        <f t="shared" si="32"/>
        <v>23550.0000000001</v>
      </c>
      <c r="AC292" s="96"/>
      <c r="AD292" s="92">
        <v>4.37</v>
      </c>
      <c r="AE292" s="92">
        <v>25.1</v>
      </c>
      <c r="AF292" s="92"/>
      <c r="AG292" s="92"/>
      <c r="AH292" s="92"/>
      <c r="AI292" s="92"/>
      <c r="AJ292" s="97" t="s">
        <v>87</v>
      </c>
    </row>
    <row r="293" spans="1:36">
      <c r="A293" s="84">
        <f t="shared" si="29"/>
        <v>295</v>
      </c>
      <c r="B293" s="91">
        <v>46038</v>
      </c>
      <c r="C293" s="48">
        <v>46038</v>
      </c>
      <c r="D293" s="104">
        <v>0.3125</v>
      </c>
      <c r="E293" s="105">
        <v>0.760416666666667</v>
      </c>
      <c r="F293" s="100">
        <v>1551.78</v>
      </c>
      <c r="G293" s="92">
        <v>1537.26</v>
      </c>
      <c r="H293" s="92">
        <v>1493.75</v>
      </c>
      <c r="I293" s="92">
        <v>1513.39</v>
      </c>
      <c r="J293" s="92">
        <v>1523.44</v>
      </c>
      <c r="K293" s="92">
        <v>1494.21</v>
      </c>
      <c r="L293" s="92">
        <v>1486.11</v>
      </c>
      <c r="M293" s="93">
        <v>1575.43</v>
      </c>
      <c r="N293" s="93">
        <v>1467.81</v>
      </c>
      <c r="O293" s="93">
        <v>1516.36</v>
      </c>
      <c r="P293" s="93">
        <v>1487.29</v>
      </c>
      <c r="Q293" s="93">
        <v>1487.64</v>
      </c>
      <c r="R293" s="93">
        <v>1540</v>
      </c>
      <c r="S293" s="93">
        <v>1485.05</v>
      </c>
      <c r="T293" s="93">
        <v>1547.55</v>
      </c>
      <c r="U293" s="94">
        <f t="shared" si="30"/>
        <v>22707.07</v>
      </c>
      <c r="V293" s="103">
        <f t="shared" si="34"/>
        <v>691.48</v>
      </c>
      <c r="W293" s="92">
        <v>695.97</v>
      </c>
      <c r="X293" s="92">
        <f t="shared" si="31"/>
        <v>22450</v>
      </c>
      <c r="Y293" s="92">
        <f t="shared" si="35"/>
        <v>4.31</v>
      </c>
      <c r="Z293" s="92">
        <v>4.32</v>
      </c>
      <c r="AA293" s="92">
        <f t="shared" si="33"/>
        <v>50.0000000000034</v>
      </c>
      <c r="AB293" s="97">
        <f t="shared" si="32"/>
        <v>22400</v>
      </c>
      <c r="AC293" s="96"/>
      <c r="AD293" s="92">
        <v>4.27</v>
      </c>
      <c r="AE293" s="92">
        <v>25.22</v>
      </c>
      <c r="AF293" s="92"/>
      <c r="AG293" s="92"/>
      <c r="AH293" s="92"/>
      <c r="AI293" s="92"/>
      <c r="AJ293" s="97" t="s">
        <v>87</v>
      </c>
    </row>
    <row r="294" spans="1:36">
      <c r="A294" s="84">
        <f t="shared" si="29"/>
        <v>296</v>
      </c>
      <c r="B294" s="91">
        <v>46039</v>
      </c>
      <c r="C294" s="48">
        <v>46039</v>
      </c>
      <c r="D294" s="104">
        <v>0.3125</v>
      </c>
      <c r="E294" s="105">
        <v>0.760416666666667</v>
      </c>
      <c r="F294" s="100">
        <v>1526.93</v>
      </c>
      <c r="G294" s="92">
        <v>1508.95</v>
      </c>
      <c r="H294" s="92">
        <v>1460.29</v>
      </c>
      <c r="I294" s="92">
        <v>1478.14</v>
      </c>
      <c r="J294" s="92">
        <v>1490.16</v>
      </c>
      <c r="K294" s="92">
        <v>1461.9</v>
      </c>
      <c r="L294" s="92">
        <v>1453</v>
      </c>
      <c r="M294" s="93">
        <v>1540.87</v>
      </c>
      <c r="N294" s="93">
        <v>1454.79</v>
      </c>
      <c r="O294" s="93">
        <v>1490.45</v>
      </c>
      <c r="P294" s="93">
        <v>1453.22</v>
      </c>
      <c r="Q294" s="93">
        <v>1455.39</v>
      </c>
      <c r="R294" s="93">
        <v>1510.67</v>
      </c>
      <c r="S294" s="93">
        <v>1450.27</v>
      </c>
      <c r="T294" s="93">
        <v>1515.67</v>
      </c>
      <c r="U294" s="94">
        <f t="shared" si="30"/>
        <v>22250.7</v>
      </c>
      <c r="V294" s="103">
        <f t="shared" si="34"/>
        <v>695.97</v>
      </c>
      <c r="W294" s="92">
        <v>700.37</v>
      </c>
      <c r="X294" s="92">
        <f t="shared" si="31"/>
        <v>21999.9999999999</v>
      </c>
      <c r="Y294" s="92">
        <f t="shared" si="35"/>
        <v>4.32</v>
      </c>
      <c r="Z294" s="92">
        <v>4.33</v>
      </c>
      <c r="AA294" s="92">
        <f t="shared" si="33"/>
        <v>49.9999999999989</v>
      </c>
      <c r="AB294" s="97">
        <f t="shared" si="32"/>
        <v>21949.9999999999</v>
      </c>
      <c r="AC294" s="96"/>
      <c r="AD294" s="92">
        <v>4.07</v>
      </c>
      <c r="AE294" s="92">
        <v>24.2</v>
      </c>
      <c r="AF294" s="92"/>
      <c r="AG294" s="92"/>
      <c r="AH294" s="92"/>
      <c r="AI294" s="92"/>
      <c r="AJ294" s="97" t="s">
        <v>87</v>
      </c>
    </row>
    <row r="295" spans="1:36">
      <c r="A295" s="84">
        <f t="shared" si="29"/>
        <v>297</v>
      </c>
      <c r="B295" s="91">
        <v>46040</v>
      </c>
      <c r="C295" s="48">
        <v>46040</v>
      </c>
      <c r="D295" s="104">
        <v>0.3125</v>
      </c>
      <c r="E295" s="105">
        <v>0.760416666666667</v>
      </c>
      <c r="F295" s="100">
        <v>1533.91</v>
      </c>
      <c r="G295" s="92">
        <v>1599.84</v>
      </c>
      <c r="H295" s="92">
        <v>1480.52</v>
      </c>
      <c r="I295" s="92">
        <v>1527.78</v>
      </c>
      <c r="J295" s="92">
        <v>1660.8</v>
      </c>
      <c r="K295" s="92">
        <v>1463.3</v>
      </c>
      <c r="L295" s="92">
        <v>1521.5</v>
      </c>
      <c r="M295" s="93">
        <v>1730.78</v>
      </c>
      <c r="N295" s="93">
        <v>1465.11</v>
      </c>
      <c r="O295" s="93">
        <v>1501.28</v>
      </c>
      <c r="P295" s="93">
        <v>1462.14</v>
      </c>
      <c r="Q295" s="93">
        <v>1464.77</v>
      </c>
      <c r="R295" s="93">
        <v>1520.03</v>
      </c>
      <c r="S295" s="93">
        <v>1455.13</v>
      </c>
      <c r="T295" s="93">
        <v>1524.12</v>
      </c>
      <c r="U295" s="94">
        <f t="shared" si="30"/>
        <v>22911.01</v>
      </c>
      <c r="V295" s="103">
        <f t="shared" si="34"/>
        <v>700.37</v>
      </c>
      <c r="W295" s="92">
        <v>704.9</v>
      </c>
      <c r="X295" s="92">
        <f t="shared" si="31"/>
        <v>22649.9999999999</v>
      </c>
      <c r="Y295" s="92">
        <f t="shared" si="35"/>
        <v>4.33</v>
      </c>
      <c r="Z295" s="92">
        <v>4.35</v>
      </c>
      <c r="AA295" s="92">
        <f t="shared" si="33"/>
        <v>99.9999999999979</v>
      </c>
      <c r="AB295" s="97">
        <f t="shared" si="32"/>
        <v>22549.9999999999</v>
      </c>
      <c r="AC295" s="96"/>
      <c r="AD295" s="92">
        <v>3.92</v>
      </c>
      <c r="AE295" s="92">
        <v>24.73</v>
      </c>
      <c r="AF295" s="92"/>
      <c r="AG295" s="92"/>
      <c r="AH295" s="92"/>
      <c r="AI295" s="92"/>
      <c r="AJ295" s="97" t="s">
        <v>87</v>
      </c>
    </row>
    <row r="296" spans="1:36">
      <c r="A296" s="84">
        <f t="shared" si="29"/>
        <v>298</v>
      </c>
      <c r="B296" s="91">
        <v>46041</v>
      </c>
      <c r="C296" s="48">
        <v>46041</v>
      </c>
      <c r="D296" s="104">
        <v>0.3125</v>
      </c>
      <c r="E296" s="105">
        <v>0.760416666666667</v>
      </c>
      <c r="F296" s="100">
        <v>1625.56</v>
      </c>
      <c r="G296" s="92">
        <v>1723.92</v>
      </c>
      <c r="H296" s="92">
        <v>1574.94</v>
      </c>
      <c r="I296" s="92">
        <v>1722.35</v>
      </c>
      <c r="J296" s="92">
        <v>1726.42</v>
      </c>
      <c r="K296" s="92">
        <v>1608.41</v>
      </c>
      <c r="L296" s="92">
        <v>1703.56</v>
      </c>
      <c r="M296" s="93">
        <v>1760.76</v>
      </c>
      <c r="N296" s="93">
        <v>1497.07</v>
      </c>
      <c r="O296" s="93">
        <v>1530.38</v>
      </c>
      <c r="P296" s="93">
        <v>1503.06</v>
      </c>
      <c r="Q296" s="93">
        <v>1503.88</v>
      </c>
      <c r="R296" s="93">
        <v>1555.78</v>
      </c>
      <c r="S296" s="93">
        <v>1501.49</v>
      </c>
      <c r="T296" s="93">
        <v>1566.23</v>
      </c>
      <c r="U296" s="94">
        <f t="shared" si="30"/>
        <v>24103.81</v>
      </c>
      <c r="V296" s="103">
        <f t="shared" si="34"/>
        <v>704.9</v>
      </c>
      <c r="W296" s="92">
        <v>709.67</v>
      </c>
      <c r="X296" s="92">
        <f t="shared" si="31"/>
        <v>23849.9999999999</v>
      </c>
      <c r="Y296" s="92">
        <f t="shared" si="35"/>
        <v>4.35</v>
      </c>
      <c r="Z296" s="92">
        <v>4.36</v>
      </c>
      <c r="AA296" s="92">
        <f t="shared" si="33"/>
        <v>50.0000000000034</v>
      </c>
      <c r="AB296" s="97">
        <f t="shared" si="32"/>
        <v>23799.9999999999</v>
      </c>
      <c r="AC296" s="96"/>
      <c r="AD296" s="92">
        <v>4.15</v>
      </c>
      <c r="AE296" s="92">
        <v>25.54</v>
      </c>
      <c r="AF296" s="92"/>
      <c r="AG296" s="92"/>
      <c r="AH296" s="92"/>
      <c r="AI296" s="92"/>
      <c r="AJ296" s="97" t="s">
        <v>87</v>
      </c>
    </row>
    <row r="297" spans="1:36">
      <c r="A297" s="84">
        <f t="shared" si="29"/>
        <v>299</v>
      </c>
      <c r="B297" s="91">
        <v>46042</v>
      </c>
      <c r="C297" s="48">
        <v>46042</v>
      </c>
      <c r="D297" s="104">
        <v>0.354166666666667</v>
      </c>
      <c r="E297" s="105">
        <v>0.78125</v>
      </c>
      <c r="F297" s="100">
        <v>1641.77</v>
      </c>
      <c r="G297" s="92">
        <v>1643.93</v>
      </c>
      <c r="H297" s="92">
        <v>1591.07</v>
      </c>
      <c r="I297" s="92">
        <v>1645.28</v>
      </c>
      <c r="J297" s="92">
        <v>1645.87</v>
      </c>
      <c r="K297" s="92">
        <v>1618.01</v>
      </c>
      <c r="L297" s="92">
        <v>1627.99</v>
      </c>
      <c r="M297" s="93">
        <v>1705.25</v>
      </c>
      <c r="N297" s="93">
        <v>1432.38</v>
      </c>
      <c r="O297" s="93">
        <v>1573.87</v>
      </c>
      <c r="P297" s="93">
        <v>1431.61</v>
      </c>
      <c r="Q297" s="93">
        <v>1496.05</v>
      </c>
      <c r="R297" s="93">
        <v>1613.59</v>
      </c>
      <c r="S297" s="93">
        <v>1435.45</v>
      </c>
      <c r="T297" s="93">
        <v>1598.9</v>
      </c>
      <c r="U297" s="94">
        <f t="shared" si="30"/>
        <v>23701.02</v>
      </c>
      <c r="V297" s="103">
        <f t="shared" si="34"/>
        <v>709.67</v>
      </c>
      <c r="W297" s="92">
        <v>714.36</v>
      </c>
      <c r="X297" s="92">
        <f t="shared" si="31"/>
        <v>23450.0000000003</v>
      </c>
      <c r="Y297" s="92">
        <f t="shared" si="35"/>
        <v>4.36</v>
      </c>
      <c r="Z297" s="92">
        <v>4.37</v>
      </c>
      <c r="AA297" s="92">
        <f t="shared" si="33"/>
        <v>49.9999999999989</v>
      </c>
      <c r="AB297" s="97">
        <f t="shared" si="32"/>
        <v>23400.0000000003</v>
      </c>
      <c r="AC297" s="96"/>
      <c r="AD297" s="92">
        <v>4.08</v>
      </c>
      <c r="AE297" s="92">
        <v>24.17</v>
      </c>
      <c r="AF297" s="92"/>
      <c r="AG297" s="92"/>
      <c r="AH297" s="92"/>
      <c r="AI297" s="92"/>
      <c r="AJ297" s="97" t="s">
        <v>87</v>
      </c>
    </row>
    <row r="298" spans="1:36">
      <c r="A298" s="84">
        <f t="shared" si="29"/>
        <v>300</v>
      </c>
      <c r="B298" s="91">
        <v>46043</v>
      </c>
      <c r="C298" s="48">
        <v>46043</v>
      </c>
      <c r="D298" s="104">
        <v>0.395833333333333</v>
      </c>
      <c r="E298" s="105">
        <v>0.78125</v>
      </c>
      <c r="F298" s="100">
        <v>1528.65</v>
      </c>
      <c r="G298" s="92">
        <v>1532.18</v>
      </c>
      <c r="H298" s="92">
        <v>1483.67</v>
      </c>
      <c r="I298" s="92">
        <v>1533.97</v>
      </c>
      <c r="J298" s="92">
        <v>1531.97</v>
      </c>
      <c r="K298" s="92">
        <v>1507.75</v>
      </c>
      <c r="L298" s="92">
        <v>1516.55</v>
      </c>
      <c r="M298" s="93">
        <v>1589.17</v>
      </c>
      <c r="N298" s="93">
        <v>1504.96</v>
      </c>
      <c r="O298" s="93">
        <v>1519.77</v>
      </c>
      <c r="P298" s="93">
        <v>1502.9</v>
      </c>
      <c r="Q298" s="93">
        <v>1512.23</v>
      </c>
      <c r="R298" s="93">
        <v>1527.33</v>
      </c>
      <c r="S298" s="93">
        <v>1512.36</v>
      </c>
      <c r="T298" s="93">
        <v>1537.02</v>
      </c>
      <c r="U298" s="94">
        <f t="shared" si="30"/>
        <v>22840.48</v>
      </c>
      <c r="V298" s="103">
        <f t="shared" si="34"/>
        <v>714.36</v>
      </c>
      <c r="W298" s="92">
        <v>718.87</v>
      </c>
      <c r="X298" s="92">
        <f t="shared" si="31"/>
        <v>22550</v>
      </c>
      <c r="Y298" s="92">
        <f t="shared" si="35"/>
        <v>4.37</v>
      </c>
      <c r="Z298" s="92">
        <v>4.38</v>
      </c>
      <c r="AA298" s="92">
        <f t="shared" si="33"/>
        <v>49.9999999999989</v>
      </c>
      <c r="AB298" s="97">
        <f t="shared" si="32"/>
        <v>22500</v>
      </c>
      <c r="AC298" s="96"/>
      <c r="AD298" s="92">
        <v>3.84</v>
      </c>
      <c r="AE298" s="92">
        <v>26.37</v>
      </c>
      <c r="AF298" s="92"/>
      <c r="AG298" s="92"/>
      <c r="AH298" s="92"/>
      <c r="AI298" s="92"/>
      <c r="AJ298" s="97" t="s">
        <v>87</v>
      </c>
    </row>
    <row r="299" spans="1:36">
      <c r="A299" s="84">
        <f t="shared" si="29"/>
        <v>301</v>
      </c>
      <c r="B299" s="91">
        <v>46044</v>
      </c>
      <c r="C299" s="48">
        <v>46044</v>
      </c>
      <c r="D299" s="104">
        <v>0.4375</v>
      </c>
      <c r="E299" s="105">
        <v>0.78125</v>
      </c>
      <c r="F299" s="100">
        <v>1496.64</v>
      </c>
      <c r="G299" s="92">
        <v>1497.4</v>
      </c>
      <c r="H299" s="92">
        <v>1450.08</v>
      </c>
      <c r="I299" s="92">
        <v>1494.52</v>
      </c>
      <c r="J299" s="92">
        <v>1494.14</v>
      </c>
      <c r="K299" s="92">
        <v>1483.49</v>
      </c>
      <c r="L299" s="92">
        <v>1478.99</v>
      </c>
      <c r="M299" s="93">
        <v>1547.15</v>
      </c>
      <c r="N299" s="93">
        <v>1472.81</v>
      </c>
      <c r="O299" s="93">
        <v>1482.81</v>
      </c>
      <c r="P299" s="93">
        <v>1479.6</v>
      </c>
      <c r="Q299" s="93">
        <v>1470.85</v>
      </c>
      <c r="R299" s="93">
        <v>1489.34</v>
      </c>
      <c r="S299" s="93">
        <v>1485.97</v>
      </c>
      <c r="T299" s="93">
        <v>1491.84</v>
      </c>
      <c r="U299" s="94">
        <f t="shared" si="30"/>
        <v>22315.63</v>
      </c>
      <c r="V299" s="103">
        <f t="shared" si="34"/>
        <v>718.87</v>
      </c>
      <c r="W299" s="92">
        <v>723.29</v>
      </c>
      <c r="X299" s="92">
        <f t="shared" si="31"/>
        <v>22099.9999999998</v>
      </c>
      <c r="Y299" s="92">
        <f t="shared" si="35"/>
        <v>4.38</v>
      </c>
      <c r="Z299" s="92">
        <v>4.39</v>
      </c>
      <c r="AA299" s="92">
        <f t="shared" si="33"/>
        <v>49.9999999999989</v>
      </c>
      <c r="AB299" s="97">
        <f t="shared" si="32"/>
        <v>22049.9999999998</v>
      </c>
      <c r="AC299" s="96"/>
      <c r="AD299" s="92">
        <v>3.81</v>
      </c>
      <c r="AE299" s="92">
        <v>25.26</v>
      </c>
      <c r="AF299" s="92"/>
      <c r="AG299" s="92"/>
      <c r="AH299" s="92"/>
      <c r="AI299" s="92"/>
      <c r="AJ299" s="97" t="s">
        <v>87</v>
      </c>
    </row>
    <row r="300" spans="1:36">
      <c r="A300" s="84">
        <f t="shared" si="29"/>
        <v>302</v>
      </c>
      <c r="B300" s="91">
        <v>46045</v>
      </c>
      <c r="C300" s="48">
        <v>46045</v>
      </c>
      <c r="D300" s="104">
        <v>0.479166666666667</v>
      </c>
      <c r="E300" s="105">
        <v>0.78125</v>
      </c>
      <c r="F300" s="100">
        <v>1408.99</v>
      </c>
      <c r="G300" s="92">
        <v>1417.17</v>
      </c>
      <c r="H300" s="92">
        <v>1367.5</v>
      </c>
      <c r="I300" s="92">
        <v>1414.47</v>
      </c>
      <c r="J300" s="92">
        <v>1415.33</v>
      </c>
      <c r="K300" s="92">
        <v>1392.7</v>
      </c>
      <c r="L300" s="92">
        <v>1403.53</v>
      </c>
      <c r="M300" s="93">
        <v>1468.13</v>
      </c>
      <c r="N300" s="93">
        <v>1395.24</v>
      </c>
      <c r="O300" s="93">
        <v>1408.13</v>
      </c>
      <c r="P300" s="93">
        <v>1396.97</v>
      </c>
      <c r="Q300" s="93">
        <v>1395.76</v>
      </c>
      <c r="R300" s="93">
        <v>1413.53</v>
      </c>
      <c r="S300" s="93">
        <v>1406.04</v>
      </c>
      <c r="T300" s="93">
        <v>1418.31</v>
      </c>
      <c r="U300" s="94">
        <f t="shared" si="30"/>
        <v>21121.8</v>
      </c>
      <c r="V300" s="103">
        <f t="shared" si="34"/>
        <v>723.29</v>
      </c>
      <c r="W300" s="92">
        <v>727.47</v>
      </c>
      <c r="X300" s="92">
        <f t="shared" si="31"/>
        <v>20900.0000000003</v>
      </c>
      <c r="Y300" s="92">
        <f t="shared" si="35"/>
        <v>4.39</v>
      </c>
      <c r="Z300" s="92">
        <v>4.41</v>
      </c>
      <c r="AA300" s="92">
        <f t="shared" si="33"/>
        <v>100.000000000002</v>
      </c>
      <c r="AB300" s="97">
        <f t="shared" si="32"/>
        <v>20800.0000000003</v>
      </c>
      <c r="AC300" s="96"/>
      <c r="AD300" s="92">
        <v>3.73</v>
      </c>
      <c r="AE300" s="92">
        <v>23.51</v>
      </c>
      <c r="AF300" s="92"/>
      <c r="AG300" s="92"/>
      <c r="AH300" s="92"/>
      <c r="AI300" s="92"/>
      <c r="AJ300" s="97" t="s">
        <v>87</v>
      </c>
    </row>
    <row r="301" spans="1:36">
      <c r="A301" s="84">
        <f t="shared" si="29"/>
        <v>303</v>
      </c>
      <c r="B301" s="91">
        <v>46046</v>
      </c>
      <c r="C301" s="48">
        <v>46046</v>
      </c>
      <c r="D301" s="104">
        <v>0.3125</v>
      </c>
      <c r="E301" s="105">
        <v>0.78125</v>
      </c>
      <c r="F301" s="100">
        <v>1564.2</v>
      </c>
      <c r="G301" s="92">
        <v>1562.56</v>
      </c>
      <c r="H301" s="92">
        <v>1517.29</v>
      </c>
      <c r="I301" s="92">
        <v>1562.92</v>
      </c>
      <c r="J301" s="92">
        <v>1576.2</v>
      </c>
      <c r="K301" s="92">
        <v>1530.68</v>
      </c>
      <c r="L301" s="92">
        <v>1543.05</v>
      </c>
      <c r="M301" s="93">
        <v>1627.61</v>
      </c>
      <c r="N301" s="93">
        <v>1537.75</v>
      </c>
      <c r="O301" s="93">
        <v>1552.24</v>
      </c>
      <c r="P301" s="93">
        <v>1548.46</v>
      </c>
      <c r="Q301" s="93">
        <v>1546.35</v>
      </c>
      <c r="R301" s="93">
        <v>1560.57</v>
      </c>
      <c r="S301" s="93">
        <v>1562.77</v>
      </c>
      <c r="T301" s="93">
        <v>1573.91</v>
      </c>
      <c r="U301" s="94">
        <f t="shared" si="30"/>
        <v>23366.56</v>
      </c>
      <c r="V301" s="103">
        <f t="shared" si="34"/>
        <v>727.47</v>
      </c>
      <c r="W301" s="92">
        <v>732.09</v>
      </c>
      <c r="X301" s="92">
        <f t="shared" si="31"/>
        <v>23100</v>
      </c>
      <c r="Y301" s="92">
        <f t="shared" si="35"/>
        <v>4.41</v>
      </c>
      <c r="Z301" s="92">
        <v>4.42</v>
      </c>
      <c r="AA301" s="92">
        <f t="shared" si="33"/>
        <v>49.9999999999989</v>
      </c>
      <c r="AB301" s="97">
        <f t="shared" si="32"/>
        <v>23050</v>
      </c>
      <c r="AC301" s="96"/>
      <c r="AD301" s="92">
        <v>3.82</v>
      </c>
      <c r="AE301" s="92">
        <v>22.19</v>
      </c>
      <c r="AF301" s="92"/>
      <c r="AG301" s="92"/>
      <c r="AH301" s="92"/>
      <c r="AI301" s="92"/>
      <c r="AJ301" s="97" t="s">
        <v>87</v>
      </c>
    </row>
    <row r="302" spans="1:36">
      <c r="A302" s="84">
        <f t="shared" si="29"/>
        <v>304</v>
      </c>
      <c r="B302" s="91">
        <v>46047</v>
      </c>
      <c r="C302" s="48">
        <v>46047</v>
      </c>
      <c r="D302" s="104">
        <v>0.3125</v>
      </c>
      <c r="E302" s="105">
        <v>0.78125</v>
      </c>
      <c r="F302" s="100">
        <v>1535.61</v>
      </c>
      <c r="G302" s="92">
        <v>1549</v>
      </c>
      <c r="H302" s="92">
        <v>1468.97</v>
      </c>
      <c r="I302" s="92">
        <v>1546.11</v>
      </c>
      <c r="J302" s="92">
        <v>1554.13</v>
      </c>
      <c r="K302" s="92">
        <v>1511.53</v>
      </c>
      <c r="L302" s="92">
        <v>1528.52</v>
      </c>
      <c r="M302" s="93">
        <v>1614.46</v>
      </c>
      <c r="N302" s="93">
        <v>1512.24</v>
      </c>
      <c r="O302" s="93">
        <v>1528.97</v>
      </c>
      <c r="P302" s="93">
        <v>1518.36</v>
      </c>
      <c r="Q302" s="93">
        <v>1514.67</v>
      </c>
      <c r="R302" s="93">
        <v>1534.23</v>
      </c>
      <c r="S302" s="93">
        <v>1530.82</v>
      </c>
      <c r="T302" s="93">
        <v>1543.69</v>
      </c>
      <c r="U302" s="94">
        <f t="shared" si="30"/>
        <v>22991.31</v>
      </c>
      <c r="V302" s="103">
        <f t="shared" si="34"/>
        <v>732.09</v>
      </c>
      <c r="W302" s="92">
        <v>736.65</v>
      </c>
      <c r="X302" s="92">
        <f t="shared" si="31"/>
        <v>22799.9999999997</v>
      </c>
      <c r="Y302" s="92">
        <f t="shared" si="35"/>
        <v>4.42</v>
      </c>
      <c r="Z302" s="92">
        <v>4.43</v>
      </c>
      <c r="AA302" s="92">
        <f t="shared" si="33"/>
        <v>49.9999999999989</v>
      </c>
      <c r="AB302" s="97">
        <f t="shared" si="32"/>
        <v>22749.9999999997</v>
      </c>
      <c r="AC302" s="96"/>
      <c r="AD302" s="92">
        <v>3.65</v>
      </c>
      <c r="AE302" s="92">
        <v>21.76</v>
      </c>
      <c r="AF302" s="92"/>
      <c r="AG302" s="92"/>
      <c r="AH302" s="92"/>
      <c r="AI302" s="92"/>
      <c r="AJ302" s="97" t="s">
        <v>87</v>
      </c>
    </row>
    <row r="303" spans="1:36">
      <c r="A303" s="84">
        <f t="shared" si="29"/>
        <v>305</v>
      </c>
      <c r="B303" s="91">
        <v>46048</v>
      </c>
      <c r="C303" s="48">
        <v>46048</v>
      </c>
      <c r="D303" s="104">
        <v>0.3125</v>
      </c>
      <c r="E303" s="105">
        <v>0.770833333333333</v>
      </c>
      <c r="F303" s="100">
        <v>1572.48</v>
      </c>
      <c r="G303" s="92">
        <v>1572.61</v>
      </c>
      <c r="H303" s="92">
        <v>1537.6</v>
      </c>
      <c r="I303" s="92">
        <v>1574.74</v>
      </c>
      <c r="J303" s="92">
        <v>1567.1</v>
      </c>
      <c r="K303" s="92">
        <v>1562.73</v>
      </c>
      <c r="L303" s="92">
        <v>1558.06</v>
      </c>
      <c r="M303" s="93">
        <v>1632.34</v>
      </c>
      <c r="N303" s="93">
        <v>1522.37</v>
      </c>
      <c r="O303" s="93">
        <v>1532.64</v>
      </c>
      <c r="P303" s="93">
        <v>1530.11</v>
      </c>
      <c r="Q303" s="93">
        <v>1522.08</v>
      </c>
      <c r="R303" s="93">
        <v>1541.29</v>
      </c>
      <c r="S303" s="93">
        <v>1532.03</v>
      </c>
      <c r="T303" s="93">
        <v>1546.64</v>
      </c>
      <c r="U303" s="94">
        <f t="shared" si="30"/>
        <v>23304.82</v>
      </c>
      <c r="V303" s="103">
        <f t="shared" si="34"/>
        <v>736.65</v>
      </c>
      <c r="W303" s="92">
        <v>741.26</v>
      </c>
      <c r="X303" s="92">
        <f t="shared" si="31"/>
        <v>23050.0000000001</v>
      </c>
      <c r="Y303" s="92">
        <f t="shared" si="35"/>
        <v>4.43</v>
      </c>
      <c r="Z303" s="92">
        <v>4.44</v>
      </c>
      <c r="AA303" s="92">
        <f t="shared" si="33"/>
        <v>50.0000000000034</v>
      </c>
      <c r="AB303" s="97">
        <f t="shared" si="32"/>
        <v>23000.0000000001</v>
      </c>
      <c r="AC303" s="96"/>
      <c r="AD303" s="92">
        <v>3.9</v>
      </c>
      <c r="AE303" s="92">
        <v>24.46</v>
      </c>
      <c r="AF303" s="92"/>
      <c r="AG303" s="92"/>
      <c r="AH303" s="92"/>
      <c r="AI303" s="92"/>
      <c r="AJ303" s="97" t="s">
        <v>87</v>
      </c>
    </row>
    <row r="304" spans="1:36">
      <c r="A304" s="84">
        <f t="shared" si="29"/>
        <v>306</v>
      </c>
      <c r="B304" s="91">
        <v>46049</v>
      </c>
      <c r="C304" s="48">
        <v>46049</v>
      </c>
      <c r="D304" s="104">
        <v>0.3125</v>
      </c>
      <c r="E304" s="105">
        <v>0.78125</v>
      </c>
      <c r="F304" s="100">
        <v>1773.62</v>
      </c>
      <c r="G304" s="92">
        <v>1760.92</v>
      </c>
      <c r="H304" s="92">
        <v>1727.87</v>
      </c>
      <c r="I304" s="92">
        <v>1766.47</v>
      </c>
      <c r="J304" s="92">
        <v>1754.24</v>
      </c>
      <c r="K304" s="92">
        <v>1755.3</v>
      </c>
      <c r="L304" s="92">
        <v>1743.97</v>
      </c>
      <c r="M304" s="93">
        <v>1825.04</v>
      </c>
      <c r="N304" s="93">
        <v>1760.87</v>
      </c>
      <c r="O304" s="93">
        <v>1767.77</v>
      </c>
      <c r="P304" s="93">
        <v>1747.63</v>
      </c>
      <c r="Q304" s="93">
        <v>1767.93</v>
      </c>
      <c r="R304" s="93">
        <v>1773.8</v>
      </c>
      <c r="S304" s="93">
        <v>1757.83</v>
      </c>
      <c r="T304" s="93">
        <v>1780.71</v>
      </c>
      <c r="U304" s="94">
        <f t="shared" si="30"/>
        <v>26463.97</v>
      </c>
      <c r="V304" s="103">
        <f t="shared" si="34"/>
        <v>741.26</v>
      </c>
      <c r="W304" s="92">
        <v>746.49</v>
      </c>
      <c r="X304" s="92">
        <f t="shared" si="31"/>
        <v>26150.0000000001</v>
      </c>
      <c r="Y304" s="92">
        <f t="shared" si="35"/>
        <v>4.44</v>
      </c>
      <c r="Z304" s="92">
        <v>4.46</v>
      </c>
      <c r="AA304" s="92">
        <f t="shared" si="33"/>
        <v>99.9999999999979</v>
      </c>
      <c r="AB304" s="97">
        <f t="shared" si="32"/>
        <v>26050.0000000001</v>
      </c>
      <c r="AC304" s="96"/>
      <c r="AD304" s="92">
        <v>5.94</v>
      </c>
      <c r="AE304" s="92">
        <v>23.45</v>
      </c>
      <c r="AF304" s="92"/>
      <c r="AG304" s="92"/>
      <c r="AH304" s="92"/>
      <c r="AI304" s="92"/>
      <c r="AJ304" s="97" t="s">
        <v>87</v>
      </c>
    </row>
    <row r="305" spans="1:36">
      <c r="A305" s="84">
        <f t="shared" si="29"/>
        <v>307</v>
      </c>
      <c r="B305" s="91">
        <v>46050</v>
      </c>
      <c r="C305" s="48">
        <v>46050</v>
      </c>
      <c r="D305" s="104">
        <v>0.3125</v>
      </c>
      <c r="E305" s="105">
        <v>0.770833333333333</v>
      </c>
      <c r="F305" s="100">
        <v>1746.52</v>
      </c>
      <c r="G305" s="92">
        <v>1856.35</v>
      </c>
      <c r="H305" s="92">
        <v>1824.32</v>
      </c>
      <c r="I305" s="92">
        <v>1865.31</v>
      </c>
      <c r="J305" s="92">
        <v>1855.96</v>
      </c>
      <c r="K305" s="92">
        <v>1856.81</v>
      </c>
      <c r="L305" s="92">
        <v>1847.45</v>
      </c>
      <c r="M305" s="93">
        <v>1930.65</v>
      </c>
      <c r="N305" s="93">
        <v>1866.13</v>
      </c>
      <c r="O305" s="93">
        <v>1864.46</v>
      </c>
      <c r="P305" s="93">
        <v>1859.77</v>
      </c>
      <c r="Q305" s="93">
        <v>1867.09</v>
      </c>
      <c r="R305" s="93">
        <v>1876.61</v>
      </c>
      <c r="S305" s="93">
        <v>1866.85</v>
      </c>
      <c r="T305" s="93">
        <v>1880.15</v>
      </c>
      <c r="U305" s="94">
        <f t="shared" si="30"/>
        <v>27864.43</v>
      </c>
      <c r="V305" s="103">
        <f t="shared" si="34"/>
        <v>746.49</v>
      </c>
      <c r="W305" s="92">
        <v>751.99</v>
      </c>
      <c r="X305" s="92">
        <f t="shared" si="31"/>
        <v>27500</v>
      </c>
      <c r="Y305" s="92">
        <f t="shared" si="35"/>
        <v>4.46</v>
      </c>
      <c r="Z305" s="92">
        <v>4.47</v>
      </c>
      <c r="AA305" s="92">
        <f t="shared" si="33"/>
        <v>49.9999999999989</v>
      </c>
      <c r="AB305" s="97">
        <f t="shared" si="32"/>
        <v>27450</v>
      </c>
      <c r="AC305" s="96"/>
      <c r="AD305" s="92">
        <v>4.43</v>
      </c>
      <c r="AE305" s="92">
        <v>23.75</v>
      </c>
      <c r="AF305" s="92"/>
      <c r="AG305" s="92"/>
      <c r="AH305" s="92"/>
      <c r="AI305" s="92"/>
      <c r="AJ305" s="97" t="s">
        <v>87</v>
      </c>
    </row>
    <row r="306" spans="1:36">
      <c r="A306" s="84">
        <f t="shared" si="29"/>
        <v>308</v>
      </c>
      <c r="B306" s="91">
        <v>46051</v>
      </c>
      <c r="C306" s="48">
        <v>46051</v>
      </c>
      <c r="D306" s="104">
        <v>0.3125</v>
      </c>
      <c r="E306" s="105">
        <v>0.770833333333333</v>
      </c>
      <c r="F306" s="100">
        <v>1703.56</v>
      </c>
      <c r="G306" s="92">
        <v>1684.72</v>
      </c>
      <c r="H306" s="92">
        <v>1658.09</v>
      </c>
      <c r="I306" s="92">
        <v>1692.08</v>
      </c>
      <c r="J306" s="92">
        <v>1681.86</v>
      </c>
      <c r="K306" s="92">
        <v>1688.88</v>
      </c>
      <c r="L306" s="92">
        <v>1674.01</v>
      </c>
      <c r="M306" s="93">
        <v>1752.54</v>
      </c>
      <c r="N306" s="93">
        <v>1694</v>
      </c>
      <c r="O306" s="93">
        <v>1691.63</v>
      </c>
      <c r="P306" s="93">
        <v>1689.4</v>
      </c>
      <c r="Q306" s="93">
        <v>1692.18</v>
      </c>
      <c r="R306" s="93">
        <v>1700.96</v>
      </c>
      <c r="S306" s="93">
        <v>1695.08</v>
      </c>
      <c r="T306" s="93">
        <v>1703.56</v>
      </c>
      <c r="U306" s="94">
        <f t="shared" si="30"/>
        <v>25402.55</v>
      </c>
      <c r="V306" s="103">
        <f t="shared" si="34"/>
        <v>751.99</v>
      </c>
      <c r="W306" s="92">
        <v>757.01</v>
      </c>
      <c r="X306" s="92">
        <f t="shared" si="31"/>
        <v>25099.9999999999</v>
      </c>
      <c r="Y306" s="92">
        <f t="shared" si="35"/>
        <v>4.47</v>
      </c>
      <c r="Z306" s="92">
        <v>4.48</v>
      </c>
      <c r="AA306" s="92">
        <f t="shared" si="33"/>
        <v>50.0000000000034</v>
      </c>
      <c r="AB306" s="97">
        <f t="shared" si="32"/>
        <v>25049.9999999999</v>
      </c>
      <c r="AC306" s="96"/>
      <c r="AD306" s="92">
        <v>4.28</v>
      </c>
      <c r="AE306" s="92">
        <v>26.57</v>
      </c>
      <c r="AF306" s="92"/>
      <c r="AG306" s="92"/>
      <c r="AH306" s="92"/>
      <c r="AI306" s="92"/>
      <c r="AJ306" s="97" t="s">
        <v>87</v>
      </c>
    </row>
    <row r="307" spans="1:36">
      <c r="A307" s="84">
        <f t="shared" si="29"/>
        <v>309</v>
      </c>
      <c r="B307" s="91">
        <v>46052</v>
      </c>
      <c r="C307" s="48">
        <v>46052</v>
      </c>
      <c r="D307" s="104">
        <v>0.3125</v>
      </c>
      <c r="E307" s="105">
        <v>0.770833333333333</v>
      </c>
      <c r="F307" s="100">
        <v>1395.09</v>
      </c>
      <c r="G307" s="92">
        <v>1382.22</v>
      </c>
      <c r="H307" s="92">
        <v>1355.97</v>
      </c>
      <c r="I307" s="138">
        <v>1380.9</v>
      </c>
      <c r="J307" s="92">
        <v>1372.95</v>
      </c>
      <c r="K307" s="92">
        <v>1380.09</v>
      </c>
      <c r="L307" s="92">
        <v>1367.46</v>
      </c>
      <c r="M307" s="139">
        <v>1429.1</v>
      </c>
      <c r="N307" s="93">
        <v>1385.23</v>
      </c>
      <c r="O307" s="139">
        <v>1380.2</v>
      </c>
      <c r="P307" s="93">
        <v>1380.38</v>
      </c>
      <c r="Q307" s="139">
        <v>1382.1</v>
      </c>
      <c r="R307" s="93">
        <v>1391.53</v>
      </c>
      <c r="S307" s="93">
        <v>1384.25</v>
      </c>
      <c r="T307" s="93">
        <v>1394.17</v>
      </c>
      <c r="U307" s="94">
        <f t="shared" si="30"/>
        <v>20761.64</v>
      </c>
      <c r="V307" s="103">
        <f t="shared" si="34"/>
        <v>757.01</v>
      </c>
      <c r="W307" s="92">
        <v>761.12</v>
      </c>
      <c r="X307" s="92">
        <f t="shared" si="31"/>
        <v>20550.0000000001</v>
      </c>
      <c r="Y307" s="92">
        <f t="shared" si="35"/>
        <v>4.48</v>
      </c>
      <c r="Z307" s="92">
        <v>4.49</v>
      </c>
      <c r="AA307" s="92">
        <f t="shared" si="33"/>
        <v>49.9999999999989</v>
      </c>
      <c r="AB307" s="97">
        <f t="shared" si="32"/>
        <v>20500.0000000001</v>
      </c>
      <c r="AC307" s="96"/>
      <c r="AD307" s="92">
        <v>3.59</v>
      </c>
      <c r="AE307" s="92">
        <v>26.24</v>
      </c>
      <c r="AF307" s="92"/>
      <c r="AG307" s="92"/>
      <c r="AH307" s="92"/>
      <c r="AI307" s="92"/>
      <c r="AJ307" s="97" t="s">
        <v>87</v>
      </c>
    </row>
    <row r="308" spans="1:36">
      <c r="A308" s="84">
        <f t="shared" si="29"/>
        <v>310</v>
      </c>
      <c r="B308" s="91">
        <v>46053</v>
      </c>
      <c r="C308" s="48">
        <v>46053</v>
      </c>
      <c r="D308" s="104">
        <v>0.322916666666667</v>
      </c>
      <c r="E308" s="105">
        <v>0.760416666666667</v>
      </c>
      <c r="F308" s="100">
        <v>990.28</v>
      </c>
      <c r="G308" s="92">
        <v>982.94</v>
      </c>
      <c r="H308" s="138">
        <v>975.6</v>
      </c>
      <c r="I308" s="92">
        <v>979.54</v>
      </c>
      <c r="J308" s="92">
        <v>975.52</v>
      </c>
      <c r="K308" s="92">
        <v>981.21</v>
      </c>
      <c r="L308" s="92">
        <v>970.37</v>
      </c>
      <c r="M308" s="93">
        <v>1014.06</v>
      </c>
      <c r="N308" s="93">
        <v>984.37</v>
      </c>
      <c r="O308" s="93">
        <v>987.79</v>
      </c>
      <c r="P308" s="93">
        <v>983.2</v>
      </c>
      <c r="Q308" s="93">
        <v>982.58</v>
      </c>
      <c r="R308" s="93">
        <v>989.24</v>
      </c>
      <c r="S308" s="93">
        <v>985.23</v>
      </c>
      <c r="T308" s="93">
        <v>989.43</v>
      </c>
      <c r="U308" s="94">
        <f t="shared" si="30"/>
        <v>14771.36</v>
      </c>
      <c r="V308" s="103">
        <f t="shared" si="34"/>
        <v>761.12</v>
      </c>
      <c r="W308" s="92">
        <v>764.05</v>
      </c>
      <c r="X308" s="92">
        <f t="shared" si="31"/>
        <v>14649.9999999997</v>
      </c>
      <c r="Y308" s="92">
        <f t="shared" si="35"/>
        <v>4.49</v>
      </c>
      <c r="Z308" s="138">
        <v>4.5</v>
      </c>
      <c r="AA308" s="92">
        <f t="shared" si="33"/>
        <v>49.9999999999989</v>
      </c>
      <c r="AB308" s="97">
        <f t="shared" si="32"/>
        <v>14599.9999999998</v>
      </c>
      <c r="AC308" s="96"/>
      <c r="AD308" s="92">
        <v>2.26</v>
      </c>
      <c r="AE308" s="138">
        <v>26.7</v>
      </c>
      <c r="AF308" s="92"/>
      <c r="AG308" s="92"/>
      <c r="AH308" s="92"/>
      <c r="AI308" s="92"/>
      <c r="AJ308" s="97" t="s">
        <v>87</v>
      </c>
    </row>
    <row r="309" spans="1:36">
      <c r="A309" s="84">
        <f t="shared" si="29"/>
        <v>311</v>
      </c>
      <c r="B309" s="91">
        <v>46054</v>
      </c>
      <c r="C309" s="48">
        <v>46054</v>
      </c>
      <c r="D309" s="104">
        <v>0.322916666666667</v>
      </c>
      <c r="E309" s="105">
        <v>0.770833333333333</v>
      </c>
      <c r="F309" s="100">
        <v>1326.07</v>
      </c>
      <c r="G309" s="92">
        <v>1314.32</v>
      </c>
      <c r="H309" s="92">
        <v>1295.57</v>
      </c>
      <c r="I309" s="138">
        <v>1313.5</v>
      </c>
      <c r="J309" s="92">
        <v>1306.87</v>
      </c>
      <c r="K309" s="92">
        <v>1314.86</v>
      </c>
      <c r="L309" s="92">
        <v>1304.38</v>
      </c>
      <c r="M309" s="93">
        <v>1357.91</v>
      </c>
      <c r="N309" s="93">
        <v>1319.21</v>
      </c>
      <c r="O309" s="93">
        <v>1323.58</v>
      </c>
      <c r="P309" s="93">
        <v>1317.09</v>
      </c>
      <c r="Q309" s="93">
        <v>1317.19</v>
      </c>
      <c r="R309" s="93">
        <v>1326.77</v>
      </c>
      <c r="S309" s="93">
        <v>1321.47</v>
      </c>
      <c r="T309" s="93">
        <v>1328.44</v>
      </c>
      <c r="U309" s="94">
        <f t="shared" si="30"/>
        <v>19787.23</v>
      </c>
      <c r="V309" s="103">
        <f t="shared" si="34"/>
        <v>764.05</v>
      </c>
      <c r="W309" s="92">
        <v>767.97</v>
      </c>
      <c r="X309" s="92">
        <f t="shared" si="31"/>
        <v>19600.0000000004</v>
      </c>
      <c r="Y309" s="92">
        <f t="shared" si="35"/>
        <v>4.5</v>
      </c>
      <c r="Z309" s="92">
        <v>4.51</v>
      </c>
      <c r="AA309" s="92">
        <f t="shared" si="33"/>
        <v>49.9999999999989</v>
      </c>
      <c r="AB309" s="97">
        <f t="shared" si="32"/>
        <v>19550.0000000004</v>
      </c>
      <c r="AC309" s="96"/>
      <c r="AD309" s="138">
        <v>3.4</v>
      </c>
      <c r="AE309" s="92">
        <v>28.56</v>
      </c>
      <c r="AF309" s="92"/>
      <c r="AG309" s="92"/>
      <c r="AH309" s="92"/>
      <c r="AI309" s="92"/>
      <c r="AJ309" s="97" t="s">
        <v>87</v>
      </c>
    </row>
    <row r="310" spans="1:36">
      <c r="A310" s="84">
        <f t="shared" si="29"/>
        <v>312</v>
      </c>
      <c r="B310" s="91">
        <v>46055</v>
      </c>
      <c r="C310" s="48">
        <v>46055</v>
      </c>
      <c r="D310" s="104">
        <v>0.3125</v>
      </c>
      <c r="E310" s="105">
        <v>0.770833333333333</v>
      </c>
      <c r="F310" s="100">
        <v>1313.19</v>
      </c>
      <c r="G310" s="92">
        <v>1303.44</v>
      </c>
      <c r="H310" s="92">
        <v>1283.43</v>
      </c>
      <c r="I310" s="92">
        <v>1303.72</v>
      </c>
      <c r="J310" s="138">
        <v>1298</v>
      </c>
      <c r="K310" s="92">
        <v>1304.31</v>
      </c>
      <c r="L310" s="92">
        <v>1293.53</v>
      </c>
      <c r="M310" s="93">
        <v>1349.54</v>
      </c>
      <c r="N310" s="93">
        <v>1303.6</v>
      </c>
      <c r="O310" s="93">
        <v>1308.87</v>
      </c>
      <c r="P310" s="93">
        <v>1303.19</v>
      </c>
      <c r="Q310" s="93">
        <v>1304.08</v>
      </c>
      <c r="R310" s="93">
        <v>1314.13</v>
      </c>
      <c r="S310" s="93">
        <v>1308.11</v>
      </c>
      <c r="T310" s="93">
        <v>1316.66</v>
      </c>
      <c r="U310" s="94">
        <f t="shared" si="30"/>
        <v>19607.8</v>
      </c>
      <c r="V310" s="103">
        <f t="shared" si="34"/>
        <v>767.97</v>
      </c>
      <c r="W310" s="92">
        <v>771.85</v>
      </c>
      <c r="X310" s="92">
        <f t="shared" si="31"/>
        <v>19400</v>
      </c>
      <c r="Y310" s="92">
        <f t="shared" si="35"/>
        <v>4.51</v>
      </c>
      <c r="Z310" s="92">
        <v>4.52</v>
      </c>
      <c r="AA310" s="92">
        <f t="shared" si="33"/>
        <v>49.9999999999989</v>
      </c>
      <c r="AB310" s="97">
        <f t="shared" si="32"/>
        <v>19350</v>
      </c>
      <c r="AC310" s="96"/>
      <c r="AD310" s="92">
        <v>3.51</v>
      </c>
      <c r="AE310" s="92">
        <v>28.11</v>
      </c>
      <c r="AF310" s="92"/>
      <c r="AG310" s="92"/>
      <c r="AH310" s="92"/>
      <c r="AI310" s="92"/>
      <c r="AJ310" s="97" t="s">
        <v>87</v>
      </c>
    </row>
    <row r="311" spans="1:36">
      <c r="A311" s="84">
        <f t="shared" si="29"/>
        <v>313</v>
      </c>
      <c r="B311" s="91">
        <v>46056</v>
      </c>
      <c r="C311" s="48">
        <v>46056</v>
      </c>
      <c r="D311" s="104">
        <v>0.3125</v>
      </c>
      <c r="E311" s="105">
        <v>0.770833333333333</v>
      </c>
      <c r="F311" s="100">
        <v>1420.33</v>
      </c>
      <c r="G311" s="92">
        <v>1408.27</v>
      </c>
      <c r="H311" s="92">
        <v>1385.82</v>
      </c>
      <c r="I311" s="92">
        <v>1408.46</v>
      </c>
      <c r="J311" s="92">
        <v>1401.53</v>
      </c>
      <c r="K311" s="92">
        <v>1409.15</v>
      </c>
      <c r="L311" s="92">
        <v>1397.47</v>
      </c>
      <c r="M311" s="93">
        <v>1458.73</v>
      </c>
      <c r="N311" s="93">
        <v>1410.61</v>
      </c>
      <c r="O311" s="93">
        <v>1415.28</v>
      </c>
      <c r="P311" s="93">
        <v>1408.67</v>
      </c>
      <c r="Q311" s="93">
        <v>1410.92</v>
      </c>
      <c r="R311" s="93">
        <v>1421.75</v>
      </c>
      <c r="S311" s="93">
        <v>1415.21</v>
      </c>
      <c r="T311" s="93">
        <v>1421.82</v>
      </c>
      <c r="U311" s="94">
        <f t="shared" si="30"/>
        <v>21194.02</v>
      </c>
      <c r="V311" s="103">
        <f t="shared" si="34"/>
        <v>771.85</v>
      </c>
      <c r="W311" s="92">
        <v>776.05</v>
      </c>
      <c r="X311" s="92">
        <f t="shared" si="31"/>
        <v>20999.9999999997</v>
      </c>
      <c r="Y311" s="92">
        <f t="shared" si="35"/>
        <v>4.52</v>
      </c>
      <c r="Z311" s="92">
        <v>4.54</v>
      </c>
      <c r="AA311" s="92">
        <f t="shared" si="33"/>
        <v>100.000000000002</v>
      </c>
      <c r="AB311" s="97">
        <f t="shared" si="32"/>
        <v>20899.9999999997</v>
      </c>
      <c r="AC311" s="96"/>
      <c r="AD311" s="92">
        <v>3.67</v>
      </c>
      <c r="AE311" s="92">
        <v>27.82</v>
      </c>
      <c r="AF311" s="92"/>
      <c r="AG311" s="92"/>
      <c r="AH311" s="92"/>
      <c r="AI311" s="92"/>
      <c r="AJ311" s="97" t="s">
        <v>87</v>
      </c>
    </row>
    <row r="312" spans="1:36">
      <c r="A312" s="84">
        <f t="shared" si="29"/>
        <v>314</v>
      </c>
      <c r="B312" s="91">
        <v>46057</v>
      </c>
      <c r="C312" s="48">
        <v>46057</v>
      </c>
      <c r="D312" s="104">
        <v>0.3125</v>
      </c>
      <c r="E312" s="105">
        <v>0.770833333333333</v>
      </c>
      <c r="F312" s="100">
        <v>1417.63</v>
      </c>
      <c r="G312" s="92">
        <v>1406.87</v>
      </c>
      <c r="H312" s="92">
        <v>1384.45</v>
      </c>
      <c r="I312" s="92">
        <v>1408.55</v>
      </c>
      <c r="J312" s="92">
        <v>1401.02</v>
      </c>
      <c r="K312" s="92">
        <v>1406.61</v>
      </c>
      <c r="L312" s="92">
        <v>1395.45</v>
      </c>
      <c r="M312" s="93">
        <v>1456.52</v>
      </c>
      <c r="N312" s="93">
        <v>1409.39</v>
      </c>
      <c r="O312" s="93">
        <v>1414.09</v>
      </c>
      <c r="P312" s="93">
        <v>1406.56</v>
      </c>
      <c r="Q312" s="93">
        <v>1410.29</v>
      </c>
      <c r="R312" s="139">
        <v>1418</v>
      </c>
      <c r="S312" s="93">
        <v>1412.55</v>
      </c>
      <c r="T312" s="93">
        <v>1420.11</v>
      </c>
      <c r="U312" s="94">
        <f t="shared" si="30"/>
        <v>21168.09</v>
      </c>
      <c r="V312" s="103">
        <f t="shared" si="34"/>
        <v>776.05</v>
      </c>
      <c r="W312" s="92">
        <v>780.23</v>
      </c>
      <c r="X312" s="92">
        <f t="shared" si="31"/>
        <v>20900.0000000003</v>
      </c>
      <c r="Y312" s="92">
        <f t="shared" si="35"/>
        <v>4.54</v>
      </c>
      <c r="Z312" s="92">
        <v>4.55</v>
      </c>
      <c r="AA312" s="92">
        <f t="shared" si="33"/>
        <v>49.9999999999989</v>
      </c>
      <c r="AB312" s="97">
        <f t="shared" si="32"/>
        <v>20850.0000000003</v>
      </c>
      <c r="AC312" s="96"/>
      <c r="AD312" s="92">
        <v>3.73</v>
      </c>
      <c r="AE312" s="92">
        <v>28.51</v>
      </c>
      <c r="AF312" s="92"/>
      <c r="AG312" s="92"/>
      <c r="AH312" s="92"/>
      <c r="AI312" s="92"/>
      <c r="AJ312" s="97" t="s">
        <v>85</v>
      </c>
    </row>
    <row r="313" spans="1:36">
      <c r="A313" s="84">
        <f t="shared" si="29"/>
        <v>315</v>
      </c>
      <c r="B313" s="91">
        <v>46058</v>
      </c>
      <c r="C313" s="48">
        <v>46058</v>
      </c>
      <c r="D313" s="140">
        <v>0.3125</v>
      </c>
      <c r="E313" s="105">
        <v>0.770833333333333</v>
      </c>
      <c r="F313" s="100">
        <v>1564.45</v>
      </c>
      <c r="G313" s="92">
        <v>1550.34</v>
      </c>
      <c r="H313" s="92">
        <v>1525.28</v>
      </c>
      <c r="I313" s="92">
        <v>1550.49</v>
      </c>
      <c r="J313" s="92">
        <v>1545.25</v>
      </c>
      <c r="K313" s="92">
        <v>1553.86</v>
      </c>
      <c r="L313" s="92">
        <v>1536.39</v>
      </c>
      <c r="M313" s="93">
        <v>1607.08</v>
      </c>
      <c r="N313" s="93">
        <v>1551.44</v>
      </c>
      <c r="O313" s="93">
        <v>1551.16</v>
      </c>
      <c r="P313" s="93">
        <v>1551.41</v>
      </c>
      <c r="Q313" s="93">
        <v>1548.36</v>
      </c>
      <c r="R313" s="93">
        <v>1559.57</v>
      </c>
      <c r="S313" s="139">
        <v>1554</v>
      </c>
      <c r="T313" s="93">
        <v>1558.34</v>
      </c>
      <c r="U313" s="94">
        <f t="shared" si="30"/>
        <v>23307.42</v>
      </c>
      <c r="V313" s="103">
        <f t="shared" si="34"/>
        <v>780.23</v>
      </c>
      <c r="W313" s="92">
        <v>784.85</v>
      </c>
      <c r="X313" s="92">
        <f t="shared" si="31"/>
        <v>23100</v>
      </c>
      <c r="Y313" s="92">
        <f t="shared" si="35"/>
        <v>4.55</v>
      </c>
      <c r="Z313" s="92">
        <v>4.56</v>
      </c>
      <c r="AA313" s="92">
        <f t="shared" si="33"/>
        <v>49.9999999999989</v>
      </c>
      <c r="AB313" s="97">
        <f t="shared" si="32"/>
        <v>23050</v>
      </c>
      <c r="AC313" s="96"/>
      <c r="AD313" s="92">
        <v>4.02</v>
      </c>
      <c r="AE313" s="92">
        <v>29.17</v>
      </c>
      <c r="AF313" s="92"/>
      <c r="AG313" s="92"/>
      <c r="AH313" s="92"/>
      <c r="AI313" s="92"/>
      <c r="AJ313" s="97" t="s">
        <v>85</v>
      </c>
    </row>
    <row r="314" spans="1:36">
      <c r="A314" s="84">
        <f t="shared" si="29"/>
        <v>316</v>
      </c>
      <c r="B314" s="91">
        <v>46059</v>
      </c>
      <c r="C314" s="48">
        <v>46059</v>
      </c>
      <c r="D314" s="104">
        <v>0.322916666666667</v>
      </c>
      <c r="E314" s="105">
        <v>0.770833333333333</v>
      </c>
      <c r="F314" s="100">
        <v>1683.89</v>
      </c>
      <c r="G314" s="138">
        <v>1668.7</v>
      </c>
      <c r="H314" s="92">
        <v>1639.84</v>
      </c>
      <c r="I314" s="138">
        <v>1660.3</v>
      </c>
      <c r="J314" s="138">
        <v>1659.3</v>
      </c>
      <c r="K314" s="92">
        <v>1667.65</v>
      </c>
      <c r="L314" s="92">
        <v>1650.49</v>
      </c>
      <c r="M314" s="93">
        <v>1721.93</v>
      </c>
      <c r="N314" s="93">
        <v>1675.63</v>
      </c>
      <c r="O314" s="139">
        <v>1671.1</v>
      </c>
      <c r="P314" s="93">
        <v>1674.21</v>
      </c>
      <c r="Q314" s="93">
        <v>1671.08</v>
      </c>
      <c r="R314" s="93">
        <v>1680.31</v>
      </c>
      <c r="S314" s="93">
        <v>1674.67</v>
      </c>
      <c r="T314" s="93">
        <v>1676.89</v>
      </c>
      <c r="U314" s="94">
        <f t="shared" si="30"/>
        <v>25075.99</v>
      </c>
      <c r="V314" s="103">
        <f t="shared" si="34"/>
        <v>784.85</v>
      </c>
      <c r="W314" s="92">
        <v>789.79</v>
      </c>
      <c r="X314" s="92">
        <f t="shared" si="31"/>
        <v>24699.9999999997</v>
      </c>
      <c r="Y314" s="92">
        <f t="shared" si="35"/>
        <v>4.56</v>
      </c>
      <c r="Z314" s="92">
        <v>4.57</v>
      </c>
      <c r="AA314" s="92">
        <f t="shared" si="33"/>
        <v>50.0000000000034</v>
      </c>
      <c r="AB314" s="97">
        <f t="shared" si="32"/>
        <v>24649.9999999997</v>
      </c>
      <c r="AC314" s="96"/>
      <c r="AD314" s="138">
        <v>4.2</v>
      </c>
      <c r="AE314" s="92">
        <v>30.95</v>
      </c>
      <c r="AF314" s="92"/>
      <c r="AG314" s="92"/>
      <c r="AH314" s="92"/>
      <c r="AI314" s="92"/>
      <c r="AJ314" s="97" t="s">
        <v>85</v>
      </c>
    </row>
    <row r="315" spans="1:36">
      <c r="A315" s="84">
        <f t="shared" si="29"/>
        <v>317</v>
      </c>
      <c r="B315" s="91">
        <v>46060</v>
      </c>
      <c r="C315" s="48">
        <v>46060</v>
      </c>
      <c r="D315" s="104">
        <v>0.3125</v>
      </c>
      <c r="E315" s="105">
        <v>0.770833333333333</v>
      </c>
      <c r="F315" s="100">
        <v>1576.17</v>
      </c>
      <c r="G315" s="92">
        <v>1561.01</v>
      </c>
      <c r="H315" s="92">
        <v>1537.06</v>
      </c>
      <c r="I315" s="92">
        <v>1537.05</v>
      </c>
      <c r="J315" s="92">
        <v>1553.34</v>
      </c>
      <c r="K315" s="92">
        <v>1561.55</v>
      </c>
      <c r="L315" s="92">
        <v>1544.41</v>
      </c>
      <c r="M315" s="93">
        <v>1612.75</v>
      </c>
      <c r="N315" s="93">
        <v>1565.96</v>
      </c>
      <c r="O315" s="93">
        <v>1569.91</v>
      </c>
      <c r="P315" s="93">
        <v>1567.06</v>
      </c>
      <c r="Q315" s="93">
        <v>1564.65</v>
      </c>
      <c r="R315" s="93">
        <v>1575.43</v>
      </c>
      <c r="S315" s="93">
        <v>1566.45</v>
      </c>
      <c r="T315" s="93">
        <v>1574.93</v>
      </c>
      <c r="U315" s="94">
        <f t="shared" si="30"/>
        <v>23467.73</v>
      </c>
      <c r="V315" s="103">
        <f t="shared" si="34"/>
        <v>789.79</v>
      </c>
      <c r="W315" s="92">
        <v>794.42</v>
      </c>
      <c r="X315" s="92">
        <f t="shared" si="31"/>
        <v>23150</v>
      </c>
      <c r="Y315" s="92">
        <f t="shared" si="35"/>
        <v>4.57</v>
      </c>
      <c r="Z315" s="92">
        <v>4.58</v>
      </c>
      <c r="AA315" s="92">
        <f t="shared" si="33"/>
        <v>49.9999999999989</v>
      </c>
      <c r="AB315" s="97">
        <f t="shared" si="32"/>
        <v>23100</v>
      </c>
      <c r="AC315" s="96"/>
      <c r="AD315" s="92">
        <v>4.08</v>
      </c>
      <c r="AE315" s="92">
        <v>30.06</v>
      </c>
      <c r="AF315" s="92"/>
      <c r="AG315" s="92"/>
      <c r="AH315" s="92"/>
      <c r="AI315" s="92"/>
      <c r="AJ315" s="97" t="s">
        <v>85</v>
      </c>
    </row>
    <row r="316" spans="1:36">
      <c r="A316" s="84">
        <f t="shared" si="29"/>
        <v>318</v>
      </c>
      <c r="B316" s="91">
        <v>46061</v>
      </c>
      <c r="C316" s="48">
        <v>46061</v>
      </c>
      <c r="D316" s="104">
        <v>0.3125</v>
      </c>
      <c r="E316" s="105">
        <v>0.770833333333333</v>
      </c>
      <c r="F316" s="100">
        <v>1530.81</v>
      </c>
      <c r="G316" s="92">
        <v>1518.01</v>
      </c>
      <c r="H316" s="92">
        <v>1495.92</v>
      </c>
      <c r="I316" s="92">
        <v>792.02</v>
      </c>
      <c r="J316" s="92">
        <v>1508.16</v>
      </c>
      <c r="K316" s="92">
        <v>1523.11</v>
      </c>
      <c r="L316" s="138">
        <v>1504.3</v>
      </c>
      <c r="M316" s="93">
        <v>1670.07</v>
      </c>
      <c r="N316" s="93">
        <v>1522.57</v>
      </c>
      <c r="O316" s="93">
        <v>1524.07</v>
      </c>
      <c r="P316" s="93">
        <v>1524.02</v>
      </c>
      <c r="Q316" s="139">
        <v>1520.9</v>
      </c>
      <c r="R316" s="139">
        <v>1528.7</v>
      </c>
      <c r="S316" s="93">
        <v>1527.19</v>
      </c>
      <c r="T316" s="93">
        <v>1529.79</v>
      </c>
      <c r="U316" s="94">
        <f t="shared" si="30"/>
        <v>22219.64</v>
      </c>
      <c r="V316" s="103">
        <f t="shared" si="34"/>
        <v>794.42</v>
      </c>
      <c r="W316" s="92">
        <v>798.81</v>
      </c>
      <c r="X316" s="92">
        <f t="shared" si="31"/>
        <v>21949.9999999999</v>
      </c>
      <c r="Y316" s="92">
        <f t="shared" si="35"/>
        <v>4.58</v>
      </c>
      <c r="Z316" s="92">
        <v>4.58</v>
      </c>
      <c r="AA316" s="92">
        <f t="shared" si="33"/>
        <v>0</v>
      </c>
      <c r="AB316" s="97">
        <f t="shared" si="32"/>
        <v>21949.9999999999</v>
      </c>
      <c r="AC316" s="96"/>
      <c r="AD316" s="92">
        <v>4.05</v>
      </c>
      <c r="AE316" s="92">
        <v>29.36</v>
      </c>
      <c r="AF316" s="92"/>
      <c r="AG316" s="92"/>
      <c r="AH316" s="92"/>
      <c r="AI316" s="92"/>
      <c r="AJ316" s="97" t="s">
        <v>85</v>
      </c>
    </row>
    <row r="317" spans="1:36">
      <c r="A317" s="84">
        <f t="shared" si="29"/>
        <v>319</v>
      </c>
      <c r="B317" s="91">
        <v>46062</v>
      </c>
      <c r="C317" s="48">
        <v>46062</v>
      </c>
      <c r="D317" s="104">
        <v>0.322916666666667</v>
      </c>
      <c r="E317" s="105">
        <v>0.770833333333333</v>
      </c>
      <c r="F317" s="100">
        <v>1671.34</v>
      </c>
      <c r="G317" s="92">
        <v>1654.24</v>
      </c>
      <c r="H317" s="92">
        <v>1625.57</v>
      </c>
      <c r="I317" s="92">
        <v>1656.64</v>
      </c>
      <c r="J317" s="92">
        <v>1643.61</v>
      </c>
      <c r="K317" s="92">
        <v>1653.05</v>
      </c>
      <c r="L317" s="92">
        <v>1636.52</v>
      </c>
      <c r="M317" s="93">
        <v>1711.53</v>
      </c>
      <c r="N317" s="93">
        <v>1663.27</v>
      </c>
      <c r="O317" s="93">
        <v>1662.42</v>
      </c>
      <c r="P317" s="93">
        <v>1659.75</v>
      </c>
      <c r="Q317" s="93">
        <v>1659.75</v>
      </c>
      <c r="R317" s="93">
        <v>1669.12</v>
      </c>
      <c r="S317" s="93">
        <v>1660.56</v>
      </c>
      <c r="T317" s="93">
        <v>1668.21</v>
      </c>
      <c r="U317" s="94">
        <f t="shared" si="30"/>
        <v>24895.58</v>
      </c>
      <c r="V317" s="103">
        <f t="shared" si="34"/>
        <v>798.81</v>
      </c>
      <c r="W317" s="92">
        <v>803.74</v>
      </c>
      <c r="X317" s="92">
        <f t="shared" si="31"/>
        <v>24650.0000000003</v>
      </c>
      <c r="Y317" s="92">
        <f t="shared" si="35"/>
        <v>4.58</v>
      </c>
      <c r="Z317" s="92">
        <v>4.59</v>
      </c>
      <c r="AA317" s="92">
        <f t="shared" si="33"/>
        <v>49.9999999999989</v>
      </c>
      <c r="AB317" s="97">
        <f t="shared" si="32"/>
        <v>24600.0000000003</v>
      </c>
      <c r="AC317" s="96"/>
      <c r="AD317" s="92">
        <v>4.27</v>
      </c>
      <c r="AE317" s="92">
        <v>27.95</v>
      </c>
      <c r="AF317" s="92"/>
      <c r="AG317" s="92"/>
      <c r="AH317" s="92"/>
      <c r="AI317" s="92"/>
      <c r="AJ317" s="97" t="s">
        <v>85</v>
      </c>
    </row>
    <row r="318" spans="1:36">
      <c r="A318" s="84">
        <f t="shared" si="29"/>
        <v>320</v>
      </c>
      <c r="B318" s="91">
        <v>46063</v>
      </c>
      <c r="C318" s="48">
        <v>46063</v>
      </c>
      <c r="D318" s="104">
        <v>0.305555555555556</v>
      </c>
      <c r="E318" s="105">
        <v>0.791666666666667</v>
      </c>
      <c r="F318" s="100">
        <v>1805.08</v>
      </c>
      <c r="G318" s="92">
        <v>1857.35</v>
      </c>
      <c r="H318" s="92">
        <v>1760.29</v>
      </c>
      <c r="I318" s="92">
        <v>1855.28</v>
      </c>
      <c r="J318" s="92">
        <v>1877.22</v>
      </c>
      <c r="K318" s="92">
        <v>1785.86</v>
      </c>
      <c r="L318" s="92">
        <v>1852.87</v>
      </c>
      <c r="M318" s="93">
        <v>1945.13</v>
      </c>
      <c r="N318" s="93">
        <v>1803.34</v>
      </c>
      <c r="O318" s="93">
        <v>1800.12</v>
      </c>
      <c r="P318" s="93">
        <v>1795.94</v>
      </c>
      <c r="Q318" s="139">
        <v>1799.8</v>
      </c>
      <c r="R318" s="93">
        <v>1812.01</v>
      </c>
      <c r="S318" s="93">
        <v>1802.78</v>
      </c>
      <c r="T318" s="139">
        <v>1813.6</v>
      </c>
      <c r="U318" s="94">
        <f t="shared" si="30"/>
        <v>27366.67</v>
      </c>
      <c r="V318" s="103">
        <f t="shared" si="34"/>
        <v>803.74</v>
      </c>
      <c r="W318" s="92">
        <v>809.14</v>
      </c>
      <c r="X318" s="92">
        <f t="shared" si="31"/>
        <v>26999.9999999999</v>
      </c>
      <c r="Y318" s="92">
        <f t="shared" si="35"/>
        <v>4.59</v>
      </c>
      <c r="Z318" s="92">
        <v>4.61</v>
      </c>
      <c r="AA318" s="92">
        <f t="shared" si="33"/>
        <v>100.000000000002</v>
      </c>
      <c r="AB318" s="97">
        <f t="shared" si="32"/>
        <v>26899.9999999999</v>
      </c>
      <c r="AC318" s="96"/>
      <c r="AD318" s="92">
        <v>4.45</v>
      </c>
      <c r="AE318" s="92">
        <v>27.16</v>
      </c>
      <c r="AF318" s="92"/>
      <c r="AG318" s="92"/>
      <c r="AH318" s="92"/>
      <c r="AI318" s="92"/>
      <c r="AJ318" s="97" t="s">
        <v>85</v>
      </c>
    </row>
    <row r="319" spans="1:36">
      <c r="A319" s="84">
        <f t="shared" si="29"/>
        <v>321</v>
      </c>
      <c r="B319" s="91">
        <v>46064</v>
      </c>
      <c r="C319" s="48">
        <v>46064</v>
      </c>
      <c r="D319" s="104">
        <v>0.3125</v>
      </c>
      <c r="E319" s="105">
        <v>0.78125</v>
      </c>
      <c r="F319" s="100">
        <v>1856.24</v>
      </c>
      <c r="G319" s="92">
        <v>1849.79</v>
      </c>
      <c r="H319" s="92">
        <v>1812.47</v>
      </c>
      <c r="I319" s="138">
        <v>1855.8</v>
      </c>
      <c r="J319" s="92">
        <v>1849.31</v>
      </c>
      <c r="K319" s="92">
        <v>1840.68</v>
      </c>
      <c r="L319" s="138">
        <v>1840.6</v>
      </c>
      <c r="M319" s="93">
        <v>1921.45</v>
      </c>
      <c r="N319" s="93">
        <v>1780.82</v>
      </c>
      <c r="O319" s="93">
        <v>1795.39</v>
      </c>
      <c r="P319" s="93">
        <v>1773.02</v>
      </c>
      <c r="Q319" s="93">
        <v>1779.61</v>
      </c>
      <c r="R319" s="93">
        <v>1818.69</v>
      </c>
      <c r="S319" s="93">
        <v>1777.64</v>
      </c>
      <c r="T319" s="93">
        <v>1790.97</v>
      </c>
      <c r="U319" s="94">
        <f t="shared" si="30"/>
        <v>27342.48</v>
      </c>
      <c r="V319" s="103">
        <f t="shared" si="34"/>
        <v>809.14</v>
      </c>
      <c r="W319" s="92">
        <v>814.55</v>
      </c>
      <c r="X319" s="92">
        <f t="shared" si="31"/>
        <v>27049.9999999998</v>
      </c>
      <c r="Y319" s="92">
        <f t="shared" si="35"/>
        <v>4.61</v>
      </c>
      <c r="Z319" s="92">
        <v>4.61</v>
      </c>
      <c r="AA319" s="92">
        <f t="shared" si="33"/>
        <v>0</v>
      </c>
      <c r="AB319" s="97">
        <f t="shared" si="32"/>
        <v>27049.9999999998</v>
      </c>
      <c r="AC319" s="96"/>
      <c r="AD319" s="92">
        <v>4.39</v>
      </c>
      <c r="AE319" s="92">
        <v>28.08</v>
      </c>
      <c r="AF319" s="92"/>
      <c r="AG319" s="92"/>
      <c r="AH319" s="92"/>
      <c r="AI319" s="92"/>
      <c r="AJ319" s="97" t="s">
        <v>85</v>
      </c>
    </row>
    <row r="320" spans="1:36">
      <c r="A320" s="84">
        <f t="shared" si="29"/>
        <v>322</v>
      </c>
      <c r="B320" s="91">
        <v>46065</v>
      </c>
      <c r="C320" s="48">
        <v>46065</v>
      </c>
      <c r="D320" s="104">
        <v>0.3125</v>
      </c>
      <c r="E320" s="105">
        <v>0.770833333333333</v>
      </c>
      <c r="F320" s="100">
        <v>1849.03</v>
      </c>
      <c r="G320" s="92">
        <v>1836.19</v>
      </c>
      <c r="H320" s="92">
        <v>1798.98</v>
      </c>
      <c r="I320" s="138">
        <v>1840.9</v>
      </c>
      <c r="J320" s="138">
        <v>1836.3</v>
      </c>
      <c r="K320" s="92">
        <v>1825.77</v>
      </c>
      <c r="L320" s="92">
        <v>1823.86</v>
      </c>
      <c r="M320" s="93">
        <v>1902.29</v>
      </c>
      <c r="N320" s="93">
        <v>1842.91</v>
      </c>
      <c r="O320" s="93">
        <v>1836.46</v>
      </c>
      <c r="P320" s="139">
        <v>1840.9</v>
      </c>
      <c r="Q320" s="93">
        <v>1838.62</v>
      </c>
      <c r="R320" s="93">
        <v>1887.31</v>
      </c>
      <c r="S320" s="93">
        <v>1839.82</v>
      </c>
      <c r="T320" s="93">
        <v>1837.92</v>
      </c>
      <c r="U320" s="94">
        <f t="shared" si="30"/>
        <v>27637.26</v>
      </c>
      <c r="V320" s="103">
        <f t="shared" si="34"/>
        <v>814.55</v>
      </c>
      <c r="W320" s="92">
        <v>820.01</v>
      </c>
      <c r="X320" s="92">
        <f t="shared" si="31"/>
        <v>27300.0000000002</v>
      </c>
      <c r="Y320" s="92">
        <f t="shared" si="35"/>
        <v>4.61</v>
      </c>
      <c r="Z320" s="92">
        <v>4.62</v>
      </c>
      <c r="AA320" s="92">
        <f t="shared" si="33"/>
        <v>49.9999999999989</v>
      </c>
      <c r="AB320" s="97">
        <f t="shared" si="32"/>
        <v>27250.0000000002</v>
      </c>
      <c r="AC320" s="96"/>
      <c r="AD320" s="92">
        <v>4.45</v>
      </c>
      <c r="AE320" s="92">
        <v>29.66</v>
      </c>
      <c r="AF320" s="92"/>
      <c r="AG320" s="92"/>
      <c r="AH320" s="92"/>
      <c r="AI320" s="92"/>
      <c r="AJ320" s="97" t="s">
        <v>85</v>
      </c>
    </row>
    <row r="321" spans="1:36">
      <c r="A321" s="84">
        <f t="shared" si="29"/>
        <v>323</v>
      </c>
      <c r="B321" s="91">
        <v>46066</v>
      </c>
      <c r="C321" s="48">
        <v>46066</v>
      </c>
      <c r="D321" s="104">
        <v>0.3125</v>
      </c>
      <c r="E321" s="105">
        <v>0.770833333333333</v>
      </c>
      <c r="F321" s="100">
        <v>1630.69</v>
      </c>
      <c r="G321" s="92">
        <v>1618.66</v>
      </c>
      <c r="H321" s="138">
        <v>1585.2</v>
      </c>
      <c r="I321" s="92">
        <v>1620.75</v>
      </c>
      <c r="J321" s="92">
        <v>1616.92</v>
      </c>
      <c r="K321" s="138">
        <v>1612.9</v>
      </c>
      <c r="L321" s="92">
        <v>1608.64</v>
      </c>
      <c r="M321" s="139">
        <v>1676.9</v>
      </c>
      <c r="N321" s="93">
        <v>1624.03</v>
      </c>
      <c r="O321" s="93">
        <v>1622.32</v>
      </c>
      <c r="P321" s="93">
        <v>1624.05</v>
      </c>
      <c r="Q321" s="93">
        <v>1619.86</v>
      </c>
      <c r="R321" s="93">
        <v>1630.52</v>
      </c>
      <c r="S321" s="93">
        <v>1625.07</v>
      </c>
      <c r="T321" s="93">
        <v>1632.58</v>
      </c>
      <c r="U321" s="94">
        <f t="shared" si="30"/>
        <v>24349.09</v>
      </c>
      <c r="V321" s="103">
        <f t="shared" si="34"/>
        <v>820.01</v>
      </c>
      <c r="W321" s="92">
        <v>824.83</v>
      </c>
      <c r="X321" s="92">
        <f t="shared" si="31"/>
        <v>24100.0000000003</v>
      </c>
      <c r="Y321" s="92">
        <f t="shared" si="35"/>
        <v>4.62</v>
      </c>
      <c r="Z321" s="92">
        <v>4.64</v>
      </c>
      <c r="AA321" s="92">
        <f t="shared" si="33"/>
        <v>99.9999999999979</v>
      </c>
      <c r="AB321" s="97">
        <f t="shared" si="32"/>
        <v>24000.0000000003</v>
      </c>
      <c r="AC321" s="96"/>
      <c r="AD321" s="92">
        <v>4.09</v>
      </c>
      <c r="AE321" s="92">
        <v>30.05</v>
      </c>
      <c r="AF321" s="92"/>
      <c r="AG321" s="92"/>
      <c r="AH321" s="92"/>
      <c r="AI321" s="92"/>
      <c r="AJ321" s="97" t="s">
        <v>85</v>
      </c>
    </row>
    <row r="322" spans="1:36">
      <c r="A322" s="84">
        <f t="shared" si="29"/>
        <v>324</v>
      </c>
      <c r="B322" s="91">
        <v>46067</v>
      </c>
      <c r="C322" s="48">
        <v>46067</v>
      </c>
      <c r="D322" s="104">
        <v>0.3125</v>
      </c>
      <c r="E322" s="97">
        <v>18.45</v>
      </c>
      <c r="F322" s="100">
        <v>1641.54</v>
      </c>
      <c r="G322" s="92">
        <v>1634.47</v>
      </c>
      <c r="H322" s="92">
        <v>1599.79</v>
      </c>
      <c r="I322" s="92">
        <v>1636.09</v>
      </c>
      <c r="J322" s="92">
        <v>1631.91</v>
      </c>
      <c r="K322" s="92">
        <v>1627.83</v>
      </c>
      <c r="L322" s="92">
        <v>1624.81</v>
      </c>
      <c r="M322" s="93">
        <v>1692.63</v>
      </c>
      <c r="N322" s="93">
        <v>1640.47</v>
      </c>
      <c r="O322" s="93">
        <v>1641.35</v>
      </c>
      <c r="P322" s="93">
        <v>1641.48</v>
      </c>
      <c r="Q322" s="93">
        <v>1640.48</v>
      </c>
      <c r="R322" s="139">
        <v>1651.2</v>
      </c>
      <c r="S322" s="93">
        <v>1639.94</v>
      </c>
      <c r="T322" s="93">
        <v>1647.99</v>
      </c>
      <c r="U322" s="94">
        <f t="shared" si="30"/>
        <v>24591.98</v>
      </c>
      <c r="V322" s="103">
        <f t="shared" si="34"/>
        <v>824.83</v>
      </c>
      <c r="W322" s="138">
        <v>829.7</v>
      </c>
      <c r="X322" s="92">
        <f t="shared" si="31"/>
        <v>24350</v>
      </c>
      <c r="Y322" s="92">
        <f t="shared" si="35"/>
        <v>4.64</v>
      </c>
      <c r="Z322" s="92">
        <v>4.65</v>
      </c>
      <c r="AA322" s="92">
        <f t="shared" si="33"/>
        <v>50.0000000000034</v>
      </c>
      <c r="AB322" s="97">
        <f t="shared" si="32"/>
        <v>24300</v>
      </c>
      <c r="AC322" s="96"/>
      <c r="AD322" s="92">
        <v>4.16</v>
      </c>
      <c r="AE322" s="92">
        <v>31.36</v>
      </c>
      <c r="AF322" s="92"/>
      <c r="AG322" s="92"/>
      <c r="AH322" s="92"/>
      <c r="AI322" s="92"/>
      <c r="AJ322" s="97" t="s">
        <v>85</v>
      </c>
    </row>
    <row r="323" spans="1:36">
      <c r="A323" s="84">
        <f t="shared" ref="A323:A367" si="36">A322+1</f>
        <v>325</v>
      </c>
      <c r="B323" s="91">
        <v>46068</v>
      </c>
      <c r="C323" s="48">
        <v>46068</v>
      </c>
      <c r="D323" s="104">
        <v>0.3125</v>
      </c>
      <c r="E323" s="97">
        <v>18.45</v>
      </c>
      <c r="F323" s="100">
        <v>1757.8</v>
      </c>
      <c r="G323" s="92">
        <v>1749.73</v>
      </c>
      <c r="H323" s="92">
        <v>1709.29</v>
      </c>
      <c r="I323" s="92">
        <v>1753.97</v>
      </c>
      <c r="J323" s="92">
        <v>1746.09</v>
      </c>
      <c r="K323" s="92">
        <v>1741.31</v>
      </c>
      <c r="L323" s="92">
        <v>1738.44</v>
      </c>
      <c r="M323" s="93">
        <v>1810.88</v>
      </c>
      <c r="N323" s="139">
        <v>1752.3</v>
      </c>
      <c r="O323" s="139">
        <v>1755.1</v>
      </c>
      <c r="P323" s="93">
        <v>1751.34</v>
      </c>
      <c r="Q323" s="93">
        <v>1752.18</v>
      </c>
      <c r="R323" s="93">
        <v>1762.72</v>
      </c>
      <c r="S323" s="93">
        <v>1755.82</v>
      </c>
      <c r="T323" s="93">
        <v>1765.45</v>
      </c>
      <c r="U323" s="94">
        <f t="shared" ref="U323:U372" si="37">SUM(F323:T323)</f>
        <v>26302.42</v>
      </c>
      <c r="V323" s="103">
        <f t="shared" si="34"/>
        <v>829.7</v>
      </c>
      <c r="W323" s="138">
        <v>834.9</v>
      </c>
      <c r="X323" s="92">
        <f t="shared" ref="X323:X372" si="38">MAX((W323-V323)*5000,0)</f>
        <v>25999.9999999997</v>
      </c>
      <c r="Y323" s="92">
        <f t="shared" si="35"/>
        <v>4.65</v>
      </c>
      <c r="Z323" s="92">
        <v>4.66</v>
      </c>
      <c r="AA323" s="92">
        <f t="shared" si="33"/>
        <v>49.9999999999989</v>
      </c>
      <c r="AB323" s="97">
        <f t="shared" ref="AB323:AB367" si="39">X323-AA323</f>
        <v>25949.9999999997</v>
      </c>
      <c r="AC323" s="96"/>
      <c r="AD323" s="92">
        <v>4.36</v>
      </c>
      <c r="AE323" s="92">
        <v>31.19</v>
      </c>
      <c r="AF323" s="92"/>
      <c r="AG323" s="92"/>
      <c r="AH323" s="92"/>
      <c r="AI323" s="92"/>
      <c r="AJ323" s="97" t="s">
        <v>85</v>
      </c>
    </row>
    <row r="324" spans="1:36">
      <c r="A324" s="84">
        <f t="shared" si="36"/>
        <v>326</v>
      </c>
      <c r="B324" s="91">
        <v>46069</v>
      </c>
      <c r="C324" s="48">
        <v>46069</v>
      </c>
      <c r="D324" s="104">
        <v>0.3125</v>
      </c>
      <c r="E324" s="105">
        <v>0.770833333333333</v>
      </c>
      <c r="F324" s="100">
        <v>1748.73</v>
      </c>
      <c r="G324" s="92">
        <v>1740.84</v>
      </c>
      <c r="H324" s="92">
        <v>1729.64</v>
      </c>
      <c r="I324" s="92">
        <v>1740.75</v>
      </c>
      <c r="J324" s="92">
        <v>1735.37</v>
      </c>
      <c r="K324" s="92">
        <v>1727.25</v>
      </c>
      <c r="L324" s="92">
        <v>1723.54</v>
      </c>
      <c r="M324" s="93">
        <v>1795.43</v>
      </c>
      <c r="N324" s="93">
        <v>1745.15</v>
      </c>
      <c r="O324" s="139">
        <v>1745.2</v>
      </c>
      <c r="P324" s="93">
        <v>1746.52</v>
      </c>
      <c r="Q324" s="93">
        <v>1743.39</v>
      </c>
      <c r="R324" s="139">
        <v>1752.8</v>
      </c>
      <c r="S324" s="93">
        <v>1743.64</v>
      </c>
      <c r="T324" s="93">
        <v>1750.08</v>
      </c>
      <c r="U324" s="94">
        <f t="shared" si="37"/>
        <v>26168.33</v>
      </c>
      <c r="V324" s="103">
        <f t="shared" si="34"/>
        <v>834.9</v>
      </c>
      <c r="W324" s="92">
        <v>840.08</v>
      </c>
      <c r="X324" s="92">
        <f t="shared" si="38"/>
        <v>25900.0000000003</v>
      </c>
      <c r="Y324" s="92">
        <f t="shared" si="35"/>
        <v>4.66</v>
      </c>
      <c r="Z324" s="92">
        <v>4.67</v>
      </c>
      <c r="AA324" s="92">
        <f t="shared" ref="AA324:AA385" si="40">MAX((Z324-Y324)*5000,0)</f>
        <v>49.9999999999989</v>
      </c>
      <c r="AB324" s="97">
        <f t="shared" si="39"/>
        <v>25850.0000000003</v>
      </c>
      <c r="AC324" s="96"/>
      <c r="AD324" s="92">
        <v>4.55</v>
      </c>
      <c r="AE324" s="92">
        <v>28.62</v>
      </c>
      <c r="AF324" s="92"/>
      <c r="AG324" s="92"/>
      <c r="AH324" s="92"/>
      <c r="AI324" s="92"/>
      <c r="AJ324" s="97" t="s">
        <v>85</v>
      </c>
    </row>
    <row r="325" spans="1:36">
      <c r="A325" s="84">
        <f t="shared" si="36"/>
        <v>327</v>
      </c>
      <c r="B325" s="91">
        <v>46070</v>
      </c>
      <c r="C325" s="48">
        <v>46070</v>
      </c>
      <c r="D325" s="104">
        <v>0.3125</v>
      </c>
      <c r="E325" s="97">
        <v>18.45</v>
      </c>
      <c r="F325" s="100">
        <v>1857.44</v>
      </c>
      <c r="G325" s="92">
        <v>1850.27</v>
      </c>
      <c r="H325" s="92">
        <v>1837.34</v>
      </c>
      <c r="I325" s="92">
        <v>1851.73</v>
      </c>
      <c r="J325" s="92">
        <v>1844.75</v>
      </c>
      <c r="K325" s="92">
        <v>1833.45</v>
      </c>
      <c r="L325" s="92">
        <v>1832.73</v>
      </c>
      <c r="M325" s="93">
        <v>1909.14</v>
      </c>
      <c r="N325" s="93">
        <v>1886.66</v>
      </c>
      <c r="O325" s="93">
        <v>1885.26</v>
      </c>
      <c r="P325" s="93">
        <v>1888.07</v>
      </c>
      <c r="Q325" s="93">
        <v>1885.26</v>
      </c>
      <c r="R325" s="93">
        <v>1895.09</v>
      </c>
      <c r="S325" s="93">
        <v>1880.33</v>
      </c>
      <c r="T325" s="93">
        <v>1896.14</v>
      </c>
      <c r="U325" s="94">
        <f t="shared" si="37"/>
        <v>28033.66</v>
      </c>
      <c r="V325" s="103">
        <f t="shared" si="34"/>
        <v>840.08</v>
      </c>
      <c r="W325" s="92">
        <v>845.66</v>
      </c>
      <c r="X325" s="92">
        <f t="shared" si="38"/>
        <v>27899.9999999996</v>
      </c>
      <c r="Y325" s="92">
        <f t="shared" si="35"/>
        <v>4.67</v>
      </c>
      <c r="Z325" s="92">
        <v>4.68</v>
      </c>
      <c r="AA325" s="92">
        <f t="shared" si="40"/>
        <v>49.9999999999989</v>
      </c>
      <c r="AB325" s="97">
        <f t="shared" si="39"/>
        <v>27849.9999999996</v>
      </c>
      <c r="AC325" s="96"/>
      <c r="AD325" s="92">
        <v>4.76</v>
      </c>
      <c r="AE325" s="92">
        <v>27.21</v>
      </c>
      <c r="AF325" s="92"/>
      <c r="AG325" s="92"/>
      <c r="AH325" s="92"/>
      <c r="AI325" s="92"/>
      <c r="AJ325" s="97" t="s">
        <v>85</v>
      </c>
    </row>
    <row r="326" spans="1:36">
      <c r="A326" s="84">
        <f t="shared" si="36"/>
        <v>328</v>
      </c>
      <c r="B326" s="91">
        <v>46071</v>
      </c>
      <c r="C326" s="48">
        <v>46071</v>
      </c>
      <c r="D326" s="104">
        <v>0.3125</v>
      </c>
      <c r="E326" s="97">
        <v>18.45</v>
      </c>
      <c r="F326" s="100">
        <v>1810.64</v>
      </c>
      <c r="G326" s="92">
        <v>1827.44</v>
      </c>
      <c r="H326" s="92">
        <v>1817.39</v>
      </c>
      <c r="I326" s="92">
        <v>1829.24</v>
      </c>
      <c r="J326" s="92">
        <v>1822.59</v>
      </c>
      <c r="K326" s="92">
        <v>1811.68</v>
      </c>
      <c r="L326" s="92">
        <v>1808.23</v>
      </c>
      <c r="M326" s="93">
        <v>1884.87</v>
      </c>
      <c r="N326" s="93">
        <v>1836.78</v>
      </c>
      <c r="O326" s="93">
        <v>1836.14</v>
      </c>
      <c r="P326" s="93">
        <v>1832.42</v>
      </c>
      <c r="Q326" s="93">
        <v>1832.71</v>
      </c>
      <c r="R326" s="139">
        <v>1844.1</v>
      </c>
      <c r="S326" s="93">
        <v>1831.48</v>
      </c>
      <c r="T326" s="93">
        <v>1842.78</v>
      </c>
      <c r="U326" s="94">
        <f t="shared" si="37"/>
        <v>27468.49</v>
      </c>
      <c r="V326" s="103">
        <f t="shared" si="34"/>
        <v>845.66</v>
      </c>
      <c r="W326" s="92">
        <v>851.11</v>
      </c>
      <c r="X326" s="92">
        <f t="shared" si="38"/>
        <v>27250.0000000002</v>
      </c>
      <c r="Y326" s="92">
        <f t="shared" si="35"/>
        <v>4.68</v>
      </c>
      <c r="Z326" s="92">
        <v>4.69</v>
      </c>
      <c r="AA326" s="92">
        <f t="shared" si="40"/>
        <v>50.0000000000034</v>
      </c>
      <c r="AB326" s="97">
        <f t="shared" si="39"/>
        <v>27200.0000000002</v>
      </c>
      <c r="AC326" s="96"/>
      <c r="AD326" s="138">
        <v>4.6</v>
      </c>
      <c r="AE326" s="92">
        <v>29.06</v>
      </c>
      <c r="AF326" s="92"/>
      <c r="AG326" s="92"/>
      <c r="AH326" s="92"/>
      <c r="AI326" s="92"/>
      <c r="AJ326" s="97" t="s">
        <v>85</v>
      </c>
    </row>
    <row r="327" spans="1:36">
      <c r="A327" s="84">
        <f t="shared" si="36"/>
        <v>329</v>
      </c>
      <c r="B327" s="91">
        <v>46072</v>
      </c>
      <c r="C327" s="48">
        <v>46072</v>
      </c>
      <c r="D327" s="104">
        <v>0.3125</v>
      </c>
      <c r="E327" s="97">
        <v>18.45</v>
      </c>
      <c r="F327" s="100">
        <v>1757.65</v>
      </c>
      <c r="G327" s="138">
        <v>1749.9</v>
      </c>
      <c r="H327" s="92">
        <v>1742.18</v>
      </c>
      <c r="I327" s="92">
        <v>1751.11</v>
      </c>
      <c r="J327" s="92">
        <v>1747.16</v>
      </c>
      <c r="K327" s="92">
        <v>1737.92</v>
      </c>
      <c r="L327" s="92">
        <v>1735.42</v>
      </c>
      <c r="M327" s="93">
        <v>1808.71</v>
      </c>
      <c r="N327" s="93">
        <v>1757.16</v>
      </c>
      <c r="O327" s="93">
        <v>1755.87</v>
      </c>
      <c r="P327" s="93">
        <v>1758.36</v>
      </c>
      <c r="Q327" s="93">
        <v>1755.31</v>
      </c>
      <c r="R327" s="93">
        <v>1765.86</v>
      </c>
      <c r="S327" s="139">
        <v>1756.9</v>
      </c>
      <c r="T327" s="93">
        <v>1765.11</v>
      </c>
      <c r="U327" s="94">
        <f t="shared" si="37"/>
        <v>26344.62</v>
      </c>
      <c r="V327" s="103">
        <f t="shared" si="34"/>
        <v>851.11</v>
      </c>
      <c r="W327" s="92">
        <v>856.31</v>
      </c>
      <c r="X327" s="92">
        <f t="shared" si="38"/>
        <v>25999.9999999997</v>
      </c>
      <c r="Y327" s="92">
        <f t="shared" si="35"/>
        <v>4.69</v>
      </c>
      <c r="Z327" s="138">
        <v>4.7</v>
      </c>
      <c r="AA327" s="92">
        <f t="shared" si="40"/>
        <v>49.9999999999989</v>
      </c>
      <c r="AB327" s="97">
        <f t="shared" si="39"/>
        <v>25949.9999999997</v>
      </c>
      <c r="AC327" s="96"/>
      <c r="AD327" s="92">
        <v>4.47</v>
      </c>
      <c r="AE327" s="92">
        <v>30.04</v>
      </c>
      <c r="AF327" s="92"/>
      <c r="AG327" s="92"/>
      <c r="AH327" s="92"/>
      <c r="AI327" s="92"/>
      <c r="AJ327" s="97" t="s">
        <v>85</v>
      </c>
    </row>
    <row r="328" spans="1:36">
      <c r="A328" s="84">
        <f t="shared" si="36"/>
        <v>330</v>
      </c>
      <c r="B328" s="91">
        <v>46073</v>
      </c>
      <c r="C328" s="48">
        <v>46073</v>
      </c>
      <c r="D328" s="104">
        <v>0.3125</v>
      </c>
      <c r="E328" s="97">
        <v>18.45</v>
      </c>
      <c r="F328" s="100">
        <v>1652.81</v>
      </c>
      <c r="G328" s="92">
        <v>1649.38</v>
      </c>
      <c r="H328" s="92">
        <v>1639.23</v>
      </c>
      <c r="I328" s="92">
        <v>1648.88</v>
      </c>
      <c r="J328" s="92">
        <v>1645.25</v>
      </c>
      <c r="K328" s="92">
        <v>1633.29</v>
      </c>
      <c r="L328" s="92">
        <v>1633.33</v>
      </c>
      <c r="M328" s="93">
        <v>1704.03</v>
      </c>
      <c r="N328" s="93">
        <v>1649.76</v>
      </c>
      <c r="O328" s="93">
        <v>1655.43</v>
      </c>
      <c r="P328" s="93">
        <v>1648.09</v>
      </c>
      <c r="Q328" s="139">
        <v>1651.3</v>
      </c>
      <c r="R328" s="139">
        <v>1666.1</v>
      </c>
      <c r="S328" s="93">
        <v>1651.11</v>
      </c>
      <c r="T328" s="93">
        <v>1665.83</v>
      </c>
      <c r="U328" s="94">
        <f t="shared" si="37"/>
        <v>24793.82</v>
      </c>
      <c r="V328" s="103">
        <f t="shared" si="34"/>
        <v>856.31</v>
      </c>
      <c r="W328" s="92">
        <v>861.25</v>
      </c>
      <c r="X328" s="92">
        <f t="shared" si="38"/>
        <v>24700.0000000003</v>
      </c>
      <c r="Y328" s="92">
        <f t="shared" si="35"/>
        <v>4.7</v>
      </c>
      <c r="Z328" s="92">
        <v>4.71</v>
      </c>
      <c r="AA328" s="92">
        <f t="shared" si="40"/>
        <v>49.9999999999989</v>
      </c>
      <c r="AB328" s="97">
        <f t="shared" si="39"/>
        <v>24650.0000000003</v>
      </c>
      <c r="AC328" s="96"/>
      <c r="AD328" s="92">
        <v>4.36</v>
      </c>
      <c r="AE328" s="138">
        <v>31.1</v>
      </c>
      <c r="AF328" s="92"/>
      <c r="AG328" s="92"/>
      <c r="AH328" s="92"/>
      <c r="AI328" s="92"/>
      <c r="AJ328" s="97" t="s">
        <v>85</v>
      </c>
    </row>
    <row r="329" spans="1:36">
      <c r="A329" s="84">
        <f t="shared" si="36"/>
        <v>331</v>
      </c>
      <c r="B329" s="91">
        <v>46074</v>
      </c>
      <c r="C329" s="48">
        <v>46074</v>
      </c>
      <c r="D329" s="104">
        <v>0.3125</v>
      </c>
      <c r="E329" s="97">
        <v>18.45</v>
      </c>
      <c r="F329" s="100">
        <v>1726.81</v>
      </c>
      <c r="G329" s="92">
        <v>1725.07</v>
      </c>
      <c r="H329" s="92">
        <v>1711.32</v>
      </c>
      <c r="I329" s="138">
        <v>1721.9</v>
      </c>
      <c r="J329" s="92">
        <v>1717.31</v>
      </c>
      <c r="K329" s="92">
        <v>1706.47</v>
      </c>
      <c r="L329" s="92">
        <v>1706.75</v>
      </c>
      <c r="M329" s="93">
        <v>1775.81</v>
      </c>
      <c r="N329" s="93">
        <v>1725.23</v>
      </c>
      <c r="O329" s="139">
        <v>1728.3</v>
      </c>
      <c r="P329" s="93">
        <v>1725.78</v>
      </c>
      <c r="Q329" s="139">
        <v>1725.7</v>
      </c>
      <c r="R329" s="93">
        <v>1740.46</v>
      </c>
      <c r="S329" s="93">
        <v>1725.38</v>
      </c>
      <c r="T329" s="93">
        <v>1737.42</v>
      </c>
      <c r="U329" s="94">
        <f t="shared" si="37"/>
        <v>25899.71</v>
      </c>
      <c r="V329" s="103">
        <f t="shared" si="34"/>
        <v>861.25</v>
      </c>
      <c r="W329" s="92">
        <v>866.38</v>
      </c>
      <c r="X329" s="92">
        <f t="shared" si="38"/>
        <v>25650</v>
      </c>
      <c r="Y329" s="92">
        <f t="shared" si="35"/>
        <v>4.71</v>
      </c>
      <c r="Z329" s="92">
        <v>4.72</v>
      </c>
      <c r="AA329" s="92">
        <f t="shared" si="40"/>
        <v>49.9999999999989</v>
      </c>
      <c r="AB329" s="97">
        <f t="shared" si="39"/>
        <v>25600</v>
      </c>
      <c r="AC329" s="96"/>
      <c r="AD329" s="138">
        <v>4.5</v>
      </c>
      <c r="AE329" s="92">
        <v>32.81</v>
      </c>
      <c r="AF329" s="92"/>
      <c r="AG329" s="92"/>
      <c r="AH329" s="92"/>
      <c r="AI329" s="92"/>
      <c r="AJ329" s="97" t="s">
        <v>85</v>
      </c>
    </row>
    <row r="330" spans="1:36">
      <c r="A330" s="84">
        <f t="shared" si="36"/>
        <v>332</v>
      </c>
      <c r="B330" s="91">
        <v>46075</v>
      </c>
      <c r="C330" s="48">
        <v>46075</v>
      </c>
      <c r="D330" s="104">
        <v>0.3125</v>
      </c>
      <c r="E330" s="97">
        <v>18.45</v>
      </c>
      <c r="F330" s="100">
        <v>1463.12</v>
      </c>
      <c r="G330" s="92">
        <v>1461.03</v>
      </c>
      <c r="H330" s="92">
        <v>1449.19</v>
      </c>
      <c r="I330" s="92">
        <v>1460.03</v>
      </c>
      <c r="J330" s="92">
        <v>1456.29</v>
      </c>
      <c r="K330" s="92">
        <v>1449.83</v>
      </c>
      <c r="L330" s="92">
        <v>1448.86</v>
      </c>
      <c r="M330" s="93">
        <v>1507.97</v>
      </c>
      <c r="N330" s="93">
        <v>1463.31</v>
      </c>
      <c r="O330" s="93">
        <v>1470.42</v>
      </c>
      <c r="P330" s="139">
        <v>1464.1</v>
      </c>
      <c r="Q330" s="93">
        <v>1465.61</v>
      </c>
      <c r="R330" s="93">
        <v>1473.68</v>
      </c>
      <c r="S330" s="93">
        <v>1464.11</v>
      </c>
      <c r="T330" s="93">
        <v>1472.48</v>
      </c>
      <c r="U330" s="94">
        <f t="shared" si="37"/>
        <v>21970.03</v>
      </c>
      <c r="V330" s="103">
        <f t="shared" si="34"/>
        <v>866.38</v>
      </c>
      <c r="W330" s="92">
        <v>870.72</v>
      </c>
      <c r="X330" s="92">
        <f t="shared" si="38"/>
        <v>21700.0000000002</v>
      </c>
      <c r="Y330" s="92">
        <f t="shared" si="35"/>
        <v>4.72</v>
      </c>
      <c r="Z330" s="92">
        <v>4.73</v>
      </c>
      <c r="AA330" s="92">
        <f t="shared" si="40"/>
        <v>50.0000000000034</v>
      </c>
      <c r="AB330" s="97">
        <f t="shared" si="39"/>
        <v>21650.0000000002</v>
      </c>
      <c r="AC330" s="96"/>
      <c r="AD330" s="92">
        <v>3.99</v>
      </c>
      <c r="AE330" s="92">
        <v>31.06</v>
      </c>
      <c r="AF330" s="92"/>
      <c r="AG330" s="92"/>
      <c r="AH330" s="92"/>
      <c r="AI330" s="92"/>
      <c r="AJ330" s="97" t="s">
        <v>85</v>
      </c>
    </row>
    <row r="331" spans="1:36">
      <c r="A331" s="84">
        <f t="shared" si="36"/>
        <v>333</v>
      </c>
      <c r="B331" s="91">
        <v>46076</v>
      </c>
      <c r="C331" s="48">
        <v>46076</v>
      </c>
      <c r="D331" s="104">
        <v>0.3125</v>
      </c>
      <c r="E331" s="97">
        <v>18.45</v>
      </c>
      <c r="F331" s="100">
        <v>1201.9</v>
      </c>
      <c r="G331" s="92">
        <v>1203.81</v>
      </c>
      <c r="H331" s="92">
        <v>1192.96</v>
      </c>
      <c r="I331" s="92">
        <v>1202.05</v>
      </c>
      <c r="J331" s="92">
        <v>1200.13</v>
      </c>
      <c r="K331" s="92">
        <v>1193.09</v>
      </c>
      <c r="L331" s="92">
        <v>1190.77</v>
      </c>
      <c r="M331" s="93">
        <v>1241.32</v>
      </c>
      <c r="N331" s="93">
        <v>1194.43</v>
      </c>
      <c r="O331" s="93">
        <v>1204.09</v>
      </c>
      <c r="P331" s="93">
        <v>1194.71</v>
      </c>
      <c r="Q331" s="93">
        <v>1198.75</v>
      </c>
      <c r="R331" s="93">
        <v>1209.24</v>
      </c>
      <c r="S331" s="93">
        <v>1197.63</v>
      </c>
      <c r="T331" s="93">
        <v>1205.26</v>
      </c>
      <c r="U331" s="94">
        <f t="shared" si="37"/>
        <v>18030.14</v>
      </c>
      <c r="V331" s="103">
        <f t="shared" si="34"/>
        <v>870.72</v>
      </c>
      <c r="W331" s="138">
        <v>874.3</v>
      </c>
      <c r="X331" s="92">
        <f t="shared" si="38"/>
        <v>17899.9999999996</v>
      </c>
      <c r="Y331" s="92">
        <f t="shared" si="35"/>
        <v>4.73</v>
      </c>
      <c r="Z331" s="92">
        <v>4.75</v>
      </c>
      <c r="AA331" s="92">
        <f t="shared" si="40"/>
        <v>99.9999999999979</v>
      </c>
      <c r="AB331" s="97">
        <f t="shared" si="39"/>
        <v>17799.9999999996</v>
      </c>
      <c r="AC331" s="96"/>
      <c r="AD331" s="92">
        <v>3.36</v>
      </c>
      <c r="AE331" s="92">
        <v>31.26</v>
      </c>
      <c r="AF331" s="92"/>
      <c r="AG331" s="92"/>
      <c r="AH331" s="92"/>
      <c r="AI331" s="92"/>
      <c r="AJ331" s="97" t="s">
        <v>85</v>
      </c>
    </row>
    <row r="332" spans="1:36">
      <c r="A332" s="84">
        <f t="shared" si="36"/>
        <v>334</v>
      </c>
      <c r="B332" s="91">
        <v>46077</v>
      </c>
      <c r="C332" s="48">
        <v>46077</v>
      </c>
      <c r="D332" s="104">
        <v>0.302083333333333</v>
      </c>
      <c r="E332" s="97">
        <v>18.45</v>
      </c>
      <c r="F332" s="100">
        <v>1728.66</v>
      </c>
      <c r="G332" s="92">
        <v>1723.06</v>
      </c>
      <c r="H332" s="92">
        <v>1710.25</v>
      </c>
      <c r="I332" s="92">
        <v>1719.38</v>
      </c>
      <c r="J332" s="138">
        <v>1716.7</v>
      </c>
      <c r="K332" s="138">
        <v>1707.8</v>
      </c>
      <c r="L332" s="92">
        <v>1705.72</v>
      </c>
      <c r="M332" s="93">
        <v>1776.05</v>
      </c>
      <c r="N332" s="93">
        <v>1730.81</v>
      </c>
      <c r="O332" s="93">
        <v>1728.43</v>
      </c>
      <c r="P332" s="139">
        <v>1730.8</v>
      </c>
      <c r="Q332" s="93">
        <v>1730.22</v>
      </c>
      <c r="R332" s="93">
        <v>1738.83</v>
      </c>
      <c r="S332" s="139">
        <v>1728.9</v>
      </c>
      <c r="T332" s="93">
        <v>1737.61</v>
      </c>
      <c r="U332" s="94">
        <f t="shared" si="37"/>
        <v>25913.22</v>
      </c>
      <c r="V332" s="103">
        <f t="shared" si="34"/>
        <v>874.3</v>
      </c>
      <c r="W332" s="92">
        <v>879.42</v>
      </c>
      <c r="X332" s="92">
        <f t="shared" si="38"/>
        <v>25600</v>
      </c>
      <c r="Y332" s="92">
        <f t="shared" si="35"/>
        <v>4.75</v>
      </c>
      <c r="Z332" s="92">
        <v>4.76</v>
      </c>
      <c r="AA332" s="92">
        <f t="shared" si="40"/>
        <v>49.9999999999989</v>
      </c>
      <c r="AB332" s="97">
        <f t="shared" si="39"/>
        <v>25550</v>
      </c>
      <c r="AC332" s="96"/>
      <c r="AD332" s="92">
        <v>4.35</v>
      </c>
      <c r="AE332" s="92">
        <v>31.55</v>
      </c>
      <c r="AF332" s="92"/>
      <c r="AG332" s="92"/>
      <c r="AH332" s="92"/>
      <c r="AI332" s="92"/>
      <c r="AJ332" s="97" t="s">
        <v>85</v>
      </c>
    </row>
    <row r="333" spans="1:36">
      <c r="A333" s="84">
        <f t="shared" si="36"/>
        <v>335</v>
      </c>
      <c r="B333" s="91">
        <v>46078</v>
      </c>
      <c r="C333" s="48">
        <v>46078</v>
      </c>
      <c r="D333" s="104">
        <v>0.302083333333333</v>
      </c>
      <c r="E333" s="97">
        <v>18.45</v>
      </c>
      <c r="F333" s="100">
        <v>1849.39</v>
      </c>
      <c r="G333" s="92">
        <v>1842.38</v>
      </c>
      <c r="H333" s="92">
        <v>1831.63</v>
      </c>
      <c r="I333" s="92">
        <v>1839.77</v>
      </c>
      <c r="J333" s="138">
        <v>1832.6</v>
      </c>
      <c r="K333" s="92">
        <v>1823.62</v>
      </c>
      <c r="L333" s="92">
        <v>1821.42</v>
      </c>
      <c r="M333" s="93">
        <v>1897.61</v>
      </c>
      <c r="N333" s="93">
        <v>1844.44</v>
      </c>
      <c r="O333" s="93">
        <v>1843.41</v>
      </c>
      <c r="P333" s="93">
        <v>1844.68</v>
      </c>
      <c r="Q333" s="139">
        <v>1849.1</v>
      </c>
      <c r="R333" s="93">
        <v>1854.73</v>
      </c>
      <c r="S333" s="93">
        <v>1843.11</v>
      </c>
      <c r="T333" s="93">
        <v>1854.74</v>
      </c>
      <c r="U333" s="94">
        <f t="shared" si="37"/>
        <v>27672.63</v>
      </c>
      <c r="V333" s="103">
        <f t="shared" ref="V333:V355" si="41">W332</f>
        <v>879.42</v>
      </c>
      <c r="W333" s="92">
        <v>884.91</v>
      </c>
      <c r="X333" s="92">
        <f t="shared" si="38"/>
        <v>27450</v>
      </c>
      <c r="Y333" s="92">
        <f t="shared" ref="Y333:Y375" si="42">Z332</f>
        <v>4.76</v>
      </c>
      <c r="Z333" s="92">
        <v>4.77</v>
      </c>
      <c r="AA333" s="92">
        <f t="shared" si="40"/>
        <v>49.9999999999989</v>
      </c>
      <c r="AB333" s="97">
        <f t="shared" si="39"/>
        <v>27400</v>
      </c>
      <c r="AC333" s="96"/>
      <c r="AD333" s="92">
        <v>4.76</v>
      </c>
      <c r="AE333" s="92">
        <v>30.23</v>
      </c>
      <c r="AF333" s="92"/>
      <c r="AG333" s="92"/>
      <c r="AH333" s="92"/>
      <c r="AI333" s="92"/>
      <c r="AJ333" s="97" t="s">
        <v>85</v>
      </c>
    </row>
    <row r="334" spans="1:36">
      <c r="A334" s="84">
        <f t="shared" si="36"/>
        <v>336</v>
      </c>
      <c r="B334" s="91">
        <v>46079</v>
      </c>
      <c r="C334" s="48">
        <v>46079</v>
      </c>
      <c r="D334" s="104">
        <v>0.302083333333333</v>
      </c>
      <c r="E334" s="97">
        <v>18.45</v>
      </c>
      <c r="F334" s="100">
        <v>948.99</v>
      </c>
      <c r="G334" s="92">
        <v>959.76</v>
      </c>
      <c r="H334" s="92">
        <v>942.43</v>
      </c>
      <c r="I334" s="92">
        <v>952.22</v>
      </c>
      <c r="J334" s="92">
        <v>956.73</v>
      </c>
      <c r="K334" s="92">
        <v>927.81</v>
      </c>
      <c r="L334" s="92">
        <v>932.16</v>
      </c>
      <c r="M334" s="93">
        <v>981.46</v>
      </c>
      <c r="N334" s="93">
        <v>927.88</v>
      </c>
      <c r="O334" s="93">
        <v>929.94</v>
      </c>
      <c r="P334" s="93">
        <v>930.08</v>
      </c>
      <c r="Q334" s="93">
        <v>928.51</v>
      </c>
      <c r="R334" s="93">
        <v>939.59</v>
      </c>
      <c r="S334" s="93">
        <v>931.45</v>
      </c>
      <c r="T334" s="93">
        <v>937.03</v>
      </c>
      <c r="U334" s="94">
        <f t="shared" si="37"/>
        <v>14126.04</v>
      </c>
      <c r="V334" s="103">
        <f t="shared" si="41"/>
        <v>884.91</v>
      </c>
      <c r="W334" s="138">
        <v>887.7</v>
      </c>
      <c r="X334" s="92">
        <f t="shared" si="38"/>
        <v>13950.0000000004</v>
      </c>
      <c r="Y334" s="92">
        <f t="shared" si="42"/>
        <v>4.77</v>
      </c>
      <c r="Z334" s="92">
        <v>4.78</v>
      </c>
      <c r="AA334" s="92">
        <f t="shared" si="40"/>
        <v>50.0000000000034</v>
      </c>
      <c r="AB334" s="97">
        <f t="shared" si="39"/>
        <v>13900.0000000004</v>
      </c>
      <c r="AC334" s="96"/>
      <c r="AD334" s="92">
        <v>2.72</v>
      </c>
      <c r="AE334" s="92">
        <v>25.83</v>
      </c>
      <c r="AF334" s="92"/>
      <c r="AG334" s="92"/>
      <c r="AH334" s="92"/>
      <c r="AI334" s="92"/>
      <c r="AJ334" s="97" t="s">
        <v>85</v>
      </c>
    </row>
    <row r="335" spans="1:36">
      <c r="A335" s="84">
        <f t="shared" si="36"/>
        <v>337</v>
      </c>
      <c r="B335" s="91">
        <v>46080</v>
      </c>
      <c r="C335" s="48">
        <v>46080</v>
      </c>
      <c r="D335" s="104">
        <v>0.302083333333333</v>
      </c>
      <c r="E335" s="97">
        <v>18.45</v>
      </c>
      <c r="F335" s="100">
        <v>1540.58</v>
      </c>
      <c r="G335" s="92">
        <v>1536.29</v>
      </c>
      <c r="H335" s="138">
        <v>1519.6</v>
      </c>
      <c r="I335" s="92">
        <v>1533.59</v>
      </c>
      <c r="J335" s="138">
        <v>1529.5</v>
      </c>
      <c r="K335" s="138">
        <v>1529.6</v>
      </c>
      <c r="L335" s="92">
        <v>1527.39</v>
      </c>
      <c r="M335" s="93">
        <v>1591.53</v>
      </c>
      <c r="N335" s="93">
        <v>1521.69</v>
      </c>
      <c r="O335" s="93">
        <v>1527.92</v>
      </c>
      <c r="P335" s="93">
        <v>1534.93</v>
      </c>
      <c r="Q335" s="93">
        <v>1537.13</v>
      </c>
      <c r="R335" s="93">
        <v>1542.62</v>
      </c>
      <c r="S335" s="93">
        <v>1544.78</v>
      </c>
      <c r="T335" s="139">
        <v>1545.9</v>
      </c>
      <c r="U335" s="94">
        <f t="shared" si="37"/>
        <v>23063.05</v>
      </c>
      <c r="V335" s="103">
        <f t="shared" si="41"/>
        <v>887.7</v>
      </c>
      <c r="W335" s="92">
        <v>892.26</v>
      </c>
      <c r="X335" s="92">
        <f t="shared" si="38"/>
        <v>22799.9999999997</v>
      </c>
      <c r="Y335" s="92">
        <f t="shared" si="42"/>
        <v>4.78</v>
      </c>
      <c r="Z335" s="92">
        <v>4.79</v>
      </c>
      <c r="AA335" s="92">
        <f t="shared" si="40"/>
        <v>49.9999999999989</v>
      </c>
      <c r="AB335" s="97">
        <f t="shared" si="39"/>
        <v>22749.9999999997</v>
      </c>
      <c r="AC335" s="96"/>
      <c r="AD335" s="92">
        <v>4.51</v>
      </c>
      <c r="AE335" s="92">
        <v>28.91</v>
      </c>
      <c r="AF335" s="92"/>
      <c r="AG335" s="92"/>
      <c r="AH335" s="92"/>
      <c r="AI335" s="92"/>
      <c r="AJ335" s="97" t="s">
        <v>85</v>
      </c>
    </row>
    <row r="336" spans="1:36">
      <c r="A336" s="84">
        <f t="shared" si="36"/>
        <v>338</v>
      </c>
      <c r="B336" s="91">
        <v>46081</v>
      </c>
      <c r="C336" s="48">
        <v>46081</v>
      </c>
      <c r="D336" s="104">
        <v>0.3125</v>
      </c>
      <c r="E336" s="97">
        <v>18.45</v>
      </c>
      <c r="F336" s="100">
        <v>1821.95</v>
      </c>
      <c r="G336" s="92">
        <v>1879.14</v>
      </c>
      <c r="H336" s="92">
        <v>1807.25</v>
      </c>
      <c r="I336" s="92">
        <v>1845.07</v>
      </c>
      <c r="J336" s="92">
        <v>1914.87</v>
      </c>
      <c r="K336" s="92">
        <v>1801.55</v>
      </c>
      <c r="L336" s="92">
        <v>1815.44</v>
      </c>
      <c r="M336" s="93">
        <v>360.04</v>
      </c>
      <c r="N336" s="93">
        <v>1826.32</v>
      </c>
      <c r="O336" s="139">
        <v>1828.7</v>
      </c>
      <c r="P336" s="93">
        <v>1828.57</v>
      </c>
      <c r="Q336" s="93">
        <v>1829.38</v>
      </c>
      <c r="R336" s="93">
        <v>1838.12</v>
      </c>
      <c r="S336" s="93">
        <v>1822.41</v>
      </c>
      <c r="T336" s="93">
        <v>1834.13</v>
      </c>
      <c r="U336" s="94">
        <f t="shared" si="37"/>
        <v>26052.94</v>
      </c>
      <c r="V336" s="103">
        <f t="shared" si="41"/>
        <v>892.26</v>
      </c>
      <c r="W336" s="92">
        <v>897.41</v>
      </c>
      <c r="X336" s="92">
        <f t="shared" si="38"/>
        <v>25749.9999999999</v>
      </c>
      <c r="Y336" s="92">
        <f t="shared" si="42"/>
        <v>4.79</v>
      </c>
      <c r="Z336" s="92">
        <v>4.81</v>
      </c>
      <c r="AA336" s="92">
        <f t="shared" si="40"/>
        <v>99.9999999999979</v>
      </c>
      <c r="AB336" s="97">
        <f t="shared" si="39"/>
        <v>25649.9999999999</v>
      </c>
      <c r="AC336" s="96"/>
      <c r="AD336" s="92">
        <v>4.32</v>
      </c>
      <c r="AE336" s="92">
        <v>29.52</v>
      </c>
      <c r="AF336" s="92"/>
      <c r="AG336" s="92"/>
      <c r="AH336" s="92"/>
      <c r="AI336" s="92"/>
      <c r="AJ336" s="97" t="s">
        <v>85</v>
      </c>
    </row>
    <row r="337" spans="1:36">
      <c r="A337" s="84">
        <f t="shared" si="36"/>
        <v>339</v>
      </c>
      <c r="B337" s="91">
        <v>46082</v>
      </c>
      <c r="C337" s="48">
        <v>46082</v>
      </c>
      <c r="D337" s="104">
        <v>0.3125</v>
      </c>
      <c r="E337" s="97">
        <v>18.45</v>
      </c>
      <c r="F337" s="100">
        <v>1895.1</v>
      </c>
      <c r="G337" s="138">
        <v>1823.8</v>
      </c>
      <c r="H337" s="92">
        <v>1890.57</v>
      </c>
      <c r="I337" s="92">
        <v>1826.05</v>
      </c>
      <c r="J337" s="138">
        <v>1920</v>
      </c>
      <c r="K337" s="92">
        <v>1891.45</v>
      </c>
      <c r="L337" s="92">
        <v>1908.01</v>
      </c>
      <c r="M337" s="93">
        <v>1898.07</v>
      </c>
      <c r="N337" s="93">
        <v>1826.41</v>
      </c>
      <c r="O337" s="139">
        <v>1830.9</v>
      </c>
      <c r="P337" s="139">
        <v>1829.9</v>
      </c>
      <c r="Q337" s="93">
        <v>1831.28</v>
      </c>
      <c r="R337" s="139">
        <v>1841.64</v>
      </c>
      <c r="S337" s="139">
        <v>1824.8</v>
      </c>
      <c r="T337" s="93">
        <v>1838.27</v>
      </c>
      <c r="U337" s="94">
        <f t="shared" si="37"/>
        <v>27876.25</v>
      </c>
      <c r="V337" s="103">
        <f t="shared" si="41"/>
        <v>897.41</v>
      </c>
      <c r="W337" s="92">
        <v>902.95</v>
      </c>
      <c r="X337" s="92">
        <f t="shared" si="38"/>
        <v>27700.0000000004</v>
      </c>
      <c r="Y337" s="92">
        <v>4.81</v>
      </c>
      <c r="Z337" s="92">
        <v>4.82</v>
      </c>
      <c r="AA337" s="92">
        <f t="shared" si="40"/>
        <v>50.0000000000034</v>
      </c>
      <c r="AB337" s="97">
        <f t="shared" si="39"/>
        <v>27650.0000000004</v>
      </c>
      <c r="AC337" s="96"/>
      <c r="AD337" s="92">
        <v>4.83</v>
      </c>
      <c r="AE337" s="138">
        <v>31.2</v>
      </c>
      <c r="AF337" s="92"/>
      <c r="AG337" s="92"/>
      <c r="AH337" s="92"/>
      <c r="AI337" s="92"/>
      <c r="AJ337" s="97" t="s">
        <v>85</v>
      </c>
    </row>
    <row r="338" spans="1:36">
      <c r="A338" s="84">
        <f t="shared" si="36"/>
        <v>340</v>
      </c>
      <c r="B338" s="91">
        <v>46083</v>
      </c>
      <c r="C338" s="48">
        <v>46083</v>
      </c>
      <c r="D338" s="104">
        <v>0.302083333333333</v>
      </c>
      <c r="E338" s="97">
        <v>18.45</v>
      </c>
      <c r="F338" s="100">
        <v>1890.1</v>
      </c>
      <c r="G338" s="92">
        <v>1847.49</v>
      </c>
      <c r="H338" s="92">
        <v>1887.92</v>
      </c>
      <c r="I338" s="92">
        <v>1892.66</v>
      </c>
      <c r="J338" s="92">
        <v>1887.02</v>
      </c>
      <c r="K338" s="92">
        <v>1883.55</v>
      </c>
      <c r="L338" s="92">
        <v>1877.53</v>
      </c>
      <c r="M338" s="93">
        <v>1955.29</v>
      </c>
      <c r="N338" s="93">
        <v>1878.49</v>
      </c>
      <c r="O338" s="93">
        <v>1871.96</v>
      </c>
      <c r="P338" s="93">
        <v>1860.34</v>
      </c>
      <c r="Q338" s="93">
        <v>1888.15</v>
      </c>
      <c r="R338" s="93">
        <v>1880.68</v>
      </c>
      <c r="S338" s="93">
        <v>1861.32</v>
      </c>
      <c r="T338" s="93">
        <v>1891.82</v>
      </c>
      <c r="U338" s="94">
        <f t="shared" si="37"/>
        <v>28254.32</v>
      </c>
      <c r="V338" s="103">
        <f t="shared" si="41"/>
        <v>902.95</v>
      </c>
      <c r="W338" s="92">
        <v>908.56</v>
      </c>
      <c r="X338" s="92">
        <f t="shared" si="38"/>
        <v>28049.9999999995</v>
      </c>
      <c r="Y338" s="92">
        <v>4.82</v>
      </c>
      <c r="Z338" s="92">
        <v>4.83</v>
      </c>
      <c r="AA338" s="92">
        <f t="shared" si="40"/>
        <v>49.9999999999989</v>
      </c>
      <c r="AB338" s="97">
        <f t="shared" si="39"/>
        <v>27999.9999999995</v>
      </c>
      <c r="AC338" s="96"/>
      <c r="AD338" s="92">
        <v>4.89</v>
      </c>
      <c r="AE338" s="92">
        <v>30.89</v>
      </c>
      <c r="AF338" s="92"/>
      <c r="AG338" s="92"/>
      <c r="AH338" s="92"/>
      <c r="AI338" s="92"/>
      <c r="AJ338" s="97" t="s">
        <v>85</v>
      </c>
    </row>
    <row r="339" spans="1:36">
      <c r="A339" s="84">
        <f t="shared" si="36"/>
        <v>341</v>
      </c>
      <c r="B339" s="91">
        <v>46084</v>
      </c>
      <c r="C339" s="48">
        <v>46084</v>
      </c>
      <c r="D339" s="104">
        <v>0.302083333333333</v>
      </c>
      <c r="E339" s="97">
        <v>18.45</v>
      </c>
      <c r="F339" s="100">
        <v>1370.08</v>
      </c>
      <c r="G339" s="92">
        <v>1364.18</v>
      </c>
      <c r="H339" s="92">
        <v>1361.79</v>
      </c>
      <c r="I339" s="92">
        <v>1365.61</v>
      </c>
      <c r="J339" s="92">
        <v>1359.81</v>
      </c>
      <c r="K339" s="92">
        <v>1358.66</v>
      </c>
      <c r="L339" s="92">
        <v>1351.57</v>
      </c>
      <c r="M339" s="93">
        <v>1408.36</v>
      </c>
      <c r="N339" s="93">
        <v>1370.31</v>
      </c>
      <c r="O339" s="93">
        <v>1366.97</v>
      </c>
      <c r="P339" s="93">
        <v>1369.45</v>
      </c>
      <c r="Q339" s="93">
        <v>1368.17</v>
      </c>
      <c r="R339" s="93">
        <v>1374.12</v>
      </c>
      <c r="S339" s="93">
        <v>1369.96</v>
      </c>
      <c r="T339" s="139">
        <v>1368</v>
      </c>
      <c r="U339" s="94">
        <f t="shared" si="37"/>
        <v>20527.04</v>
      </c>
      <c r="V339" s="103">
        <f t="shared" si="41"/>
        <v>908.56</v>
      </c>
      <c r="W339" s="92">
        <v>912.62</v>
      </c>
      <c r="X339" s="92">
        <f t="shared" si="38"/>
        <v>20300.0000000003</v>
      </c>
      <c r="Y339" s="92">
        <v>4.83</v>
      </c>
      <c r="Z339" s="92">
        <v>4.85</v>
      </c>
      <c r="AA339" s="92">
        <f t="shared" si="40"/>
        <v>99.9999999999979</v>
      </c>
      <c r="AB339" s="97">
        <f t="shared" si="39"/>
        <v>20200.0000000003</v>
      </c>
      <c r="AC339" s="96"/>
      <c r="AD339" s="92">
        <v>3.73</v>
      </c>
      <c r="AE339" s="92">
        <v>32.2</v>
      </c>
      <c r="AF339" s="92"/>
      <c r="AG339" s="92"/>
      <c r="AH339" s="92"/>
      <c r="AI339" s="92"/>
      <c r="AJ339" s="97" t="s">
        <v>85</v>
      </c>
    </row>
    <row r="340" spans="1:36">
      <c r="A340" s="84">
        <f t="shared" si="36"/>
        <v>342</v>
      </c>
      <c r="B340" s="91">
        <v>46085</v>
      </c>
      <c r="C340" s="48">
        <v>46085</v>
      </c>
      <c r="D340" s="104">
        <v>0.302083333333333</v>
      </c>
      <c r="E340" s="97">
        <v>18.45</v>
      </c>
      <c r="F340" s="100">
        <v>867.61</v>
      </c>
      <c r="G340" s="92">
        <v>1801.01</v>
      </c>
      <c r="H340" s="138">
        <v>1805.9</v>
      </c>
      <c r="I340" s="92">
        <v>1806.76</v>
      </c>
      <c r="J340" s="92">
        <v>1800.92</v>
      </c>
      <c r="K340" s="138">
        <v>1801.6</v>
      </c>
      <c r="L340" s="138">
        <v>1794.7</v>
      </c>
      <c r="M340" s="93">
        <v>1851.97</v>
      </c>
      <c r="N340" s="93">
        <v>1811.85</v>
      </c>
      <c r="O340" s="139">
        <v>1808.34</v>
      </c>
      <c r="P340" s="93">
        <v>1808.22</v>
      </c>
      <c r="Q340" s="93">
        <v>1809.67</v>
      </c>
      <c r="R340" s="139">
        <v>1818.37</v>
      </c>
      <c r="S340" s="93">
        <v>1811.82</v>
      </c>
      <c r="T340" s="139">
        <v>1811.9</v>
      </c>
      <c r="U340" s="94">
        <f t="shared" si="37"/>
        <v>26210.64</v>
      </c>
      <c r="V340" s="103">
        <f t="shared" si="41"/>
        <v>912.62</v>
      </c>
      <c r="W340" s="138">
        <v>917.8</v>
      </c>
      <c r="X340" s="92">
        <f t="shared" si="38"/>
        <v>25899.9999999997</v>
      </c>
      <c r="Y340" s="92">
        <v>4.85</v>
      </c>
      <c r="Z340" s="92">
        <v>4.86</v>
      </c>
      <c r="AA340" s="92">
        <f t="shared" si="40"/>
        <v>50.0000000000034</v>
      </c>
      <c r="AB340" s="97">
        <f t="shared" si="39"/>
        <v>25849.9999999997</v>
      </c>
      <c r="AC340" s="96"/>
      <c r="AD340" s="92">
        <v>4.66</v>
      </c>
      <c r="AE340" s="92">
        <v>34.12</v>
      </c>
      <c r="AF340" s="92"/>
      <c r="AG340" s="92"/>
      <c r="AH340" s="92"/>
      <c r="AI340" s="92"/>
      <c r="AJ340" s="97" t="s">
        <v>85</v>
      </c>
    </row>
    <row r="341" spans="1:36">
      <c r="A341" s="84">
        <f t="shared" si="36"/>
        <v>343</v>
      </c>
      <c r="B341" s="91">
        <v>46086</v>
      </c>
      <c r="C341" s="48">
        <v>46086</v>
      </c>
      <c r="D341" s="104">
        <v>0.302083333333333</v>
      </c>
      <c r="E341" s="97">
        <v>18.45</v>
      </c>
      <c r="F341" s="100">
        <v>1823.31</v>
      </c>
      <c r="G341" s="92">
        <v>1852.89</v>
      </c>
      <c r="H341" s="92">
        <v>1850.81</v>
      </c>
      <c r="I341" s="92">
        <v>1854.97</v>
      </c>
      <c r="J341" s="92">
        <v>1849.34</v>
      </c>
      <c r="K341" s="92">
        <v>1846.53</v>
      </c>
      <c r="L341" s="92">
        <v>1840.84</v>
      </c>
      <c r="M341" s="93">
        <v>1916.42</v>
      </c>
      <c r="N341" s="93">
        <v>1855.35</v>
      </c>
      <c r="O341" s="93">
        <v>1856.06</v>
      </c>
      <c r="P341" s="93">
        <v>1855.42</v>
      </c>
      <c r="Q341" s="93">
        <v>1856.11</v>
      </c>
      <c r="R341" s="93">
        <v>1866.73</v>
      </c>
      <c r="S341" s="93">
        <v>1854.53</v>
      </c>
      <c r="T341" s="93">
        <v>1859.84</v>
      </c>
      <c r="U341" s="94">
        <f t="shared" si="37"/>
        <v>27839.15</v>
      </c>
      <c r="V341" s="103">
        <f t="shared" si="41"/>
        <v>917.8</v>
      </c>
      <c r="W341" s="92">
        <v>923.31</v>
      </c>
      <c r="X341" s="92">
        <f t="shared" si="38"/>
        <v>27550</v>
      </c>
      <c r="Y341" s="92">
        <v>4.86</v>
      </c>
      <c r="Z341" s="92">
        <v>4.87</v>
      </c>
      <c r="AA341" s="92">
        <f t="shared" si="40"/>
        <v>49.9999999999989</v>
      </c>
      <c r="AB341" s="97">
        <f t="shared" si="39"/>
        <v>27500</v>
      </c>
      <c r="AC341" s="96"/>
      <c r="AD341" s="92">
        <v>4.82</v>
      </c>
      <c r="AE341" s="92">
        <v>32.95</v>
      </c>
      <c r="AF341" s="92"/>
      <c r="AG341" s="92"/>
      <c r="AH341" s="92"/>
      <c r="AI341" s="92"/>
      <c r="AJ341" s="97" t="s">
        <v>85</v>
      </c>
    </row>
    <row r="342" spans="1:36">
      <c r="A342" s="84">
        <f t="shared" si="36"/>
        <v>344</v>
      </c>
      <c r="B342" s="91">
        <v>46087</v>
      </c>
      <c r="C342" s="48">
        <v>46087</v>
      </c>
      <c r="D342" s="104">
        <v>0.302083333333333</v>
      </c>
      <c r="E342" s="97">
        <v>18.45</v>
      </c>
      <c r="F342" s="100">
        <v>2015.08</v>
      </c>
      <c r="G342" s="92">
        <v>2008.27</v>
      </c>
      <c r="H342" s="92">
        <v>1993.51</v>
      </c>
      <c r="I342" s="92">
        <v>2006.41</v>
      </c>
      <c r="J342" s="138">
        <v>1997.9</v>
      </c>
      <c r="K342" s="92">
        <v>1991.37</v>
      </c>
      <c r="L342" s="92">
        <v>1993.61</v>
      </c>
      <c r="M342" s="93">
        <v>2074.64</v>
      </c>
      <c r="N342" s="139">
        <v>2015.8</v>
      </c>
      <c r="O342" s="93">
        <v>2015.32</v>
      </c>
      <c r="P342" s="93">
        <v>2013.13</v>
      </c>
      <c r="Q342" s="93">
        <v>2015.24</v>
      </c>
      <c r="R342" s="93">
        <v>2023.47</v>
      </c>
      <c r="S342" s="139">
        <v>2009.9</v>
      </c>
      <c r="T342" s="93">
        <v>2015.77</v>
      </c>
      <c r="U342" s="94">
        <f t="shared" si="37"/>
        <v>30189.42</v>
      </c>
      <c r="V342" s="103">
        <f t="shared" si="41"/>
        <v>923.31</v>
      </c>
      <c r="W342" s="92">
        <v>929.26</v>
      </c>
      <c r="X342" s="92">
        <f t="shared" si="38"/>
        <v>29750.0000000002</v>
      </c>
      <c r="Y342" s="92">
        <v>4.87</v>
      </c>
      <c r="Z342" s="92">
        <v>4.88</v>
      </c>
      <c r="AA342" s="92">
        <f t="shared" si="40"/>
        <v>49.9999999999989</v>
      </c>
      <c r="AB342" s="97">
        <f t="shared" si="39"/>
        <v>29700.0000000002</v>
      </c>
      <c r="AC342" s="96"/>
      <c r="AD342" s="92">
        <v>4.59</v>
      </c>
      <c r="AE342" s="92">
        <v>30.4</v>
      </c>
      <c r="AF342" s="92"/>
      <c r="AG342" s="92"/>
      <c r="AH342" s="92"/>
      <c r="AI342" s="92"/>
      <c r="AJ342" s="97" t="s">
        <v>85</v>
      </c>
    </row>
    <row r="343" spans="1:36">
      <c r="A343" s="84">
        <f t="shared" si="36"/>
        <v>345</v>
      </c>
      <c r="B343" s="91">
        <v>46088</v>
      </c>
      <c r="C343" s="48">
        <v>46088</v>
      </c>
      <c r="D343" s="104">
        <v>0.302083333333333</v>
      </c>
      <c r="E343" s="97">
        <v>18.45</v>
      </c>
      <c r="F343" s="100">
        <v>1337.82</v>
      </c>
      <c r="G343" s="92">
        <v>1334.88</v>
      </c>
      <c r="H343" s="92">
        <v>1336.14</v>
      </c>
      <c r="I343" s="92">
        <v>1337.59</v>
      </c>
      <c r="J343" s="92">
        <v>1330.36</v>
      </c>
      <c r="K343" s="92">
        <v>1333.85</v>
      </c>
      <c r="L343" s="92">
        <v>1327.52</v>
      </c>
      <c r="M343" s="93">
        <v>1381.66</v>
      </c>
      <c r="N343" s="93">
        <v>1335.62</v>
      </c>
      <c r="O343" s="93">
        <v>1331.95</v>
      </c>
      <c r="P343" s="93">
        <v>1337.02</v>
      </c>
      <c r="Q343" s="93">
        <v>1336.13</v>
      </c>
      <c r="R343" s="93">
        <v>1340.95</v>
      </c>
      <c r="S343" s="139">
        <v>1337.8</v>
      </c>
      <c r="T343" s="93">
        <v>1341.85</v>
      </c>
      <c r="U343" s="94">
        <f t="shared" si="37"/>
        <v>20081.14</v>
      </c>
      <c r="V343" s="103">
        <f t="shared" si="41"/>
        <v>929.26</v>
      </c>
      <c r="W343" s="92">
        <v>933.25</v>
      </c>
      <c r="X343" s="92">
        <f t="shared" si="38"/>
        <v>19950</v>
      </c>
      <c r="Y343" s="92">
        <v>4.88</v>
      </c>
      <c r="Z343" s="92">
        <v>4.89</v>
      </c>
      <c r="AA343" s="92">
        <f t="shared" si="40"/>
        <v>49.9999999999989</v>
      </c>
      <c r="AB343" s="97">
        <f t="shared" si="39"/>
        <v>19900</v>
      </c>
      <c r="AC343" s="96"/>
      <c r="AD343" s="92">
        <v>3.63</v>
      </c>
      <c r="AE343" s="92">
        <v>30.75</v>
      </c>
      <c r="AF343" s="92"/>
      <c r="AG343" s="92"/>
      <c r="AH343" s="92"/>
      <c r="AI343" s="92"/>
      <c r="AJ343" s="97" t="s">
        <v>85</v>
      </c>
    </row>
    <row r="344" spans="1:36">
      <c r="A344" s="84">
        <f t="shared" si="36"/>
        <v>346</v>
      </c>
      <c r="B344" s="91">
        <v>46089</v>
      </c>
      <c r="C344" s="48">
        <v>46089</v>
      </c>
      <c r="D344" s="104">
        <v>0.302083333333333</v>
      </c>
      <c r="E344" s="97">
        <v>18.45</v>
      </c>
      <c r="F344" s="100">
        <v>1835.07</v>
      </c>
      <c r="G344" s="92">
        <v>1830.04</v>
      </c>
      <c r="H344" s="92">
        <v>1835.13</v>
      </c>
      <c r="I344" s="92">
        <v>1836.35</v>
      </c>
      <c r="J344" s="138">
        <v>1829.6</v>
      </c>
      <c r="K344" s="92">
        <v>1827.32</v>
      </c>
      <c r="L344" s="138">
        <v>1825.2</v>
      </c>
      <c r="M344" s="93">
        <v>1900.03</v>
      </c>
      <c r="N344" s="93">
        <v>1835.75</v>
      </c>
      <c r="O344" s="93">
        <v>1838.44</v>
      </c>
      <c r="P344" s="93">
        <v>1838.15</v>
      </c>
      <c r="Q344" s="93">
        <v>1837.41</v>
      </c>
      <c r="R344" s="93">
        <v>1845.69</v>
      </c>
      <c r="S344" s="139">
        <v>1839.3</v>
      </c>
      <c r="T344" s="93">
        <v>1842.67</v>
      </c>
      <c r="U344" s="94">
        <f t="shared" si="37"/>
        <v>27596.15</v>
      </c>
      <c r="V344" s="103">
        <f t="shared" si="41"/>
        <v>933.25</v>
      </c>
      <c r="W344" s="92">
        <v>938.69</v>
      </c>
      <c r="X344" s="92">
        <f t="shared" si="38"/>
        <v>27200.0000000003</v>
      </c>
      <c r="Y344" s="92">
        <v>4.89</v>
      </c>
      <c r="Z344" s="138">
        <v>4.9</v>
      </c>
      <c r="AA344" s="92">
        <f t="shared" si="40"/>
        <v>50.0000000000034</v>
      </c>
      <c r="AB344" s="97">
        <f t="shared" si="39"/>
        <v>27150.0000000003</v>
      </c>
      <c r="AC344" s="96"/>
      <c r="AD344" s="92">
        <v>4.86</v>
      </c>
      <c r="AE344" s="92">
        <v>34.4</v>
      </c>
      <c r="AF344" s="92"/>
      <c r="AG344" s="92"/>
      <c r="AH344" s="92"/>
      <c r="AI344" s="92"/>
      <c r="AJ344" s="97" t="s">
        <v>85</v>
      </c>
    </row>
    <row r="345" spans="1:36">
      <c r="A345" s="84">
        <f t="shared" si="36"/>
        <v>347</v>
      </c>
      <c r="B345" s="91">
        <v>46090</v>
      </c>
      <c r="C345" s="48">
        <v>46090</v>
      </c>
      <c r="D345" s="104">
        <v>0.302083333333333</v>
      </c>
      <c r="E345" s="97">
        <v>18.45</v>
      </c>
      <c r="F345" s="100">
        <v>1821.39</v>
      </c>
      <c r="G345" s="92">
        <v>1815.58</v>
      </c>
      <c r="H345" s="92">
        <v>1819.32</v>
      </c>
      <c r="I345" s="92">
        <v>1822.62</v>
      </c>
      <c r="J345" s="92">
        <v>1815.04</v>
      </c>
      <c r="K345" s="92">
        <v>1812.02</v>
      </c>
      <c r="L345" s="92">
        <v>1807.64</v>
      </c>
      <c r="M345" s="93">
        <v>1882.54</v>
      </c>
      <c r="N345" s="93">
        <v>1826.17</v>
      </c>
      <c r="O345" s="139">
        <v>1826.4</v>
      </c>
      <c r="P345" s="93">
        <v>1826.61</v>
      </c>
      <c r="Q345" s="93">
        <v>1830.32</v>
      </c>
      <c r="R345" s="93">
        <v>1835.61</v>
      </c>
      <c r="S345" s="139">
        <v>1829.8</v>
      </c>
      <c r="T345" s="139">
        <v>1828.6</v>
      </c>
      <c r="U345" s="94">
        <f t="shared" si="37"/>
        <v>27399.66</v>
      </c>
      <c r="V345" s="103">
        <f t="shared" si="41"/>
        <v>938.69</v>
      </c>
      <c r="W345" s="92">
        <v>944.12</v>
      </c>
      <c r="X345" s="92">
        <f t="shared" si="38"/>
        <v>27149.9999999997</v>
      </c>
      <c r="Y345" s="138">
        <v>4.9</v>
      </c>
      <c r="Z345" s="92">
        <v>4.91</v>
      </c>
      <c r="AA345" s="92">
        <f t="shared" si="40"/>
        <v>49.9999999999989</v>
      </c>
      <c r="AB345" s="97">
        <f t="shared" si="39"/>
        <v>27099.9999999997</v>
      </c>
      <c r="AC345" s="96"/>
      <c r="AD345" s="92">
        <v>4.92</v>
      </c>
      <c r="AE345" s="92">
        <v>37.02</v>
      </c>
      <c r="AF345" s="92"/>
      <c r="AG345" s="92"/>
      <c r="AH345" s="92"/>
      <c r="AI345" s="92"/>
      <c r="AJ345" s="97" t="s">
        <v>85</v>
      </c>
    </row>
    <row r="346" spans="1:36">
      <c r="A346" s="84">
        <f t="shared" si="36"/>
        <v>348</v>
      </c>
      <c r="B346" s="91">
        <v>46091</v>
      </c>
      <c r="C346" s="48">
        <v>46091</v>
      </c>
      <c r="D346" s="104">
        <v>0.302083333333333</v>
      </c>
      <c r="E346" s="97">
        <v>18.45</v>
      </c>
      <c r="F346" s="100">
        <v>1807.18</v>
      </c>
      <c r="G346" s="92">
        <v>1799.73</v>
      </c>
      <c r="H346" s="92">
        <v>1803.69</v>
      </c>
      <c r="I346" s="92">
        <v>1806.59</v>
      </c>
      <c r="J346" s="92">
        <v>1800.07</v>
      </c>
      <c r="K346" s="92">
        <v>1797.18</v>
      </c>
      <c r="L346" s="92">
        <v>1794.04</v>
      </c>
      <c r="M346" s="93">
        <v>1867.36</v>
      </c>
      <c r="N346" s="93">
        <v>1809.28</v>
      </c>
      <c r="O346" s="93">
        <v>1809.93</v>
      </c>
      <c r="P346" s="93">
        <v>1810.03</v>
      </c>
      <c r="Q346" s="93">
        <v>1813.53</v>
      </c>
      <c r="R346" s="93">
        <v>1820.61</v>
      </c>
      <c r="S346" s="93">
        <v>1812.45</v>
      </c>
      <c r="T346" s="93">
        <v>1814.19</v>
      </c>
      <c r="U346" s="94">
        <f t="shared" si="37"/>
        <v>27165.86</v>
      </c>
      <c r="V346" s="103">
        <f t="shared" si="41"/>
        <v>944.12</v>
      </c>
      <c r="W346" s="92">
        <v>949.51</v>
      </c>
      <c r="X346" s="92">
        <f t="shared" si="38"/>
        <v>26949.9999999999</v>
      </c>
      <c r="Y346" s="92">
        <v>4.91</v>
      </c>
      <c r="Z346" s="92">
        <v>4.92</v>
      </c>
      <c r="AA346" s="92">
        <f t="shared" si="40"/>
        <v>49.9999999999989</v>
      </c>
      <c r="AB346" s="97">
        <f t="shared" si="39"/>
        <v>26899.9999999999</v>
      </c>
      <c r="AC346" s="96"/>
      <c r="AD346" s="92">
        <v>4.93</v>
      </c>
      <c r="AE346" s="92">
        <v>37.1</v>
      </c>
      <c r="AF346" s="92"/>
      <c r="AG346" s="92"/>
      <c r="AH346" s="92"/>
      <c r="AI346" s="92"/>
      <c r="AJ346" s="97" t="s">
        <v>85</v>
      </c>
    </row>
    <row r="347" spans="1:36">
      <c r="A347" s="84">
        <f t="shared" si="36"/>
        <v>349</v>
      </c>
      <c r="B347" s="91">
        <v>46092</v>
      </c>
      <c r="C347" s="48">
        <v>46092</v>
      </c>
      <c r="D347" s="104">
        <v>0.302083333333333</v>
      </c>
      <c r="E347" s="140">
        <v>0.75</v>
      </c>
      <c r="F347" s="100">
        <v>1807.5</v>
      </c>
      <c r="G347" s="92">
        <v>1800.34</v>
      </c>
      <c r="H347" s="92">
        <v>1804.16</v>
      </c>
      <c r="I347" s="92">
        <v>1806.94</v>
      </c>
      <c r="J347" s="92">
        <v>1800.52</v>
      </c>
      <c r="K347" s="92">
        <v>1797.69</v>
      </c>
      <c r="L347" s="92">
        <v>1794.38</v>
      </c>
      <c r="M347" s="93">
        <v>1867.71</v>
      </c>
      <c r="N347" s="93">
        <v>1809.61</v>
      </c>
      <c r="O347" s="93">
        <v>1809.41</v>
      </c>
      <c r="P347" s="93">
        <v>1810.35</v>
      </c>
      <c r="Q347" s="139">
        <v>1814</v>
      </c>
      <c r="R347" s="93">
        <v>1820.96</v>
      </c>
      <c r="S347" s="93">
        <v>1812.85</v>
      </c>
      <c r="T347" s="93">
        <v>1814.49</v>
      </c>
      <c r="U347" s="94">
        <f t="shared" si="37"/>
        <v>27170.91</v>
      </c>
      <c r="V347" s="103">
        <f t="shared" si="41"/>
        <v>949.51</v>
      </c>
      <c r="W347" s="92">
        <v>954.82</v>
      </c>
      <c r="X347" s="92">
        <f t="shared" si="38"/>
        <v>26550.0000000003</v>
      </c>
      <c r="Y347" s="92">
        <v>4.92</v>
      </c>
      <c r="Z347" s="92">
        <v>4.93</v>
      </c>
      <c r="AA347" s="92">
        <f t="shared" si="40"/>
        <v>49.9999999999989</v>
      </c>
      <c r="AB347" s="97">
        <f t="shared" si="39"/>
        <v>26500.0000000003</v>
      </c>
      <c r="AC347" s="96"/>
      <c r="AD347" s="92">
        <v>4.85</v>
      </c>
      <c r="AE347" s="92">
        <v>35.97</v>
      </c>
      <c r="AF347" s="92"/>
      <c r="AG347" s="92"/>
      <c r="AH347" s="92"/>
      <c r="AI347" s="92"/>
      <c r="AJ347" s="97" t="s">
        <v>85</v>
      </c>
    </row>
    <row r="348" spans="1:36">
      <c r="A348" s="84">
        <f t="shared" si="36"/>
        <v>350</v>
      </c>
      <c r="B348" s="91">
        <v>46093</v>
      </c>
      <c r="C348" s="48">
        <v>46093</v>
      </c>
      <c r="D348" s="104">
        <v>0.302083333333333</v>
      </c>
      <c r="E348" s="105">
        <v>0.770833333333333</v>
      </c>
      <c r="F348" s="100">
        <v>1773.49</v>
      </c>
      <c r="G348" s="92">
        <v>1769.55</v>
      </c>
      <c r="H348" s="92">
        <v>1771.97</v>
      </c>
      <c r="I348" s="92">
        <v>1775.81</v>
      </c>
      <c r="J348" s="92">
        <v>1770.61</v>
      </c>
      <c r="K348" s="92">
        <v>1765.67</v>
      </c>
      <c r="L348" s="92">
        <v>1765.39</v>
      </c>
      <c r="M348" s="93">
        <v>1836.91</v>
      </c>
      <c r="N348" s="93">
        <v>1777.76</v>
      </c>
      <c r="O348" s="93">
        <v>1779.11</v>
      </c>
      <c r="P348" s="93">
        <v>1778.31</v>
      </c>
      <c r="Q348" s="93">
        <v>1780.27</v>
      </c>
      <c r="R348" s="93">
        <v>1786.71</v>
      </c>
      <c r="S348" s="93">
        <v>1778.49</v>
      </c>
      <c r="T348" s="93">
        <v>1783.26</v>
      </c>
      <c r="U348" s="94">
        <f t="shared" si="37"/>
        <v>26693.31</v>
      </c>
      <c r="V348" s="103">
        <f t="shared" si="41"/>
        <v>954.82</v>
      </c>
      <c r="W348" s="138">
        <v>960.1</v>
      </c>
      <c r="X348" s="92">
        <f t="shared" si="38"/>
        <v>26399.9999999999</v>
      </c>
      <c r="Y348" s="92">
        <v>4.93</v>
      </c>
      <c r="Z348" s="92">
        <v>4.94</v>
      </c>
      <c r="AA348" s="92">
        <f t="shared" si="40"/>
        <v>50.0000000000034</v>
      </c>
      <c r="AB348" s="97">
        <f t="shared" si="39"/>
        <v>26349.9999999999</v>
      </c>
      <c r="AC348" s="96"/>
      <c r="AD348" s="92">
        <v>4.88</v>
      </c>
      <c r="AE348" s="92">
        <v>34.78</v>
      </c>
      <c r="AF348" s="92"/>
      <c r="AG348" s="92"/>
      <c r="AH348" s="92"/>
      <c r="AI348" s="92"/>
      <c r="AJ348" s="97" t="s">
        <v>85</v>
      </c>
    </row>
    <row r="349" spans="1:36">
      <c r="A349" s="84">
        <f t="shared" si="36"/>
        <v>351</v>
      </c>
      <c r="B349" s="91">
        <v>46094</v>
      </c>
      <c r="C349" s="48">
        <v>46094</v>
      </c>
      <c r="D349" s="104">
        <v>0.302083333333333</v>
      </c>
      <c r="E349" s="105">
        <v>0.770833333333333</v>
      </c>
      <c r="F349" s="100">
        <v>1778.81</v>
      </c>
      <c r="G349" s="92">
        <v>1772.36</v>
      </c>
      <c r="H349" s="92">
        <v>1774.13</v>
      </c>
      <c r="I349" s="92">
        <v>1781.27</v>
      </c>
      <c r="J349" s="92">
        <v>1770.05</v>
      </c>
      <c r="K349" s="92">
        <v>1768.05</v>
      </c>
      <c r="L349" s="92">
        <v>1765.81</v>
      </c>
      <c r="M349" s="93">
        <v>1840.75</v>
      </c>
      <c r="N349" s="93">
        <v>1780.81</v>
      </c>
      <c r="O349" s="93">
        <v>1781.63</v>
      </c>
      <c r="P349" s="139">
        <v>1780</v>
      </c>
      <c r="Q349" s="93">
        <v>1782.42</v>
      </c>
      <c r="R349" s="93">
        <v>1791.35</v>
      </c>
      <c r="S349" s="93">
        <v>1778.97</v>
      </c>
      <c r="T349" s="93">
        <v>1786.18</v>
      </c>
      <c r="U349" s="94">
        <f t="shared" si="37"/>
        <v>26732.59</v>
      </c>
      <c r="V349" s="103">
        <f t="shared" si="41"/>
        <v>960.1</v>
      </c>
      <c r="W349" s="92">
        <v>965.37</v>
      </c>
      <c r="X349" s="92">
        <f t="shared" si="38"/>
        <v>26349.9999999999</v>
      </c>
      <c r="Y349" s="92">
        <v>4.94</v>
      </c>
      <c r="Z349" s="92">
        <v>4.95</v>
      </c>
      <c r="AA349" s="92">
        <f t="shared" si="40"/>
        <v>49.9999999999989</v>
      </c>
      <c r="AB349" s="97">
        <f t="shared" si="39"/>
        <v>26299.9999999999</v>
      </c>
      <c r="AC349" s="96"/>
      <c r="AD349" s="92">
        <v>5.02</v>
      </c>
      <c r="AE349" s="92">
        <v>34.02</v>
      </c>
      <c r="AF349" s="92"/>
      <c r="AG349" s="92"/>
      <c r="AH349" s="92"/>
      <c r="AI349" s="92"/>
      <c r="AJ349" s="97" t="s">
        <v>85</v>
      </c>
    </row>
    <row r="350" spans="1:36">
      <c r="A350" s="84">
        <f t="shared" si="36"/>
        <v>352</v>
      </c>
      <c r="B350" s="91">
        <v>46095</v>
      </c>
      <c r="C350" s="48">
        <v>46095</v>
      </c>
      <c r="D350" s="104">
        <v>0.333333333333333</v>
      </c>
      <c r="E350" s="97">
        <v>18.45</v>
      </c>
      <c r="F350" s="100">
        <v>1764.93</v>
      </c>
      <c r="G350" s="92">
        <v>1820.43</v>
      </c>
      <c r="H350" s="92">
        <v>1816.56</v>
      </c>
      <c r="I350" s="92">
        <v>1823.62</v>
      </c>
      <c r="J350" s="138">
        <v>1816.9</v>
      </c>
      <c r="K350" s="92">
        <v>1821.32</v>
      </c>
      <c r="L350" s="92">
        <v>1815.86</v>
      </c>
      <c r="M350" s="139">
        <v>1885</v>
      </c>
      <c r="N350" s="93">
        <v>1827.92</v>
      </c>
      <c r="O350" s="93">
        <v>1824.34</v>
      </c>
      <c r="P350" s="93">
        <v>1827.98</v>
      </c>
      <c r="Q350" s="93">
        <v>1828.13</v>
      </c>
      <c r="R350" s="93">
        <v>1835.02</v>
      </c>
      <c r="S350" s="93">
        <v>1827.65</v>
      </c>
      <c r="T350" s="93">
        <v>1845.16</v>
      </c>
      <c r="U350" s="94">
        <f t="shared" si="37"/>
        <v>27380.82</v>
      </c>
      <c r="V350" s="103">
        <f t="shared" si="41"/>
        <v>965.37</v>
      </c>
      <c r="W350" s="92">
        <v>970.82</v>
      </c>
      <c r="X350" s="92">
        <f t="shared" si="38"/>
        <v>27250.0000000002</v>
      </c>
      <c r="Y350" s="92">
        <v>4.95</v>
      </c>
      <c r="Z350" s="92">
        <v>4.96</v>
      </c>
      <c r="AA350" s="92">
        <f t="shared" si="40"/>
        <v>49.9999999999989</v>
      </c>
      <c r="AB350" s="97">
        <f t="shared" si="39"/>
        <v>27200.0000000002</v>
      </c>
      <c r="AC350" s="96"/>
      <c r="AD350" s="92">
        <v>5.34</v>
      </c>
      <c r="AE350" s="92">
        <v>33.15</v>
      </c>
      <c r="AF350" s="92"/>
      <c r="AG350" s="92"/>
      <c r="AH350" s="92"/>
      <c r="AI350" s="92"/>
      <c r="AJ350" s="97" t="s">
        <v>85</v>
      </c>
    </row>
    <row r="351" spans="1:36">
      <c r="A351" s="84">
        <f t="shared" si="36"/>
        <v>353</v>
      </c>
      <c r="B351" s="91">
        <v>46096</v>
      </c>
      <c r="C351" s="48">
        <v>46096</v>
      </c>
      <c r="D351" s="104">
        <v>0.302083333333333</v>
      </c>
      <c r="E351" s="97">
        <v>18.45</v>
      </c>
      <c r="F351" s="100">
        <v>1583.7</v>
      </c>
      <c r="G351" s="92">
        <v>1798.95</v>
      </c>
      <c r="H351" s="92">
        <v>1798.84</v>
      </c>
      <c r="I351" s="92">
        <v>1803.09</v>
      </c>
      <c r="J351" s="92">
        <v>1794.59</v>
      </c>
      <c r="K351" s="92">
        <v>1797.57</v>
      </c>
      <c r="L351" s="92">
        <v>1793.83</v>
      </c>
      <c r="M351" s="93">
        <v>1865.47</v>
      </c>
      <c r="N351" s="93">
        <v>1806.68</v>
      </c>
      <c r="O351" s="93">
        <v>1808.25</v>
      </c>
      <c r="P351" s="93">
        <v>1806.83</v>
      </c>
      <c r="Q351" s="93">
        <v>1811.19</v>
      </c>
      <c r="R351" s="93">
        <v>1818.19</v>
      </c>
      <c r="S351" s="93">
        <v>1806.04</v>
      </c>
      <c r="T351" s="139">
        <v>1811.7</v>
      </c>
      <c r="U351" s="94">
        <f t="shared" si="37"/>
        <v>26904.92</v>
      </c>
      <c r="V351" s="103">
        <f t="shared" si="41"/>
        <v>970.82</v>
      </c>
      <c r="W351" s="92">
        <v>976.14</v>
      </c>
      <c r="X351" s="92">
        <f t="shared" si="38"/>
        <v>26599.9999999997</v>
      </c>
      <c r="Y351" s="92">
        <v>4.96</v>
      </c>
      <c r="Z351" s="92">
        <v>4.97</v>
      </c>
      <c r="AA351" s="92">
        <f t="shared" si="40"/>
        <v>49.9999999999989</v>
      </c>
      <c r="AB351" s="97">
        <f t="shared" si="39"/>
        <v>26549.9999999997</v>
      </c>
      <c r="AC351" s="96"/>
      <c r="AD351" s="92">
        <v>5.09</v>
      </c>
      <c r="AE351" s="92">
        <v>32.06</v>
      </c>
      <c r="AF351" s="92"/>
      <c r="AG351" s="92"/>
      <c r="AH351" s="92"/>
      <c r="AI351" s="92"/>
      <c r="AJ351" s="97" t="s">
        <v>85</v>
      </c>
    </row>
    <row r="352" spans="1:36">
      <c r="A352" s="84">
        <f t="shared" si="36"/>
        <v>354</v>
      </c>
      <c r="B352" s="91">
        <v>46097</v>
      </c>
      <c r="C352" s="48">
        <v>46097</v>
      </c>
      <c r="D352" s="104">
        <v>0.291666666666667</v>
      </c>
      <c r="E352" s="97">
        <v>18.45</v>
      </c>
      <c r="F352" s="100">
        <v>1728.23</v>
      </c>
      <c r="G352" s="92">
        <v>1806.24</v>
      </c>
      <c r="H352" s="92">
        <v>1812.43</v>
      </c>
      <c r="I352" s="92">
        <v>1817.53</v>
      </c>
      <c r="J352" s="92">
        <v>1802.55</v>
      </c>
      <c r="K352" s="92">
        <v>1816.77</v>
      </c>
      <c r="L352" s="92">
        <v>1807.37</v>
      </c>
      <c r="M352" s="93">
        <v>1874.14</v>
      </c>
      <c r="N352" s="93">
        <v>1818.02</v>
      </c>
      <c r="O352" s="93">
        <v>1616.97</v>
      </c>
      <c r="P352" s="93">
        <v>1820.41</v>
      </c>
      <c r="Q352" s="93">
        <v>1821.99</v>
      </c>
      <c r="R352" s="93">
        <v>1829.89</v>
      </c>
      <c r="S352" s="93">
        <v>1821.43</v>
      </c>
      <c r="T352" s="93">
        <v>1822.89</v>
      </c>
      <c r="U352" s="94">
        <f t="shared" si="37"/>
        <v>27016.86</v>
      </c>
      <c r="V352" s="103">
        <f t="shared" si="41"/>
        <v>976.14</v>
      </c>
      <c r="W352" s="92">
        <v>981.52</v>
      </c>
      <c r="X352" s="92">
        <f t="shared" si="38"/>
        <v>26900</v>
      </c>
      <c r="Y352" s="92">
        <v>4.97</v>
      </c>
      <c r="Z352" s="92">
        <v>4.97</v>
      </c>
      <c r="AA352" s="92">
        <f t="shared" si="40"/>
        <v>0</v>
      </c>
      <c r="AB352" s="97">
        <f t="shared" si="39"/>
        <v>26900</v>
      </c>
      <c r="AC352" s="96"/>
      <c r="AD352" s="92">
        <v>5.32</v>
      </c>
      <c r="AE352" s="92">
        <v>32.38</v>
      </c>
      <c r="AF352" s="92"/>
      <c r="AG352" s="92"/>
      <c r="AH352" s="92"/>
      <c r="AI352" s="92"/>
      <c r="AJ352" s="97" t="s">
        <v>85</v>
      </c>
    </row>
    <row r="353" spans="1:36">
      <c r="A353" s="84">
        <f t="shared" si="36"/>
        <v>355</v>
      </c>
      <c r="B353" s="91">
        <v>46098</v>
      </c>
      <c r="C353" s="48">
        <v>46098</v>
      </c>
      <c r="D353" s="104">
        <v>0.291666666666667</v>
      </c>
      <c r="E353" s="97">
        <v>18.45</v>
      </c>
      <c r="F353" s="100">
        <v>1767.48</v>
      </c>
      <c r="G353" s="92">
        <v>1793.03</v>
      </c>
      <c r="H353" s="92">
        <v>1797.21</v>
      </c>
      <c r="I353" s="92">
        <v>1803.41</v>
      </c>
      <c r="J353" s="92">
        <v>1789.55</v>
      </c>
      <c r="K353" s="138">
        <v>1797.4</v>
      </c>
      <c r="L353" s="138">
        <v>1791.6</v>
      </c>
      <c r="M353" s="139">
        <v>1864.5</v>
      </c>
      <c r="N353" s="93">
        <v>1805.51</v>
      </c>
      <c r="O353" s="93">
        <v>1804.16</v>
      </c>
      <c r="P353" s="93">
        <v>1806.96</v>
      </c>
      <c r="Q353" s="93">
        <v>1807.17</v>
      </c>
      <c r="R353" s="93">
        <v>1812.85</v>
      </c>
      <c r="S353" s="93">
        <v>1804.55</v>
      </c>
      <c r="T353" s="93">
        <v>1806.75</v>
      </c>
      <c r="U353" s="94">
        <f t="shared" si="37"/>
        <v>27052.13</v>
      </c>
      <c r="V353" s="103">
        <f t="shared" si="41"/>
        <v>981.52</v>
      </c>
      <c r="W353" s="92">
        <v>986.87</v>
      </c>
      <c r="X353" s="92">
        <f t="shared" si="38"/>
        <v>26750.0000000001</v>
      </c>
      <c r="Y353" s="92">
        <f t="shared" si="42"/>
        <v>4.97</v>
      </c>
      <c r="Z353" s="92">
        <v>4.98</v>
      </c>
      <c r="AA353" s="92">
        <f t="shared" si="40"/>
        <v>50.0000000000034</v>
      </c>
      <c r="AB353" s="97">
        <f t="shared" si="39"/>
        <v>26700.0000000001</v>
      </c>
      <c r="AC353" s="96"/>
      <c r="AD353" s="92">
        <v>5.27</v>
      </c>
      <c r="AE353" s="92">
        <v>31.67</v>
      </c>
      <c r="AF353" s="92"/>
      <c r="AG353" s="92"/>
      <c r="AH353" s="92"/>
      <c r="AI353" s="92"/>
      <c r="AJ353" s="97" t="s">
        <v>85</v>
      </c>
    </row>
    <row r="354" spans="1:36">
      <c r="A354" s="84">
        <f t="shared" si="36"/>
        <v>356</v>
      </c>
      <c r="B354" s="91">
        <v>46099</v>
      </c>
      <c r="C354" s="48">
        <v>46099</v>
      </c>
      <c r="D354" s="104">
        <v>0.325</v>
      </c>
      <c r="E354" s="97">
        <v>18.45</v>
      </c>
      <c r="F354" s="100">
        <v>1638.78</v>
      </c>
      <c r="G354" s="92">
        <v>1631.61</v>
      </c>
      <c r="H354" s="92">
        <v>1637.41</v>
      </c>
      <c r="I354" s="92">
        <v>1646.48</v>
      </c>
      <c r="J354" s="92">
        <v>1637.36</v>
      </c>
      <c r="K354" s="92">
        <v>1646.48</v>
      </c>
      <c r="L354" s="92">
        <v>1643.04</v>
      </c>
      <c r="M354" s="93">
        <v>1706.64</v>
      </c>
      <c r="N354" s="93">
        <v>1639.93</v>
      </c>
      <c r="O354" s="139">
        <v>1658.48</v>
      </c>
      <c r="P354" s="93">
        <v>1658.38</v>
      </c>
      <c r="Q354" s="93">
        <v>1658.39</v>
      </c>
      <c r="R354" s="139">
        <v>1662.1</v>
      </c>
      <c r="S354" s="93">
        <v>1655.24</v>
      </c>
      <c r="T354" s="93">
        <v>1650.05</v>
      </c>
      <c r="U354" s="94">
        <f t="shared" si="37"/>
        <v>24770.37</v>
      </c>
      <c r="V354" s="103">
        <f t="shared" si="41"/>
        <v>986.87</v>
      </c>
      <c r="W354" s="92">
        <v>991.78</v>
      </c>
      <c r="X354" s="92">
        <f t="shared" si="38"/>
        <v>24549.9999999998</v>
      </c>
      <c r="Y354" s="92">
        <f t="shared" si="42"/>
        <v>4.98</v>
      </c>
      <c r="Z354" s="138">
        <v>5</v>
      </c>
      <c r="AA354" s="92">
        <f t="shared" si="40"/>
        <v>99.9999999999979</v>
      </c>
      <c r="AB354" s="97">
        <f t="shared" si="39"/>
        <v>24449.9999999998</v>
      </c>
      <c r="AC354" s="96"/>
      <c r="AD354" s="92">
        <v>4.93</v>
      </c>
      <c r="AE354" s="138">
        <v>32.4</v>
      </c>
      <c r="AF354" s="92"/>
      <c r="AG354" s="92"/>
      <c r="AH354" s="92"/>
      <c r="AI354" s="92"/>
      <c r="AJ354" s="97" t="s">
        <v>85</v>
      </c>
    </row>
    <row r="355" spans="1:36">
      <c r="A355" s="84">
        <f t="shared" si="36"/>
        <v>357</v>
      </c>
      <c r="B355" s="91">
        <v>46100</v>
      </c>
      <c r="C355" s="48">
        <v>46100</v>
      </c>
      <c r="D355" s="104">
        <v>0.291666666666667</v>
      </c>
      <c r="E355" s="105">
        <v>0.791666666666667</v>
      </c>
      <c r="F355" s="100">
        <v>1144.54</v>
      </c>
      <c r="G355" s="92">
        <v>1148.13</v>
      </c>
      <c r="H355" s="92">
        <v>1140.95</v>
      </c>
      <c r="I355" s="92">
        <v>1142.89</v>
      </c>
      <c r="J355" s="92">
        <v>1162.78</v>
      </c>
      <c r="K355" s="92">
        <v>1132.85</v>
      </c>
      <c r="L355" s="92">
        <v>1128.17</v>
      </c>
      <c r="M355" s="93">
        <v>1204.59</v>
      </c>
      <c r="N355" s="93">
        <v>1155.54</v>
      </c>
      <c r="O355" s="93">
        <v>1153.39</v>
      </c>
      <c r="P355" s="93">
        <v>1155.07</v>
      </c>
      <c r="Q355" s="93">
        <v>1154.83</v>
      </c>
      <c r="R355" s="93">
        <v>1155.19</v>
      </c>
      <c r="S355" s="93">
        <v>1152.39</v>
      </c>
      <c r="T355" s="93">
        <v>1148.92</v>
      </c>
      <c r="U355" s="94">
        <f t="shared" si="37"/>
        <v>17280.23</v>
      </c>
      <c r="V355" s="103">
        <f t="shared" si="41"/>
        <v>991.78</v>
      </c>
      <c r="W355" s="92">
        <v>995.2</v>
      </c>
      <c r="X355" s="92">
        <f t="shared" si="38"/>
        <v>17100.0000000004</v>
      </c>
      <c r="Y355" s="92">
        <f t="shared" si="42"/>
        <v>5</v>
      </c>
      <c r="Z355" s="92">
        <v>5.01</v>
      </c>
      <c r="AA355" s="92">
        <f t="shared" si="40"/>
        <v>49.9999999999989</v>
      </c>
      <c r="AB355" s="97">
        <f t="shared" si="39"/>
        <v>17050.0000000004</v>
      </c>
      <c r="AC355" s="96"/>
      <c r="AD355" s="92">
        <v>3.26</v>
      </c>
      <c r="AE355" s="92">
        <v>28.83</v>
      </c>
      <c r="AF355" s="92"/>
      <c r="AG355" s="92"/>
      <c r="AH355" s="92"/>
      <c r="AI355" s="92"/>
      <c r="AJ355" s="97" t="s">
        <v>78</v>
      </c>
    </row>
    <row r="356" spans="1:36">
      <c r="A356" s="84">
        <f t="shared" si="36"/>
        <v>358</v>
      </c>
      <c r="B356" s="91">
        <v>46101</v>
      </c>
      <c r="C356" s="48">
        <v>46101</v>
      </c>
      <c r="D356" s="104">
        <v>0.302083333333333</v>
      </c>
      <c r="E356" s="105">
        <v>0.78125</v>
      </c>
      <c r="F356" s="100">
        <v>1534</v>
      </c>
      <c r="G356" s="92">
        <v>1639.88</v>
      </c>
      <c r="H356" s="92">
        <v>1570.82</v>
      </c>
      <c r="I356" s="92">
        <v>1625.36</v>
      </c>
      <c r="J356" s="92">
        <v>1666.16</v>
      </c>
      <c r="K356" s="92">
        <v>1666.75</v>
      </c>
      <c r="L356" s="92">
        <v>1634.53</v>
      </c>
      <c r="M356" s="93">
        <v>1423.75</v>
      </c>
      <c r="N356" s="93">
        <v>1563.83</v>
      </c>
      <c r="O356" s="93">
        <v>1561.21</v>
      </c>
      <c r="P356" s="139">
        <v>1556.9</v>
      </c>
      <c r="Q356" s="93">
        <v>1559.34</v>
      </c>
      <c r="R356" s="93">
        <v>1562.31</v>
      </c>
      <c r="S356" s="139">
        <v>1560.7</v>
      </c>
      <c r="T356" s="93">
        <v>1553.77</v>
      </c>
      <c r="U356" s="94">
        <f t="shared" si="37"/>
        <v>23679.31</v>
      </c>
      <c r="V356" s="103">
        <f t="shared" ref="V356:V372" si="43">W355</f>
        <v>995.2</v>
      </c>
      <c r="W356" s="92">
        <v>999.87</v>
      </c>
      <c r="X356" s="92">
        <f t="shared" si="38"/>
        <v>23349.9999999998</v>
      </c>
      <c r="Y356" s="92">
        <f t="shared" si="42"/>
        <v>5.01</v>
      </c>
      <c r="Z356" s="92">
        <v>5.02</v>
      </c>
      <c r="AA356" s="92">
        <f t="shared" si="40"/>
        <v>49.9999999999989</v>
      </c>
      <c r="AB356" s="97">
        <f t="shared" si="39"/>
        <v>23299.9999999998</v>
      </c>
      <c r="AC356" s="96"/>
      <c r="AD356" s="92">
        <v>3.71</v>
      </c>
      <c r="AE356" s="92">
        <v>31.34</v>
      </c>
      <c r="AF356" s="92"/>
      <c r="AG356" s="92"/>
      <c r="AH356" s="92"/>
      <c r="AI356" s="92"/>
      <c r="AJ356" s="97" t="s">
        <v>85</v>
      </c>
    </row>
    <row r="357" spans="1:36">
      <c r="A357" s="84">
        <f t="shared" si="36"/>
        <v>359</v>
      </c>
      <c r="B357" s="91">
        <v>46102</v>
      </c>
      <c r="C357" s="48">
        <v>46102</v>
      </c>
      <c r="D357" s="104">
        <v>0.291666666666667</v>
      </c>
      <c r="E357" s="105">
        <v>0.78125</v>
      </c>
      <c r="F357" s="100">
        <v>1756.1</v>
      </c>
      <c r="G357" s="92">
        <v>1744.08</v>
      </c>
      <c r="H357" s="92">
        <v>1746.25</v>
      </c>
      <c r="I357" s="92">
        <v>1750.46</v>
      </c>
      <c r="J357" s="92">
        <v>1743.69</v>
      </c>
      <c r="K357" s="92">
        <v>1737.13</v>
      </c>
      <c r="L357" s="92">
        <v>1742.78</v>
      </c>
      <c r="M357" s="93">
        <v>1790.12</v>
      </c>
      <c r="N357" s="139">
        <v>1717.6</v>
      </c>
      <c r="O357" s="93">
        <v>1736.49</v>
      </c>
      <c r="P357" s="93">
        <v>1697.29</v>
      </c>
      <c r="Q357" s="93">
        <v>1668.73</v>
      </c>
      <c r="R357" s="93">
        <v>1648.01</v>
      </c>
      <c r="S357" s="93">
        <v>1649.16</v>
      </c>
      <c r="T357" s="93">
        <v>1651.03</v>
      </c>
      <c r="U357" s="94">
        <f t="shared" si="37"/>
        <v>25778.92</v>
      </c>
      <c r="V357" s="103">
        <f t="shared" si="43"/>
        <v>999.87</v>
      </c>
      <c r="W357" s="92">
        <v>1004.98</v>
      </c>
      <c r="X357" s="92">
        <f t="shared" si="38"/>
        <v>25550.0000000001</v>
      </c>
      <c r="Y357" s="92">
        <f t="shared" si="42"/>
        <v>5.02</v>
      </c>
      <c r="Z357" s="92">
        <v>5.03</v>
      </c>
      <c r="AA357" s="92">
        <f t="shared" si="40"/>
        <v>50.0000000000034</v>
      </c>
      <c r="AB357" s="97">
        <f t="shared" si="39"/>
        <v>25500.0000000001</v>
      </c>
      <c r="AC357" s="96"/>
      <c r="AD357" s="92">
        <v>4.67</v>
      </c>
      <c r="AE357" s="92">
        <v>32.97</v>
      </c>
      <c r="AF357" s="92"/>
      <c r="AG357" s="92"/>
      <c r="AH357" s="92"/>
      <c r="AI357" s="92"/>
      <c r="AJ357" s="97" t="s">
        <v>85</v>
      </c>
    </row>
    <row r="358" spans="1:36">
      <c r="A358" s="84">
        <f t="shared" si="36"/>
        <v>360</v>
      </c>
      <c r="B358" s="91">
        <v>46103</v>
      </c>
      <c r="C358" s="48">
        <v>46103</v>
      </c>
      <c r="D358" s="104">
        <v>0.291666666666667</v>
      </c>
      <c r="E358" s="105">
        <v>0.78125</v>
      </c>
      <c r="F358" s="100">
        <v>1735.9</v>
      </c>
      <c r="G358" s="92">
        <v>1778.95</v>
      </c>
      <c r="H358" s="92">
        <v>1779.99</v>
      </c>
      <c r="I358" s="92">
        <v>1783.78</v>
      </c>
      <c r="J358" s="92">
        <v>1774.98</v>
      </c>
      <c r="K358" s="138">
        <v>1776.2</v>
      </c>
      <c r="L358" s="92">
        <v>1775.46</v>
      </c>
      <c r="M358" s="93">
        <v>1847.63</v>
      </c>
      <c r="N358" s="93">
        <v>1792.74</v>
      </c>
      <c r="O358" s="93">
        <v>1790.53</v>
      </c>
      <c r="P358" s="93">
        <v>1779.37</v>
      </c>
      <c r="Q358" s="93">
        <v>1779.87</v>
      </c>
      <c r="R358" s="93">
        <v>1769.42</v>
      </c>
      <c r="S358" s="93">
        <v>1765.18</v>
      </c>
      <c r="T358" s="93">
        <v>1772.87</v>
      </c>
      <c r="U358" s="94">
        <f t="shared" si="37"/>
        <v>26702.87</v>
      </c>
      <c r="V358" s="103">
        <f t="shared" si="43"/>
        <v>1004.98</v>
      </c>
      <c r="W358" s="92">
        <v>1010.24</v>
      </c>
      <c r="X358" s="92">
        <f t="shared" si="38"/>
        <v>26300</v>
      </c>
      <c r="Y358" s="92">
        <f t="shared" si="42"/>
        <v>5.03</v>
      </c>
      <c r="Z358" s="92">
        <v>5.04</v>
      </c>
      <c r="AA358" s="92">
        <f t="shared" si="40"/>
        <v>49.9999999999989</v>
      </c>
      <c r="AB358" s="97">
        <f t="shared" si="39"/>
        <v>26250</v>
      </c>
      <c r="AC358" s="96"/>
      <c r="AD358" s="92">
        <v>4.81</v>
      </c>
      <c r="AE358" s="92">
        <v>33.57</v>
      </c>
      <c r="AF358" s="92"/>
      <c r="AG358" s="92"/>
      <c r="AH358" s="92"/>
      <c r="AI358" s="92"/>
      <c r="AJ358" s="97" t="s">
        <v>85</v>
      </c>
    </row>
    <row r="359" spans="1:36">
      <c r="A359" s="84">
        <f t="shared" si="36"/>
        <v>361</v>
      </c>
      <c r="B359" s="91">
        <v>46104</v>
      </c>
      <c r="C359" s="48">
        <v>46104</v>
      </c>
      <c r="D359" s="104">
        <v>0.291666666666667</v>
      </c>
      <c r="E359" s="105">
        <v>0.802083333333333</v>
      </c>
      <c r="F359" s="100">
        <v>1791.08</v>
      </c>
      <c r="G359" s="92">
        <v>1840.21</v>
      </c>
      <c r="H359" s="92">
        <v>1840.53</v>
      </c>
      <c r="I359" s="92">
        <v>1841.71</v>
      </c>
      <c r="J359" s="92">
        <v>1835.06</v>
      </c>
      <c r="K359" s="92">
        <v>1830.21</v>
      </c>
      <c r="L359" s="92">
        <v>1827.86</v>
      </c>
      <c r="M359" s="93">
        <v>1904.54</v>
      </c>
      <c r="N359" s="93">
        <v>1820.94</v>
      </c>
      <c r="O359" s="139">
        <v>1822</v>
      </c>
      <c r="P359" s="93">
        <v>1816.45</v>
      </c>
      <c r="Q359" s="93">
        <v>1810.47</v>
      </c>
      <c r="R359" s="93">
        <v>1802.87</v>
      </c>
      <c r="S359" s="93">
        <v>1806.51</v>
      </c>
      <c r="T359" s="93">
        <v>1810.01</v>
      </c>
      <c r="U359" s="94">
        <f t="shared" si="37"/>
        <v>27400.45</v>
      </c>
      <c r="V359" s="103">
        <f t="shared" si="43"/>
        <v>1010.24</v>
      </c>
      <c r="W359" s="92">
        <v>1015.7</v>
      </c>
      <c r="X359" s="92">
        <f t="shared" si="38"/>
        <v>27300.0000000002</v>
      </c>
      <c r="Y359" s="92">
        <f t="shared" si="42"/>
        <v>5.04</v>
      </c>
      <c r="Z359" s="92">
        <v>5.05</v>
      </c>
      <c r="AA359" s="92">
        <f t="shared" si="40"/>
        <v>49.9999999999989</v>
      </c>
      <c r="AB359" s="97">
        <f t="shared" si="39"/>
        <v>27250.0000000002</v>
      </c>
      <c r="AC359" s="96"/>
      <c r="AD359" s="138">
        <v>5.1</v>
      </c>
      <c r="AE359" s="92">
        <v>33.08</v>
      </c>
      <c r="AF359" s="92"/>
      <c r="AG359" s="92"/>
      <c r="AH359" s="92"/>
      <c r="AI359" s="92"/>
      <c r="AJ359" s="97" t="s">
        <v>85</v>
      </c>
    </row>
    <row r="360" spans="1:36">
      <c r="A360" s="84">
        <f t="shared" si="36"/>
        <v>362</v>
      </c>
      <c r="B360" s="91">
        <v>46105</v>
      </c>
      <c r="C360" s="48">
        <v>46105</v>
      </c>
      <c r="D360" s="104">
        <v>0.332638888888889</v>
      </c>
      <c r="E360" s="105">
        <v>0.802083333333333</v>
      </c>
      <c r="F360" s="100">
        <v>1630.15</v>
      </c>
      <c r="G360" s="92">
        <v>1642.88</v>
      </c>
      <c r="H360" s="92">
        <v>1607.82</v>
      </c>
      <c r="I360" s="92">
        <v>1638.55</v>
      </c>
      <c r="J360" s="92">
        <v>1641.55</v>
      </c>
      <c r="K360" s="92">
        <v>1607.68</v>
      </c>
      <c r="L360" s="92">
        <v>1630.89</v>
      </c>
      <c r="M360" s="93">
        <v>1707.28</v>
      </c>
      <c r="N360" s="93">
        <v>1678.17</v>
      </c>
      <c r="O360" s="92">
        <v>1676.74</v>
      </c>
      <c r="P360" s="92">
        <v>1670.14</v>
      </c>
      <c r="Q360" s="92">
        <v>1666.43</v>
      </c>
      <c r="R360" s="92">
        <v>1661.41</v>
      </c>
      <c r="S360" s="93">
        <v>1660.95</v>
      </c>
      <c r="T360" s="93">
        <v>1664.44</v>
      </c>
      <c r="U360" s="94">
        <f t="shared" si="37"/>
        <v>24785.08</v>
      </c>
      <c r="V360" s="103">
        <f t="shared" si="43"/>
        <v>1015.7</v>
      </c>
      <c r="W360" s="92">
        <v>1020.55</v>
      </c>
      <c r="X360" s="92">
        <f t="shared" si="38"/>
        <v>24249.9999999995</v>
      </c>
      <c r="Y360" s="92">
        <f t="shared" si="42"/>
        <v>5.05</v>
      </c>
      <c r="Z360" s="92">
        <v>5.06</v>
      </c>
      <c r="AA360" s="92">
        <f t="shared" si="40"/>
        <v>49.9999999999989</v>
      </c>
      <c r="AB360" s="97">
        <f t="shared" si="39"/>
        <v>24199.9999999995</v>
      </c>
      <c r="AC360" s="96"/>
      <c r="AD360" s="92">
        <v>4.35</v>
      </c>
      <c r="AE360" s="92">
        <v>33.23</v>
      </c>
      <c r="AF360" s="92"/>
      <c r="AG360" s="92"/>
      <c r="AH360" s="92"/>
      <c r="AI360" s="92"/>
      <c r="AJ360" s="97" t="s">
        <v>85</v>
      </c>
    </row>
    <row r="361" spans="1:36">
      <c r="A361" s="84">
        <f t="shared" si="36"/>
        <v>363</v>
      </c>
      <c r="B361" s="91">
        <v>46106</v>
      </c>
      <c r="C361" s="48">
        <v>46106</v>
      </c>
      <c r="D361" s="104">
        <v>0.293055555555556</v>
      </c>
      <c r="E361" s="105">
        <v>0.802083333333333</v>
      </c>
      <c r="F361" s="100">
        <v>1815.25</v>
      </c>
      <c r="G361" s="92">
        <v>1800.67</v>
      </c>
      <c r="H361" s="92">
        <v>1811.04</v>
      </c>
      <c r="I361" s="92">
        <v>1810.88</v>
      </c>
      <c r="J361" s="92">
        <v>1791.36</v>
      </c>
      <c r="K361" s="92">
        <v>1801.72</v>
      </c>
      <c r="L361" s="92">
        <v>1798.62</v>
      </c>
      <c r="M361" s="93">
        <v>1555.99</v>
      </c>
      <c r="N361" s="93">
        <v>1818.02</v>
      </c>
      <c r="O361" s="93">
        <v>1818.09</v>
      </c>
      <c r="P361" s="93">
        <v>1808.48</v>
      </c>
      <c r="Q361" s="93">
        <v>1810.65</v>
      </c>
      <c r="R361" s="93">
        <v>1791.49</v>
      </c>
      <c r="S361" s="93">
        <v>1794.85</v>
      </c>
      <c r="T361" s="93">
        <v>1799.41</v>
      </c>
      <c r="U361" s="94">
        <f t="shared" si="37"/>
        <v>26826.52</v>
      </c>
      <c r="V361" s="103">
        <f t="shared" si="43"/>
        <v>1020.55</v>
      </c>
      <c r="W361" s="92">
        <v>1025.85</v>
      </c>
      <c r="X361" s="92">
        <f t="shared" si="38"/>
        <v>26499.9999999998</v>
      </c>
      <c r="Y361" s="92">
        <f t="shared" si="42"/>
        <v>5.06</v>
      </c>
      <c r="Z361" s="92">
        <v>5.07</v>
      </c>
      <c r="AA361" s="92">
        <f t="shared" si="40"/>
        <v>50.0000000000034</v>
      </c>
      <c r="AB361" s="97">
        <f t="shared" si="39"/>
        <v>26449.9999999998</v>
      </c>
      <c r="AC361" s="96"/>
      <c r="AD361" s="92">
        <v>5.09</v>
      </c>
      <c r="AE361" s="92">
        <v>34.2</v>
      </c>
      <c r="AF361" s="92"/>
      <c r="AG361" s="92"/>
      <c r="AH361" s="92"/>
      <c r="AI361" s="92"/>
      <c r="AJ361" s="97" t="s">
        <v>85</v>
      </c>
    </row>
    <row r="362" spans="1:36">
      <c r="A362" s="84">
        <f t="shared" si="36"/>
        <v>364</v>
      </c>
      <c r="B362" s="91">
        <v>46107</v>
      </c>
      <c r="C362" s="48">
        <v>46107</v>
      </c>
      <c r="D362" s="104">
        <v>0.291666666666667</v>
      </c>
      <c r="E362" s="105">
        <v>0.802083333333333</v>
      </c>
      <c r="F362" s="100">
        <v>1890.29</v>
      </c>
      <c r="G362" s="92">
        <v>1887.15</v>
      </c>
      <c r="H362" s="92">
        <v>1890.68</v>
      </c>
      <c r="I362" s="92">
        <v>1890.77</v>
      </c>
      <c r="J362" s="92">
        <v>1881.77</v>
      </c>
      <c r="K362" s="92">
        <v>1875.36</v>
      </c>
      <c r="L362" s="92">
        <v>1874.35</v>
      </c>
      <c r="M362" s="93">
        <v>1956.68</v>
      </c>
      <c r="N362" s="139">
        <v>1883.9</v>
      </c>
      <c r="O362" s="93">
        <v>1898.19</v>
      </c>
      <c r="P362" s="93">
        <v>1879.46</v>
      </c>
      <c r="Q362" s="93">
        <v>1893.19</v>
      </c>
      <c r="R362" s="93">
        <v>1900.86</v>
      </c>
      <c r="S362" s="139">
        <v>1879.9</v>
      </c>
      <c r="T362" s="93">
        <v>1896.92</v>
      </c>
      <c r="U362" s="94">
        <f t="shared" si="37"/>
        <v>28379.47</v>
      </c>
      <c r="V362" s="103">
        <f t="shared" si="43"/>
        <v>1025.85</v>
      </c>
      <c r="W362" s="92">
        <v>1031.46</v>
      </c>
      <c r="X362" s="92">
        <f t="shared" si="38"/>
        <v>28050.0000000006</v>
      </c>
      <c r="Y362" s="92">
        <f t="shared" si="42"/>
        <v>5.07</v>
      </c>
      <c r="Z362" s="92">
        <v>5.08</v>
      </c>
      <c r="AA362" s="92">
        <f t="shared" si="40"/>
        <v>49.9999999999989</v>
      </c>
      <c r="AB362" s="97">
        <f t="shared" si="39"/>
        <v>28000.0000000006</v>
      </c>
      <c r="AC362" s="96"/>
      <c r="AD362" s="92">
        <v>5.05</v>
      </c>
      <c r="AE362" s="92">
        <v>34.2</v>
      </c>
      <c r="AF362" s="92"/>
      <c r="AG362" s="92"/>
      <c r="AH362" s="92"/>
      <c r="AI362" s="92"/>
      <c r="AJ362" s="97" t="s">
        <v>85</v>
      </c>
    </row>
    <row r="363" spans="1:36">
      <c r="A363" s="84">
        <f t="shared" si="36"/>
        <v>365</v>
      </c>
      <c r="B363" s="91">
        <v>46108</v>
      </c>
      <c r="C363" s="48">
        <v>46108</v>
      </c>
      <c r="D363" s="104">
        <v>0.321527777777778</v>
      </c>
      <c r="E363" s="105">
        <v>0.802083333333333</v>
      </c>
      <c r="F363" s="100">
        <v>1822.18</v>
      </c>
      <c r="G363" s="92">
        <v>1949.69</v>
      </c>
      <c r="H363" s="92">
        <v>1948.79</v>
      </c>
      <c r="I363" s="92">
        <v>1949.59</v>
      </c>
      <c r="J363" s="92">
        <v>1946.48</v>
      </c>
      <c r="K363" s="138">
        <v>1933.3</v>
      </c>
      <c r="L363" s="92">
        <v>1935.77</v>
      </c>
      <c r="M363" s="93">
        <v>2018.58</v>
      </c>
      <c r="N363" s="93">
        <v>1937.89</v>
      </c>
      <c r="O363" s="93">
        <v>1947.13</v>
      </c>
      <c r="P363" s="93">
        <v>1932.78</v>
      </c>
      <c r="Q363" s="93">
        <v>1948.55</v>
      </c>
      <c r="R363" s="93">
        <v>1955.18</v>
      </c>
      <c r="S363" s="93">
        <v>1933.58</v>
      </c>
      <c r="T363" s="93">
        <v>1952.46</v>
      </c>
      <c r="U363" s="94">
        <f t="shared" si="37"/>
        <v>29111.95</v>
      </c>
      <c r="V363" s="103">
        <f t="shared" si="43"/>
        <v>1031.46</v>
      </c>
      <c r="W363" s="92">
        <v>1037.21</v>
      </c>
      <c r="X363" s="92">
        <f t="shared" si="38"/>
        <v>28750</v>
      </c>
      <c r="Y363" s="92">
        <f t="shared" si="42"/>
        <v>5.08</v>
      </c>
      <c r="Z363" s="92">
        <v>5.09</v>
      </c>
      <c r="AA363" s="92">
        <f t="shared" si="40"/>
        <v>49.9999999999989</v>
      </c>
      <c r="AB363" s="97">
        <f t="shared" si="39"/>
        <v>28700</v>
      </c>
      <c r="AC363" s="96"/>
      <c r="AD363" s="92">
        <v>5.34</v>
      </c>
      <c r="AE363" s="92">
        <v>34.38</v>
      </c>
      <c r="AF363" s="92"/>
      <c r="AG363" s="92"/>
      <c r="AH363" s="92"/>
      <c r="AI363" s="92"/>
      <c r="AJ363" s="97" t="s">
        <v>85</v>
      </c>
    </row>
    <row r="364" spans="1:36">
      <c r="A364" s="84">
        <f t="shared" si="36"/>
        <v>366</v>
      </c>
      <c r="B364" s="91">
        <v>46109</v>
      </c>
      <c r="C364" s="48">
        <v>46109</v>
      </c>
      <c r="D364" s="104">
        <v>0.291666666666667</v>
      </c>
      <c r="E364" s="105">
        <v>0.802083333333333</v>
      </c>
      <c r="F364" s="100">
        <v>1777.36</v>
      </c>
      <c r="G364" s="92">
        <v>1862.45</v>
      </c>
      <c r="H364" s="92">
        <v>1848.96</v>
      </c>
      <c r="I364" s="92">
        <v>1855.61</v>
      </c>
      <c r="J364" s="92">
        <v>1854.35</v>
      </c>
      <c r="K364" s="92">
        <v>1837.26</v>
      </c>
      <c r="L364" s="92">
        <v>1841.58</v>
      </c>
      <c r="M364" s="93">
        <v>1922.51</v>
      </c>
      <c r="N364" s="139">
        <v>1847.9</v>
      </c>
      <c r="O364" s="93">
        <v>1852.76</v>
      </c>
      <c r="P364" s="93">
        <v>1845.44</v>
      </c>
      <c r="Q364" s="93">
        <v>1843.73</v>
      </c>
      <c r="R364" s="93">
        <v>1829.39</v>
      </c>
      <c r="S364" s="93">
        <v>1830.29</v>
      </c>
      <c r="T364" s="93">
        <v>1833.28</v>
      </c>
      <c r="U364" s="94">
        <f t="shared" si="37"/>
        <v>27682.87</v>
      </c>
      <c r="V364" s="103">
        <f t="shared" si="43"/>
        <v>1037.21</v>
      </c>
      <c r="W364" s="92">
        <v>1042.68</v>
      </c>
      <c r="X364" s="92">
        <f t="shared" si="38"/>
        <v>27350.0000000001</v>
      </c>
      <c r="Y364" s="92">
        <f t="shared" si="42"/>
        <v>5.09</v>
      </c>
      <c r="Z364" s="138">
        <v>5.1</v>
      </c>
      <c r="AA364" s="92">
        <f t="shared" si="40"/>
        <v>49.9999999999989</v>
      </c>
      <c r="AB364" s="97">
        <f t="shared" si="39"/>
        <v>27300.0000000001</v>
      </c>
      <c r="AC364" s="96"/>
      <c r="AD364" s="92">
        <v>4.98</v>
      </c>
      <c r="AE364" s="92">
        <v>30.84</v>
      </c>
      <c r="AF364" s="92"/>
      <c r="AG364" s="92"/>
      <c r="AH364" s="92"/>
      <c r="AI364" s="92"/>
      <c r="AJ364" s="97" t="s">
        <v>85</v>
      </c>
    </row>
    <row r="365" spans="1:36">
      <c r="A365" s="84">
        <f t="shared" si="36"/>
        <v>367</v>
      </c>
      <c r="B365" s="91">
        <v>46110</v>
      </c>
      <c r="C365" s="48">
        <v>46110</v>
      </c>
      <c r="D365" s="104">
        <v>0.291666666666667</v>
      </c>
      <c r="E365" s="105">
        <v>0.802083333333333</v>
      </c>
      <c r="F365" s="100">
        <v>1708.66</v>
      </c>
      <c r="G365" s="92">
        <v>1690.84</v>
      </c>
      <c r="H365" s="92">
        <v>1655.41</v>
      </c>
      <c r="I365" s="92">
        <v>1694.59</v>
      </c>
      <c r="J365" s="92">
        <v>1678.42</v>
      </c>
      <c r="K365" s="92">
        <v>1647.23</v>
      </c>
      <c r="L365" s="92">
        <v>1675.17</v>
      </c>
      <c r="M365" s="139">
        <v>1740.8</v>
      </c>
      <c r="N365" s="93">
        <v>1665.61</v>
      </c>
      <c r="O365" s="139">
        <v>1670.9</v>
      </c>
      <c r="P365" s="93">
        <v>1662.96</v>
      </c>
      <c r="Q365" s="139">
        <v>1670.4</v>
      </c>
      <c r="R365" s="93">
        <v>1674.68</v>
      </c>
      <c r="S365" s="93">
        <v>1655.57</v>
      </c>
      <c r="T365" s="93">
        <v>1663.58</v>
      </c>
      <c r="U365" s="94">
        <f t="shared" si="37"/>
        <v>25154.82</v>
      </c>
      <c r="V365" s="103">
        <f t="shared" si="43"/>
        <v>1042.68</v>
      </c>
      <c r="W365" s="92">
        <v>1047.65</v>
      </c>
      <c r="X365" s="92">
        <f t="shared" si="38"/>
        <v>24850.0000000001</v>
      </c>
      <c r="Y365" s="92">
        <f t="shared" si="42"/>
        <v>5.1</v>
      </c>
      <c r="Z365" s="92">
        <v>5.12</v>
      </c>
      <c r="AA365" s="92">
        <f t="shared" si="40"/>
        <v>100.000000000002</v>
      </c>
      <c r="AB365" s="97">
        <f t="shared" si="39"/>
        <v>24750.0000000001</v>
      </c>
      <c r="AC365" s="96"/>
      <c r="AD365" s="92">
        <v>4.94</v>
      </c>
      <c r="AE365" s="92">
        <v>31.02</v>
      </c>
      <c r="AF365" s="92"/>
      <c r="AG365" s="92"/>
      <c r="AH365" s="92"/>
      <c r="AI365" s="92"/>
      <c r="AJ365" s="97" t="s">
        <v>85</v>
      </c>
    </row>
    <row r="366" spans="1:36">
      <c r="A366" s="84">
        <f t="shared" si="36"/>
        <v>368</v>
      </c>
      <c r="B366" s="91">
        <v>46111</v>
      </c>
      <c r="C366" s="48">
        <v>46111</v>
      </c>
      <c r="D366" s="104">
        <v>0.291666666666667</v>
      </c>
      <c r="E366" s="105">
        <v>0.802083333333333</v>
      </c>
      <c r="F366" s="100">
        <v>2005.99</v>
      </c>
      <c r="G366" s="92">
        <v>2002.87</v>
      </c>
      <c r="H366" s="92">
        <v>1980.24</v>
      </c>
      <c r="I366" s="92">
        <v>2005.94</v>
      </c>
      <c r="J366" s="92">
        <v>1966.15</v>
      </c>
      <c r="K366" s="92">
        <v>1966.51</v>
      </c>
      <c r="L366" s="92">
        <v>1982.65</v>
      </c>
      <c r="M366" s="93">
        <v>2036.58</v>
      </c>
      <c r="N366" s="93">
        <v>1966.47</v>
      </c>
      <c r="O366" s="93">
        <v>1975.73</v>
      </c>
      <c r="P366" s="93">
        <v>1965.35</v>
      </c>
      <c r="Q366" s="93">
        <v>1964.26</v>
      </c>
      <c r="R366" s="139">
        <v>1945.1</v>
      </c>
      <c r="S366" s="93">
        <v>1949.48</v>
      </c>
      <c r="T366" s="93">
        <v>1951.83</v>
      </c>
      <c r="U366" s="94">
        <f t="shared" si="37"/>
        <v>29665.15</v>
      </c>
      <c r="V366" s="103">
        <f t="shared" si="43"/>
        <v>1047.65</v>
      </c>
      <c r="W366" s="92">
        <v>1053.51</v>
      </c>
      <c r="X366" s="92">
        <f t="shared" si="38"/>
        <v>29299.9999999995</v>
      </c>
      <c r="Y366" s="92">
        <f t="shared" si="42"/>
        <v>5.12</v>
      </c>
      <c r="Z366" s="92">
        <v>5.13</v>
      </c>
      <c r="AA366" s="92">
        <f t="shared" si="40"/>
        <v>49.9999999999989</v>
      </c>
      <c r="AB366" s="97">
        <f t="shared" si="39"/>
        <v>29249.9999999995</v>
      </c>
      <c r="AC366" s="96"/>
      <c r="AD366" s="92">
        <v>4.89</v>
      </c>
      <c r="AE366" s="92">
        <v>32.38</v>
      </c>
      <c r="AF366" s="92"/>
      <c r="AG366" s="92"/>
      <c r="AH366" s="92"/>
      <c r="AI366" s="92"/>
      <c r="AJ366" s="97" t="s">
        <v>85</v>
      </c>
    </row>
    <row r="367" ht="15.75" spans="1:36">
      <c r="A367" s="84">
        <f t="shared" si="36"/>
        <v>369</v>
      </c>
      <c r="B367" s="141">
        <v>46112</v>
      </c>
      <c r="C367" s="142">
        <v>46112</v>
      </c>
      <c r="D367" s="143">
        <v>6.54</v>
      </c>
      <c r="E367" s="105">
        <v>0.802083333333333</v>
      </c>
      <c r="F367" s="100">
        <v>1869.75</v>
      </c>
      <c r="G367" s="143">
        <v>1846.32</v>
      </c>
      <c r="H367" s="143">
        <v>1862.45</v>
      </c>
      <c r="I367" s="143">
        <v>1860.12</v>
      </c>
      <c r="J367" s="143">
        <v>1825.83</v>
      </c>
      <c r="K367" s="144">
        <v>1858.1</v>
      </c>
      <c r="L367" s="143">
        <v>1848.54</v>
      </c>
      <c r="M367" s="145">
        <v>1892.27</v>
      </c>
      <c r="N367" s="145">
        <v>1856.14</v>
      </c>
      <c r="O367" s="145">
        <v>1855.15</v>
      </c>
      <c r="P367" s="145">
        <v>1845.52</v>
      </c>
      <c r="Q367" s="145">
        <v>1850.67</v>
      </c>
      <c r="R367" s="145">
        <v>1847.66</v>
      </c>
      <c r="S367" s="145">
        <v>1843.67</v>
      </c>
      <c r="T367" s="146">
        <v>1839.4</v>
      </c>
      <c r="U367" s="94">
        <f t="shared" si="37"/>
        <v>27801.59</v>
      </c>
      <c r="V367" s="103">
        <f t="shared" si="43"/>
        <v>1053.51</v>
      </c>
      <c r="W367" s="143">
        <v>1059</v>
      </c>
      <c r="X367" s="92">
        <f t="shared" si="38"/>
        <v>27450</v>
      </c>
      <c r="Y367" s="92">
        <f t="shared" si="42"/>
        <v>5.13</v>
      </c>
      <c r="Z367" s="92">
        <v>5.14</v>
      </c>
      <c r="AA367" s="92">
        <f t="shared" si="40"/>
        <v>49.9999999999989</v>
      </c>
      <c r="AB367" s="147">
        <f t="shared" si="39"/>
        <v>27400</v>
      </c>
      <c r="AC367" s="148"/>
      <c r="AD367" s="144">
        <v>5.4</v>
      </c>
      <c r="AE367" s="143">
        <v>31.76</v>
      </c>
      <c r="AF367" s="143"/>
      <c r="AG367" s="143"/>
      <c r="AH367" s="143"/>
      <c r="AI367" s="143"/>
      <c r="AJ367" s="97" t="s">
        <v>85</v>
      </c>
    </row>
    <row r="368" ht="15.75" spans="1:36">
      <c r="B368" s="141">
        <v>46113</v>
      </c>
      <c r="C368" s="142">
        <v>46113</v>
      </c>
      <c r="D368" s="149">
        <v>0.28125</v>
      </c>
      <c r="E368" s="105">
        <v>0.802083333333333</v>
      </c>
      <c r="F368" s="100">
        <v>1672.01</v>
      </c>
      <c r="G368" s="143">
        <v>1823.45</v>
      </c>
      <c r="H368" s="143">
        <v>1825.93</v>
      </c>
      <c r="I368" s="143">
        <v>1829.74</v>
      </c>
      <c r="J368" s="143">
        <v>1803.32</v>
      </c>
      <c r="K368" s="144">
        <v>1818.88</v>
      </c>
      <c r="L368" s="143">
        <v>1812.79</v>
      </c>
      <c r="M368" s="145">
        <v>1859.46</v>
      </c>
      <c r="N368" s="145">
        <v>1805.95</v>
      </c>
      <c r="O368" s="145">
        <v>1813.23</v>
      </c>
      <c r="P368" s="145">
        <v>1803.93</v>
      </c>
      <c r="Q368" s="145">
        <v>1803.77</v>
      </c>
      <c r="R368" s="145">
        <v>1789.51</v>
      </c>
      <c r="S368" s="145">
        <v>1792.96</v>
      </c>
      <c r="T368" s="146">
        <v>1797.36</v>
      </c>
      <c r="U368" s="94">
        <f t="shared" si="37"/>
        <v>27052.29</v>
      </c>
      <c r="V368" s="103">
        <f t="shared" si="43"/>
        <v>1059</v>
      </c>
      <c r="W368" s="143">
        <v>1064.35</v>
      </c>
      <c r="X368" s="92">
        <f t="shared" si="38"/>
        <v>26749.9999999995</v>
      </c>
      <c r="Y368" s="92">
        <f t="shared" si="42"/>
        <v>5.14</v>
      </c>
      <c r="Z368" s="92">
        <v>5.15</v>
      </c>
      <c r="AA368" s="92">
        <f t="shared" si="40"/>
        <v>50.0000000000034</v>
      </c>
      <c r="AB368" s="147">
        <f t="shared" ref="AB368:AB372" si="44">X368-AA368</f>
        <v>26699.9999999995</v>
      </c>
      <c r="AC368" s="148"/>
      <c r="AD368" s="144">
        <v>5.12</v>
      </c>
      <c r="AE368" s="143">
        <v>30.45</v>
      </c>
      <c r="AF368" s="143"/>
      <c r="AG368" s="143"/>
      <c r="AH368" s="143"/>
      <c r="AI368" s="143"/>
      <c r="AJ368" s="97" t="s">
        <v>85</v>
      </c>
    </row>
    <row r="369" customHeight="1" spans="2:36">
      <c r="B369" s="141">
        <v>46114</v>
      </c>
      <c r="C369" s="142">
        <v>46114</v>
      </c>
      <c r="D369" s="149">
        <v>0.28125</v>
      </c>
      <c r="E369" s="105">
        <v>0.802083333333333</v>
      </c>
      <c r="F369" s="100">
        <v>1458.11</v>
      </c>
      <c r="G369" s="143">
        <v>1605.75</v>
      </c>
      <c r="H369" s="143">
        <v>1576.88</v>
      </c>
      <c r="I369" s="143">
        <v>1607.93</v>
      </c>
      <c r="J369" s="144">
        <v>1585.6</v>
      </c>
      <c r="K369" s="144">
        <v>1674.3</v>
      </c>
      <c r="L369" s="143">
        <v>1593.22</v>
      </c>
      <c r="M369" s="145">
        <v>1637.59</v>
      </c>
      <c r="N369" s="145">
        <v>1571.11</v>
      </c>
      <c r="O369" s="145">
        <v>1570.55</v>
      </c>
      <c r="P369" s="145">
        <v>1561.52</v>
      </c>
      <c r="Q369" s="145">
        <v>1565.39</v>
      </c>
      <c r="R369" s="145">
        <v>1557.37</v>
      </c>
      <c r="S369" s="145">
        <v>1554.08</v>
      </c>
      <c r="T369" s="146">
        <v>1549.75</v>
      </c>
      <c r="U369" s="94">
        <f t="shared" si="37"/>
        <v>23669.15</v>
      </c>
      <c r="V369" s="103">
        <f t="shared" si="43"/>
        <v>1064.35</v>
      </c>
      <c r="W369" s="143">
        <v>1069.01</v>
      </c>
      <c r="X369" s="92">
        <f t="shared" si="38"/>
        <v>23300.0000000004</v>
      </c>
      <c r="Y369" s="92">
        <f t="shared" si="42"/>
        <v>5.15</v>
      </c>
      <c r="Z369" s="92">
        <v>5.16</v>
      </c>
      <c r="AA369" s="92">
        <f t="shared" si="40"/>
        <v>49.9999999999989</v>
      </c>
      <c r="AB369" s="147">
        <f t="shared" si="44"/>
        <v>23250.0000000004</v>
      </c>
      <c r="AC369" s="148"/>
      <c r="AD369" s="144">
        <v>4.03</v>
      </c>
      <c r="AE369" s="143">
        <v>30.14</v>
      </c>
      <c r="AF369" s="143"/>
      <c r="AG369" s="143"/>
      <c r="AH369" s="143"/>
      <c r="AI369" s="143"/>
      <c r="AJ369" s="97" t="s">
        <v>85</v>
      </c>
    </row>
    <row r="370" customHeight="1" spans="2:36">
      <c r="B370" s="141">
        <v>46115</v>
      </c>
      <c r="C370" s="142">
        <v>46115</v>
      </c>
      <c r="D370" s="149">
        <v>0.291666666666667</v>
      </c>
      <c r="E370" s="105">
        <v>0.802083333333333</v>
      </c>
      <c r="F370" s="100">
        <v>1075.26</v>
      </c>
      <c r="G370" s="143">
        <v>1093.03</v>
      </c>
      <c r="H370" s="144">
        <v>1074.1</v>
      </c>
      <c r="I370" s="143">
        <v>1086.63</v>
      </c>
      <c r="J370" s="143">
        <v>1087.73</v>
      </c>
      <c r="K370" s="144">
        <v>1072.68</v>
      </c>
      <c r="L370" s="143">
        <v>1080.51</v>
      </c>
      <c r="M370" s="145">
        <v>1129.52</v>
      </c>
      <c r="N370" s="145">
        <v>1051.04</v>
      </c>
      <c r="O370" s="145">
        <v>1055.69</v>
      </c>
      <c r="P370" s="145">
        <v>1049.45</v>
      </c>
      <c r="Q370" s="145">
        <v>1050.32</v>
      </c>
      <c r="R370" s="145">
        <v>1040.68</v>
      </c>
      <c r="S370" s="145">
        <v>1040.42</v>
      </c>
      <c r="T370" s="146">
        <v>1038.67</v>
      </c>
      <c r="U370" s="94">
        <f t="shared" si="37"/>
        <v>16025.73</v>
      </c>
      <c r="V370" s="103">
        <f t="shared" si="43"/>
        <v>1069.01</v>
      </c>
      <c r="W370" s="143">
        <v>1072.18</v>
      </c>
      <c r="X370" s="92">
        <f t="shared" si="38"/>
        <v>15850.0000000004</v>
      </c>
      <c r="Y370" s="92">
        <f t="shared" si="42"/>
        <v>5.16</v>
      </c>
      <c r="Z370" s="92">
        <v>5.17</v>
      </c>
      <c r="AA370" s="92">
        <f t="shared" si="40"/>
        <v>49.9999999999989</v>
      </c>
      <c r="AB370" s="147">
        <f t="shared" si="44"/>
        <v>15800.0000000004</v>
      </c>
      <c r="AC370" s="148"/>
      <c r="AD370" s="144">
        <v>2.6</v>
      </c>
      <c r="AE370" s="143">
        <v>27.93</v>
      </c>
      <c r="AF370" s="143"/>
      <c r="AG370" s="143"/>
      <c r="AH370" s="143"/>
      <c r="AI370" s="143"/>
      <c r="AJ370" s="97" t="s">
        <v>85</v>
      </c>
    </row>
    <row r="371" customHeight="1" spans="2:36">
      <c r="B371" s="141">
        <v>46116</v>
      </c>
      <c r="C371" s="142">
        <v>46116</v>
      </c>
      <c r="D371" s="143">
        <v>6.51</v>
      </c>
      <c r="E371" s="105">
        <v>0.802083333333333</v>
      </c>
      <c r="F371" s="100">
        <v>1966.3</v>
      </c>
      <c r="G371" s="143">
        <v>1961.43</v>
      </c>
      <c r="H371" s="143">
        <v>1955.19</v>
      </c>
      <c r="I371" s="143">
        <v>1960.15</v>
      </c>
      <c r="J371" s="143">
        <v>1955.81</v>
      </c>
      <c r="K371" s="144">
        <v>1947.39</v>
      </c>
      <c r="L371" s="143">
        <v>1941.57</v>
      </c>
      <c r="M371" s="145">
        <v>2024.89</v>
      </c>
      <c r="N371" s="145">
        <v>1959.64</v>
      </c>
      <c r="O371" s="145">
        <v>1964.46</v>
      </c>
      <c r="P371" s="145">
        <v>1961.75</v>
      </c>
      <c r="Q371" s="145">
        <v>1966.24</v>
      </c>
      <c r="R371" s="146">
        <v>1947.7</v>
      </c>
      <c r="S371" s="145">
        <v>1955.29</v>
      </c>
      <c r="T371" s="146">
        <v>1959.34</v>
      </c>
      <c r="U371" s="94">
        <f t="shared" si="37"/>
        <v>29427.15</v>
      </c>
      <c r="V371" s="103">
        <f t="shared" si="43"/>
        <v>1072.18</v>
      </c>
      <c r="W371" s="143">
        <v>1077.99</v>
      </c>
      <c r="X371" s="92">
        <f t="shared" si="38"/>
        <v>29049.9999999997</v>
      </c>
      <c r="Y371" s="92">
        <f t="shared" si="42"/>
        <v>5.17</v>
      </c>
      <c r="Z371" s="92">
        <v>5.18</v>
      </c>
      <c r="AA371" s="92">
        <f t="shared" si="40"/>
        <v>49.9999999999989</v>
      </c>
      <c r="AB371" s="147">
        <f t="shared" si="44"/>
        <v>28999.9999999997</v>
      </c>
      <c r="AC371" s="148"/>
      <c r="AD371" s="144">
        <v>5.3</v>
      </c>
      <c r="AE371" s="143">
        <v>32.01</v>
      </c>
      <c r="AF371" s="143"/>
      <c r="AG371" s="143"/>
      <c r="AH371" s="143"/>
      <c r="AI371" s="143"/>
      <c r="AJ371" s="97" t="s">
        <v>85</v>
      </c>
    </row>
    <row r="372" customHeight="1" spans="2:36">
      <c r="B372" s="141">
        <v>46117</v>
      </c>
      <c r="C372" s="142">
        <v>46117</v>
      </c>
      <c r="D372" s="143">
        <v>6.45</v>
      </c>
      <c r="E372" s="105">
        <v>0.802083333333333</v>
      </c>
      <c r="F372" s="100">
        <v>1799.84</v>
      </c>
      <c r="G372" s="143">
        <v>1946.35</v>
      </c>
      <c r="H372" s="143">
        <v>1944.08</v>
      </c>
      <c r="I372" s="143">
        <v>1949.91</v>
      </c>
      <c r="J372" s="143">
        <v>1942.33</v>
      </c>
      <c r="K372" s="144">
        <v>1936.02</v>
      </c>
      <c r="L372" s="143">
        <v>1936.93</v>
      </c>
      <c r="M372" s="145">
        <v>2017.45</v>
      </c>
      <c r="N372" s="145">
        <v>1943.68</v>
      </c>
      <c r="O372" s="145">
        <v>1943.65</v>
      </c>
      <c r="P372" s="146">
        <v>1936.2</v>
      </c>
      <c r="Q372" s="145">
        <v>1946.17</v>
      </c>
      <c r="R372" s="146">
        <v>1931.5</v>
      </c>
      <c r="S372" s="145">
        <v>1935.76</v>
      </c>
      <c r="T372" s="146">
        <v>1937.58</v>
      </c>
      <c r="U372" s="94">
        <f t="shared" si="37"/>
        <v>29047.45</v>
      </c>
      <c r="V372" s="103">
        <f t="shared" si="43"/>
        <v>1077.99</v>
      </c>
      <c r="W372" s="143">
        <v>1083.73</v>
      </c>
      <c r="X372" s="92">
        <f t="shared" si="38"/>
        <v>28700</v>
      </c>
      <c r="Y372" s="92">
        <f t="shared" si="42"/>
        <v>5.18</v>
      </c>
      <c r="Z372" s="92">
        <v>5.19</v>
      </c>
      <c r="AA372" s="92">
        <f t="shared" si="40"/>
        <v>50.0000000000034</v>
      </c>
      <c r="AB372" s="147">
        <f t="shared" si="44"/>
        <v>28650</v>
      </c>
      <c r="AC372" s="148"/>
      <c r="AD372" s="144">
        <v>5.31</v>
      </c>
      <c r="AE372" s="143">
        <v>30.07</v>
      </c>
      <c r="AF372" s="143"/>
      <c r="AG372" s="143"/>
      <c r="AH372" s="143"/>
      <c r="AI372" s="143"/>
      <c r="AJ372" s="97" t="s">
        <v>85</v>
      </c>
    </row>
    <row r="373" customHeight="1" spans="2:36">
      <c r="B373" s="141">
        <v>46118</v>
      </c>
      <c r="C373" s="142">
        <v>46118</v>
      </c>
      <c r="D373" s="149">
        <v>0.28125</v>
      </c>
      <c r="E373" s="105">
        <v>0.802083333333333</v>
      </c>
      <c r="F373" s="100">
        <v>1635.49</v>
      </c>
      <c r="G373" s="143">
        <v>1926.04</v>
      </c>
      <c r="H373" s="143">
        <v>1917.48</v>
      </c>
      <c r="I373" s="143">
        <v>1921.79</v>
      </c>
      <c r="J373" s="143">
        <v>1912.62</v>
      </c>
      <c r="K373" s="144">
        <v>1905.33</v>
      </c>
      <c r="L373" s="143">
        <v>1898.27</v>
      </c>
      <c r="M373" s="145">
        <v>1977.79</v>
      </c>
      <c r="N373" s="145">
        <v>1932.95</v>
      </c>
      <c r="O373" s="145">
        <v>1940.54</v>
      </c>
      <c r="P373" s="146">
        <v>1939.72</v>
      </c>
      <c r="Q373" s="145">
        <v>1946.07</v>
      </c>
      <c r="R373" s="146">
        <v>1929.62</v>
      </c>
      <c r="S373" s="145">
        <v>1942.29</v>
      </c>
      <c r="T373" s="146">
        <v>1942.66</v>
      </c>
      <c r="U373" s="94">
        <f t="shared" ref="U373:U418" si="45">SUM(F373:T373)</f>
        <v>28668.66</v>
      </c>
      <c r="V373" s="103">
        <f t="shared" ref="V373:V407" si="46">W372</f>
        <v>1083.73</v>
      </c>
      <c r="W373" s="143">
        <v>1089.39</v>
      </c>
      <c r="X373" s="92">
        <f t="shared" ref="X373:X418" si="47">MAX((W373-V373)*5000,0)</f>
        <v>28300.0000000004</v>
      </c>
      <c r="Y373" s="92">
        <f t="shared" si="42"/>
        <v>5.19</v>
      </c>
      <c r="Z373" s="138">
        <v>5.2</v>
      </c>
      <c r="AA373" s="92">
        <f t="shared" si="40"/>
        <v>49.9999999999989</v>
      </c>
      <c r="AB373" s="147">
        <f t="shared" ref="AB373:AB418" si="48">X373-AA373</f>
        <v>28250.0000000004</v>
      </c>
      <c r="AC373" s="148"/>
      <c r="AD373" s="144">
        <v>5.27</v>
      </c>
      <c r="AE373" s="143">
        <v>31.02</v>
      </c>
      <c r="AF373" s="143"/>
      <c r="AG373" s="143"/>
      <c r="AH373" s="143"/>
      <c r="AI373" s="143"/>
      <c r="AJ373" s="97" t="s">
        <v>85</v>
      </c>
    </row>
    <row r="374" customHeight="1" spans="2:36">
      <c r="B374" s="141">
        <v>46119</v>
      </c>
      <c r="C374" s="142">
        <v>46119</v>
      </c>
      <c r="D374" s="149">
        <v>0.28125</v>
      </c>
      <c r="E374" s="105">
        <v>0.791666666666667</v>
      </c>
      <c r="F374" s="100">
        <v>1329.44</v>
      </c>
      <c r="G374" s="143">
        <v>1770.23</v>
      </c>
      <c r="H374" s="143">
        <v>1766.23</v>
      </c>
      <c r="I374" s="143">
        <v>1769.42</v>
      </c>
      <c r="J374" s="143">
        <v>1760.33</v>
      </c>
      <c r="K374" s="144">
        <v>1761.92</v>
      </c>
      <c r="L374" s="143">
        <v>1754.23</v>
      </c>
      <c r="M374" s="145">
        <v>1822.84</v>
      </c>
      <c r="N374" s="145">
        <v>1754.95</v>
      </c>
      <c r="O374" s="145">
        <v>1761.73</v>
      </c>
      <c r="P374" s="146">
        <v>1758.32</v>
      </c>
      <c r="Q374" s="145">
        <v>1767.83</v>
      </c>
      <c r="R374" s="146">
        <v>1752.58</v>
      </c>
      <c r="S374" s="145">
        <v>1759.75</v>
      </c>
      <c r="T374" s="146">
        <v>1762.08</v>
      </c>
      <c r="U374" s="94">
        <f t="shared" si="45"/>
        <v>26051.88</v>
      </c>
      <c r="V374" s="103">
        <f t="shared" si="46"/>
        <v>1089.39</v>
      </c>
      <c r="W374" s="143">
        <v>1094.54</v>
      </c>
      <c r="X374" s="92">
        <f t="shared" si="47"/>
        <v>25749.9999999993</v>
      </c>
      <c r="Y374" s="92">
        <f t="shared" si="42"/>
        <v>5.2</v>
      </c>
      <c r="Z374" s="92">
        <v>5.21</v>
      </c>
      <c r="AA374" s="92">
        <f t="shared" si="40"/>
        <v>49.9999999999989</v>
      </c>
      <c r="AB374" s="147">
        <f t="shared" si="48"/>
        <v>25699.9999999993</v>
      </c>
      <c r="AC374" s="148"/>
      <c r="AD374" s="144">
        <v>5.08</v>
      </c>
      <c r="AE374" s="143">
        <v>29.98</v>
      </c>
      <c r="AF374" s="143"/>
      <c r="AG374" s="143"/>
      <c r="AH374" s="143"/>
      <c r="AI374" s="143"/>
      <c r="AJ374" s="97" t="s">
        <v>85</v>
      </c>
    </row>
    <row r="375" customHeight="1" spans="2:36">
      <c r="B375" s="141">
        <v>46120</v>
      </c>
      <c r="C375" s="142">
        <v>46120</v>
      </c>
      <c r="D375" s="149">
        <v>0.28125</v>
      </c>
      <c r="E375" s="105">
        <v>0.791666666666667</v>
      </c>
      <c r="F375" s="100">
        <v>1038.19</v>
      </c>
      <c r="G375" s="144">
        <v>1881.5</v>
      </c>
      <c r="H375" s="144">
        <v>1873.3</v>
      </c>
      <c r="I375" s="143">
        <v>1877.67</v>
      </c>
      <c r="J375" s="143">
        <v>1870.55</v>
      </c>
      <c r="K375" s="144">
        <v>1870.02</v>
      </c>
      <c r="L375" s="143">
        <v>1866.06</v>
      </c>
      <c r="M375" s="145">
        <v>1940.21</v>
      </c>
      <c r="N375" s="145">
        <v>1867.26</v>
      </c>
      <c r="O375" s="146">
        <v>1869.9</v>
      </c>
      <c r="P375" s="146">
        <v>1862.78</v>
      </c>
      <c r="Q375" s="145">
        <v>1872.96</v>
      </c>
      <c r="R375" s="146">
        <v>1861.64</v>
      </c>
      <c r="S375" s="145">
        <v>1865.98</v>
      </c>
      <c r="T375" s="146">
        <v>1865.85</v>
      </c>
      <c r="U375" s="94">
        <f t="shared" si="45"/>
        <v>27283.87</v>
      </c>
      <c r="V375" s="103">
        <f t="shared" si="46"/>
        <v>1094.54</v>
      </c>
      <c r="W375" s="143">
        <v>1099.93</v>
      </c>
      <c r="X375" s="92">
        <f t="shared" si="47"/>
        <v>26950.0000000005</v>
      </c>
      <c r="Y375" s="92">
        <f t="shared" si="42"/>
        <v>5.21</v>
      </c>
      <c r="Z375" s="92">
        <v>5.22</v>
      </c>
      <c r="AA375" s="92">
        <f t="shared" si="40"/>
        <v>49.9999999999989</v>
      </c>
      <c r="AB375" s="147">
        <f t="shared" si="48"/>
        <v>26900.0000000005</v>
      </c>
      <c r="AC375" s="148"/>
      <c r="AD375" s="144">
        <v>5.12</v>
      </c>
      <c r="AE375" s="143">
        <v>30.76</v>
      </c>
      <c r="AF375" s="143"/>
      <c r="AG375" s="143"/>
      <c r="AH375" s="143"/>
      <c r="AI375" s="143"/>
      <c r="AJ375" s="97" t="s">
        <v>85</v>
      </c>
    </row>
    <row r="376" customHeight="1" spans="2:36">
      <c r="B376" s="141">
        <v>46121</v>
      </c>
      <c r="C376" s="142">
        <v>46121</v>
      </c>
      <c r="D376" s="149">
        <v>0.28125</v>
      </c>
      <c r="E376" s="105">
        <v>0.791666666666667</v>
      </c>
      <c r="F376" s="100">
        <v>1508.45</v>
      </c>
      <c r="G376" s="143">
        <v>1812.62</v>
      </c>
      <c r="H376" s="143">
        <v>1811.71</v>
      </c>
      <c r="I376" s="143">
        <v>1809.96</v>
      </c>
      <c r="J376" s="143">
        <v>1804.25</v>
      </c>
      <c r="K376" s="144">
        <v>1799.58</v>
      </c>
      <c r="L376" s="143">
        <v>1792.83</v>
      </c>
      <c r="M376" s="145">
        <v>1867.55</v>
      </c>
      <c r="N376" s="145">
        <v>1855.59</v>
      </c>
      <c r="O376" s="145">
        <v>1815.79</v>
      </c>
      <c r="P376" s="146">
        <v>1799.37</v>
      </c>
      <c r="Q376" s="145">
        <v>1816.16</v>
      </c>
      <c r="R376" s="146">
        <v>1806.19</v>
      </c>
      <c r="S376" s="145">
        <v>1806.35</v>
      </c>
      <c r="T376" s="146">
        <v>1803.51</v>
      </c>
      <c r="U376" s="94">
        <f t="shared" si="45"/>
        <v>26909.91</v>
      </c>
      <c r="V376" s="103">
        <f t="shared" si="46"/>
        <v>1099.93</v>
      </c>
      <c r="W376" s="143">
        <v>1105.24</v>
      </c>
      <c r="X376" s="92">
        <f t="shared" si="47"/>
        <v>26549.9999999997</v>
      </c>
      <c r="Y376" s="92">
        <f t="shared" ref="Y376:Y403" si="49">Z375</f>
        <v>5.22</v>
      </c>
      <c r="Z376" s="92">
        <v>5.23</v>
      </c>
      <c r="AA376" s="92">
        <f t="shared" si="40"/>
        <v>50.0000000000034</v>
      </c>
      <c r="AB376" s="147">
        <f t="shared" si="48"/>
        <v>26499.9999999997</v>
      </c>
      <c r="AC376" s="148"/>
      <c r="AD376" s="144">
        <v>4.81</v>
      </c>
      <c r="AE376" s="143">
        <v>33.7</v>
      </c>
      <c r="AF376" s="143"/>
      <c r="AG376" s="143"/>
      <c r="AH376" s="143"/>
      <c r="AI376" s="143"/>
      <c r="AJ376" s="97" t="s">
        <v>85</v>
      </c>
    </row>
    <row r="377" customHeight="1" spans="2:36">
      <c r="B377" s="141">
        <v>46122</v>
      </c>
      <c r="C377" s="142">
        <v>46122</v>
      </c>
      <c r="D377" s="149">
        <v>0.28125</v>
      </c>
      <c r="E377" s="105">
        <v>0.791666666666667</v>
      </c>
      <c r="F377" s="100">
        <v>1521.54</v>
      </c>
      <c r="G377" s="143">
        <v>1827.97</v>
      </c>
      <c r="H377" s="144">
        <v>1831.5</v>
      </c>
      <c r="I377" s="143">
        <v>1833.42</v>
      </c>
      <c r="J377" s="143">
        <v>1828.59</v>
      </c>
      <c r="K377" s="144">
        <v>1823.54</v>
      </c>
      <c r="L377" s="143">
        <v>1821.21</v>
      </c>
      <c r="M377" s="145">
        <v>1895.51</v>
      </c>
      <c r="N377" s="146">
        <v>1830.9</v>
      </c>
      <c r="O377" s="146">
        <v>1833.7</v>
      </c>
      <c r="P377" s="146">
        <v>1828.07</v>
      </c>
      <c r="Q377" s="145">
        <v>1834.49</v>
      </c>
      <c r="R377" s="146">
        <v>1824.71</v>
      </c>
      <c r="S377" s="145">
        <v>1824.79</v>
      </c>
      <c r="T377" s="146">
        <v>1827.4</v>
      </c>
      <c r="U377" s="94">
        <f t="shared" si="45"/>
        <v>27187.34</v>
      </c>
      <c r="V377" s="103">
        <f t="shared" si="46"/>
        <v>1105.24</v>
      </c>
      <c r="W377" s="144">
        <v>1110.6</v>
      </c>
      <c r="X377" s="92">
        <f t="shared" si="47"/>
        <v>26799.9999999995</v>
      </c>
      <c r="Y377" s="92">
        <f t="shared" si="49"/>
        <v>5.23</v>
      </c>
      <c r="Z377" s="92">
        <v>5.24</v>
      </c>
      <c r="AA377" s="92">
        <f t="shared" si="40"/>
        <v>49.9999999999989</v>
      </c>
      <c r="AB377" s="147">
        <f t="shared" si="48"/>
        <v>26749.9999999995</v>
      </c>
      <c r="AC377" s="148"/>
      <c r="AD377" s="144">
        <v>5.14</v>
      </c>
      <c r="AE377" s="143">
        <v>34.54</v>
      </c>
      <c r="AF377" s="143"/>
      <c r="AG377" s="143"/>
      <c r="AH377" s="143"/>
      <c r="AI377" s="143"/>
      <c r="AJ377" s="97" t="s">
        <v>85</v>
      </c>
    </row>
    <row r="378" customHeight="1" spans="2:36">
      <c r="B378" s="141">
        <v>46123</v>
      </c>
      <c r="C378" s="142">
        <v>46123</v>
      </c>
      <c r="D378" s="149">
        <v>0.28125</v>
      </c>
      <c r="E378" s="105">
        <v>0.791666666666667</v>
      </c>
      <c r="F378" s="100">
        <v>1818.81</v>
      </c>
      <c r="G378" s="143">
        <v>1818.55</v>
      </c>
      <c r="H378" s="144">
        <v>1817.7</v>
      </c>
      <c r="I378" s="143">
        <v>1823.27</v>
      </c>
      <c r="J378" s="144">
        <v>1818</v>
      </c>
      <c r="K378" s="144">
        <v>1809.01</v>
      </c>
      <c r="L378" s="143">
        <v>1807.08</v>
      </c>
      <c r="M378" s="145">
        <v>1883.06</v>
      </c>
      <c r="N378" s="145">
        <v>1817.48</v>
      </c>
      <c r="O378" s="145">
        <v>1819.89</v>
      </c>
      <c r="P378" s="146">
        <v>1816.89</v>
      </c>
      <c r="Q378" s="145">
        <v>1821.39</v>
      </c>
      <c r="R378" s="146">
        <v>1807.43</v>
      </c>
      <c r="S378" s="145">
        <v>1811.81</v>
      </c>
      <c r="T378" s="146">
        <v>1813.81</v>
      </c>
      <c r="U378" s="94">
        <f t="shared" si="45"/>
        <v>27304.18</v>
      </c>
      <c r="V378" s="103">
        <f t="shared" si="46"/>
        <v>1110.6</v>
      </c>
      <c r="W378" s="143">
        <v>1116.01</v>
      </c>
      <c r="X378" s="92">
        <f t="shared" si="47"/>
        <v>27050.0000000004</v>
      </c>
      <c r="Y378" s="92">
        <f t="shared" si="49"/>
        <v>5.24</v>
      </c>
      <c r="Z378" s="92">
        <v>5.26</v>
      </c>
      <c r="AA378" s="92">
        <f t="shared" si="40"/>
        <v>99.9999999999979</v>
      </c>
      <c r="AB378" s="147">
        <f t="shared" si="48"/>
        <v>26950.0000000004</v>
      </c>
      <c r="AC378" s="148"/>
      <c r="AD378" s="144">
        <v>5.23</v>
      </c>
      <c r="AE378" s="143">
        <v>33.96</v>
      </c>
      <c r="AF378" s="143"/>
      <c r="AG378" s="143"/>
      <c r="AH378" s="143"/>
      <c r="AI378" s="143"/>
      <c r="AJ378" s="97" t="s">
        <v>85</v>
      </c>
    </row>
    <row r="379" customHeight="1" spans="2:36">
      <c r="B379" s="141">
        <v>46124</v>
      </c>
      <c r="C379" s="142">
        <v>46124</v>
      </c>
      <c r="D379" s="149">
        <v>0.329166666666667</v>
      </c>
      <c r="E379" s="105">
        <v>0.791666666666667</v>
      </c>
      <c r="F379" s="100">
        <v>1845.56</v>
      </c>
      <c r="G379" s="143">
        <v>1843.09</v>
      </c>
      <c r="H379" s="143">
        <v>1845.89</v>
      </c>
      <c r="I379" s="143">
        <v>1846.67</v>
      </c>
      <c r="J379" s="143">
        <v>1842.07</v>
      </c>
      <c r="K379" s="144">
        <v>1835.95</v>
      </c>
      <c r="L379" s="143">
        <v>1836.46</v>
      </c>
      <c r="M379" s="145">
        <v>1911.93</v>
      </c>
      <c r="N379" s="145">
        <v>1846.01</v>
      </c>
      <c r="O379" s="145">
        <v>1848.07</v>
      </c>
      <c r="P379" s="146">
        <v>1822.4</v>
      </c>
      <c r="Q379" s="145">
        <v>1850.79</v>
      </c>
      <c r="R379" s="146">
        <v>1840.84</v>
      </c>
      <c r="S379" s="146">
        <v>1839.5</v>
      </c>
      <c r="T379" s="146">
        <v>1843.93</v>
      </c>
      <c r="U379" s="94">
        <f t="shared" si="45"/>
        <v>27699.16</v>
      </c>
      <c r="V379" s="103">
        <f t="shared" si="46"/>
        <v>1116.01</v>
      </c>
      <c r="W379" s="143">
        <v>1121.49</v>
      </c>
      <c r="X379" s="92">
        <f t="shared" si="47"/>
        <v>27400.0000000001</v>
      </c>
      <c r="Y379" s="92">
        <f t="shared" si="49"/>
        <v>5.26</v>
      </c>
      <c r="Z379" s="92">
        <v>5.27</v>
      </c>
      <c r="AA379" s="92">
        <f t="shared" si="40"/>
        <v>49.9999999999989</v>
      </c>
      <c r="AB379" s="147">
        <f t="shared" si="48"/>
        <v>27350.0000000001</v>
      </c>
      <c r="AC379" s="148"/>
      <c r="AD379" s="144">
        <v>5.18</v>
      </c>
      <c r="AE379" s="143">
        <v>37.08</v>
      </c>
      <c r="AF379" s="143"/>
      <c r="AG379" s="143"/>
      <c r="AH379" s="143"/>
      <c r="AI379" s="143"/>
      <c r="AJ379" s="97" t="s">
        <v>85</v>
      </c>
    </row>
    <row r="380" customHeight="1" spans="2:36">
      <c r="B380" s="141">
        <v>46125</v>
      </c>
      <c r="C380" s="142">
        <v>46125</v>
      </c>
      <c r="D380" s="149">
        <v>0.28125</v>
      </c>
      <c r="E380" s="105">
        <v>0.791666666666667</v>
      </c>
      <c r="F380" s="100">
        <v>1860.07</v>
      </c>
      <c r="G380" s="143">
        <v>1861.18</v>
      </c>
      <c r="H380" s="144">
        <v>1856.2</v>
      </c>
      <c r="I380" s="143">
        <v>1861.56</v>
      </c>
      <c r="J380" s="143">
        <v>1855.67</v>
      </c>
      <c r="K380" s="144">
        <v>1850.32</v>
      </c>
      <c r="L380" s="143">
        <v>1847.16</v>
      </c>
      <c r="M380" s="145">
        <v>1923.94</v>
      </c>
      <c r="N380" s="145">
        <v>1857.18</v>
      </c>
      <c r="O380" s="145">
        <v>1862.54</v>
      </c>
      <c r="P380" s="146">
        <v>1859.27</v>
      </c>
      <c r="Q380" s="145">
        <v>1864.85</v>
      </c>
      <c r="R380" s="146">
        <v>1849.21</v>
      </c>
      <c r="S380" s="145">
        <v>1853.64</v>
      </c>
      <c r="T380" s="146">
        <v>1855.87</v>
      </c>
      <c r="U380" s="94">
        <f t="shared" si="45"/>
        <v>27918.66</v>
      </c>
      <c r="V380" s="103">
        <f t="shared" si="46"/>
        <v>1121.49</v>
      </c>
      <c r="W380" s="143">
        <v>1127.01</v>
      </c>
      <c r="X380" s="92">
        <f t="shared" si="47"/>
        <v>27599.9999999999</v>
      </c>
      <c r="Y380" s="92">
        <f t="shared" si="49"/>
        <v>5.27</v>
      </c>
      <c r="Z380" s="92">
        <v>5.28</v>
      </c>
      <c r="AA380" s="92">
        <f t="shared" si="40"/>
        <v>50.0000000000034</v>
      </c>
      <c r="AB380" s="147">
        <f t="shared" si="48"/>
        <v>27549.9999999999</v>
      </c>
      <c r="AC380" s="148"/>
      <c r="AD380" s="144">
        <v>5.36</v>
      </c>
      <c r="AE380" s="143">
        <v>35.74</v>
      </c>
      <c r="AF380" s="143"/>
      <c r="AG380" s="143"/>
      <c r="AH380" s="143"/>
      <c r="AI380" s="143"/>
      <c r="AJ380" s="97" t="s">
        <v>85</v>
      </c>
    </row>
    <row r="381" customHeight="1" spans="2:36">
      <c r="B381" s="141">
        <v>46126</v>
      </c>
      <c r="C381" s="142">
        <v>46126</v>
      </c>
      <c r="D381" s="149">
        <v>0.28125</v>
      </c>
      <c r="E381" s="105">
        <v>0.791666666666667</v>
      </c>
      <c r="F381" s="100">
        <v>1787.98</v>
      </c>
      <c r="G381" s="143">
        <v>1958.65</v>
      </c>
      <c r="H381" s="143">
        <v>1950.56</v>
      </c>
      <c r="I381" s="143">
        <v>1957.72</v>
      </c>
      <c r="J381" s="143">
        <v>1951.39</v>
      </c>
      <c r="K381" s="144">
        <v>1949.85</v>
      </c>
      <c r="L381" s="143">
        <v>1943.35</v>
      </c>
      <c r="M381" s="145">
        <v>2020.59</v>
      </c>
      <c r="N381" s="145">
        <v>1950.75</v>
      </c>
      <c r="O381" s="145">
        <v>1952.19</v>
      </c>
      <c r="P381" s="146">
        <v>1946.6</v>
      </c>
      <c r="Q381" s="145">
        <v>1957.33</v>
      </c>
      <c r="R381" s="146">
        <v>1945.19</v>
      </c>
      <c r="S381" s="145">
        <v>1952.53</v>
      </c>
      <c r="T381" s="146">
        <v>1951.29</v>
      </c>
      <c r="U381" s="94">
        <f t="shared" si="45"/>
        <v>29175.97</v>
      </c>
      <c r="V381" s="103">
        <f t="shared" si="46"/>
        <v>1127.01</v>
      </c>
      <c r="W381" s="143">
        <v>1132.77</v>
      </c>
      <c r="X381" s="92">
        <f t="shared" si="47"/>
        <v>28800</v>
      </c>
      <c r="Y381" s="92">
        <f t="shared" si="49"/>
        <v>5.28</v>
      </c>
      <c r="Z381" s="92">
        <v>5.29</v>
      </c>
      <c r="AA381" s="92">
        <f t="shared" si="40"/>
        <v>49.9999999999989</v>
      </c>
      <c r="AB381" s="147">
        <f t="shared" si="48"/>
        <v>28750</v>
      </c>
      <c r="AC381" s="148"/>
      <c r="AD381" s="144">
        <v>5.42</v>
      </c>
      <c r="AE381" s="143">
        <v>33.54</v>
      </c>
      <c r="AF381" s="143"/>
      <c r="AG381" s="143"/>
      <c r="AH381" s="143"/>
      <c r="AI381" s="143"/>
      <c r="AJ381" s="97" t="s">
        <v>85</v>
      </c>
    </row>
    <row r="382" customHeight="1" spans="2:36">
      <c r="B382" s="141">
        <v>46127</v>
      </c>
      <c r="C382" s="142">
        <v>46127</v>
      </c>
      <c r="D382" s="149">
        <v>0.28125</v>
      </c>
      <c r="E382" s="105">
        <v>0.791666666666667</v>
      </c>
      <c r="F382" s="100">
        <v>1777.26</v>
      </c>
      <c r="G382" s="143">
        <v>1979.44</v>
      </c>
      <c r="H382" s="143">
        <v>1972.91</v>
      </c>
      <c r="I382" s="143">
        <v>1976.73</v>
      </c>
      <c r="J382" s="143">
        <v>1970.13</v>
      </c>
      <c r="K382" s="144">
        <v>1970.72</v>
      </c>
      <c r="L382" s="143">
        <v>1961.42</v>
      </c>
      <c r="M382" s="145">
        <v>2041.31</v>
      </c>
      <c r="N382" s="145">
        <v>1959.59</v>
      </c>
      <c r="O382" s="145">
        <v>1974.34</v>
      </c>
      <c r="P382" s="146">
        <v>1962.55</v>
      </c>
      <c r="Q382" s="145">
        <v>1976.81</v>
      </c>
      <c r="R382" s="146">
        <v>1956.61</v>
      </c>
      <c r="S382" s="145">
        <v>1959.83</v>
      </c>
      <c r="T382" s="146">
        <v>1958.82</v>
      </c>
      <c r="U382" s="94">
        <f t="shared" si="45"/>
        <v>29398.47</v>
      </c>
      <c r="V382" s="103">
        <f t="shared" si="46"/>
        <v>1132.77</v>
      </c>
      <c r="W382" s="143">
        <v>1138.58</v>
      </c>
      <c r="X382" s="92">
        <f t="shared" si="47"/>
        <v>29049.9999999997</v>
      </c>
      <c r="Y382" s="92">
        <f t="shared" si="49"/>
        <v>5.29</v>
      </c>
      <c r="Z382" s="138">
        <v>5.3</v>
      </c>
      <c r="AA382" s="92">
        <f t="shared" si="40"/>
        <v>49.9999999999989</v>
      </c>
      <c r="AB382" s="147">
        <f t="shared" si="48"/>
        <v>28999.9999999997</v>
      </c>
      <c r="AC382" s="148"/>
      <c r="AD382" s="144">
        <v>5.65</v>
      </c>
      <c r="AE382" s="143">
        <v>32.46</v>
      </c>
      <c r="AF382" s="143"/>
      <c r="AG382" s="143"/>
      <c r="AH382" s="143"/>
      <c r="AI382" s="143"/>
      <c r="AJ382" s="97" t="s">
        <v>85</v>
      </c>
    </row>
    <row r="383" customHeight="1" spans="2:36">
      <c r="B383" s="141">
        <v>46128</v>
      </c>
      <c r="C383" s="142">
        <v>46128</v>
      </c>
      <c r="D383" s="149">
        <v>0.290277777777778</v>
      </c>
      <c r="E383" s="105">
        <v>0.78125</v>
      </c>
      <c r="F383" s="100">
        <v>1767.08</v>
      </c>
      <c r="G383" s="143">
        <v>1912.01</v>
      </c>
      <c r="H383" s="144">
        <v>1907.4</v>
      </c>
      <c r="I383" s="143">
        <v>1911.23</v>
      </c>
      <c r="J383" s="143">
        <v>1902.81</v>
      </c>
      <c r="K383" s="144">
        <v>1902.87</v>
      </c>
      <c r="L383" s="143">
        <v>1899.39</v>
      </c>
      <c r="M383" s="145">
        <v>1974.82</v>
      </c>
      <c r="N383" s="145">
        <v>1906.67</v>
      </c>
      <c r="O383" s="145">
        <v>1906.31</v>
      </c>
      <c r="P383" s="146">
        <v>1721.93</v>
      </c>
      <c r="Q383" s="145">
        <v>1909.03</v>
      </c>
      <c r="R383" s="146">
        <v>1907.06</v>
      </c>
      <c r="S383" s="145">
        <v>1906.05</v>
      </c>
      <c r="T383" s="146">
        <v>1905.72</v>
      </c>
      <c r="U383" s="94">
        <f t="shared" si="45"/>
        <v>28340.38</v>
      </c>
      <c r="V383" s="103">
        <f t="shared" si="46"/>
        <v>1138.58</v>
      </c>
      <c r="W383" s="143">
        <v>1144.18</v>
      </c>
      <c r="X383" s="92">
        <f t="shared" si="47"/>
        <v>28000.0000000007</v>
      </c>
      <c r="Y383" s="92">
        <f t="shared" si="49"/>
        <v>5.3</v>
      </c>
      <c r="Z383" s="92">
        <v>5.31</v>
      </c>
      <c r="AA383" s="92">
        <f t="shared" si="40"/>
        <v>49.9999999999989</v>
      </c>
      <c r="AB383" s="147">
        <f t="shared" si="48"/>
        <v>27950.0000000007</v>
      </c>
      <c r="AC383" s="148"/>
      <c r="AD383" s="144">
        <v>5.58</v>
      </c>
      <c r="AE383" s="143">
        <v>34.64</v>
      </c>
      <c r="AF383" s="143"/>
      <c r="AG383" s="143"/>
      <c r="AH383" s="143"/>
      <c r="AI383" s="143"/>
      <c r="AJ383" s="97" t="s">
        <v>85</v>
      </c>
    </row>
    <row r="384" customHeight="1" spans="2:36">
      <c r="B384" s="141">
        <v>46129</v>
      </c>
      <c r="C384" s="142">
        <v>46129</v>
      </c>
      <c r="D384" s="149">
        <v>0.28125</v>
      </c>
      <c r="E384" s="105">
        <v>0.802083333333333</v>
      </c>
      <c r="F384" s="100">
        <v>1820.04</v>
      </c>
      <c r="G384" s="143">
        <v>1819.54</v>
      </c>
      <c r="H384" s="143">
        <v>1801.44</v>
      </c>
      <c r="I384" s="143">
        <v>1817.73</v>
      </c>
      <c r="J384" s="143">
        <v>1911.94</v>
      </c>
      <c r="K384" s="144">
        <v>1808.98</v>
      </c>
      <c r="L384" s="143">
        <v>1804.4</v>
      </c>
      <c r="M384" s="146">
        <v>1880.2</v>
      </c>
      <c r="N384" s="145">
        <v>1813.07</v>
      </c>
      <c r="O384" s="145">
        <v>1818.69</v>
      </c>
      <c r="P384" s="146">
        <v>1774.64</v>
      </c>
      <c r="Q384" s="145">
        <v>1819.76</v>
      </c>
      <c r="R384" s="146">
        <v>1812.63</v>
      </c>
      <c r="S384" s="145">
        <v>1811.23</v>
      </c>
      <c r="T384" s="146">
        <v>1812.21</v>
      </c>
      <c r="U384" s="94">
        <f t="shared" si="45"/>
        <v>27326.5</v>
      </c>
      <c r="V384" s="103">
        <f t="shared" si="46"/>
        <v>1144.18</v>
      </c>
      <c r="W384" s="143">
        <v>1149.56</v>
      </c>
      <c r="X384" s="92">
        <f t="shared" si="47"/>
        <v>26899.9999999994</v>
      </c>
      <c r="Y384" s="92">
        <f t="shared" si="49"/>
        <v>5.31</v>
      </c>
      <c r="Z384" s="92">
        <v>5.32</v>
      </c>
      <c r="AA384" s="92">
        <f t="shared" si="40"/>
        <v>50.0000000000034</v>
      </c>
      <c r="AB384" s="147">
        <f t="shared" si="48"/>
        <v>26849.9999999994</v>
      </c>
      <c r="AC384" s="148"/>
      <c r="AD384" s="144">
        <v>5.63</v>
      </c>
      <c r="AE384" s="143">
        <v>35.34</v>
      </c>
      <c r="AF384" s="143"/>
      <c r="AG384" s="143"/>
      <c r="AH384" s="143"/>
      <c r="AI384" s="143"/>
      <c r="AJ384" s="97" t="s">
        <v>85</v>
      </c>
    </row>
    <row r="385" customHeight="1" spans="2:36">
      <c r="B385" s="141">
        <v>46130</v>
      </c>
      <c r="C385" s="142">
        <v>46130</v>
      </c>
      <c r="D385" s="149">
        <v>0.283333333333333</v>
      </c>
      <c r="E385" s="105">
        <v>0.791666666666667</v>
      </c>
      <c r="F385" s="100">
        <v>1840.91</v>
      </c>
      <c r="G385" s="143">
        <v>1833.85</v>
      </c>
      <c r="H385" s="143">
        <v>1791.42</v>
      </c>
      <c r="I385" s="143">
        <v>1834.35</v>
      </c>
      <c r="J385" s="143">
        <v>1827.93</v>
      </c>
      <c r="K385" s="144">
        <v>1834.22</v>
      </c>
      <c r="L385" s="143">
        <v>1819.6</v>
      </c>
      <c r="M385" s="145">
        <v>1894.62</v>
      </c>
      <c r="N385" s="145">
        <v>1833.36</v>
      </c>
      <c r="O385" s="145">
        <v>1837.41</v>
      </c>
      <c r="P385" s="146">
        <v>1343.52</v>
      </c>
      <c r="Q385" s="145">
        <v>1827.88</v>
      </c>
      <c r="R385" s="146">
        <v>1833.21</v>
      </c>
      <c r="S385" s="145">
        <v>1829.52</v>
      </c>
      <c r="T385" s="146">
        <v>1832.39</v>
      </c>
      <c r="U385" s="94">
        <f t="shared" si="45"/>
        <v>27014.19</v>
      </c>
      <c r="V385" s="103">
        <f t="shared" si="46"/>
        <v>1149.56</v>
      </c>
      <c r="W385" s="143">
        <v>1154.91</v>
      </c>
      <c r="X385" s="92">
        <f t="shared" si="47"/>
        <v>26750.0000000007</v>
      </c>
      <c r="Y385" s="92">
        <f t="shared" si="49"/>
        <v>5.32</v>
      </c>
      <c r="Z385" s="92">
        <v>5.33</v>
      </c>
      <c r="AA385" s="92">
        <f t="shared" si="40"/>
        <v>49.9999999999989</v>
      </c>
      <c r="AB385" s="147">
        <f t="shared" si="48"/>
        <v>26700.0000000007</v>
      </c>
      <c r="AC385" s="148"/>
      <c r="AD385" s="144">
        <v>5.43</v>
      </c>
      <c r="AE385" s="143">
        <v>34.92</v>
      </c>
      <c r="AF385" s="143"/>
      <c r="AG385" s="143"/>
      <c r="AH385" s="143"/>
      <c r="AI385" s="143"/>
      <c r="AJ385" s="97" t="s">
        <v>85</v>
      </c>
    </row>
    <row r="386" customHeight="1" spans="2:36">
      <c r="B386" s="141">
        <v>46131</v>
      </c>
      <c r="C386" s="142">
        <v>46131</v>
      </c>
      <c r="D386" s="149">
        <v>0.28125</v>
      </c>
      <c r="E386" s="105">
        <v>0.791666666666667</v>
      </c>
      <c r="F386" s="100">
        <v>1686.11</v>
      </c>
      <c r="G386" s="143">
        <v>1907.64</v>
      </c>
      <c r="H386" s="144">
        <v>1847.9</v>
      </c>
      <c r="I386" s="143">
        <v>1896.54</v>
      </c>
      <c r="J386" s="143">
        <v>1901.39</v>
      </c>
      <c r="K386" s="144">
        <v>1866.74</v>
      </c>
      <c r="L386" s="143">
        <v>1882.29</v>
      </c>
      <c r="M386" s="145">
        <v>1970.91</v>
      </c>
      <c r="N386" s="146">
        <v>1801.1</v>
      </c>
      <c r="O386" s="145">
        <v>1804.45</v>
      </c>
      <c r="P386" s="146">
        <v>1620.21</v>
      </c>
      <c r="Q386" s="145">
        <v>1802.74</v>
      </c>
      <c r="R386" s="146">
        <v>1796.28</v>
      </c>
      <c r="S386" s="145">
        <v>1795.11</v>
      </c>
      <c r="T386" s="146">
        <v>1766.62</v>
      </c>
      <c r="U386" s="94">
        <f t="shared" si="45"/>
        <v>27346.03</v>
      </c>
      <c r="V386" s="103">
        <f t="shared" si="46"/>
        <v>1154.91</v>
      </c>
      <c r="W386" s="143">
        <v>1160.32</v>
      </c>
      <c r="X386" s="92">
        <f t="shared" si="47"/>
        <v>27049.9999999993</v>
      </c>
      <c r="Y386" s="92">
        <f t="shared" si="49"/>
        <v>5.33</v>
      </c>
      <c r="Z386" s="92">
        <v>5.34</v>
      </c>
      <c r="AA386" s="92">
        <f t="shared" ref="AA386:AA418" si="50">MAX((Z386-Y386)*5000,0)</f>
        <v>49.9999999999989</v>
      </c>
      <c r="AB386" s="147">
        <f t="shared" si="48"/>
        <v>26999.9999999993</v>
      </c>
      <c r="AC386" s="148"/>
      <c r="AD386" s="144">
        <v>5.13</v>
      </c>
      <c r="AE386" s="143">
        <v>32.94</v>
      </c>
      <c r="AF386" s="143"/>
      <c r="AG386" s="143"/>
      <c r="AH386" s="143"/>
      <c r="AI386" s="143"/>
      <c r="AJ386" s="97" t="s">
        <v>85</v>
      </c>
    </row>
    <row r="387" customHeight="1" spans="2:36">
      <c r="B387" s="141">
        <v>46132</v>
      </c>
      <c r="C387" s="142">
        <v>46132</v>
      </c>
      <c r="D387" s="149">
        <v>0.28125</v>
      </c>
      <c r="E387" s="105">
        <v>0.791666666666667</v>
      </c>
      <c r="F387" s="100">
        <v>1947.57</v>
      </c>
      <c r="G387" s="143">
        <v>1735.15</v>
      </c>
      <c r="H387" s="143">
        <v>1939.02</v>
      </c>
      <c r="I387" s="143">
        <v>1959.4</v>
      </c>
      <c r="J387" s="143">
        <v>1963.67</v>
      </c>
      <c r="K387" s="144">
        <v>1947.84</v>
      </c>
      <c r="L387" s="143">
        <v>1944.84</v>
      </c>
      <c r="M387" s="145">
        <v>2036.25</v>
      </c>
      <c r="N387" s="145">
        <v>1950.15</v>
      </c>
      <c r="O387" s="145">
        <v>1948.9</v>
      </c>
      <c r="P387" s="146">
        <v>1862.96</v>
      </c>
      <c r="Q387" s="145">
        <v>1969.65</v>
      </c>
      <c r="R387" s="146">
        <v>1925.25</v>
      </c>
      <c r="S387" s="145">
        <v>1913</v>
      </c>
      <c r="T387" s="146">
        <v>1911.5</v>
      </c>
      <c r="U387" s="94">
        <f t="shared" si="45"/>
        <v>28955.15</v>
      </c>
      <c r="V387" s="103">
        <f t="shared" si="46"/>
        <v>1160.32</v>
      </c>
      <c r="W387" s="143">
        <v>1166.05</v>
      </c>
      <c r="X387" s="92">
        <f t="shared" si="47"/>
        <v>28650.0000000001</v>
      </c>
      <c r="Y387" s="92">
        <f t="shared" si="49"/>
        <v>5.34</v>
      </c>
      <c r="Z387" s="92">
        <v>5.35</v>
      </c>
      <c r="AA387" s="92">
        <f t="shared" si="50"/>
        <v>49.9999999999989</v>
      </c>
      <c r="AB387" s="147">
        <f t="shared" si="48"/>
        <v>28600.0000000001</v>
      </c>
      <c r="AC387" s="148"/>
      <c r="AD387" s="144">
        <v>5.53</v>
      </c>
      <c r="AE387" s="143">
        <v>34.42</v>
      </c>
      <c r="AF387" s="143"/>
      <c r="AG387" s="143"/>
      <c r="AH387" s="143"/>
      <c r="AI387" s="143"/>
      <c r="AJ387" s="97" t="s">
        <v>85</v>
      </c>
    </row>
    <row r="388" customHeight="1" spans="2:36">
      <c r="B388" s="141">
        <v>46133</v>
      </c>
      <c r="C388" s="142">
        <v>46133</v>
      </c>
      <c r="D388" s="149">
        <v>0.279166666666667</v>
      </c>
      <c r="E388" s="105">
        <v>0.71875</v>
      </c>
      <c r="F388" s="100">
        <v>1927</v>
      </c>
      <c r="G388" s="143">
        <v>1947.47</v>
      </c>
      <c r="H388" s="143">
        <v>1917.37</v>
      </c>
      <c r="I388" s="143">
        <v>1937.41</v>
      </c>
      <c r="J388" s="143">
        <v>1942</v>
      </c>
      <c r="K388" s="144">
        <v>1924.75</v>
      </c>
      <c r="L388" s="143">
        <v>1863.16</v>
      </c>
      <c r="M388" s="145">
        <v>2010.06</v>
      </c>
      <c r="N388" s="145">
        <v>1926.82</v>
      </c>
      <c r="O388" s="145">
        <v>1925.47</v>
      </c>
      <c r="P388" s="146">
        <v>1939.1</v>
      </c>
      <c r="Q388" s="145">
        <v>1946</v>
      </c>
      <c r="R388" s="146">
        <v>1902.38</v>
      </c>
      <c r="S388" s="145">
        <v>1893.68</v>
      </c>
      <c r="T388" s="146">
        <v>1894.75</v>
      </c>
      <c r="U388" s="94">
        <f t="shared" si="45"/>
        <v>28897.42</v>
      </c>
      <c r="V388" s="103">
        <f t="shared" si="46"/>
        <v>1166.05</v>
      </c>
      <c r="W388" s="143">
        <v>1171.76</v>
      </c>
      <c r="X388" s="92">
        <f t="shared" si="47"/>
        <v>28550.0000000002</v>
      </c>
      <c r="Y388" s="92">
        <f t="shared" si="49"/>
        <v>5.35</v>
      </c>
      <c r="Z388" s="92">
        <v>5.36</v>
      </c>
      <c r="AA388" s="92">
        <f t="shared" si="50"/>
        <v>50.0000000000034</v>
      </c>
      <c r="AB388" s="147">
        <f t="shared" si="48"/>
        <v>28500.0000000002</v>
      </c>
      <c r="AC388" s="148"/>
      <c r="AD388" s="144">
        <v>5.05</v>
      </c>
      <c r="AE388" s="143">
        <v>35.25</v>
      </c>
      <c r="AF388" s="143"/>
      <c r="AG388" s="143"/>
      <c r="AH388" s="143"/>
      <c r="AI388" s="143"/>
      <c r="AJ388" s="97" t="s">
        <v>85</v>
      </c>
    </row>
    <row r="389" customHeight="1" spans="2:36">
      <c r="B389" s="141">
        <v>46134</v>
      </c>
      <c r="C389" s="142">
        <v>46134</v>
      </c>
      <c r="D389" s="149">
        <v>0.270833333333333</v>
      </c>
      <c r="E389" s="105">
        <v>0.791666666666667</v>
      </c>
      <c r="F389" s="100">
        <v>1945.75</v>
      </c>
      <c r="G389" s="143">
        <v>1961.31</v>
      </c>
      <c r="H389" s="143">
        <v>1931.47</v>
      </c>
      <c r="I389" s="143">
        <v>1953.88</v>
      </c>
      <c r="J389" s="143">
        <v>1957.22</v>
      </c>
      <c r="K389" s="144">
        <v>1940.97</v>
      </c>
      <c r="L389" s="143">
        <v>1934.12</v>
      </c>
      <c r="M389" s="145">
        <v>2025.87</v>
      </c>
      <c r="N389" s="145">
        <v>1939.57</v>
      </c>
      <c r="O389" s="145">
        <v>1936.16</v>
      </c>
      <c r="P389" s="146">
        <v>1954.94</v>
      </c>
      <c r="Q389" s="145">
        <v>1957</v>
      </c>
      <c r="R389" s="146">
        <v>1920.96</v>
      </c>
      <c r="S389" s="145">
        <v>1909.75</v>
      </c>
      <c r="T389" s="146">
        <v>1934.29</v>
      </c>
      <c r="U389" s="94">
        <f t="shared" si="45"/>
        <v>29203.26</v>
      </c>
      <c r="V389" s="103">
        <f t="shared" si="46"/>
        <v>1171.76</v>
      </c>
      <c r="W389" s="143">
        <v>1177.53</v>
      </c>
      <c r="X389" s="92">
        <f t="shared" si="47"/>
        <v>28849.9999999999</v>
      </c>
      <c r="Y389" s="92">
        <f t="shared" si="49"/>
        <v>5.36</v>
      </c>
      <c r="Z389" s="92">
        <v>5.37</v>
      </c>
      <c r="AA389" s="92">
        <f t="shared" si="50"/>
        <v>49.9999999999989</v>
      </c>
      <c r="AB389" s="147">
        <f t="shared" si="48"/>
        <v>28799.9999999999</v>
      </c>
      <c r="AC389" s="148"/>
      <c r="AD389" s="144">
        <v>5.53</v>
      </c>
      <c r="AE389" s="143">
        <v>32.56</v>
      </c>
      <c r="AF389" s="143"/>
      <c r="AG389" s="143"/>
      <c r="AH389" s="143"/>
      <c r="AI389" s="143"/>
      <c r="AJ389" s="97" t="s">
        <v>85</v>
      </c>
    </row>
    <row r="390" customHeight="1" spans="2:36">
      <c r="B390" s="141">
        <v>46135</v>
      </c>
      <c r="C390" s="142">
        <v>46135</v>
      </c>
      <c r="D390" s="149">
        <v>0.315277777777778</v>
      </c>
      <c r="E390" s="105">
        <v>0.791666666666667</v>
      </c>
      <c r="F390" s="100">
        <v>1893.66</v>
      </c>
      <c r="G390" s="143">
        <v>1909.31</v>
      </c>
      <c r="H390" s="143">
        <v>1885.09</v>
      </c>
      <c r="I390" s="143">
        <v>1904.84</v>
      </c>
      <c r="J390" s="143">
        <v>1907.65</v>
      </c>
      <c r="K390" s="144">
        <v>1894.41</v>
      </c>
      <c r="L390" s="143">
        <v>1888.22</v>
      </c>
      <c r="M390" s="145">
        <v>1976.38</v>
      </c>
      <c r="N390" s="145">
        <v>1889.03</v>
      </c>
      <c r="O390" s="145">
        <v>1889.87</v>
      </c>
      <c r="P390" s="146">
        <v>1904.72</v>
      </c>
      <c r="Q390" s="145">
        <v>1911.9</v>
      </c>
      <c r="R390" s="146">
        <v>1872.37</v>
      </c>
      <c r="S390" s="145">
        <v>1860.07</v>
      </c>
      <c r="T390" s="146">
        <v>1885.59</v>
      </c>
      <c r="U390" s="94">
        <f t="shared" si="45"/>
        <v>28473.11</v>
      </c>
      <c r="V390" s="103">
        <f t="shared" si="46"/>
        <v>1177.53</v>
      </c>
      <c r="W390" s="143">
        <v>1183.17</v>
      </c>
      <c r="X390" s="92">
        <f t="shared" si="47"/>
        <v>28200.0000000005</v>
      </c>
      <c r="Y390" s="92">
        <f t="shared" si="49"/>
        <v>5.37</v>
      </c>
      <c r="Z390" s="92">
        <v>5.38</v>
      </c>
      <c r="AA390" s="92">
        <f t="shared" si="50"/>
        <v>49.9999999999989</v>
      </c>
      <c r="AB390" s="147">
        <f t="shared" si="48"/>
        <v>28150.0000000005</v>
      </c>
      <c r="AC390" s="148"/>
      <c r="AD390" s="144">
        <v>5.34</v>
      </c>
      <c r="AE390" s="143">
        <v>36.31</v>
      </c>
      <c r="AF390" s="143"/>
      <c r="AG390" s="143"/>
      <c r="AH390" s="143"/>
      <c r="AI390" s="143"/>
      <c r="AJ390" s="97" t="s">
        <v>85</v>
      </c>
    </row>
    <row r="391" customHeight="1" spans="2:36">
      <c r="B391" s="141">
        <v>46136</v>
      </c>
      <c r="C391" s="142">
        <v>46136</v>
      </c>
      <c r="D391" s="149">
        <v>0.270833333333333</v>
      </c>
      <c r="E391" s="105">
        <v>0.791666666666667</v>
      </c>
      <c r="F391" s="100">
        <v>1957.44</v>
      </c>
      <c r="G391" s="143">
        <v>1977.66</v>
      </c>
      <c r="H391" s="143">
        <v>1948.75</v>
      </c>
      <c r="I391" s="144">
        <v>1971.75</v>
      </c>
      <c r="J391" s="144">
        <v>1978.69</v>
      </c>
      <c r="K391" s="144">
        <v>1956.25</v>
      </c>
      <c r="L391" s="143">
        <v>1956.43</v>
      </c>
      <c r="M391" s="145">
        <v>2048</v>
      </c>
      <c r="N391" s="145">
        <v>1918.09</v>
      </c>
      <c r="O391" s="145">
        <v>1959.47</v>
      </c>
      <c r="P391" s="146">
        <v>1974.68</v>
      </c>
      <c r="Q391" s="145">
        <v>1981.88</v>
      </c>
      <c r="R391" s="146">
        <v>1939.96</v>
      </c>
      <c r="S391" s="145">
        <v>1926.91</v>
      </c>
      <c r="T391" s="146">
        <v>1953.63</v>
      </c>
      <c r="U391" s="94">
        <f t="shared" si="45"/>
        <v>29449.59</v>
      </c>
      <c r="V391" s="103">
        <f t="shared" si="46"/>
        <v>1183.17</v>
      </c>
      <c r="W391" s="143">
        <v>1188</v>
      </c>
      <c r="X391" s="92">
        <f t="shared" si="47"/>
        <v>24149.9999999996</v>
      </c>
      <c r="Y391" s="92">
        <f t="shared" si="49"/>
        <v>5.38</v>
      </c>
      <c r="Z391" s="92">
        <v>5.39</v>
      </c>
      <c r="AA391" s="92">
        <f t="shared" si="50"/>
        <v>49.9999999999989</v>
      </c>
      <c r="AB391" s="147">
        <f t="shared" si="48"/>
        <v>24099.9999999996</v>
      </c>
      <c r="AC391" s="148"/>
      <c r="AD391" s="144">
        <v>5.51</v>
      </c>
      <c r="AE391" s="143">
        <v>35.52</v>
      </c>
      <c r="AF391" s="143"/>
      <c r="AG391" s="143"/>
      <c r="AH391" s="143"/>
      <c r="AI391" s="143"/>
      <c r="AJ391" s="97" t="s">
        <v>85</v>
      </c>
    </row>
    <row r="392" customHeight="1" spans="2:36">
      <c r="B392" s="141">
        <v>46137</v>
      </c>
      <c r="C392" s="142">
        <v>46137</v>
      </c>
      <c r="D392" s="149">
        <v>0.306944444444444</v>
      </c>
      <c r="E392" s="105">
        <v>0.791666666666667</v>
      </c>
      <c r="F392" s="100">
        <v>1883.5</v>
      </c>
      <c r="G392" s="143">
        <v>1884.07</v>
      </c>
      <c r="H392" s="143">
        <v>1863.9</v>
      </c>
      <c r="I392" s="143">
        <v>1881.81</v>
      </c>
      <c r="J392" s="143">
        <v>1884.13</v>
      </c>
      <c r="K392" s="144">
        <v>1868.53</v>
      </c>
      <c r="L392" s="143">
        <v>1836.87</v>
      </c>
      <c r="M392" s="145">
        <v>1953.69</v>
      </c>
      <c r="N392" s="145">
        <v>1833.91</v>
      </c>
      <c r="O392" s="145">
        <v>1868.62</v>
      </c>
      <c r="P392" s="146">
        <v>1882.69</v>
      </c>
      <c r="Q392" s="145">
        <v>1888.94</v>
      </c>
      <c r="R392" s="146">
        <v>1849.72</v>
      </c>
      <c r="S392" s="145">
        <v>1881.25</v>
      </c>
      <c r="T392" s="146">
        <v>1862.06</v>
      </c>
      <c r="U392" s="94">
        <f t="shared" si="45"/>
        <v>28123.69</v>
      </c>
      <c r="V392" s="103">
        <f t="shared" si="46"/>
        <v>1188</v>
      </c>
      <c r="W392" s="143">
        <v>1194.55</v>
      </c>
      <c r="X392" s="92">
        <f t="shared" si="47"/>
        <v>32749.9999999998</v>
      </c>
      <c r="Y392" s="92">
        <f t="shared" si="49"/>
        <v>5.39</v>
      </c>
      <c r="Z392" s="92">
        <v>5.4</v>
      </c>
      <c r="AA392" s="92">
        <f t="shared" si="50"/>
        <v>50.0000000000034</v>
      </c>
      <c r="AB392" s="147">
        <f t="shared" si="48"/>
        <v>32699.9999999998</v>
      </c>
      <c r="AC392" s="148"/>
      <c r="AD392" s="144">
        <v>5.35</v>
      </c>
      <c r="AE392" s="143">
        <v>37.05</v>
      </c>
      <c r="AF392" s="143"/>
      <c r="AG392" s="143"/>
      <c r="AH392" s="143"/>
      <c r="AI392" s="143"/>
      <c r="AJ392" s="97" t="s">
        <v>85</v>
      </c>
    </row>
    <row r="393" customHeight="1" spans="2:36">
      <c r="B393" s="141">
        <v>46138</v>
      </c>
      <c r="C393" s="142">
        <v>46138</v>
      </c>
      <c r="D393" s="149">
        <v>0.270833333333333</v>
      </c>
      <c r="E393" s="105">
        <v>0.791666666666667</v>
      </c>
      <c r="F393" s="100">
        <v>1825.94</v>
      </c>
      <c r="G393" s="143">
        <v>1828.66</v>
      </c>
      <c r="H393" s="143">
        <v>1822.34</v>
      </c>
      <c r="I393" s="143">
        <v>1822.68</v>
      </c>
      <c r="J393" s="143">
        <v>1827.78</v>
      </c>
      <c r="K393" s="144">
        <v>1810.22</v>
      </c>
      <c r="L393" s="143">
        <v>1809.37</v>
      </c>
      <c r="M393" s="145">
        <v>1893.37</v>
      </c>
      <c r="N393" s="145">
        <v>1812.81</v>
      </c>
      <c r="O393" s="145">
        <v>1812.91</v>
      </c>
      <c r="P393" s="146">
        <v>1826.72</v>
      </c>
      <c r="Q393" s="145">
        <v>1832.78</v>
      </c>
      <c r="R393" s="146">
        <v>1795.65</v>
      </c>
      <c r="S393" s="145">
        <v>1760.53</v>
      </c>
      <c r="T393" s="146">
        <v>1764.88</v>
      </c>
      <c r="U393" s="94">
        <f t="shared" si="45"/>
        <v>27246.64</v>
      </c>
      <c r="V393" s="103">
        <f t="shared" si="46"/>
        <v>1194.55</v>
      </c>
      <c r="W393" s="143">
        <v>1199.94</v>
      </c>
      <c r="X393" s="92">
        <f t="shared" si="47"/>
        <v>26950.0000000005</v>
      </c>
      <c r="Y393" s="92">
        <f t="shared" si="49"/>
        <v>5.4</v>
      </c>
      <c r="Z393" s="92">
        <v>5.41</v>
      </c>
      <c r="AA393" s="92">
        <f t="shared" si="50"/>
        <v>49.9999999999989</v>
      </c>
      <c r="AB393" s="147">
        <f t="shared" si="48"/>
        <v>26900.0000000005</v>
      </c>
      <c r="AC393" s="148"/>
      <c r="AD393" s="144">
        <v>5.28</v>
      </c>
      <c r="AE393" s="143">
        <v>38</v>
      </c>
      <c r="AF393" s="143"/>
      <c r="AG393" s="143"/>
      <c r="AH393" s="143"/>
      <c r="AI393" s="143"/>
      <c r="AJ393" s="97" t="s">
        <v>85</v>
      </c>
    </row>
    <row r="394" customHeight="1" spans="2:36">
      <c r="B394" s="141">
        <v>46139</v>
      </c>
      <c r="C394" s="142">
        <v>46139</v>
      </c>
      <c r="D394" s="149">
        <v>0.270833333333333</v>
      </c>
      <c r="E394" s="105">
        <v>0.802083333333333</v>
      </c>
      <c r="F394" s="100">
        <v>1839.31</v>
      </c>
      <c r="G394" s="143">
        <v>1841.66</v>
      </c>
      <c r="H394" s="143">
        <v>1844.77</v>
      </c>
      <c r="I394" s="143">
        <v>1833.83</v>
      </c>
      <c r="J394" s="143">
        <v>1839.16</v>
      </c>
      <c r="K394" s="144">
        <v>1824.35</v>
      </c>
      <c r="L394" s="143">
        <v>1820.44</v>
      </c>
      <c r="M394" s="145">
        <v>1906.69</v>
      </c>
      <c r="N394" s="145">
        <v>1820.34</v>
      </c>
      <c r="O394" s="145">
        <v>1836.46</v>
      </c>
      <c r="P394" s="146">
        <v>1796.26</v>
      </c>
      <c r="Q394" s="145">
        <v>1832.52</v>
      </c>
      <c r="R394" s="146">
        <v>1815.52</v>
      </c>
      <c r="S394" s="145">
        <v>1805.27</v>
      </c>
      <c r="T394" s="146">
        <v>1822.62</v>
      </c>
      <c r="U394" s="94">
        <f t="shared" si="45"/>
        <v>27479.2</v>
      </c>
      <c r="V394" s="103">
        <f t="shared" si="46"/>
        <v>1199.94</v>
      </c>
      <c r="W394" s="143">
        <v>1205.38</v>
      </c>
      <c r="X394" s="92">
        <f t="shared" si="47"/>
        <v>27200.0000000003</v>
      </c>
      <c r="Y394" s="92">
        <f t="shared" si="49"/>
        <v>5.41</v>
      </c>
      <c r="Z394" s="92">
        <v>5.42</v>
      </c>
      <c r="AA394" s="92">
        <f t="shared" si="50"/>
        <v>49.9999999999989</v>
      </c>
      <c r="AB394" s="147">
        <f t="shared" si="48"/>
        <v>27150.0000000003</v>
      </c>
      <c r="AC394" s="148"/>
      <c r="AD394" s="144">
        <v>5.44</v>
      </c>
      <c r="AE394" s="143">
        <v>35.92</v>
      </c>
      <c r="AF394" s="143"/>
      <c r="AG394" s="143"/>
      <c r="AH394" s="143"/>
      <c r="AI394" s="143"/>
      <c r="AJ394" s="97" t="s">
        <v>85</v>
      </c>
    </row>
    <row r="395" customHeight="1" spans="2:36">
      <c r="B395" s="141">
        <v>46140</v>
      </c>
      <c r="C395" s="142">
        <v>46140</v>
      </c>
      <c r="D395" s="149">
        <v>0.270833333333333</v>
      </c>
      <c r="E395" s="105">
        <v>0.791666666666667</v>
      </c>
      <c r="F395" s="109">
        <v>1157.38</v>
      </c>
      <c r="G395" s="143">
        <v>1908.75</v>
      </c>
      <c r="H395" s="150">
        <v>1609.97</v>
      </c>
      <c r="I395" s="143">
        <v>1896.97</v>
      </c>
      <c r="J395" s="143">
        <v>1905</v>
      </c>
      <c r="K395" s="144">
        <v>1926.63</v>
      </c>
      <c r="L395" s="143">
        <v>1887.93</v>
      </c>
      <c r="M395" s="145">
        <v>1971.63</v>
      </c>
      <c r="N395" s="145">
        <v>1883.75</v>
      </c>
      <c r="O395" s="145">
        <v>1885.16</v>
      </c>
      <c r="P395" s="146">
        <v>1900.69</v>
      </c>
      <c r="Q395" s="145">
        <v>1912.82</v>
      </c>
      <c r="R395" s="146">
        <v>1871.9</v>
      </c>
      <c r="S395" s="145">
        <v>1866.57</v>
      </c>
      <c r="T395" s="146">
        <v>1849.63</v>
      </c>
      <c r="U395" s="94">
        <f t="shared" si="45"/>
        <v>27434.78</v>
      </c>
      <c r="V395" s="103">
        <f t="shared" si="46"/>
        <v>1205.38</v>
      </c>
      <c r="W395" s="143">
        <v>1210.8</v>
      </c>
      <c r="X395" s="92">
        <f t="shared" si="47"/>
        <v>27099.9999999992</v>
      </c>
      <c r="Y395" s="92">
        <f t="shared" si="49"/>
        <v>5.42</v>
      </c>
      <c r="Z395" s="92">
        <v>5.43</v>
      </c>
      <c r="AA395" s="92">
        <f t="shared" si="50"/>
        <v>49.9999999999989</v>
      </c>
      <c r="AB395" s="147">
        <f t="shared" si="48"/>
        <v>27049.9999999992</v>
      </c>
      <c r="AC395" s="148"/>
      <c r="AD395" s="144">
        <v>5.66</v>
      </c>
      <c r="AE395" s="143">
        <v>34.96</v>
      </c>
      <c r="AF395" s="143"/>
      <c r="AG395" s="143"/>
      <c r="AH395" s="143"/>
      <c r="AI395" s="143"/>
      <c r="AJ395" s="97" t="s">
        <v>85</v>
      </c>
    </row>
    <row r="396" customHeight="1" spans="2:36">
      <c r="B396" s="141">
        <v>46141</v>
      </c>
      <c r="C396" s="142">
        <v>46141</v>
      </c>
      <c r="D396" s="149">
        <v>0.270833333333333</v>
      </c>
      <c r="E396" s="105">
        <v>0.791666666666667</v>
      </c>
      <c r="F396" s="100">
        <v>1941.09</v>
      </c>
      <c r="G396" s="143">
        <v>1901.1</v>
      </c>
      <c r="H396" s="143">
        <v>1940.72</v>
      </c>
      <c r="I396" s="143">
        <v>1892.34</v>
      </c>
      <c r="J396" s="143">
        <v>1895.46</v>
      </c>
      <c r="K396" s="144">
        <v>1927.46</v>
      </c>
      <c r="L396" s="143">
        <v>1879.19</v>
      </c>
      <c r="M396" s="145">
        <v>1960.81</v>
      </c>
      <c r="N396" s="145">
        <v>1878.94</v>
      </c>
      <c r="O396" s="145">
        <v>1881.9</v>
      </c>
      <c r="P396" s="146">
        <v>1897.5</v>
      </c>
      <c r="Q396" s="145">
        <v>1908.15</v>
      </c>
      <c r="R396" s="146">
        <v>1870.94</v>
      </c>
      <c r="S396" s="145">
        <v>1863.7</v>
      </c>
      <c r="T396" s="146">
        <v>1887.97</v>
      </c>
      <c r="U396" s="94">
        <f t="shared" si="45"/>
        <v>28527.27</v>
      </c>
      <c r="V396" s="103">
        <f t="shared" si="46"/>
        <v>1210.8</v>
      </c>
      <c r="W396" s="143">
        <v>1216.45</v>
      </c>
      <c r="X396" s="92">
        <f t="shared" si="47"/>
        <v>28250.0000000005</v>
      </c>
      <c r="Y396" s="92">
        <f t="shared" si="49"/>
        <v>5.43</v>
      </c>
      <c r="Z396" s="92">
        <v>5.44</v>
      </c>
      <c r="AA396" s="92">
        <f t="shared" si="50"/>
        <v>50.0000000000034</v>
      </c>
      <c r="AB396" s="147">
        <f t="shared" si="48"/>
        <v>28200.0000000005</v>
      </c>
      <c r="AC396" s="148"/>
      <c r="AD396" s="144">
        <v>5.62</v>
      </c>
      <c r="AE396" s="143">
        <v>34.11</v>
      </c>
      <c r="AF396" s="143"/>
      <c r="AG396" s="143"/>
      <c r="AH396" s="143"/>
      <c r="AI396" s="143"/>
      <c r="AJ396" s="97" t="s">
        <v>85</v>
      </c>
    </row>
    <row r="397" customHeight="1" spans="2:36">
      <c r="B397" s="141">
        <v>46142</v>
      </c>
      <c r="C397" s="142">
        <v>46142</v>
      </c>
      <c r="D397" s="149">
        <v>0.270833333333333</v>
      </c>
      <c r="E397" s="105">
        <v>0.791666666666667</v>
      </c>
      <c r="F397" s="100">
        <v>1908.53</v>
      </c>
      <c r="G397" s="143">
        <v>1866.22</v>
      </c>
      <c r="H397" s="143">
        <v>1907.25</v>
      </c>
      <c r="I397" s="143">
        <v>1853.53</v>
      </c>
      <c r="J397" s="143">
        <v>1860.25</v>
      </c>
      <c r="K397" s="144">
        <v>1894.06</v>
      </c>
      <c r="L397" s="143">
        <v>1841.82</v>
      </c>
      <c r="M397" s="145">
        <v>1925.37</v>
      </c>
      <c r="N397" s="145">
        <v>1846.43</v>
      </c>
      <c r="O397" s="145">
        <v>1851.37</v>
      </c>
      <c r="P397" s="146">
        <v>1866.97</v>
      </c>
      <c r="Q397" s="145">
        <v>1873.69</v>
      </c>
      <c r="R397" s="146">
        <v>1837.19</v>
      </c>
      <c r="S397" s="145">
        <v>1832.66</v>
      </c>
      <c r="T397" s="146">
        <v>1854.69</v>
      </c>
      <c r="U397" s="94">
        <f t="shared" si="45"/>
        <v>28020.03</v>
      </c>
      <c r="V397" s="103">
        <f t="shared" si="46"/>
        <v>1216.45</v>
      </c>
      <c r="W397" s="143">
        <v>1221.99</v>
      </c>
      <c r="X397" s="92">
        <f t="shared" si="47"/>
        <v>27699.9999999998</v>
      </c>
      <c r="Y397" s="92">
        <f t="shared" si="49"/>
        <v>5.44</v>
      </c>
      <c r="Z397" s="92">
        <v>5.45</v>
      </c>
      <c r="AA397" s="92">
        <f t="shared" si="50"/>
        <v>49.9999999999989</v>
      </c>
      <c r="AB397" s="147">
        <f t="shared" si="48"/>
        <v>27649.9999999998</v>
      </c>
      <c r="AC397" s="148"/>
      <c r="AD397" s="144">
        <v>5.48</v>
      </c>
      <c r="AE397" s="143">
        <v>34.47</v>
      </c>
      <c r="AF397" s="143"/>
      <c r="AG397" s="143"/>
      <c r="AH397" s="143"/>
      <c r="AI397" s="143"/>
      <c r="AJ397" s="97" t="s">
        <v>85</v>
      </c>
    </row>
    <row r="398" customHeight="1" spans="2:36">
      <c r="B398" s="141">
        <v>46143</v>
      </c>
      <c r="C398" s="142">
        <v>46143</v>
      </c>
      <c r="D398" s="149">
        <v>0.270833333333333</v>
      </c>
      <c r="E398" s="105">
        <v>0.791666666666667</v>
      </c>
      <c r="F398" s="100">
        <v>1869.17</v>
      </c>
      <c r="G398" s="143">
        <v>1838.43</v>
      </c>
      <c r="H398" s="143">
        <v>1863.34</v>
      </c>
      <c r="I398" s="143">
        <v>1828.01</v>
      </c>
      <c r="J398" s="143">
        <v>1818.82</v>
      </c>
      <c r="K398" s="144">
        <v>1857.95</v>
      </c>
      <c r="L398" s="143">
        <v>1812.51</v>
      </c>
      <c r="M398" s="145">
        <v>1883.68</v>
      </c>
      <c r="N398" s="145">
        <v>1802.26</v>
      </c>
      <c r="O398" s="145">
        <v>1802.93</v>
      </c>
      <c r="P398" s="146">
        <v>1815.74</v>
      </c>
      <c r="Q398" s="145">
        <v>1826.47</v>
      </c>
      <c r="R398" s="146">
        <v>1790.45</v>
      </c>
      <c r="S398" s="145">
        <v>1784.04</v>
      </c>
      <c r="T398" s="146">
        <v>1805.15</v>
      </c>
      <c r="U398" s="94">
        <f t="shared" si="45"/>
        <v>27398.95</v>
      </c>
      <c r="V398" s="103">
        <f t="shared" si="46"/>
        <v>1221.99</v>
      </c>
      <c r="W398" s="143">
        <v>1227.42</v>
      </c>
      <c r="X398" s="92">
        <f t="shared" si="47"/>
        <v>27150.0000000003</v>
      </c>
      <c r="Y398" s="92">
        <f t="shared" si="49"/>
        <v>5.45</v>
      </c>
      <c r="Z398" s="92">
        <v>5.46</v>
      </c>
      <c r="AA398" s="92">
        <f t="shared" si="50"/>
        <v>49.9999999999989</v>
      </c>
      <c r="AB398" s="147">
        <f t="shared" si="48"/>
        <v>27100.0000000003</v>
      </c>
      <c r="AC398" s="148"/>
      <c r="AD398" s="144">
        <v>5.57</v>
      </c>
      <c r="AE398" s="143">
        <v>32.84</v>
      </c>
      <c r="AF398" s="143"/>
      <c r="AG398" s="143"/>
      <c r="AH398" s="143"/>
      <c r="AI398" s="143"/>
      <c r="AJ398" s="97" t="s">
        <v>85</v>
      </c>
    </row>
    <row r="399" customHeight="1" spans="2:36">
      <c r="B399" s="141">
        <v>46144</v>
      </c>
      <c r="C399" s="142">
        <v>46144</v>
      </c>
      <c r="D399" s="151">
        <v>0.270833333333333</v>
      </c>
      <c r="E399" s="105">
        <v>0.791666666666667</v>
      </c>
      <c r="F399" s="100">
        <v>1917.65</v>
      </c>
      <c r="G399" s="143">
        <v>1904.32</v>
      </c>
      <c r="H399" s="144">
        <v>1911.2</v>
      </c>
      <c r="I399" s="143">
        <v>1924.93</v>
      </c>
      <c r="J399" s="143">
        <v>1864.92</v>
      </c>
      <c r="K399" s="144">
        <v>1909.51</v>
      </c>
      <c r="L399" s="143">
        <v>1896.55</v>
      </c>
      <c r="M399" s="145">
        <v>1929.03</v>
      </c>
      <c r="N399" s="145">
        <v>1850.71</v>
      </c>
      <c r="O399" s="145">
        <v>1852.71</v>
      </c>
      <c r="P399" s="146">
        <v>1863.83</v>
      </c>
      <c r="Q399" s="145">
        <v>1876.69</v>
      </c>
      <c r="R399" s="146">
        <v>1839.59</v>
      </c>
      <c r="S399" s="145">
        <v>1834.46</v>
      </c>
      <c r="T399" s="146">
        <v>1848.27</v>
      </c>
      <c r="U399" s="94">
        <f t="shared" si="45"/>
        <v>28224.37</v>
      </c>
      <c r="V399" s="103">
        <f t="shared" si="46"/>
        <v>1227.42</v>
      </c>
      <c r="W399" s="143">
        <v>1232.99</v>
      </c>
      <c r="X399" s="92">
        <f t="shared" si="47"/>
        <v>27849.9999999997</v>
      </c>
      <c r="Y399" s="92">
        <v>5.46</v>
      </c>
      <c r="Z399" s="92">
        <v>5.47</v>
      </c>
      <c r="AA399" s="92">
        <f t="shared" si="50"/>
        <v>49.9999999999989</v>
      </c>
      <c r="AB399" s="147">
        <f t="shared" si="48"/>
        <v>27799.9999999997</v>
      </c>
      <c r="AC399" s="148"/>
      <c r="AD399" s="144">
        <v>5.54</v>
      </c>
      <c r="AE399" s="143">
        <v>33.54</v>
      </c>
      <c r="AF399" s="143"/>
      <c r="AG399" s="143"/>
      <c r="AH399" s="143"/>
      <c r="AI399" s="143"/>
      <c r="AJ399" s="97" t="s">
        <v>85</v>
      </c>
    </row>
    <row r="400" customHeight="1" spans="2:36">
      <c r="B400" s="141">
        <v>46145</v>
      </c>
      <c r="C400" s="142">
        <v>46145</v>
      </c>
      <c r="D400" s="151">
        <v>0.270833333333333</v>
      </c>
      <c r="E400" s="105">
        <v>0.802083333333333</v>
      </c>
      <c r="F400" s="100">
        <v>1937.05</v>
      </c>
      <c r="G400" s="143">
        <v>1948.3</v>
      </c>
      <c r="H400" s="150">
        <v>1440.95</v>
      </c>
      <c r="I400" s="143">
        <v>1952.25</v>
      </c>
      <c r="J400" s="143">
        <v>1930.35</v>
      </c>
      <c r="K400" s="144">
        <v>1930.3</v>
      </c>
      <c r="L400" s="143">
        <v>1934.37</v>
      </c>
      <c r="M400" s="145">
        <v>1988.34</v>
      </c>
      <c r="N400" s="145">
        <v>1866.22</v>
      </c>
      <c r="O400" s="145">
        <v>1869.04</v>
      </c>
      <c r="P400" s="146">
        <v>1882.1</v>
      </c>
      <c r="Q400" s="145">
        <v>1895.04</v>
      </c>
      <c r="R400" s="146">
        <v>1855.27</v>
      </c>
      <c r="S400" s="145">
        <v>1851.91</v>
      </c>
      <c r="T400" s="146">
        <v>1870.79</v>
      </c>
      <c r="U400" s="94">
        <f t="shared" si="45"/>
        <v>28152.28</v>
      </c>
      <c r="V400" s="103">
        <f t="shared" si="46"/>
        <v>1232.99</v>
      </c>
      <c r="W400" s="143">
        <v>1238.56</v>
      </c>
      <c r="X400" s="92">
        <f t="shared" si="47"/>
        <v>27849.9999999997</v>
      </c>
      <c r="Y400" s="92">
        <f t="shared" si="49"/>
        <v>5.47</v>
      </c>
      <c r="Z400" s="92">
        <v>5.48</v>
      </c>
      <c r="AA400" s="92">
        <f t="shared" si="50"/>
        <v>50.0000000000034</v>
      </c>
      <c r="AB400" s="147">
        <f t="shared" si="48"/>
        <v>27799.9999999997</v>
      </c>
      <c r="AC400" s="148"/>
      <c r="AD400" s="144">
        <v>4.4</v>
      </c>
      <c r="AE400" s="143">
        <v>32.52</v>
      </c>
      <c r="AF400" s="143"/>
      <c r="AG400" s="143"/>
      <c r="AH400" s="143"/>
      <c r="AI400" s="143"/>
      <c r="AJ400" s="97" t="s">
        <v>85</v>
      </c>
    </row>
    <row r="401" customHeight="1" spans="2:36">
      <c r="B401" s="141">
        <v>46146</v>
      </c>
      <c r="C401" s="142">
        <v>46146</v>
      </c>
      <c r="D401" s="151">
        <v>0.270833333333333</v>
      </c>
      <c r="E401" s="105">
        <v>0.791666666666667</v>
      </c>
      <c r="F401" s="100">
        <v>1893.05</v>
      </c>
      <c r="G401" s="143">
        <v>1898.09</v>
      </c>
      <c r="H401" s="143">
        <v>1886.02</v>
      </c>
      <c r="I401" s="143">
        <v>1896.49</v>
      </c>
      <c r="J401" s="143">
        <v>1887.15</v>
      </c>
      <c r="K401" s="144">
        <v>1883.92</v>
      </c>
      <c r="L401" s="143">
        <v>1879.63</v>
      </c>
      <c r="M401" s="145">
        <v>1960.56</v>
      </c>
      <c r="N401" s="145">
        <v>1807.19</v>
      </c>
      <c r="O401" s="145">
        <v>1818.87</v>
      </c>
      <c r="P401" s="146">
        <v>1822.3</v>
      </c>
      <c r="Q401" s="145">
        <v>1817.33</v>
      </c>
      <c r="R401" s="146">
        <v>1782.09</v>
      </c>
      <c r="S401" s="145">
        <v>1775.12</v>
      </c>
      <c r="T401" s="146">
        <v>1795.12</v>
      </c>
      <c r="U401" s="94">
        <f t="shared" si="45"/>
        <v>27802.93</v>
      </c>
      <c r="V401" s="103">
        <f t="shared" si="46"/>
        <v>1238.56</v>
      </c>
      <c r="W401" s="143">
        <v>1244.06</v>
      </c>
      <c r="X401" s="92">
        <f t="shared" si="47"/>
        <v>27500</v>
      </c>
      <c r="Y401" s="92">
        <f t="shared" si="49"/>
        <v>5.48</v>
      </c>
      <c r="Z401" s="92">
        <v>5.49</v>
      </c>
      <c r="AA401" s="92">
        <f t="shared" si="50"/>
        <v>49.9999999999989</v>
      </c>
      <c r="AB401" s="147">
        <f t="shared" si="48"/>
        <v>27450</v>
      </c>
      <c r="AC401" s="148"/>
      <c r="AD401" s="144">
        <v>5.52</v>
      </c>
      <c r="AE401" s="143">
        <v>32.35</v>
      </c>
      <c r="AF401" s="143"/>
      <c r="AG401" s="143"/>
      <c r="AH401" s="143"/>
      <c r="AI401" s="143"/>
      <c r="AJ401" s="97" t="s">
        <v>85</v>
      </c>
    </row>
    <row r="402" customHeight="1" spans="2:36">
      <c r="B402" s="141">
        <v>46147</v>
      </c>
      <c r="C402" s="142">
        <v>46147</v>
      </c>
      <c r="D402" s="151">
        <v>0.28125</v>
      </c>
      <c r="E402" s="105">
        <v>0.791666666666667</v>
      </c>
      <c r="F402" s="100">
        <v>1876.38</v>
      </c>
      <c r="G402" s="143">
        <v>1888.83</v>
      </c>
      <c r="H402" s="143">
        <v>1868.57</v>
      </c>
      <c r="I402" s="143">
        <v>1878.34</v>
      </c>
      <c r="J402" s="143">
        <v>1876.51</v>
      </c>
      <c r="K402" s="144">
        <v>1870.85</v>
      </c>
      <c r="L402" s="143">
        <v>1866.07</v>
      </c>
      <c r="M402" s="145">
        <v>1946.28</v>
      </c>
      <c r="N402" s="145">
        <v>1864.28</v>
      </c>
      <c r="O402" s="145">
        <v>1875.15</v>
      </c>
      <c r="P402" s="146">
        <v>1828.23</v>
      </c>
      <c r="Q402" s="145">
        <v>1879.54</v>
      </c>
      <c r="R402" s="146">
        <v>1858.3</v>
      </c>
      <c r="S402" s="145">
        <v>1859.36</v>
      </c>
      <c r="T402" s="146">
        <v>1867.41</v>
      </c>
      <c r="U402" s="94">
        <f t="shared" si="45"/>
        <v>28104.1</v>
      </c>
      <c r="V402" s="103">
        <f t="shared" si="46"/>
        <v>1244.06</v>
      </c>
      <c r="W402" s="143">
        <v>1249.62</v>
      </c>
      <c r="X402" s="92">
        <f t="shared" si="47"/>
        <v>27799.9999999997</v>
      </c>
      <c r="Y402" s="92">
        <f t="shared" si="49"/>
        <v>5.49</v>
      </c>
      <c r="Z402" s="138">
        <v>5.5</v>
      </c>
      <c r="AA402" s="92">
        <f t="shared" si="50"/>
        <v>49.9999999999989</v>
      </c>
      <c r="AB402" s="147">
        <f t="shared" si="48"/>
        <v>27749.9999999997</v>
      </c>
      <c r="AC402" s="148"/>
      <c r="AD402" s="144">
        <v>5.36</v>
      </c>
      <c r="AE402" s="143">
        <v>33.68</v>
      </c>
      <c r="AF402" s="143"/>
      <c r="AG402" s="143"/>
      <c r="AH402" s="143"/>
      <c r="AI402" s="143"/>
      <c r="AJ402" s="97" t="s">
        <v>85</v>
      </c>
    </row>
    <row r="403" customHeight="1" spans="2:36">
      <c r="B403" s="141">
        <v>46148</v>
      </c>
      <c r="C403" s="142">
        <v>46148</v>
      </c>
      <c r="D403" s="151">
        <v>0.270833333333333</v>
      </c>
      <c r="E403" s="105">
        <v>0.802083333333333</v>
      </c>
      <c r="F403" s="100">
        <v>1901.82</v>
      </c>
      <c r="G403" s="143">
        <v>1912.09</v>
      </c>
      <c r="H403" s="143">
        <v>1891.74</v>
      </c>
      <c r="I403" s="143">
        <v>1900.74</v>
      </c>
      <c r="J403" s="144">
        <v>1901.2</v>
      </c>
      <c r="K403" s="144">
        <v>1891.91</v>
      </c>
      <c r="L403" s="143">
        <v>1885.84</v>
      </c>
      <c r="M403" s="145">
        <v>1973.33</v>
      </c>
      <c r="N403" s="145">
        <v>1896.13</v>
      </c>
      <c r="O403" s="145">
        <v>1905.73</v>
      </c>
      <c r="P403" s="146">
        <v>1904.3</v>
      </c>
      <c r="Q403" s="145">
        <v>1904.12</v>
      </c>
      <c r="R403" s="146">
        <v>1884.77</v>
      </c>
      <c r="S403" s="145">
        <v>1884.37</v>
      </c>
      <c r="T403" s="146">
        <v>1890.68</v>
      </c>
      <c r="U403" s="94">
        <f t="shared" si="45"/>
        <v>28528.77</v>
      </c>
      <c r="V403" s="103">
        <f t="shared" si="46"/>
        <v>1249.62</v>
      </c>
      <c r="W403" s="143">
        <v>1255.26</v>
      </c>
      <c r="X403" s="92">
        <f t="shared" si="47"/>
        <v>28200.0000000005</v>
      </c>
      <c r="Y403" s="138">
        <v>5.5</v>
      </c>
      <c r="Z403" s="92">
        <v>5.51</v>
      </c>
      <c r="AA403" s="92">
        <f t="shared" si="50"/>
        <v>49.9999999999989</v>
      </c>
      <c r="AB403" s="147">
        <f t="shared" si="48"/>
        <v>28150.0000000005</v>
      </c>
      <c r="AC403" s="148"/>
      <c r="AD403" s="144">
        <v>5.67</v>
      </c>
      <c r="AE403" s="143">
        <v>34.28</v>
      </c>
      <c r="AF403" s="143"/>
      <c r="AG403" s="143"/>
      <c r="AH403" s="143"/>
      <c r="AI403" s="143"/>
      <c r="AJ403" s="97" t="s">
        <v>85</v>
      </c>
    </row>
    <row r="404" customHeight="1" spans="2:36">
      <c r="B404" s="141">
        <v>46149</v>
      </c>
      <c r="C404" s="142">
        <v>46149</v>
      </c>
      <c r="D404" s="151">
        <v>0.270833333333333</v>
      </c>
      <c r="E404" s="105">
        <v>0.802083333333333</v>
      </c>
      <c r="F404" s="100">
        <v>1895.09</v>
      </c>
      <c r="G404" s="143">
        <v>1905.21</v>
      </c>
      <c r="H404" s="143">
        <v>1887.11</v>
      </c>
      <c r="I404" s="143">
        <v>1897.83</v>
      </c>
      <c r="J404" s="143">
        <v>1896.04</v>
      </c>
      <c r="K404" s="144">
        <v>1845.39</v>
      </c>
      <c r="L404" s="143">
        <v>1882.74</v>
      </c>
      <c r="M404" s="145">
        <v>1967.38</v>
      </c>
      <c r="N404" s="145">
        <v>1899.75</v>
      </c>
      <c r="O404" s="145">
        <v>1904.47</v>
      </c>
      <c r="P404" s="146">
        <v>1870.01</v>
      </c>
      <c r="Q404" s="145">
        <v>1902.96</v>
      </c>
      <c r="R404" s="146">
        <v>1881.39</v>
      </c>
      <c r="S404" s="145">
        <v>1880.88</v>
      </c>
      <c r="T404" s="146">
        <v>1889.55</v>
      </c>
      <c r="U404" s="94">
        <f t="shared" si="45"/>
        <v>28405.8</v>
      </c>
      <c r="V404" s="103">
        <f t="shared" si="46"/>
        <v>1255.26</v>
      </c>
      <c r="W404" s="143">
        <v>1260.88</v>
      </c>
      <c r="X404" s="92">
        <f t="shared" si="47"/>
        <v>28100.0000000006</v>
      </c>
      <c r="Y404" s="138">
        <v>5.5</v>
      </c>
      <c r="Z404" s="92">
        <v>5.52</v>
      </c>
      <c r="AA404" s="92">
        <f t="shared" si="50"/>
        <v>99.9999999999979</v>
      </c>
      <c r="AB404" s="147">
        <f t="shared" si="48"/>
        <v>28000.0000000006</v>
      </c>
      <c r="AC404" s="148"/>
      <c r="AD404" s="144">
        <v>5.76</v>
      </c>
      <c r="AE404" s="143">
        <v>34.88</v>
      </c>
      <c r="AF404" s="143"/>
      <c r="AG404" s="143"/>
      <c r="AH404" s="143"/>
      <c r="AI404" s="143"/>
      <c r="AJ404" s="97" t="s">
        <v>85</v>
      </c>
    </row>
    <row r="405" customHeight="1" spans="2:36">
      <c r="B405" s="141">
        <v>46150</v>
      </c>
      <c r="C405" s="142">
        <v>46150</v>
      </c>
      <c r="D405" s="151">
        <v>0.270833333333333</v>
      </c>
      <c r="E405" s="105">
        <v>0.802083333333333</v>
      </c>
      <c r="F405" s="100">
        <v>1892.81</v>
      </c>
      <c r="G405" s="143">
        <v>1901.43</v>
      </c>
      <c r="H405" s="143">
        <v>1883.33</v>
      </c>
      <c r="I405" s="143">
        <v>1895.94</v>
      </c>
      <c r="J405" s="143">
        <v>1891.86</v>
      </c>
      <c r="K405" s="144">
        <v>1884.48</v>
      </c>
      <c r="L405" s="144">
        <v>1882.9</v>
      </c>
      <c r="M405" s="145">
        <v>1965.82</v>
      </c>
      <c r="N405" s="145">
        <v>1895.29</v>
      </c>
      <c r="O405" s="145">
        <v>1892.93</v>
      </c>
      <c r="P405" s="146">
        <v>1895.43</v>
      </c>
      <c r="Q405" s="145">
        <v>1909.39</v>
      </c>
      <c r="R405" s="146">
        <v>1889.4</v>
      </c>
      <c r="S405" s="145">
        <v>1883.31</v>
      </c>
      <c r="T405" s="146">
        <v>1898.91</v>
      </c>
      <c r="U405" s="94">
        <f t="shared" si="45"/>
        <v>28463.23</v>
      </c>
      <c r="V405" s="103">
        <f t="shared" si="46"/>
        <v>1260.88</v>
      </c>
      <c r="W405" s="143">
        <v>1266.51</v>
      </c>
      <c r="X405" s="92">
        <f t="shared" si="47"/>
        <v>28149.9999999994</v>
      </c>
      <c r="Y405" s="138">
        <v>5.52</v>
      </c>
      <c r="Z405" s="92">
        <v>5.53</v>
      </c>
      <c r="AA405" s="92">
        <f t="shared" si="50"/>
        <v>50.0000000000034</v>
      </c>
      <c r="AB405" s="147">
        <f t="shared" si="48"/>
        <v>28099.9999999994</v>
      </c>
      <c r="AC405" s="148"/>
      <c r="AD405" s="144">
        <v>5.73</v>
      </c>
      <c r="AE405" s="143">
        <v>35</v>
      </c>
      <c r="AF405" s="143"/>
      <c r="AG405" s="143"/>
      <c r="AH405" s="143"/>
      <c r="AI405" s="143"/>
      <c r="AJ405" s="97" t="s">
        <v>85</v>
      </c>
    </row>
    <row r="406" customHeight="1" spans="2:36">
      <c r="B406" s="141">
        <v>46151</v>
      </c>
      <c r="C406" s="142">
        <v>46151</v>
      </c>
      <c r="D406" s="151">
        <v>0.270833333333333</v>
      </c>
      <c r="E406" s="105">
        <v>0.802083333333333</v>
      </c>
      <c r="F406" s="100">
        <v>1883.95</v>
      </c>
      <c r="G406" s="143">
        <v>1877.94</v>
      </c>
      <c r="H406" s="143">
        <v>1881.46</v>
      </c>
      <c r="I406" s="143">
        <v>1869.16</v>
      </c>
      <c r="J406" s="143">
        <v>1871.31</v>
      </c>
      <c r="K406" s="144">
        <v>1877.64</v>
      </c>
      <c r="L406" s="143">
        <v>1858.26</v>
      </c>
      <c r="M406" s="145">
        <v>1939.66</v>
      </c>
      <c r="N406" s="145">
        <v>1881.92</v>
      </c>
      <c r="O406" s="146">
        <v>1881.4</v>
      </c>
      <c r="P406" s="146">
        <v>1880.31</v>
      </c>
      <c r="Q406" s="145">
        <v>1889.64</v>
      </c>
      <c r="R406" s="146">
        <v>1849.93</v>
      </c>
      <c r="S406" s="145">
        <v>1888.25</v>
      </c>
      <c r="T406" s="146">
        <v>1887.47</v>
      </c>
      <c r="U406" s="94">
        <f t="shared" si="45"/>
        <v>28218.3</v>
      </c>
      <c r="V406" s="103">
        <f t="shared" si="46"/>
        <v>1266.51</v>
      </c>
      <c r="W406" s="143">
        <v>1272.09</v>
      </c>
      <c r="X406" s="92">
        <f t="shared" si="47"/>
        <v>27899.9999999996</v>
      </c>
      <c r="Y406" s="92">
        <v>5.53</v>
      </c>
      <c r="Z406" s="92">
        <v>5.54</v>
      </c>
      <c r="AA406" s="92">
        <f t="shared" si="50"/>
        <v>49.9999999999989</v>
      </c>
      <c r="AB406" s="147">
        <f t="shared" si="48"/>
        <v>27849.9999999996</v>
      </c>
      <c r="AC406" s="148"/>
      <c r="AD406" s="144">
        <v>5.61</v>
      </c>
      <c r="AE406" s="143">
        <v>36.44</v>
      </c>
      <c r="AF406" s="143"/>
      <c r="AG406" s="143"/>
      <c r="AH406" s="143"/>
      <c r="AI406" s="143"/>
      <c r="AJ406" s="97" t="s">
        <v>85</v>
      </c>
    </row>
    <row r="407" customHeight="1" spans="2:36">
      <c r="B407" s="141">
        <v>46152</v>
      </c>
      <c r="C407" s="142">
        <v>46152</v>
      </c>
      <c r="D407" s="151">
        <v>0.270833333333333</v>
      </c>
      <c r="E407" s="105">
        <v>0.8125</v>
      </c>
      <c r="F407" s="100">
        <v>1936.11</v>
      </c>
      <c r="G407" s="143">
        <v>1936.33</v>
      </c>
      <c r="H407" s="143">
        <v>1937.29</v>
      </c>
      <c r="I407" s="143">
        <v>1942.12</v>
      </c>
      <c r="J407" s="143">
        <v>1919.11</v>
      </c>
      <c r="K407" s="144">
        <v>1932.23</v>
      </c>
      <c r="L407" s="143">
        <v>1920.01</v>
      </c>
      <c r="M407" s="145">
        <v>1981.51</v>
      </c>
      <c r="N407" s="146">
        <v>1929.5</v>
      </c>
      <c r="O407" s="145">
        <v>1932.17</v>
      </c>
      <c r="P407" s="146">
        <v>1927.81</v>
      </c>
      <c r="Q407" s="146">
        <v>1936.5</v>
      </c>
      <c r="R407" s="146">
        <v>1938.73</v>
      </c>
      <c r="S407" s="145">
        <v>1931.67</v>
      </c>
      <c r="T407" s="146">
        <v>1933.63</v>
      </c>
      <c r="U407" s="94">
        <f t="shared" si="45"/>
        <v>29034.72</v>
      </c>
      <c r="V407" s="103">
        <f t="shared" si="46"/>
        <v>1272.09</v>
      </c>
      <c r="W407" s="143">
        <v>1277.83</v>
      </c>
      <c r="X407" s="92">
        <f t="shared" si="47"/>
        <v>28700</v>
      </c>
      <c r="Y407" s="92">
        <v>5.54</v>
      </c>
      <c r="Z407" s="92">
        <v>5.55</v>
      </c>
      <c r="AA407" s="92">
        <f t="shared" si="50"/>
        <v>49.9999999999989</v>
      </c>
      <c r="AB407" s="147">
        <f t="shared" si="48"/>
        <v>28650</v>
      </c>
      <c r="AC407" s="148"/>
      <c r="AD407" s="144">
        <v>5.57</v>
      </c>
      <c r="AE407" s="143">
        <v>37.4</v>
      </c>
      <c r="AF407" s="143"/>
      <c r="AG407" s="143"/>
      <c r="AH407" s="143"/>
      <c r="AI407" s="143"/>
      <c r="AJ407" s="97" t="s">
        <v>85</v>
      </c>
    </row>
    <row r="408" customHeight="1" spans="2:36">
      <c r="B408" s="141">
        <v>46153</v>
      </c>
      <c r="C408" s="142">
        <v>46153</v>
      </c>
      <c r="D408" s="151">
        <v>0.3125</v>
      </c>
      <c r="E408" s="105">
        <v>0.302083333333333</v>
      </c>
      <c r="F408" s="100">
        <v>1917.89</v>
      </c>
      <c r="G408" s="143">
        <v>1939.45</v>
      </c>
      <c r="H408" s="143">
        <v>1910.41</v>
      </c>
      <c r="I408" s="143">
        <v>1921.55</v>
      </c>
      <c r="J408" s="143">
        <v>1931.08</v>
      </c>
      <c r="K408" s="144">
        <v>1906.39</v>
      </c>
      <c r="L408" s="143">
        <v>1901.35</v>
      </c>
      <c r="M408" s="145">
        <v>1992.85</v>
      </c>
      <c r="N408" s="146">
        <v>1899.8</v>
      </c>
      <c r="O408" s="145">
        <v>1902.84</v>
      </c>
      <c r="P408" s="146">
        <v>1899.65</v>
      </c>
      <c r="Q408" s="145">
        <v>1908.91</v>
      </c>
      <c r="R408" s="146">
        <v>1912.4</v>
      </c>
      <c r="S408" s="145">
        <v>1896.15</v>
      </c>
      <c r="T408" s="146">
        <v>1907.92</v>
      </c>
      <c r="U408" s="94">
        <f t="shared" si="45"/>
        <v>28748.64</v>
      </c>
      <c r="V408" s="103">
        <v>1277.83</v>
      </c>
      <c r="W408" s="143">
        <v>1283.52</v>
      </c>
      <c r="X408" s="92">
        <f t="shared" si="47"/>
        <v>28450.0000000003</v>
      </c>
      <c r="Y408" s="92">
        <v>5.55</v>
      </c>
      <c r="Z408" s="92">
        <v>5.56</v>
      </c>
      <c r="AA408" s="92">
        <f t="shared" si="50"/>
        <v>49.9999999999989</v>
      </c>
      <c r="AB408" s="147">
        <f t="shared" si="48"/>
        <v>28400.0000000003</v>
      </c>
      <c r="AC408" s="148"/>
      <c r="AD408" s="144">
        <v>5.48</v>
      </c>
      <c r="AE408" s="143">
        <v>37.02</v>
      </c>
      <c r="AF408" s="143"/>
      <c r="AG408" s="143"/>
      <c r="AH408" s="143"/>
      <c r="AI408" s="143"/>
      <c r="AJ408" s="97" t="s">
        <v>85</v>
      </c>
    </row>
    <row r="409" customHeight="1" spans="2:36">
      <c r="B409" s="141">
        <v>46154</v>
      </c>
      <c r="C409" s="142">
        <v>46154</v>
      </c>
      <c r="D409" s="151">
        <v>0.270833333333333</v>
      </c>
      <c r="E409" s="105">
        <v>0.802083333333333</v>
      </c>
      <c r="F409" s="100">
        <v>1855.91</v>
      </c>
      <c r="G409" s="143">
        <v>1878.97</v>
      </c>
      <c r="H409" s="143">
        <v>1852.69</v>
      </c>
      <c r="I409" s="143">
        <v>1874.22</v>
      </c>
      <c r="J409" s="143">
        <v>1871.33</v>
      </c>
      <c r="K409" s="144">
        <v>1849.47</v>
      </c>
      <c r="L409" s="144">
        <v>1854.4</v>
      </c>
      <c r="M409" s="145">
        <v>1930.14</v>
      </c>
      <c r="N409" s="145">
        <v>1839.82</v>
      </c>
      <c r="O409" s="145">
        <v>1843.38</v>
      </c>
      <c r="P409" s="146">
        <v>1841.23</v>
      </c>
      <c r="Q409" s="146">
        <v>1827.6</v>
      </c>
      <c r="R409" s="146">
        <v>1851.68</v>
      </c>
      <c r="S409" s="145">
        <v>1838.91</v>
      </c>
      <c r="T409" s="146">
        <v>1851.64</v>
      </c>
      <c r="U409" s="94">
        <f t="shared" si="45"/>
        <v>27861.39</v>
      </c>
      <c r="V409" s="103">
        <v>1283.52</v>
      </c>
      <c r="W409" s="143">
        <v>1289.04</v>
      </c>
      <c r="X409" s="92">
        <f t="shared" si="47"/>
        <v>27599.9999999999</v>
      </c>
      <c r="Y409" s="92">
        <v>5.56</v>
      </c>
      <c r="Z409" s="92">
        <v>5.57</v>
      </c>
      <c r="AA409" s="92">
        <f t="shared" si="50"/>
        <v>50.0000000000034</v>
      </c>
      <c r="AB409" s="147">
        <f t="shared" si="48"/>
        <v>27549.9999999999</v>
      </c>
      <c r="AC409" s="148"/>
      <c r="AD409" s="144">
        <v>5.31</v>
      </c>
      <c r="AE409" s="143">
        <v>34.4</v>
      </c>
      <c r="AF409" s="143"/>
      <c r="AG409" s="143"/>
      <c r="AH409" s="143"/>
      <c r="AI409" s="143"/>
      <c r="AJ409" s="97" t="s">
        <v>85</v>
      </c>
    </row>
    <row r="410" customHeight="1" spans="2:36">
      <c r="B410" s="141">
        <v>46155</v>
      </c>
      <c r="C410" s="142">
        <v>46155</v>
      </c>
      <c r="D410" s="151">
        <v>0.270833333333333</v>
      </c>
      <c r="E410" s="105">
        <v>0.802083333333333</v>
      </c>
      <c r="F410" s="100">
        <v>1821.01</v>
      </c>
      <c r="G410" s="143">
        <v>1847.12</v>
      </c>
      <c r="H410" s="143">
        <v>1822.09</v>
      </c>
      <c r="I410" s="143">
        <v>1844.25</v>
      </c>
      <c r="J410" s="143">
        <v>1844.86</v>
      </c>
      <c r="K410" s="144">
        <v>1821.24</v>
      </c>
      <c r="L410" s="143">
        <v>1829.98</v>
      </c>
      <c r="M410" s="145">
        <v>1903.26</v>
      </c>
      <c r="N410" s="145">
        <v>1810.69</v>
      </c>
      <c r="O410" s="145">
        <v>1812.45</v>
      </c>
      <c r="P410" s="146">
        <v>1812.66</v>
      </c>
      <c r="Q410" s="145">
        <v>1824.91</v>
      </c>
      <c r="R410" s="146">
        <v>1827.02</v>
      </c>
      <c r="S410" s="145">
        <v>1825.22</v>
      </c>
      <c r="T410" s="146">
        <v>1827.25</v>
      </c>
      <c r="U410" s="94">
        <f t="shared" si="45"/>
        <v>27474.01</v>
      </c>
      <c r="V410" s="103">
        <v>1289.04</v>
      </c>
      <c r="W410" s="143">
        <v>1294.47</v>
      </c>
      <c r="X410" s="92">
        <f t="shared" si="47"/>
        <v>27150.0000000003</v>
      </c>
      <c r="Y410" s="92">
        <v>5.57</v>
      </c>
      <c r="Z410" s="92">
        <v>5.58</v>
      </c>
      <c r="AA410" s="92">
        <f t="shared" si="50"/>
        <v>49.9999999999989</v>
      </c>
      <c r="AB410" s="147">
        <f t="shared" si="48"/>
        <v>27100.0000000003</v>
      </c>
      <c r="AC410" s="148"/>
      <c r="AD410" s="144">
        <v>5.42</v>
      </c>
      <c r="AE410" s="143">
        <v>35.4</v>
      </c>
      <c r="AF410" s="143"/>
      <c r="AG410" s="143"/>
      <c r="AH410" s="143"/>
      <c r="AI410" s="143"/>
      <c r="AJ410" s="97" t="s">
        <v>85</v>
      </c>
    </row>
    <row r="411" customHeight="1" spans="2:36">
      <c r="B411" s="141">
        <v>46156</v>
      </c>
      <c r="C411" s="142">
        <v>46156</v>
      </c>
      <c r="D411" s="151">
        <v>0.270833333333333</v>
      </c>
      <c r="E411" s="105">
        <v>0.802083333333333</v>
      </c>
      <c r="F411" s="100">
        <v>1875.63</v>
      </c>
      <c r="G411" s="143">
        <v>1901.35</v>
      </c>
      <c r="H411" s="143">
        <v>1876.86</v>
      </c>
      <c r="I411" s="143">
        <v>1902.42</v>
      </c>
      <c r="J411" s="143">
        <v>1899.07</v>
      </c>
      <c r="K411" s="144">
        <v>1874.37</v>
      </c>
      <c r="L411" s="143">
        <v>1882.95</v>
      </c>
      <c r="M411" s="145">
        <v>1963.21</v>
      </c>
      <c r="N411" s="145">
        <v>1866.72</v>
      </c>
      <c r="O411" s="145">
        <v>1867.04</v>
      </c>
      <c r="P411" s="146">
        <v>1869.55</v>
      </c>
      <c r="Q411" s="145">
        <v>1880.49</v>
      </c>
      <c r="R411" s="146">
        <v>1883.91</v>
      </c>
      <c r="S411" s="145">
        <v>1879.89</v>
      </c>
      <c r="T411" s="146">
        <v>1876.06</v>
      </c>
      <c r="U411" s="94">
        <f t="shared" si="45"/>
        <v>28299.52</v>
      </c>
      <c r="V411" s="103">
        <v>1294.47</v>
      </c>
      <c r="W411" s="143">
        <v>1300.07</v>
      </c>
      <c r="X411" s="92">
        <f t="shared" si="47"/>
        <v>27999.9999999995</v>
      </c>
      <c r="Y411" s="92">
        <v>5.58</v>
      </c>
      <c r="Z411" s="92">
        <v>5.59</v>
      </c>
      <c r="AA411" s="92">
        <f t="shared" si="50"/>
        <v>49.9999999999989</v>
      </c>
      <c r="AB411" s="147">
        <f t="shared" si="48"/>
        <v>27949.9999999995</v>
      </c>
      <c r="AC411" s="148"/>
      <c r="AD411" s="144">
        <v>5.53</v>
      </c>
      <c r="AE411" s="143">
        <v>34.36</v>
      </c>
      <c r="AF411" s="143"/>
      <c r="AG411" s="143"/>
      <c r="AH411" s="143"/>
      <c r="AI411" s="143"/>
      <c r="AJ411" s="97" t="s">
        <v>85</v>
      </c>
    </row>
    <row r="412" customHeight="1" spans="2:36">
      <c r="B412" s="141">
        <v>46157</v>
      </c>
      <c r="C412" s="142">
        <v>46157</v>
      </c>
      <c r="D412" s="151">
        <v>0.270833333333333</v>
      </c>
      <c r="E412" s="105">
        <v>0.802083333333333</v>
      </c>
      <c r="F412" s="100">
        <v>1894.82</v>
      </c>
      <c r="G412" s="143">
        <v>1926.48</v>
      </c>
      <c r="H412" s="143">
        <v>1897.34</v>
      </c>
      <c r="I412" s="143">
        <v>1925.38</v>
      </c>
      <c r="J412" s="143">
        <v>1921.56</v>
      </c>
      <c r="K412" s="144">
        <v>1895.42</v>
      </c>
      <c r="L412" s="143">
        <v>1909.19</v>
      </c>
      <c r="M412" s="145">
        <v>1961.65</v>
      </c>
      <c r="N412" s="146">
        <v>1874.1</v>
      </c>
      <c r="O412" s="145">
        <v>1877.86</v>
      </c>
      <c r="P412" s="146">
        <v>1879.76</v>
      </c>
      <c r="Q412" s="145">
        <v>1890.68</v>
      </c>
      <c r="R412" s="146">
        <v>1892.04</v>
      </c>
      <c r="S412" s="145">
        <v>1890.08</v>
      </c>
      <c r="T412" s="146">
        <v>1888.35</v>
      </c>
      <c r="U412" s="94">
        <f t="shared" si="45"/>
        <v>28524.71</v>
      </c>
      <c r="V412" s="103">
        <v>1300.07</v>
      </c>
      <c r="W412" s="143">
        <v>1305.71</v>
      </c>
      <c r="X412" s="92">
        <f t="shared" si="47"/>
        <v>28200.0000000005</v>
      </c>
      <c r="Y412" s="138">
        <v>5.59</v>
      </c>
      <c r="Z412" s="138">
        <v>5.6</v>
      </c>
      <c r="AA412" s="92">
        <f t="shared" si="50"/>
        <v>49.9999999999989</v>
      </c>
      <c r="AB412" s="147">
        <f t="shared" si="48"/>
        <v>28150.0000000005</v>
      </c>
      <c r="AC412" s="148"/>
      <c r="AD412" s="144">
        <v>5.87</v>
      </c>
      <c r="AE412" s="143">
        <v>32.86</v>
      </c>
      <c r="AF412" s="143"/>
      <c r="AG412" s="143"/>
      <c r="AH412" s="143"/>
      <c r="AI412" s="143"/>
      <c r="AJ412" s="97" t="s">
        <v>85</v>
      </c>
    </row>
    <row r="413" customHeight="1" spans="2:36">
      <c r="B413" s="141">
        <v>46158</v>
      </c>
      <c r="C413" s="142">
        <v>46158</v>
      </c>
      <c r="D413" s="151">
        <v>0.270833333333333</v>
      </c>
      <c r="E413" s="105">
        <v>0.8125</v>
      </c>
      <c r="F413" s="100">
        <v>1877.35</v>
      </c>
      <c r="G413" s="143">
        <v>1901.89</v>
      </c>
      <c r="H413" s="143">
        <v>1879.41</v>
      </c>
      <c r="I413" s="143">
        <v>1879.44</v>
      </c>
      <c r="J413" s="143">
        <v>1899.75</v>
      </c>
      <c r="K413" s="144">
        <v>1882.04</v>
      </c>
      <c r="L413" s="144">
        <v>1890.4</v>
      </c>
      <c r="M413" s="145">
        <v>1964.84</v>
      </c>
      <c r="N413" s="145">
        <v>1870.86</v>
      </c>
      <c r="O413" s="145">
        <v>1873.61</v>
      </c>
      <c r="P413" s="146">
        <v>1876.3</v>
      </c>
      <c r="Q413" s="145">
        <v>1887.43</v>
      </c>
      <c r="R413" s="146">
        <v>1887.94</v>
      </c>
      <c r="S413" s="146">
        <v>1885.8</v>
      </c>
      <c r="T413" s="146">
        <v>1888.04</v>
      </c>
      <c r="U413" s="94">
        <f t="shared" si="45"/>
        <v>28345.1</v>
      </c>
      <c r="V413" s="103">
        <v>1305.71</v>
      </c>
      <c r="W413" s="143">
        <v>1311.32</v>
      </c>
      <c r="X413" s="92">
        <f t="shared" si="47"/>
        <v>28049.9999999995</v>
      </c>
      <c r="Y413" s="138">
        <v>5.6</v>
      </c>
      <c r="Z413" s="92">
        <v>5.61</v>
      </c>
      <c r="AA413" s="92">
        <f t="shared" si="50"/>
        <v>50.0000000000034</v>
      </c>
      <c r="AB413" s="147">
        <f t="shared" si="48"/>
        <v>27999.9999999995</v>
      </c>
      <c r="AC413" s="148"/>
      <c r="AD413" s="144">
        <v>5.67</v>
      </c>
      <c r="AE413" s="143">
        <v>34.71</v>
      </c>
      <c r="AF413" s="143"/>
      <c r="AG413" s="143"/>
      <c r="AH413" s="143"/>
      <c r="AI413" s="143"/>
      <c r="AJ413" s="97" t="s">
        <v>85</v>
      </c>
    </row>
    <row r="414" customHeight="1" spans="2:36">
      <c r="B414" s="141">
        <v>46159</v>
      </c>
      <c r="C414" s="142">
        <v>46159</v>
      </c>
      <c r="D414" s="151">
        <v>0.270833333333333</v>
      </c>
      <c r="E414" s="105">
        <v>0.802083333333333</v>
      </c>
      <c r="F414" s="100">
        <v>1853.76</v>
      </c>
      <c r="G414" s="143">
        <v>1881.21</v>
      </c>
      <c r="H414" s="144">
        <v>1857.4</v>
      </c>
      <c r="I414" s="143">
        <v>1878.89</v>
      </c>
      <c r="J414" s="143">
        <v>1874.25</v>
      </c>
      <c r="K414" s="144">
        <v>1856.28</v>
      </c>
      <c r="L414" s="143">
        <v>1867.28</v>
      </c>
      <c r="M414" s="145">
        <v>1938.67</v>
      </c>
      <c r="N414" s="145">
        <v>1849.65</v>
      </c>
      <c r="O414" s="145">
        <v>1851.53</v>
      </c>
      <c r="P414" s="146">
        <v>1852.82</v>
      </c>
      <c r="Q414" s="146">
        <v>1865.8</v>
      </c>
      <c r="R414" s="146">
        <v>1870.5</v>
      </c>
      <c r="S414" s="145">
        <v>1863.19</v>
      </c>
      <c r="T414" s="146">
        <v>1866.04</v>
      </c>
      <c r="U414" s="94">
        <f t="shared" si="45"/>
        <v>28027.27</v>
      </c>
      <c r="V414" s="103">
        <v>1311.32</v>
      </c>
      <c r="W414" s="143">
        <v>1316.86</v>
      </c>
      <c r="X414" s="92">
        <f t="shared" si="47"/>
        <v>27699.9999999998</v>
      </c>
      <c r="Y414" s="92">
        <v>5.61</v>
      </c>
      <c r="Z414" s="92">
        <v>5.62</v>
      </c>
      <c r="AA414" s="92">
        <f t="shared" si="50"/>
        <v>49.9999999999989</v>
      </c>
      <c r="AB414" s="147">
        <f t="shared" si="48"/>
        <v>27649.9999999998</v>
      </c>
      <c r="AC414" s="148"/>
      <c r="AD414" s="144">
        <v>5.55</v>
      </c>
      <c r="AE414" s="143">
        <v>35.61</v>
      </c>
      <c r="AF414" s="143"/>
      <c r="AG414" s="143"/>
      <c r="AH414" s="143"/>
      <c r="AI414" s="143"/>
      <c r="AJ414" s="97" t="s">
        <v>85</v>
      </c>
    </row>
    <row r="415" customHeight="1" spans="2:36">
      <c r="B415" s="141">
        <v>46160</v>
      </c>
      <c r="C415" s="142">
        <v>46160</v>
      </c>
      <c r="D415" s="151">
        <v>0.279861111111111</v>
      </c>
      <c r="E415" s="105">
        <v>0.802083333333333</v>
      </c>
      <c r="F415" s="100">
        <v>1806.27</v>
      </c>
      <c r="G415" s="144">
        <v>1837.6</v>
      </c>
      <c r="H415" s="143">
        <v>1813.24</v>
      </c>
      <c r="I415" s="143">
        <v>1834.42</v>
      </c>
      <c r="J415" s="143">
        <v>1831.28</v>
      </c>
      <c r="K415" s="144">
        <v>1813.47</v>
      </c>
      <c r="L415" s="143">
        <v>1822.61</v>
      </c>
      <c r="M415" s="145">
        <v>1894.56</v>
      </c>
      <c r="N415" s="145">
        <v>1810.51</v>
      </c>
      <c r="O415" s="145">
        <v>1812.98</v>
      </c>
      <c r="P415" s="146">
        <v>1810.41</v>
      </c>
      <c r="Q415" s="145">
        <v>1822.66</v>
      </c>
      <c r="R415" s="146">
        <v>1827.19</v>
      </c>
      <c r="S415" s="145">
        <v>1920.23</v>
      </c>
      <c r="T415" s="146">
        <v>1821.92</v>
      </c>
      <c r="U415" s="94">
        <f t="shared" si="45"/>
        <v>27479.35</v>
      </c>
      <c r="V415" s="103">
        <v>1316.86</v>
      </c>
      <c r="W415" s="143">
        <v>1322.28</v>
      </c>
      <c r="X415" s="92">
        <f t="shared" si="47"/>
        <v>27100.0000000004</v>
      </c>
      <c r="Y415" s="92">
        <v>5.62</v>
      </c>
      <c r="Z415" s="92">
        <v>5.63</v>
      </c>
      <c r="AA415" s="92">
        <f t="shared" si="50"/>
        <v>49.9999999999989</v>
      </c>
      <c r="AB415" s="147">
        <f t="shared" si="48"/>
        <v>27050.0000000004</v>
      </c>
      <c r="AC415" s="148"/>
      <c r="AD415" s="144">
        <v>4.46</v>
      </c>
      <c r="AE415" s="143">
        <v>36.18</v>
      </c>
      <c r="AF415" s="143"/>
      <c r="AG415" s="143"/>
      <c r="AH415" s="143"/>
      <c r="AI415" s="143"/>
      <c r="AJ415" s="97" t="s">
        <v>85</v>
      </c>
    </row>
    <row r="416" customHeight="1" spans="2:36">
      <c r="B416" s="141">
        <v>46161</v>
      </c>
      <c r="C416" s="142">
        <v>46161</v>
      </c>
      <c r="D416" s="151">
        <v>0.270833333333333</v>
      </c>
      <c r="E416" s="105">
        <v>0.802083333333333</v>
      </c>
      <c r="F416" s="100">
        <v>1900.15</v>
      </c>
      <c r="G416" s="143">
        <v>1931.14</v>
      </c>
      <c r="H416" s="143">
        <v>1900.83</v>
      </c>
      <c r="I416" s="143">
        <v>1925.15</v>
      </c>
      <c r="J416" s="143">
        <v>1921.25</v>
      </c>
      <c r="K416" s="144">
        <v>1901.23</v>
      </c>
      <c r="L416" s="143">
        <v>1911.25</v>
      </c>
      <c r="M416" s="145">
        <v>1984.52</v>
      </c>
      <c r="N416" s="145">
        <v>1893.82</v>
      </c>
      <c r="O416" s="145">
        <v>1897.48</v>
      </c>
      <c r="P416" s="146">
        <v>1900.41</v>
      </c>
      <c r="Q416" s="145">
        <v>1910.33</v>
      </c>
      <c r="R416" s="146">
        <v>1911.57</v>
      </c>
      <c r="S416" s="145">
        <v>1907.28</v>
      </c>
      <c r="T416" s="146">
        <v>1910.99</v>
      </c>
      <c r="U416" s="94">
        <f t="shared" si="45"/>
        <v>28707.4</v>
      </c>
      <c r="V416" s="103">
        <v>1322.28</v>
      </c>
      <c r="W416" s="143">
        <v>1327.96</v>
      </c>
      <c r="X416" s="92">
        <f t="shared" si="47"/>
        <v>28400.0000000003</v>
      </c>
      <c r="Y416" s="92">
        <v>5.63</v>
      </c>
      <c r="Z416" s="92">
        <v>5.64</v>
      </c>
      <c r="AA416" s="92">
        <f t="shared" si="50"/>
        <v>49.9999999999989</v>
      </c>
      <c r="AB416" s="147">
        <f t="shared" si="48"/>
        <v>28350.0000000003</v>
      </c>
      <c r="AC416" s="148"/>
      <c r="AD416" s="144">
        <v>2.93</v>
      </c>
      <c r="AE416" s="143">
        <v>33.69</v>
      </c>
      <c r="AF416" s="143"/>
      <c r="AG416" s="143"/>
      <c r="AH416" s="143"/>
      <c r="AI416" s="143"/>
      <c r="AJ416" s="97" t="s">
        <v>85</v>
      </c>
    </row>
    <row r="417" customHeight="1" spans="2:36">
      <c r="B417" s="141">
        <v>46162</v>
      </c>
      <c r="C417" s="142">
        <v>46162</v>
      </c>
      <c r="D417" s="151">
        <v>0.270833333333333</v>
      </c>
      <c r="E417" s="105">
        <v>0.802083333333333</v>
      </c>
      <c r="F417" s="100">
        <v>1799.91</v>
      </c>
      <c r="G417" s="143">
        <v>1825.14</v>
      </c>
      <c r="H417" s="143">
        <v>1799.19</v>
      </c>
      <c r="I417" s="143">
        <v>1822.59</v>
      </c>
      <c r="J417" s="143">
        <v>1817.88</v>
      </c>
      <c r="K417" s="144">
        <v>1798.52</v>
      </c>
      <c r="L417" s="143">
        <v>1807.62</v>
      </c>
      <c r="M417" s="145">
        <v>1876.93</v>
      </c>
      <c r="N417" s="145">
        <v>1789.55</v>
      </c>
      <c r="O417" s="146">
        <v>1792.5</v>
      </c>
      <c r="P417" s="146">
        <v>1794.54</v>
      </c>
      <c r="Q417" s="145">
        <v>1803.74</v>
      </c>
      <c r="R417" s="146">
        <v>1808.81</v>
      </c>
      <c r="S417" s="145">
        <v>1807.18</v>
      </c>
      <c r="T417" s="146">
        <v>1809.36</v>
      </c>
      <c r="U417" s="94">
        <f t="shared" si="45"/>
        <v>27153.46</v>
      </c>
      <c r="V417" s="103">
        <v>1327.96</v>
      </c>
      <c r="W417" s="143">
        <v>1333.33</v>
      </c>
      <c r="X417" s="92">
        <f t="shared" si="47"/>
        <v>26849.9999999995</v>
      </c>
      <c r="Y417" s="92">
        <v>5.64</v>
      </c>
      <c r="Z417" s="92">
        <v>5.65</v>
      </c>
      <c r="AA417" s="92">
        <f t="shared" si="50"/>
        <v>50.0000000000034</v>
      </c>
      <c r="AB417" s="147">
        <f t="shared" si="48"/>
        <v>26799.9999999995</v>
      </c>
      <c r="AC417" s="148"/>
      <c r="AD417" s="144">
        <v>5.61</v>
      </c>
      <c r="AE417" s="143">
        <v>33.21</v>
      </c>
      <c r="AF417" s="143"/>
      <c r="AG417" s="143"/>
      <c r="AH417" s="143"/>
      <c r="AI417" s="143"/>
      <c r="AJ417" s="97" t="s">
        <v>85</v>
      </c>
    </row>
    <row r="418" customHeight="1" spans="2:36">
      <c r="B418" s="141">
        <v>46163</v>
      </c>
      <c r="C418" s="142">
        <v>46163</v>
      </c>
      <c r="D418" s="151">
        <v>0.270833333333333</v>
      </c>
      <c r="E418" s="105">
        <v>0.802083333333333</v>
      </c>
      <c r="F418" s="100">
        <v>408.14</v>
      </c>
      <c r="G418" s="143">
        <v>417.79</v>
      </c>
      <c r="H418" s="143">
        <v>409.93</v>
      </c>
      <c r="I418" s="144">
        <v>414.7</v>
      </c>
      <c r="J418" s="143">
        <v>414.44</v>
      </c>
      <c r="K418" s="144">
        <v>409.15</v>
      </c>
      <c r="L418" s="143">
        <v>411.54</v>
      </c>
      <c r="M418" s="145">
        <v>428.14</v>
      </c>
      <c r="N418" s="145">
        <v>406.95</v>
      </c>
      <c r="O418" s="145">
        <v>407.93</v>
      </c>
      <c r="P418" s="146">
        <v>408.09</v>
      </c>
      <c r="Q418" s="145">
        <v>410.95</v>
      </c>
      <c r="R418" s="146">
        <v>411.88</v>
      </c>
      <c r="S418" s="145">
        <v>410.31</v>
      </c>
      <c r="T418" s="146">
        <v>411.08</v>
      </c>
      <c r="U418" s="94">
        <f t="shared" si="45"/>
        <v>6181.02</v>
      </c>
      <c r="V418" s="103">
        <v>1333.33</v>
      </c>
      <c r="W418" s="143">
        <v>1334.55</v>
      </c>
      <c r="X418" s="92">
        <f t="shared" si="47"/>
        <v>6100.00000000014</v>
      </c>
      <c r="Y418" s="92">
        <v>5.65</v>
      </c>
      <c r="Z418" s="92">
        <v>5.66</v>
      </c>
      <c r="AA418" s="92">
        <f t="shared" si="50"/>
        <v>49.9999999999989</v>
      </c>
      <c r="AB418" s="147">
        <f t="shared" si="48"/>
        <v>6050.00000000014</v>
      </c>
      <c r="AC418" s="148"/>
      <c r="AD418" s="144">
        <v>1.74</v>
      </c>
      <c r="AE418" s="143">
        <v>33.71</v>
      </c>
      <c r="AF418" s="143"/>
      <c r="AG418" s="143"/>
      <c r="AH418" s="143"/>
      <c r="AI418" s="143"/>
      <c r="AJ418" s="97" t="s">
        <v>85</v>
      </c>
    </row>
    <row r="419" customHeight="1" spans="2:36">
      <c r="B419" s="141">
        <v>46164</v>
      </c>
      <c r="C419" s="142">
        <v>46164</v>
      </c>
      <c r="D419" s="151">
        <v>0.260416666666667</v>
      </c>
      <c r="E419" s="105">
        <v>0.802083333333333</v>
      </c>
      <c r="F419" s="100">
        <v>1677.79</v>
      </c>
      <c r="G419" s="143">
        <v>1790.89</v>
      </c>
      <c r="H419" s="143">
        <v>1765.81</v>
      </c>
      <c r="I419" s="143">
        <v>1787.43</v>
      </c>
      <c r="J419" s="143">
        <v>1784.24</v>
      </c>
      <c r="K419" s="144">
        <v>1765.69</v>
      </c>
      <c r="L419" s="143">
        <v>1774.81</v>
      </c>
      <c r="M419" s="145">
        <v>1844.64</v>
      </c>
      <c r="N419" s="145">
        <v>1759.71</v>
      </c>
      <c r="O419" s="145">
        <v>1761.09</v>
      </c>
      <c r="P419" s="146">
        <v>1765.92</v>
      </c>
      <c r="Q419" s="145">
        <v>1775.39</v>
      </c>
      <c r="R419" s="146">
        <v>1780.99</v>
      </c>
      <c r="S419" s="145">
        <v>1775.95</v>
      </c>
      <c r="T419" s="146">
        <v>1777.44</v>
      </c>
      <c r="U419" s="94">
        <f t="shared" ref="U419:U433" si="51">SUM(F419:T419)</f>
        <v>26587.79</v>
      </c>
      <c r="V419" s="103">
        <f>W418</f>
        <v>1334.55</v>
      </c>
      <c r="W419" s="143">
        <v>1339.81</v>
      </c>
      <c r="X419" s="92">
        <f t="shared" ref="X419:X433" si="52">MAX((W419-V419)*5000,0)</f>
        <v>26300</v>
      </c>
      <c r="Y419" s="92">
        <f>Z418</f>
        <v>5.66</v>
      </c>
      <c r="Z419" s="92">
        <v>5.67</v>
      </c>
      <c r="AA419" s="92">
        <f t="shared" ref="AA419:AA428" si="53">MAX((Z419-Y419)*5000,0)</f>
        <v>49.9999999999989</v>
      </c>
      <c r="AB419" s="147">
        <f t="shared" ref="AB419:AB427" si="54">X419-AA419</f>
        <v>26250</v>
      </c>
      <c r="AC419" s="148"/>
      <c r="AD419" s="144">
        <v>5.85</v>
      </c>
      <c r="AE419" s="143">
        <v>35.8</v>
      </c>
      <c r="AF419" s="143"/>
      <c r="AG419" s="143"/>
      <c r="AH419" s="143"/>
      <c r="AI419" s="143"/>
      <c r="AJ419" s="97" t="s">
        <v>85</v>
      </c>
    </row>
    <row r="420" customHeight="1" spans="2:36">
      <c r="B420" s="141">
        <v>46165</v>
      </c>
      <c r="C420" s="142">
        <v>46165</v>
      </c>
      <c r="D420" s="151">
        <v>0.270833333333333</v>
      </c>
      <c r="E420" s="105">
        <v>0.802083333333333</v>
      </c>
      <c r="F420" s="100">
        <v>1712.69</v>
      </c>
      <c r="G420" s="143">
        <v>1739.52</v>
      </c>
      <c r="H420" s="143">
        <v>1712.28</v>
      </c>
      <c r="I420" s="144">
        <v>1735</v>
      </c>
      <c r="J420" s="143">
        <v>1731.81</v>
      </c>
      <c r="K420" s="144">
        <v>1711.44</v>
      </c>
      <c r="L420" s="143">
        <v>1720.04</v>
      </c>
      <c r="M420" s="145">
        <v>1784.81</v>
      </c>
      <c r="N420" s="145">
        <v>1720.99</v>
      </c>
      <c r="O420" s="145">
        <v>1722.61</v>
      </c>
      <c r="P420" s="146">
        <v>1726.77</v>
      </c>
      <c r="Q420" s="146">
        <v>1736.9</v>
      </c>
      <c r="R420" s="146">
        <v>1738.78</v>
      </c>
      <c r="S420" s="146">
        <v>1737</v>
      </c>
      <c r="T420" s="146">
        <v>1741.34</v>
      </c>
      <c r="U420" s="94">
        <f t="shared" si="51"/>
        <v>25971.98</v>
      </c>
      <c r="V420" s="103">
        <v>1339.81</v>
      </c>
      <c r="W420" s="143">
        <v>1344.95</v>
      </c>
      <c r="X420" s="92">
        <f t="shared" si="52"/>
        <v>25700.0000000005</v>
      </c>
      <c r="Y420" s="92">
        <v>5.67</v>
      </c>
      <c r="Z420" s="92">
        <v>5.68</v>
      </c>
      <c r="AA420" s="92">
        <f t="shared" si="53"/>
        <v>49.9999999999989</v>
      </c>
      <c r="AB420" s="147">
        <f t="shared" si="54"/>
        <v>25650.0000000005</v>
      </c>
      <c r="AC420" s="148"/>
      <c r="AD420" s="144">
        <v>5.67</v>
      </c>
      <c r="AE420" s="143">
        <v>34.9</v>
      </c>
      <c r="AF420" s="143"/>
      <c r="AG420" s="143"/>
      <c r="AH420" s="143"/>
      <c r="AI420" s="143"/>
      <c r="AJ420" s="97" t="s">
        <v>78</v>
      </c>
    </row>
    <row r="421" customHeight="1" spans="2:36">
      <c r="B421" s="141">
        <v>46166</v>
      </c>
      <c r="C421" s="142">
        <v>46166</v>
      </c>
      <c r="D421" s="151">
        <v>0.270833333333333</v>
      </c>
      <c r="E421" s="105">
        <v>0.802083333333333</v>
      </c>
      <c r="F421" s="100">
        <v>1724.45</v>
      </c>
      <c r="G421" s="143">
        <v>1761.76</v>
      </c>
      <c r="H421" s="143">
        <v>1728.58</v>
      </c>
      <c r="I421" s="143">
        <v>1754.24</v>
      </c>
      <c r="J421" s="143">
        <v>1757.92</v>
      </c>
      <c r="K421" s="144">
        <v>1533.54</v>
      </c>
      <c r="L421" s="143">
        <v>1744.23</v>
      </c>
      <c r="M421" s="145">
        <v>1814.46</v>
      </c>
      <c r="N421" s="145">
        <v>1720.56</v>
      </c>
      <c r="O421" s="146">
        <v>1722.43</v>
      </c>
      <c r="P421" s="146">
        <v>1725.3</v>
      </c>
      <c r="Q421" s="145">
        <v>1737.42</v>
      </c>
      <c r="R421" s="146">
        <v>1739.22</v>
      </c>
      <c r="S421" s="145">
        <v>1736.11</v>
      </c>
      <c r="T421" s="146">
        <v>1741.34</v>
      </c>
      <c r="U421" s="94">
        <f t="shared" si="51"/>
        <v>25941.56</v>
      </c>
      <c r="V421" s="103">
        <v>1344.95</v>
      </c>
      <c r="W421" s="143">
        <v>1350.08</v>
      </c>
      <c r="X421" s="92">
        <f t="shared" si="52"/>
        <v>25649.9999999994</v>
      </c>
      <c r="Y421" s="92">
        <v>5.68</v>
      </c>
      <c r="Z421" s="92">
        <v>5.69</v>
      </c>
      <c r="AA421" s="92">
        <f t="shared" si="53"/>
        <v>50.0000000000034</v>
      </c>
      <c r="AB421" s="147">
        <f t="shared" si="54"/>
        <v>25599.9999999994</v>
      </c>
      <c r="AC421" s="148"/>
      <c r="AD421" s="144">
        <v>4.82</v>
      </c>
      <c r="AE421" s="143">
        <v>34.23</v>
      </c>
      <c r="AF421" s="143"/>
      <c r="AG421" s="143"/>
      <c r="AH421" s="143"/>
      <c r="AI421" s="143"/>
      <c r="AJ421" s="97" t="s">
        <v>78</v>
      </c>
    </row>
    <row r="422" customHeight="1" spans="2:36">
      <c r="B422" s="141">
        <v>46167</v>
      </c>
      <c r="C422" s="142">
        <v>46167</v>
      </c>
      <c r="D422" s="151">
        <v>0.270833333333333</v>
      </c>
      <c r="E422" s="105">
        <v>0.802083333333333</v>
      </c>
      <c r="F422" s="100">
        <v>1114.57</v>
      </c>
      <c r="G422" s="143">
        <v>1134.06</v>
      </c>
      <c r="H422" s="143">
        <v>1119.51</v>
      </c>
      <c r="I422" s="144">
        <v>1133.23</v>
      </c>
      <c r="J422" s="144">
        <v>1126.4</v>
      </c>
      <c r="K422" s="144">
        <v>1119.69</v>
      </c>
      <c r="L422" s="143">
        <v>1124.13</v>
      </c>
      <c r="M422" s="145">
        <v>1163.94</v>
      </c>
      <c r="N422" s="145">
        <v>1110.34</v>
      </c>
      <c r="O422" s="145">
        <v>1115.08</v>
      </c>
      <c r="P422" s="146">
        <v>1116.11</v>
      </c>
      <c r="Q422" s="145">
        <v>1119.29</v>
      </c>
      <c r="R422" s="146">
        <v>1118.96</v>
      </c>
      <c r="S422" s="145">
        <v>1115.44</v>
      </c>
      <c r="T422" s="146">
        <v>1116.86</v>
      </c>
      <c r="U422" s="94">
        <f t="shared" si="51"/>
        <v>16847.61</v>
      </c>
      <c r="V422" s="103">
        <v>1350.08</v>
      </c>
      <c r="W422" s="143">
        <v>1353.41</v>
      </c>
      <c r="X422" s="92">
        <f t="shared" si="52"/>
        <v>16650.0000000008</v>
      </c>
      <c r="Y422" s="92">
        <v>5.69</v>
      </c>
      <c r="Z422" s="138">
        <v>5.7</v>
      </c>
      <c r="AA422" s="92">
        <v>50</v>
      </c>
      <c r="AB422" s="147">
        <f t="shared" si="54"/>
        <v>16600.0000000008</v>
      </c>
      <c r="AC422" s="148"/>
      <c r="AD422" s="144">
        <v>3.11</v>
      </c>
      <c r="AE422" s="143">
        <v>33.04</v>
      </c>
      <c r="AF422" s="143"/>
      <c r="AG422" s="143"/>
      <c r="AH422" s="143"/>
      <c r="AI422" s="143"/>
      <c r="AJ422" s="97" t="s">
        <v>78</v>
      </c>
    </row>
    <row r="423" customHeight="1" spans="2:36">
      <c r="B423" s="141">
        <v>46168</v>
      </c>
      <c r="C423" s="142">
        <v>46168</v>
      </c>
      <c r="D423" s="151">
        <v>0.270833333333333</v>
      </c>
      <c r="E423" s="105">
        <v>0.802083333333333</v>
      </c>
      <c r="F423" s="100">
        <v>1753.6</v>
      </c>
      <c r="G423" s="143">
        <v>1781.26</v>
      </c>
      <c r="H423" s="143">
        <v>1759.11</v>
      </c>
      <c r="I423" s="143">
        <v>1779.89</v>
      </c>
      <c r="J423" s="143">
        <v>1773.99</v>
      </c>
      <c r="K423" s="144">
        <v>1758.24</v>
      </c>
      <c r="L423" s="143">
        <v>1768.97</v>
      </c>
      <c r="M423" s="145">
        <v>1834.03</v>
      </c>
      <c r="N423" s="145">
        <v>1749.07</v>
      </c>
      <c r="O423" s="145">
        <v>1752.73</v>
      </c>
      <c r="P423" s="146">
        <v>1755.75</v>
      </c>
      <c r="Q423" s="145">
        <v>1766.28</v>
      </c>
      <c r="R423" s="146">
        <v>1770.96</v>
      </c>
      <c r="S423" s="146">
        <v>1770.4</v>
      </c>
      <c r="T423" s="146">
        <v>1773.32</v>
      </c>
      <c r="U423" s="94">
        <f t="shared" si="51"/>
        <v>26547.6</v>
      </c>
      <c r="V423" s="103">
        <v>1353.41</v>
      </c>
      <c r="W423" s="143">
        <v>1358.67</v>
      </c>
      <c r="X423" s="92">
        <f t="shared" si="52"/>
        <v>26300</v>
      </c>
      <c r="Y423" s="138">
        <v>5.7</v>
      </c>
      <c r="Z423" s="92">
        <v>5.71</v>
      </c>
      <c r="AA423" s="92">
        <v>50</v>
      </c>
      <c r="AB423" s="147">
        <f t="shared" si="54"/>
        <v>26250</v>
      </c>
      <c r="AC423" s="148"/>
      <c r="AD423" s="144">
        <v>5.67</v>
      </c>
      <c r="AE423" s="143">
        <v>33.57</v>
      </c>
      <c r="AF423" s="143"/>
      <c r="AG423" s="143"/>
      <c r="AH423" s="143"/>
      <c r="AI423" s="143"/>
      <c r="AJ423" s="97" t="s">
        <v>78</v>
      </c>
    </row>
    <row r="424" customHeight="1" spans="2:36">
      <c r="B424" s="141">
        <v>46169</v>
      </c>
      <c r="C424" s="142">
        <v>46169</v>
      </c>
      <c r="D424" s="151">
        <v>0.270833333333333</v>
      </c>
      <c r="E424" s="105">
        <v>0.802083333333333</v>
      </c>
      <c r="F424" s="100">
        <v>1314.97</v>
      </c>
      <c r="G424" s="143">
        <v>1770.99</v>
      </c>
      <c r="H424" s="143">
        <v>1658.16</v>
      </c>
      <c r="I424" s="143">
        <v>1770.78</v>
      </c>
      <c r="J424" s="143">
        <v>1765.59</v>
      </c>
      <c r="K424" s="144">
        <v>1751.19</v>
      </c>
      <c r="L424" s="143">
        <v>1761.51</v>
      </c>
      <c r="M424" s="145">
        <v>1828.34</v>
      </c>
      <c r="N424" s="145">
        <v>1740.37</v>
      </c>
      <c r="O424" s="145">
        <v>1745.19</v>
      </c>
      <c r="P424" s="146">
        <v>1747.62</v>
      </c>
      <c r="Q424" s="145">
        <v>1757.74</v>
      </c>
      <c r="R424" s="146">
        <v>1759.85</v>
      </c>
      <c r="S424" s="145">
        <v>1756.92</v>
      </c>
      <c r="T424" s="146">
        <v>1757.3</v>
      </c>
      <c r="U424" s="94">
        <f t="shared" si="51"/>
        <v>25886.52</v>
      </c>
      <c r="V424" s="103">
        <v>1358.67</v>
      </c>
      <c r="W424" s="143">
        <v>1363.79</v>
      </c>
      <c r="X424" s="92">
        <f t="shared" si="52"/>
        <v>25599.9999999995</v>
      </c>
      <c r="Y424" s="92">
        <v>5.71</v>
      </c>
      <c r="Z424" s="92">
        <v>5.72</v>
      </c>
      <c r="AA424" s="92">
        <f t="shared" si="53"/>
        <v>49.9999999999989</v>
      </c>
      <c r="AB424" s="147">
        <f t="shared" si="54"/>
        <v>25549.9999999995</v>
      </c>
      <c r="AC424" s="148"/>
      <c r="AD424" s="144">
        <v>5.72</v>
      </c>
      <c r="AE424" s="143">
        <v>34.09</v>
      </c>
      <c r="AF424" s="143"/>
      <c r="AG424" s="143"/>
      <c r="AH424" s="143"/>
      <c r="AI424" s="143"/>
      <c r="AJ424" s="97" t="s">
        <v>78</v>
      </c>
    </row>
    <row r="425" customHeight="1" spans="2:36">
      <c r="B425" s="141">
        <v>46170</v>
      </c>
      <c r="C425" s="142">
        <v>46170</v>
      </c>
      <c r="D425" s="151">
        <v>0.260416666666667</v>
      </c>
      <c r="E425" s="105">
        <v>0.802083333333333</v>
      </c>
      <c r="F425" s="100">
        <v>1296.49</v>
      </c>
      <c r="G425" s="143">
        <v>1775.15</v>
      </c>
      <c r="H425" s="143">
        <v>1481.72</v>
      </c>
      <c r="I425" s="143">
        <v>1772.58</v>
      </c>
      <c r="J425" s="143">
        <v>1764.53</v>
      </c>
      <c r="K425" s="144">
        <v>1754.82</v>
      </c>
      <c r="L425" s="143">
        <v>1759.72</v>
      </c>
      <c r="M425" s="145">
        <v>1823.67</v>
      </c>
      <c r="N425" s="145">
        <v>1746.49</v>
      </c>
      <c r="O425" s="145">
        <v>1751.83</v>
      </c>
      <c r="P425" s="146">
        <v>1756.15</v>
      </c>
      <c r="Q425" s="145">
        <v>1769.12</v>
      </c>
      <c r="R425" s="146">
        <v>1769.67</v>
      </c>
      <c r="S425" s="145">
        <v>1767.69</v>
      </c>
      <c r="T425" s="146">
        <v>1770.05</v>
      </c>
      <c r="U425" s="94">
        <f t="shared" si="51"/>
        <v>25759.68</v>
      </c>
      <c r="V425" s="103">
        <v>1363.79</v>
      </c>
      <c r="W425" s="143">
        <v>1368.88</v>
      </c>
      <c r="X425" s="92">
        <f t="shared" si="52"/>
        <v>25450.0000000007</v>
      </c>
      <c r="Y425" s="92">
        <v>5.72</v>
      </c>
      <c r="Z425" s="92">
        <v>5.73</v>
      </c>
      <c r="AA425" s="92">
        <f t="shared" si="53"/>
        <v>50.0000000000034</v>
      </c>
      <c r="AB425" s="147">
        <f t="shared" si="54"/>
        <v>25400.0000000007</v>
      </c>
      <c r="AC425" s="148"/>
      <c r="AD425" s="144">
        <v>5.82</v>
      </c>
      <c r="AE425" s="143">
        <v>33.69</v>
      </c>
      <c r="AF425" s="143"/>
      <c r="AG425" s="143"/>
      <c r="AH425" s="143"/>
      <c r="AI425" s="143"/>
      <c r="AJ425" s="97" t="s">
        <v>78</v>
      </c>
    </row>
    <row r="426" customHeight="1" spans="2:36">
      <c r="B426" s="141">
        <v>46171</v>
      </c>
      <c r="C426" s="142">
        <v>46171</v>
      </c>
      <c r="D426" s="151">
        <v>0.270833333333333</v>
      </c>
      <c r="E426" s="105">
        <v>0.802083333333333</v>
      </c>
      <c r="F426" s="100">
        <v>1233.9</v>
      </c>
      <c r="G426" s="143">
        <v>1318.11</v>
      </c>
      <c r="H426" s="143">
        <v>1717.87</v>
      </c>
      <c r="I426" s="143">
        <v>1668.91</v>
      </c>
      <c r="J426" s="143">
        <v>1654.24</v>
      </c>
      <c r="K426" s="144">
        <v>1708.08</v>
      </c>
      <c r="L426" s="143">
        <v>1658.62</v>
      </c>
      <c r="M426" s="145">
        <v>1717.81</v>
      </c>
      <c r="N426" s="145">
        <v>1631.29</v>
      </c>
      <c r="O426" s="145">
        <v>1632.49</v>
      </c>
      <c r="P426" s="146">
        <v>1632.68</v>
      </c>
      <c r="Q426" s="145">
        <v>1644.46</v>
      </c>
      <c r="R426" s="146">
        <v>1651.82</v>
      </c>
      <c r="S426" s="145">
        <v>1648.56</v>
      </c>
      <c r="T426" s="146">
        <v>1646.64</v>
      </c>
      <c r="U426" s="94">
        <f t="shared" si="51"/>
        <v>24165.48</v>
      </c>
      <c r="V426" s="103">
        <v>1368.88</v>
      </c>
      <c r="W426" s="143">
        <v>1373.67</v>
      </c>
      <c r="X426" s="92">
        <f t="shared" si="52"/>
        <v>23949.9999999998</v>
      </c>
      <c r="Y426" s="92">
        <v>5.73</v>
      </c>
      <c r="Z426" s="92">
        <v>5.74</v>
      </c>
      <c r="AA426" s="92">
        <f t="shared" si="53"/>
        <v>49.9999999999989</v>
      </c>
      <c r="AB426" s="147">
        <f t="shared" si="54"/>
        <v>23899.9999999998</v>
      </c>
      <c r="AC426" s="148"/>
      <c r="AD426" s="144">
        <v>5.39</v>
      </c>
      <c r="AE426" s="144">
        <v>32.9</v>
      </c>
      <c r="AF426" s="143"/>
      <c r="AG426" s="143"/>
      <c r="AH426" s="143"/>
      <c r="AI426" s="143"/>
      <c r="AJ426" s="97" t="s">
        <v>78</v>
      </c>
    </row>
    <row r="427" customHeight="1" spans="2:36">
      <c r="B427" s="141">
        <v>46172</v>
      </c>
      <c r="C427" s="142">
        <v>46172</v>
      </c>
      <c r="D427" s="151">
        <v>0.270833333333333</v>
      </c>
      <c r="E427" s="105">
        <v>0.802083333333333</v>
      </c>
      <c r="F427" s="100">
        <v>1086.23</v>
      </c>
      <c r="G427" s="143">
        <v>1084.82</v>
      </c>
      <c r="H427" s="143">
        <v>1093.75</v>
      </c>
      <c r="I427" s="143">
        <v>1099.21</v>
      </c>
      <c r="J427" s="143">
        <v>1056.16</v>
      </c>
      <c r="K427" s="144">
        <v>1094.99</v>
      </c>
      <c r="L427" s="143">
        <v>1092.63</v>
      </c>
      <c r="M427" s="145">
        <v>1075.46</v>
      </c>
      <c r="N427" s="145">
        <v>1018.29</v>
      </c>
      <c r="O427" s="146">
        <v>1020.3</v>
      </c>
      <c r="P427" s="146">
        <v>1022.24</v>
      </c>
      <c r="Q427" s="146">
        <v>1027.4</v>
      </c>
      <c r="R427" s="146">
        <v>1029.4</v>
      </c>
      <c r="S427" s="145">
        <v>1025.54</v>
      </c>
      <c r="T427" s="146">
        <v>1027.08</v>
      </c>
      <c r="U427" s="94">
        <f t="shared" si="51"/>
        <v>15853.5</v>
      </c>
      <c r="V427" s="103">
        <v>1373.67</v>
      </c>
      <c r="W427" s="143">
        <v>1376.81</v>
      </c>
      <c r="X427" s="92">
        <f t="shared" si="52"/>
        <v>15699.9999999994</v>
      </c>
      <c r="Y427" s="92">
        <v>5.74</v>
      </c>
      <c r="Z427" s="92">
        <v>5.75</v>
      </c>
      <c r="AA427" s="92">
        <f t="shared" si="53"/>
        <v>49.9999999999989</v>
      </c>
      <c r="AB427" s="147">
        <f t="shared" si="54"/>
        <v>15649.9999999994</v>
      </c>
      <c r="AC427" s="148"/>
      <c r="AD427" s="144">
        <v>3.92</v>
      </c>
      <c r="AE427" s="143">
        <v>32.52</v>
      </c>
      <c r="AF427" s="143"/>
      <c r="AG427" s="143"/>
      <c r="AH427" s="143"/>
      <c r="AI427" s="143"/>
      <c r="AJ427" s="97" t="s">
        <v>78</v>
      </c>
    </row>
    <row r="428" customHeight="1" spans="2:36">
      <c r="B428" s="141">
        <v>46173</v>
      </c>
      <c r="C428" s="142">
        <v>46173</v>
      </c>
      <c r="D428" s="151">
        <v>0.270833333333333</v>
      </c>
      <c r="E428" s="105">
        <v>0.802083333333333</v>
      </c>
      <c r="F428" s="100">
        <v>1570.81</v>
      </c>
      <c r="G428" s="143">
        <v>1564.48</v>
      </c>
      <c r="H428" s="143">
        <v>1575.03</v>
      </c>
      <c r="I428" s="143">
        <v>1580.77</v>
      </c>
      <c r="J428" s="143">
        <v>1539.11</v>
      </c>
      <c r="K428" s="144">
        <v>1575.84</v>
      </c>
      <c r="L428" s="143">
        <v>1574.55</v>
      </c>
      <c r="M428" s="145">
        <v>1582.79</v>
      </c>
      <c r="N428" s="145">
        <v>1493.82</v>
      </c>
      <c r="O428" s="145">
        <v>1494.13</v>
      </c>
      <c r="P428" s="146">
        <v>1495.98</v>
      </c>
      <c r="Q428" s="145">
        <v>1506.82</v>
      </c>
      <c r="R428" s="146">
        <v>1512.01</v>
      </c>
      <c r="S428" s="145">
        <v>1506.31</v>
      </c>
      <c r="T428" s="146">
        <v>1501.72</v>
      </c>
      <c r="U428" s="94">
        <f t="shared" si="51"/>
        <v>23074.17</v>
      </c>
      <c r="V428" s="103">
        <v>1376.81</v>
      </c>
      <c r="W428" s="143">
        <v>1381.37</v>
      </c>
      <c r="X428" s="92">
        <f t="shared" si="52"/>
        <v>22799.9999999997</v>
      </c>
      <c r="Y428" s="92">
        <v>5.75</v>
      </c>
      <c r="Z428" s="92">
        <v>5.76</v>
      </c>
      <c r="AA428" s="92">
        <f t="shared" si="53"/>
        <v>49.9999999999989</v>
      </c>
      <c r="AB428" s="147">
        <f t="shared" ref="AB428:AB462" si="55">X428-AA428</f>
        <v>22749.9999999997</v>
      </c>
      <c r="AC428" s="148"/>
      <c r="AD428" s="144">
        <v>4.77</v>
      </c>
      <c r="AE428" s="143">
        <v>33.34</v>
      </c>
      <c r="AF428" s="143"/>
      <c r="AG428" s="143"/>
      <c r="AH428" s="143"/>
      <c r="AI428" s="143"/>
      <c r="AJ428" s="97" t="s">
        <v>78</v>
      </c>
    </row>
    <row r="429" customHeight="1" spans="2:36">
      <c r="B429" s="141">
        <v>46174</v>
      </c>
      <c r="C429" s="142">
        <v>46174</v>
      </c>
      <c r="D429" s="151">
        <v>0.270833333333333</v>
      </c>
      <c r="E429" s="105">
        <v>0.802083333333333</v>
      </c>
      <c r="F429" s="100">
        <v>1624.57</v>
      </c>
      <c r="G429" s="143">
        <v>1634.93</v>
      </c>
      <c r="H429" s="144">
        <v>1630.4</v>
      </c>
      <c r="I429" s="143">
        <v>1625.51</v>
      </c>
      <c r="J429" s="143">
        <v>1614.91</v>
      </c>
      <c r="K429" s="144">
        <v>1622.77</v>
      </c>
      <c r="L429" s="143">
        <v>1631.91</v>
      </c>
      <c r="M429" s="145">
        <v>1659.98</v>
      </c>
      <c r="N429" s="145">
        <v>1564.89</v>
      </c>
      <c r="O429" s="145">
        <v>1578.12</v>
      </c>
      <c r="P429" s="146">
        <v>1566.52</v>
      </c>
      <c r="Q429" s="145">
        <v>1564.44</v>
      </c>
      <c r="R429" s="146">
        <v>1563.4</v>
      </c>
      <c r="S429" s="145">
        <v>1561.95</v>
      </c>
      <c r="T429" s="146">
        <v>1563.67</v>
      </c>
      <c r="U429" s="94">
        <f t="shared" si="51"/>
        <v>24007.97</v>
      </c>
      <c r="V429" s="103">
        <v>1381.37</v>
      </c>
      <c r="W429" s="143">
        <v>1386.12</v>
      </c>
      <c r="X429" s="92">
        <f t="shared" si="52"/>
        <v>23750</v>
      </c>
      <c r="Y429" s="92">
        <v>5.76</v>
      </c>
      <c r="Z429" s="92">
        <v>5.77</v>
      </c>
      <c r="AA429" s="92">
        <v>50</v>
      </c>
      <c r="AB429" s="147">
        <f t="shared" si="55"/>
        <v>23700</v>
      </c>
      <c r="AC429" s="148"/>
      <c r="AD429" s="144">
        <v>4.8</v>
      </c>
      <c r="AE429" s="143">
        <v>33.61</v>
      </c>
      <c r="AF429" s="143"/>
      <c r="AG429" s="143"/>
      <c r="AH429" s="143"/>
      <c r="AI429" s="143"/>
      <c r="AJ429" s="97" t="s">
        <v>78</v>
      </c>
    </row>
    <row r="430" customHeight="1" spans="2:36">
      <c r="B430" s="141">
        <v>46175</v>
      </c>
      <c r="C430" s="142">
        <v>46175</v>
      </c>
      <c r="D430" s="151">
        <v>0.270833333333333</v>
      </c>
      <c r="E430" s="105">
        <v>0.8125</v>
      </c>
      <c r="F430" s="100">
        <v>1230.72</v>
      </c>
      <c r="G430" s="143">
        <v>1285.78</v>
      </c>
      <c r="H430" s="143">
        <v>1457.01</v>
      </c>
      <c r="I430" s="143">
        <v>1491.58</v>
      </c>
      <c r="J430" s="143">
        <v>1501.86</v>
      </c>
      <c r="K430" s="144">
        <v>1460.8</v>
      </c>
      <c r="L430" s="143">
        <v>1490.55</v>
      </c>
      <c r="M430" s="145">
        <v>1559.32</v>
      </c>
      <c r="N430" s="145">
        <v>1458.21</v>
      </c>
      <c r="O430" s="145">
        <v>1449.12</v>
      </c>
      <c r="P430" s="146">
        <v>1449.37</v>
      </c>
      <c r="Q430" s="145">
        <v>1435.62</v>
      </c>
      <c r="R430" s="146">
        <v>1400.29</v>
      </c>
      <c r="S430" s="145">
        <v>1388.32</v>
      </c>
      <c r="T430" s="146">
        <v>1391.26</v>
      </c>
      <c r="U430" s="94">
        <f t="shared" si="51"/>
        <v>21449.81</v>
      </c>
      <c r="V430" s="103">
        <v>1386.12</v>
      </c>
      <c r="W430" s="143">
        <v>1390.37</v>
      </c>
      <c r="X430" s="92">
        <f t="shared" si="52"/>
        <v>21250</v>
      </c>
      <c r="Y430" s="92">
        <v>5.77</v>
      </c>
      <c r="Z430" s="92">
        <v>5.78</v>
      </c>
      <c r="AA430" s="92">
        <v>50</v>
      </c>
      <c r="AB430" s="147">
        <f t="shared" si="55"/>
        <v>21200</v>
      </c>
      <c r="AC430" s="148"/>
      <c r="AD430" s="144">
        <v>4.18</v>
      </c>
      <c r="AE430" s="143">
        <v>33.33</v>
      </c>
      <c r="AF430" s="143"/>
      <c r="AG430" s="143"/>
      <c r="AH430" s="143"/>
      <c r="AI430" s="143"/>
      <c r="AJ430" s="97" t="s">
        <v>78</v>
      </c>
    </row>
    <row r="431" customHeight="1" spans="2:36">
      <c r="B431" s="141">
        <v>46176</v>
      </c>
      <c r="C431" s="142">
        <v>46176</v>
      </c>
      <c r="D431" s="151">
        <v>0.270833333333333</v>
      </c>
      <c r="E431" s="105">
        <v>0.802083333333333</v>
      </c>
      <c r="F431" s="100">
        <v>1649.4</v>
      </c>
      <c r="G431" s="143">
        <v>1223.33</v>
      </c>
      <c r="H431" s="143">
        <v>1685.12</v>
      </c>
      <c r="I431" s="143">
        <v>1733.43</v>
      </c>
      <c r="J431" s="143">
        <v>1734.76</v>
      </c>
      <c r="K431" s="144">
        <v>1688.58</v>
      </c>
      <c r="L431" s="143">
        <v>1724.34</v>
      </c>
      <c r="M431" s="145">
        <v>1799.98</v>
      </c>
      <c r="N431" s="145">
        <v>1683.11</v>
      </c>
      <c r="O431" s="145">
        <v>1672.37</v>
      </c>
      <c r="P431" s="146">
        <v>1678.1</v>
      </c>
      <c r="Q431" s="145">
        <v>1695.73</v>
      </c>
      <c r="R431" s="146">
        <v>1651.8</v>
      </c>
      <c r="S431" s="145">
        <v>1624.28</v>
      </c>
      <c r="T431" s="146">
        <v>1651.57</v>
      </c>
      <c r="U431" s="94">
        <f t="shared" si="51"/>
        <v>24895.9</v>
      </c>
      <c r="V431" s="103">
        <v>1390.37</v>
      </c>
      <c r="W431" s="143">
        <v>1395.29</v>
      </c>
      <c r="X431" s="92">
        <f t="shared" si="52"/>
        <v>24600.0000000004</v>
      </c>
      <c r="Y431" s="92">
        <v>5.78</v>
      </c>
      <c r="Z431" s="92">
        <v>5.79</v>
      </c>
      <c r="AA431" s="92">
        <v>50</v>
      </c>
      <c r="AB431" s="147">
        <f t="shared" si="55"/>
        <v>24550.0000000004</v>
      </c>
      <c r="AC431" s="148"/>
      <c r="AD431" s="144">
        <v>5.36</v>
      </c>
      <c r="AE431" s="143">
        <v>34.63</v>
      </c>
      <c r="AF431" s="143"/>
      <c r="AG431" s="143"/>
      <c r="AH431" s="143"/>
      <c r="AI431" s="143"/>
      <c r="AJ431" s="97"/>
    </row>
    <row r="432" customHeight="1" spans="2:36">
      <c r="B432" s="141">
        <v>46177</v>
      </c>
      <c r="C432" s="142">
        <v>46177</v>
      </c>
      <c r="D432" s="151">
        <v>0.260416666666667</v>
      </c>
      <c r="E432" s="105">
        <v>0.802083333333333</v>
      </c>
      <c r="F432" s="100">
        <v>1308.79</v>
      </c>
      <c r="G432" s="143">
        <v>1251.58</v>
      </c>
      <c r="H432" s="143">
        <v>1567.34</v>
      </c>
      <c r="I432" s="143">
        <v>1571.79</v>
      </c>
      <c r="J432" s="143">
        <v>1564.08</v>
      </c>
      <c r="K432" s="144">
        <v>1573.66</v>
      </c>
      <c r="L432" s="143">
        <v>1564.87</v>
      </c>
      <c r="M432" s="146">
        <v>1628.2</v>
      </c>
      <c r="N432" s="146">
        <v>1537.8</v>
      </c>
      <c r="O432" s="145">
        <v>1534.23</v>
      </c>
      <c r="P432" s="146">
        <v>1527</v>
      </c>
      <c r="Q432" s="145">
        <v>1531.11</v>
      </c>
      <c r="R432" s="146">
        <v>1537.78</v>
      </c>
      <c r="S432" s="146">
        <v>1513.6</v>
      </c>
      <c r="T432" s="146">
        <v>1520.65</v>
      </c>
      <c r="U432" s="94">
        <f t="shared" si="51"/>
        <v>22732.48</v>
      </c>
      <c r="V432" s="103">
        <v>1395.29</v>
      </c>
      <c r="W432" s="143">
        <v>1399.79</v>
      </c>
      <c r="X432" s="92">
        <f t="shared" si="52"/>
        <v>22500</v>
      </c>
      <c r="Y432" s="92">
        <v>5.79</v>
      </c>
      <c r="Z432" s="138">
        <v>5.8</v>
      </c>
      <c r="AA432" s="92">
        <v>50</v>
      </c>
      <c r="AB432" s="147">
        <f t="shared" si="55"/>
        <v>22450</v>
      </c>
      <c r="AC432" s="148"/>
      <c r="AD432" s="144">
        <v>4.5</v>
      </c>
      <c r="AE432" s="143">
        <v>33.69</v>
      </c>
      <c r="AF432" s="143"/>
      <c r="AG432" s="143"/>
      <c r="AH432" s="143"/>
      <c r="AI432" s="143"/>
      <c r="AJ432" s="97"/>
    </row>
    <row r="433" customHeight="1" spans="2:36">
      <c r="B433" s="141">
        <v>46178</v>
      </c>
      <c r="C433" s="142">
        <v>46178</v>
      </c>
      <c r="D433" s="151">
        <v>0.260416666666667</v>
      </c>
      <c r="E433" s="105">
        <v>0.802083333333333</v>
      </c>
      <c r="F433" s="100">
        <v>1592.87</v>
      </c>
      <c r="G433" s="143">
        <v>1594.63</v>
      </c>
      <c r="H433" s="143">
        <v>1600.23</v>
      </c>
      <c r="I433" s="143">
        <v>1601.66</v>
      </c>
      <c r="J433" s="143">
        <v>1587.14</v>
      </c>
      <c r="K433" s="144">
        <v>1602.68</v>
      </c>
      <c r="L433" s="143">
        <v>1584.38</v>
      </c>
      <c r="M433" s="145">
        <v>1642.05</v>
      </c>
      <c r="N433" s="145">
        <v>1555.85</v>
      </c>
      <c r="O433" s="145">
        <v>1556.26</v>
      </c>
      <c r="P433" s="146">
        <v>1561.11</v>
      </c>
      <c r="Q433" s="145">
        <v>1562.41</v>
      </c>
      <c r="R433" s="146">
        <v>1574.2</v>
      </c>
      <c r="S433" s="145">
        <v>1560.35</v>
      </c>
      <c r="T433" s="146">
        <v>1557.74</v>
      </c>
      <c r="U433" s="94">
        <f t="shared" si="51"/>
        <v>23733.56</v>
      </c>
      <c r="V433" s="103">
        <v>1399.79</v>
      </c>
      <c r="W433" s="143">
        <v>1404.49</v>
      </c>
      <c r="X433" s="92">
        <f t="shared" si="52"/>
        <v>23500.0000000002</v>
      </c>
      <c r="Y433" s="138">
        <v>5.8</v>
      </c>
      <c r="Z433" s="92">
        <v>5.81</v>
      </c>
      <c r="AA433" s="92">
        <v>50</v>
      </c>
      <c r="AB433" s="147">
        <f t="shared" si="55"/>
        <v>23450.0000000002</v>
      </c>
      <c r="AC433" s="148"/>
      <c r="AD433" s="144">
        <v>4.31</v>
      </c>
      <c r="AE433" s="143">
        <v>33.79</v>
      </c>
      <c r="AF433" s="143"/>
      <c r="AG433" s="143"/>
      <c r="AH433" s="143"/>
      <c r="AI433" s="143"/>
      <c r="AJ433" s="97"/>
    </row>
    <row r="434" customHeight="1" spans="2:36">
      <c r="B434" s="141">
        <v>46179</v>
      </c>
      <c r="C434" s="142">
        <v>46179</v>
      </c>
      <c r="D434" s="151"/>
      <c r="E434" s="105"/>
      <c r="F434" s="100"/>
      <c r="G434" s="143"/>
      <c r="H434" s="143"/>
      <c r="I434" s="143"/>
      <c r="J434" s="143"/>
      <c r="K434" s="144"/>
      <c r="L434" s="143"/>
      <c r="M434" s="145"/>
      <c r="N434" s="145"/>
      <c r="O434" s="145"/>
      <c r="P434" s="146"/>
      <c r="Q434" s="145"/>
      <c r="R434" s="146"/>
      <c r="S434" s="145"/>
      <c r="T434" s="146"/>
      <c r="U434" s="94"/>
      <c r="V434" s="103"/>
      <c r="W434" s="143"/>
      <c r="X434" s="92"/>
      <c r="Y434" s="92"/>
      <c r="Z434" s="92"/>
      <c r="AA434" s="92"/>
      <c r="AB434" s="147">
        <f t="shared" si="55"/>
        <v>0</v>
      </c>
      <c r="AC434" s="148"/>
      <c r="AD434" s="144"/>
      <c r="AE434" s="143"/>
      <c r="AF434" s="143"/>
      <c r="AG434" s="143"/>
      <c r="AH434" s="143"/>
      <c r="AI434" s="143"/>
      <c r="AJ434" s="97"/>
    </row>
    <row r="435" customHeight="1" spans="2:36">
      <c r="B435" s="141">
        <v>46180</v>
      </c>
      <c r="C435" s="142">
        <v>46180</v>
      </c>
      <c r="D435" s="151"/>
      <c r="E435" s="105"/>
      <c r="F435" s="100"/>
      <c r="G435" s="143"/>
      <c r="H435" s="143"/>
      <c r="I435" s="143"/>
      <c r="J435" s="143"/>
      <c r="K435" s="144"/>
      <c r="L435" s="143"/>
      <c r="M435" s="145"/>
      <c r="N435" s="145"/>
      <c r="O435" s="145"/>
      <c r="P435" s="146"/>
      <c r="Q435" s="145"/>
      <c r="R435" s="146"/>
      <c r="S435" s="145"/>
      <c r="T435" s="146"/>
      <c r="U435" s="94"/>
      <c r="V435" s="103"/>
      <c r="W435" s="143"/>
      <c r="X435" s="92"/>
      <c r="Y435" s="92"/>
      <c r="Z435" s="92"/>
      <c r="AA435" s="92"/>
      <c r="AB435" s="147">
        <f t="shared" si="55"/>
        <v>0</v>
      </c>
      <c r="AC435" s="148"/>
      <c r="AD435" s="144"/>
      <c r="AE435" s="143"/>
      <c r="AF435" s="143"/>
      <c r="AG435" s="143"/>
      <c r="AH435" s="143"/>
      <c r="AI435" s="143"/>
      <c r="AJ435" s="97"/>
    </row>
    <row r="436" customHeight="1" spans="2:36">
      <c r="B436" s="141">
        <v>46181</v>
      </c>
      <c r="C436" s="142">
        <v>46181</v>
      </c>
      <c r="D436" s="151"/>
      <c r="E436" s="105"/>
      <c r="F436" s="100"/>
      <c r="G436" s="143"/>
      <c r="H436" s="143"/>
      <c r="I436" s="143"/>
      <c r="J436" s="143"/>
      <c r="K436" s="144"/>
      <c r="L436" s="143"/>
      <c r="M436" s="145"/>
      <c r="N436" s="145"/>
      <c r="O436" s="145"/>
      <c r="P436" s="146"/>
      <c r="Q436" s="145"/>
      <c r="R436" s="146"/>
      <c r="S436" s="145"/>
      <c r="T436" s="146"/>
      <c r="U436" s="94"/>
      <c r="V436" s="103"/>
      <c r="W436" s="143"/>
      <c r="X436" s="92"/>
      <c r="Y436" s="92"/>
      <c r="Z436" s="92"/>
      <c r="AA436" s="92"/>
      <c r="AB436" s="147">
        <f t="shared" si="55"/>
        <v>0</v>
      </c>
      <c r="AC436" s="148"/>
      <c r="AD436" s="144"/>
      <c r="AE436" s="143"/>
      <c r="AF436" s="143"/>
      <c r="AG436" s="143"/>
      <c r="AH436" s="143"/>
      <c r="AI436" s="143"/>
      <c r="AJ436" s="97"/>
    </row>
    <row r="437" customHeight="1" spans="2:36">
      <c r="B437" s="141">
        <v>46182</v>
      </c>
      <c r="C437" s="142">
        <v>46182</v>
      </c>
      <c r="D437" s="151"/>
      <c r="E437" s="105"/>
      <c r="F437" s="100"/>
      <c r="G437" s="143"/>
      <c r="H437" s="143"/>
      <c r="I437" s="143"/>
      <c r="J437" s="143"/>
      <c r="K437" s="144"/>
      <c r="L437" s="143"/>
      <c r="M437" s="145"/>
      <c r="N437" s="145"/>
      <c r="O437" s="145"/>
      <c r="P437" s="146"/>
      <c r="Q437" s="145"/>
      <c r="R437" s="146"/>
      <c r="S437" s="145"/>
      <c r="T437" s="146"/>
      <c r="U437" s="94"/>
      <c r="V437" s="103"/>
      <c r="W437" s="143"/>
      <c r="X437" s="92"/>
      <c r="Y437" s="92"/>
      <c r="Z437" s="92"/>
      <c r="AA437" s="92"/>
      <c r="AB437" s="147">
        <f t="shared" si="55"/>
        <v>0</v>
      </c>
      <c r="AC437" s="148"/>
      <c r="AD437" s="144"/>
      <c r="AE437" s="143"/>
      <c r="AF437" s="143"/>
      <c r="AG437" s="143"/>
      <c r="AH437" s="143"/>
      <c r="AI437" s="143"/>
      <c r="AJ437" s="97"/>
    </row>
    <row r="438" customHeight="1" spans="2:36">
      <c r="B438" s="141">
        <v>46183</v>
      </c>
      <c r="C438" s="142">
        <v>46183</v>
      </c>
      <c r="D438" s="151"/>
      <c r="E438" s="105"/>
      <c r="F438" s="100"/>
      <c r="G438" s="143"/>
      <c r="H438" s="143"/>
      <c r="I438" s="143"/>
      <c r="J438" s="143"/>
      <c r="K438" s="144"/>
      <c r="L438" s="143"/>
      <c r="M438" s="145"/>
      <c r="N438" s="145"/>
      <c r="O438" s="145"/>
      <c r="P438" s="146"/>
      <c r="Q438" s="145"/>
      <c r="R438" s="146"/>
      <c r="S438" s="145"/>
      <c r="T438" s="146"/>
      <c r="U438" s="94"/>
      <c r="V438" s="103"/>
      <c r="W438" s="143"/>
      <c r="X438" s="92"/>
      <c r="Y438" s="92"/>
      <c r="Z438" s="92"/>
      <c r="AA438" s="92"/>
      <c r="AB438" s="147">
        <f t="shared" si="55"/>
        <v>0</v>
      </c>
      <c r="AC438" s="148"/>
      <c r="AD438" s="144"/>
      <c r="AE438" s="143"/>
      <c r="AF438" s="143"/>
      <c r="AG438" s="143"/>
      <c r="AH438" s="143"/>
      <c r="AI438" s="143"/>
      <c r="AJ438" s="97"/>
    </row>
    <row r="439" customHeight="1" spans="2:36">
      <c r="B439" s="141">
        <v>46184</v>
      </c>
      <c r="C439" s="142">
        <v>46184</v>
      </c>
      <c r="D439" s="151"/>
      <c r="E439" s="105"/>
      <c r="F439" s="100"/>
      <c r="G439" s="143"/>
      <c r="H439" s="143"/>
      <c r="I439" s="143"/>
      <c r="J439" s="143"/>
      <c r="K439" s="144"/>
      <c r="L439" s="143"/>
      <c r="M439" s="145"/>
      <c r="N439" s="145"/>
      <c r="O439" s="145"/>
      <c r="P439" s="146"/>
      <c r="Q439" s="145"/>
      <c r="R439" s="146"/>
      <c r="S439" s="145"/>
      <c r="T439" s="146"/>
      <c r="U439" s="94"/>
      <c r="V439" s="103"/>
      <c r="W439" s="143"/>
      <c r="X439" s="92"/>
      <c r="Y439" s="92"/>
      <c r="Z439" s="92"/>
      <c r="AA439" s="92"/>
      <c r="AB439" s="147">
        <f t="shared" si="55"/>
        <v>0</v>
      </c>
      <c r="AC439" s="148"/>
      <c r="AD439" s="144"/>
      <c r="AE439" s="143"/>
      <c r="AF439" s="143"/>
      <c r="AG439" s="143"/>
      <c r="AH439" s="143"/>
      <c r="AI439" s="143"/>
      <c r="AJ439" s="97"/>
    </row>
    <row r="440" customHeight="1" spans="2:36">
      <c r="B440" s="141">
        <v>46185</v>
      </c>
      <c r="C440" s="142">
        <v>46185</v>
      </c>
      <c r="D440" s="151"/>
      <c r="E440" s="105"/>
      <c r="F440" s="100"/>
      <c r="G440" s="143"/>
      <c r="H440" s="143"/>
      <c r="I440" s="143"/>
      <c r="J440" s="143"/>
      <c r="K440" s="144"/>
      <c r="L440" s="143"/>
      <c r="M440" s="145"/>
      <c r="N440" s="145"/>
      <c r="O440" s="145"/>
      <c r="P440" s="146"/>
      <c r="Q440" s="145"/>
      <c r="R440" s="146"/>
      <c r="S440" s="145"/>
      <c r="T440" s="146"/>
      <c r="U440" s="94"/>
      <c r="V440" s="103"/>
      <c r="W440" s="143"/>
      <c r="X440" s="92"/>
      <c r="Y440" s="92"/>
      <c r="Z440" s="92"/>
      <c r="AA440" s="92"/>
      <c r="AB440" s="147">
        <f t="shared" si="55"/>
        <v>0</v>
      </c>
      <c r="AC440" s="148"/>
      <c r="AD440" s="144"/>
      <c r="AE440" s="143"/>
      <c r="AF440" s="143"/>
      <c r="AG440" s="143"/>
      <c r="AH440" s="143"/>
      <c r="AI440" s="143"/>
      <c r="AJ440" s="97"/>
    </row>
    <row r="441" customHeight="1" spans="2:36">
      <c r="B441" s="141">
        <v>46186</v>
      </c>
      <c r="C441" s="142">
        <v>46186</v>
      </c>
      <c r="D441" s="151"/>
      <c r="E441" s="105"/>
      <c r="F441" s="100"/>
      <c r="G441" s="143"/>
      <c r="H441" s="143"/>
      <c r="I441" s="143"/>
      <c r="J441" s="143"/>
      <c r="K441" s="144"/>
      <c r="L441" s="143"/>
      <c r="M441" s="145"/>
      <c r="N441" s="145"/>
      <c r="O441" s="145"/>
      <c r="P441" s="146"/>
      <c r="Q441" s="145"/>
      <c r="R441" s="146"/>
      <c r="S441" s="145"/>
      <c r="T441" s="146"/>
      <c r="U441" s="94"/>
      <c r="V441" s="103"/>
      <c r="W441" s="143"/>
      <c r="X441" s="92"/>
      <c r="Y441" s="92"/>
      <c r="Z441" s="92"/>
      <c r="AA441" s="92"/>
      <c r="AB441" s="147">
        <f t="shared" si="55"/>
        <v>0</v>
      </c>
      <c r="AC441" s="148"/>
      <c r="AD441" s="144"/>
      <c r="AE441" s="143"/>
      <c r="AF441" s="143"/>
      <c r="AG441" s="143"/>
      <c r="AH441" s="143"/>
      <c r="AI441" s="143"/>
      <c r="AJ441" s="97"/>
    </row>
    <row r="442" customHeight="1" spans="2:36">
      <c r="B442" s="141">
        <v>46187</v>
      </c>
      <c r="C442" s="142">
        <v>46187</v>
      </c>
      <c r="D442" s="151"/>
      <c r="E442" s="105"/>
      <c r="F442" s="100"/>
      <c r="G442" s="143"/>
      <c r="H442" s="143"/>
      <c r="I442" s="143"/>
      <c r="J442" s="143"/>
      <c r="K442" s="144"/>
      <c r="L442" s="143"/>
      <c r="M442" s="145"/>
      <c r="N442" s="145"/>
      <c r="O442" s="145"/>
      <c r="P442" s="146"/>
      <c r="Q442" s="145"/>
      <c r="R442" s="146"/>
      <c r="S442" s="145"/>
      <c r="T442" s="146"/>
      <c r="U442" s="94"/>
      <c r="V442" s="103"/>
      <c r="W442" s="143"/>
      <c r="X442" s="92"/>
      <c r="Y442" s="92"/>
      <c r="Z442" s="92"/>
      <c r="AA442" s="92"/>
      <c r="AB442" s="147">
        <f t="shared" si="55"/>
        <v>0</v>
      </c>
      <c r="AC442" s="148"/>
      <c r="AD442" s="144"/>
      <c r="AE442" s="143"/>
      <c r="AF442" s="143"/>
      <c r="AG442" s="143"/>
      <c r="AH442" s="143"/>
      <c r="AI442" s="143"/>
      <c r="AJ442" s="97"/>
    </row>
    <row r="443" customHeight="1" spans="2:36">
      <c r="B443" s="141">
        <v>46188</v>
      </c>
      <c r="C443" s="142">
        <v>46188</v>
      </c>
      <c r="D443" s="151"/>
      <c r="E443" s="105"/>
      <c r="F443" s="100"/>
      <c r="G443" s="143"/>
      <c r="H443" s="143"/>
      <c r="I443" s="143"/>
      <c r="J443" s="143"/>
      <c r="K443" s="144"/>
      <c r="L443" s="143"/>
      <c r="M443" s="145"/>
      <c r="N443" s="145"/>
      <c r="O443" s="145"/>
      <c r="P443" s="146"/>
      <c r="Q443" s="145"/>
      <c r="R443" s="146"/>
      <c r="S443" s="145"/>
      <c r="T443" s="146"/>
      <c r="U443" s="94"/>
      <c r="V443" s="103"/>
      <c r="W443" s="143"/>
      <c r="X443" s="92"/>
      <c r="Y443" s="92"/>
      <c r="Z443" s="92"/>
      <c r="AA443" s="92"/>
      <c r="AB443" s="147">
        <f t="shared" si="55"/>
        <v>0</v>
      </c>
      <c r="AC443" s="148"/>
      <c r="AD443" s="144"/>
      <c r="AE443" s="143"/>
      <c r="AF443" s="143"/>
      <c r="AG443" s="143"/>
      <c r="AH443" s="143"/>
      <c r="AI443" s="143"/>
      <c r="AJ443" s="97"/>
    </row>
    <row r="444" customHeight="1" spans="2:36">
      <c r="B444" s="141">
        <v>46189</v>
      </c>
      <c r="C444" s="142">
        <v>46189</v>
      </c>
      <c r="D444" s="151"/>
      <c r="E444" s="105"/>
      <c r="F444" s="100"/>
      <c r="G444" s="143"/>
      <c r="H444" s="143"/>
      <c r="I444" s="143"/>
      <c r="J444" s="143"/>
      <c r="K444" s="144"/>
      <c r="L444" s="143"/>
      <c r="M444" s="145"/>
      <c r="N444" s="145"/>
      <c r="O444" s="145"/>
      <c r="P444" s="146"/>
      <c r="Q444" s="145"/>
      <c r="R444" s="146"/>
      <c r="S444" s="145"/>
      <c r="T444" s="146"/>
      <c r="U444" s="94"/>
      <c r="V444" s="103"/>
      <c r="W444" s="143"/>
      <c r="X444" s="92"/>
      <c r="Y444" s="92"/>
      <c r="Z444" s="92"/>
      <c r="AA444" s="92"/>
      <c r="AB444" s="147">
        <f t="shared" si="55"/>
        <v>0</v>
      </c>
      <c r="AC444" s="148"/>
      <c r="AD444" s="144"/>
      <c r="AE444" s="143"/>
      <c r="AF444" s="143"/>
      <c r="AG444" s="143"/>
      <c r="AH444" s="143"/>
      <c r="AI444" s="143"/>
      <c r="AJ444" s="97"/>
    </row>
    <row r="445" customHeight="1" spans="2:36">
      <c r="B445" s="141">
        <v>46190</v>
      </c>
      <c r="C445" s="142">
        <v>46190</v>
      </c>
      <c r="D445" s="151"/>
      <c r="E445" s="105"/>
      <c r="F445" s="100"/>
      <c r="G445" s="143"/>
      <c r="H445" s="143"/>
      <c r="I445" s="143"/>
      <c r="J445" s="143"/>
      <c r="K445" s="144"/>
      <c r="L445" s="143"/>
      <c r="M445" s="145"/>
      <c r="N445" s="145"/>
      <c r="O445" s="145"/>
      <c r="P445" s="146"/>
      <c r="Q445" s="145"/>
      <c r="R445" s="146"/>
      <c r="S445" s="145"/>
      <c r="T445" s="146"/>
      <c r="U445" s="94"/>
      <c r="V445" s="103"/>
      <c r="W445" s="143"/>
      <c r="X445" s="92"/>
      <c r="Y445" s="92"/>
      <c r="Z445" s="92"/>
      <c r="AA445" s="92"/>
      <c r="AB445" s="147">
        <f t="shared" si="55"/>
        <v>0</v>
      </c>
      <c r="AC445" s="148"/>
      <c r="AD445" s="144"/>
      <c r="AE445" s="143"/>
      <c r="AF445" s="143"/>
      <c r="AG445" s="143"/>
      <c r="AH445" s="143"/>
      <c r="AI445" s="143"/>
      <c r="AJ445" s="97"/>
    </row>
    <row r="446" customHeight="1" spans="2:36">
      <c r="B446" s="141">
        <v>46191</v>
      </c>
      <c r="C446" s="142">
        <v>46191</v>
      </c>
      <c r="D446" s="151"/>
      <c r="E446" s="105"/>
      <c r="F446" s="100"/>
      <c r="G446" s="143"/>
      <c r="H446" s="143"/>
      <c r="I446" s="143"/>
      <c r="J446" s="143"/>
      <c r="K446" s="144"/>
      <c r="L446" s="143"/>
      <c r="M446" s="145"/>
      <c r="N446" s="145"/>
      <c r="O446" s="145"/>
      <c r="P446" s="146"/>
      <c r="Q446" s="145"/>
      <c r="R446" s="146"/>
      <c r="S446" s="145"/>
      <c r="T446" s="146"/>
      <c r="U446" s="94"/>
      <c r="V446" s="103"/>
      <c r="W446" s="143"/>
      <c r="X446" s="92"/>
      <c r="Y446" s="92"/>
      <c r="Z446" s="92"/>
      <c r="AA446" s="92"/>
      <c r="AB446" s="147">
        <f t="shared" si="55"/>
        <v>0</v>
      </c>
      <c r="AC446" s="148"/>
      <c r="AD446" s="144"/>
      <c r="AE446" s="143"/>
      <c r="AF446" s="143"/>
      <c r="AG446" s="143"/>
      <c r="AH446" s="143"/>
      <c r="AI446" s="143"/>
      <c r="AJ446" s="97"/>
    </row>
    <row r="447" customHeight="1" spans="2:36">
      <c r="B447" s="141">
        <v>46192</v>
      </c>
      <c r="C447" s="142">
        <v>46192</v>
      </c>
      <c r="D447" s="151"/>
      <c r="E447" s="105"/>
      <c r="F447" s="100"/>
      <c r="G447" s="143"/>
      <c r="H447" s="143"/>
      <c r="I447" s="143"/>
      <c r="J447" s="143"/>
      <c r="K447" s="144"/>
      <c r="L447" s="143"/>
      <c r="M447" s="145"/>
      <c r="N447" s="145"/>
      <c r="O447" s="145"/>
      <c r="P447" s="146"/>
      <c r="Q447" s="145"/>
      <c r="R447" s="146"/>
      <c r="S447" s="145"/>
      <c r="T447" s="146"/>
      <c r="U447" s="94"/>
      <c r="V447" s="103"/>
      <c r="W447" s="143"/>
      <c r="X447" s="92"/>
      <c r="Y447" s="92"/>
      <c r="Z447" s="92"/>
      <c r="AA447" s="92"/>
      <c r="AB447" s="147">
        <f t="shared" si="55"/>
        <v>0</v>
      </c>
      <c r="AC447" s="148"/>
      <c r="AD447" s="144"/>
      <c r="AE447" s="143"/>
      <c r="AF447" s="143"/>
      <c r="AG447" s="143"/>
      <c r="AH447" s="143"/>
      <c r="AI447" s="143"/>
      <c r="AJ447" s="97"/>
    </row>
    <row r="448" customHeight="1" spans="2:36">
      <c r="B448" s="141">
        <v>46193</v>
      </c>
      <c r="C448" s="142">
        <v>46193</v>
      </c>
      <c r="D448" s="151"/>
      <c r="E448" s="105"/>
      <c r="F448" s="100"/>
      <c r="G448" s="143"/>
      <c r="H448" s="143"/>
      <c r="I448" s="143"/>
      <c r="J448" s="143"/>
      <c r="K448" s="144"/>
      <c r="L448" s="143"/>
      <c r="M448" s="145"/>
      <c r="N448" s="145"/>
      <c r="O448" s="145"/>
      <c r="P448" s="146"/>
      <c r="Q448" s="145"/>
      <c r="R448" s="146"/>
      <c r="S448" s="145"/>
      <c r="T448" s="146"/>
      <c r="U448" s="94"/>
      <c r="V448" s="103"/>
      <c r="W448" s="143"/>
      <c r="X448" s="92"/>
      <c r="Y448" s="92"/>
      <c r="Z448" s="92"/>
      <c r="AA448" s="92"/>
      <c r="AB448" s="147">
        <f t="shared" si="55"/>
        <v>0</v>
      </c>
      <c r="AC448" s="148"/>
      <c r="AD448" s="144"/>
      <c r="AE448" s="143"/>
      <c r="AF448" s="143"/>
      <c r="AG448" s="143"/>
      <c r="AH448" s="143"/>
      <c r="AI448" s="143"/>
      <c r="AJ448" s="97"/>
    </row>
    <row r="449" customHeight="1" spans="2:36">
      <c r="B449" s="141">
        <v>46194</v>
      </c>
      <c r="C449" s="142">
        <v>46194</v>
      </c>
      <c r="D449" s="151"/>
      <c r="E449" s="105"/>
      <c r="F449" s="100"/>
      <c r="G449" s="143"/>
      <c r="H449" s="143"/>
      <c r="I449" s="143"/>
      <c r="J449" s="143"/>
      <c r="K449" s="144"/>
      <c r="L449" s="143"/>
      <c r="M449" s="145"/>
      <c r="N449" s="145"/>
      <c r="O449" s="145"/>
      <c r="P449" s="146"/>
      <c r="Q449" s="145"/>
      <c r="R449" s="146"/>
      <c r="S449" s="145"/>
      <c r="T449" s="146"/>
      <c r="U449" s="94"/>
      <c r="V449" s="103"/>
      <c r="W449" s="143"/>
      <c r="X449" s="92"/>
      <c r="Y449" s="92"/>
      <c r="Z449" s="92"/>
      <c r="AA449" s="92"/>
      <c r="AB449" s="147">
        <f t="shared" si="55"/>
        <v>0</v>
      </c>
      <c r="AC449" s="148"/>
      <c r="AD449" s="144"/>
      <c r="AE449" s="143"/>
      <c r="AF449" s="143"/>
      <c r="AG449" s="143"/>
      <c r="AH449" s="143"/>
      <c r="AI449" s="143"/>
      <c r="AJ449" s="97"/>
    </row>
    <row r="450" customHeight="1" spans="2:36">
      <c r="B450" s="141">
        <v>46195</v>
      </c>
      <c r="C450" s="142">
        <v>46195</v>
      </c>
      <c r="D450" s="151"/>
      <c r="E450" s="105"/>
      <c r="F450" s="100"/>
      <c r="G450" s="143"/>
      <c r="H450" s="143"/>
      <c r="I450" s="143"/>
      <c r="J450" s="143"/>
      <c r="K450" s="144"/>
      <c r="L450" s="143"/>
      <c r="M450" s="145"/>
      <c r="N450" s="145"/>
      <c r="O450" s="145"/>
      <c r="P450" s="146"/>
      <c r="Q450" s="145"/>
      <c r="R450" s="146"/>
      <c r="S450" s="145"/>
      <c r="T450" s="146"/>
      <c r="U450" s="94"/>
      <c r="V450" s="103"/>
      <c r="W450" s="143"/>
      <c r="X450" s="92"/>
      <c r="Y450" s="92"/>
      <c r="Z450" s="92"/>
      <c r="AA450" s="92"/>
      <c r="AB450" s="147">
        <f t="shared" si="55"/>
        <v>0</v>
      </c>
      <c r="AC450" s="148"/>
      <c r="AD450" s="144"/>
      <c r="AE450" s="143"/>
      <c r="AF450" s="143"/>
      <c r="AG450" s="143"/>
      <c r="AH450" s="143"/>
      <c r="AI450" s="143"/>
      <c r="AJ450" s="97"/>
    </row>
    <row r="451" customHeight="1" spans="2:36">
      <c r="B451" s="141">
        <v>46196</v>
      </c>
      <c r="C451" s="142">
        <v>46196</v>
      </c>
      <c r="D451" s="151"/>
      <c r="E451" s="105"/>
      <c r="F451" s="100"/>
      <c r="G451" s="143"/>
      <c r="H451" s="143"/>
      <c r="I451" s="143"/>
      <c r="J451" s="143"/>
      <c r="K451" s="144"/>
      <c r="L451" s="143"/>
      <c r="M451" s="145"/>
      <c r="N451" s="145"/>
      <c r="O451" s="145"/>
      <c r="P451" s="146"/>
      <c r="Q451" s="145"/>
      <c r="R451" s="146"/>
      <c r="S451" s="145"/>
      <c r="T451" s="146"/>
      <c r="U451" s="94"/>
      <c r="V451" s="103"/>
      <c r="W451" s="143"/>
      <c r="X451" s="92"/>
      <c r="Y451" s="92"/>
      <c r="Z451" s="92"/>
      <c r="AA451" s="92"/>
      <c r="AB451" s="147">
        <f t="shared" si="55"/>
        <v>0</v>
      </c>
      <c r="AC451" s="148"/>
      <c r="AD451" s="144"/>
      <c r="AE451" s="143"/>
      <c r="AF451" s="143"/>
      <c r="AG451" s="143"/>
      <c r="AH451" s="143"/>
      <c r="AI451" s="143"/>
      <c r="AJ451" s="97"/>
    </row>
    <row r="452" customHeight="1" spans="2:36">
      <c r="B452" s="141">
        <v>46197</v>
      </c>
      <c r="C452" s="142">
        <v>46197</v>
      </c>
      <c r="D452" s="151"/>
      <c r="E452" s="105"/>
      <c r="F452" s="100"/>
      <c r="G452" s="143"/>
      <c r="H452" s="143"/>
      <c r="I452" s="143"/>
      <c r="J452" s="143"/>
      <c r="K452" s="144"/>
      <c r="L452" s="143"/>
      <c r="M452" s="145"/>
      <c r="N452" s="145"/>
      <c r="O452" s="145"/>
      <c r="P452" s="146"/>
      <c r="Q452" s="145"/>
      <c r="R452" s="146"/>
      <c r="S452" s="145"/>
      <c r="T452" s="146"/>
      <c r="U452" s="94"/>
      <c r="V452" s="103"/>
      <c r="W452" s="143"/>
      <c r="X452" s="92"/>
      <c r="Y452" s="92"/>
      <c r="Z452" s="92"/>
      <c r="AA452" s="92"/>
      <c r="AB452" s="147">
        <f t="shared" si="55"/>
        <v>0</v>
      </c>
      <c r="AC452" s="148"/>
      <c r="AD452" s="144"/>
      <c r="AE452" s="143"/>
      <c r="AF452" s="143"/>
      <c r="AG452" s="143"/>
      <c r="AH452" s="143"/>
      <c r="AI452" s="143"/>
      <c r="AJ452" s="97"/>
    </row>
    <row r="453" customHeight="1" spans="2:36">
      <c r="B453" s="141">
        <v>46198</v>
      </c>
      <c r="C453" s="142">
        <v>46198</v>
      </c>
      <c r="D453" s="151"/>
      <c r="E453" s="105"/>
      <c r="F453" s="100"/>
      <c r="G453" s="143"/>
      <c r="H453" s="143"/>
      <c r="I453" s="143"/>
      <c r="J453" s="143"/>
      <c r="K453" s="144"/>
      <c r="L453" s="143"/>
      <c r="M453" s="145"/>
      <c r="N453" s="145"/>
      <c r="O453" s="145"/>
      <c r="P453" s="146"/>
      <c r="Q453" s="145"/>
      <c r="R453" s="146"/>
      <c r="S453" s="145"/>
      <c r="T453" s="146"/>
      <c r="U453" s="94"/>
      <c r="V453" s="103"/>
      <c r="W453" s="143"/>
      <c r="X453" s="92"/>
      <c r="Y453" s="92"/>
      <c r="Z453" s="92"/>
      <c r="AA453" s="92"/>
      <c r="AB453" s="147">
        <f t="shared" si="55"/>
        <v>0</v>
      </c>
      <c r="AC453" s="148"/>
      <c r="AD453" s="144"/>
      <c r="AE453" s="143"/>
      <c r="AF453" s="143"/>
      <c r="AG453" s="143"/>
      <c r="AH453" s="143"/>
      <c r="AI453" s="143"/>
      <c r="AJ453" s="97"/>
    </row>
    <row r="454" customHeight="1" spans="2:36">
      <c r="B454" s="141">
        <v>46199</v>
      </c>
      <c r="C454" s="142">
        <v>46199</v>
      </c>
      <c r="D454" s="151"/>
      <c r="E454" s="105"/>
      <c r="F454" s="100"/>
      <c r="G454" s="143"/>
      <c r="H454" s="143"/>
      <c r="I454" s="143"/>
      <c r="J454" s="143"/>
      <c r="K454" s="144"/>
      <c r="L454" s="143"/>
      <c r="M454" s="145"/>
      <c r="N454" s="145"/>
      <c r="O454" s="145"/>
      <c r="P454" s="146"/>
      <c r="Q454" s="145"/>
      <c r="R454" s="146"/>
      <c r="S454" s="145"/>
      <c r="T454" s="146"/>
      <c r="U454" s="94"/>
      <c r="V454" s="103"/>
      <c r="W454" s="143"/>
      <c r="X454" s="92"/>
      <c r="Y454" s="92"/>
      <c r="Z454" s="92"/>
      <c r="AA454" s="92"/>
      <c r="AB454" s="147">
        <f t="shared" si="55"/>
        <v>0</v>
      </c>
      <c r="AC454" s="148"/>
      <c r="AD454" s="144"/>
      <c r="AE454" s="143"/>
      <c r="AF454" s="143"/>
      <c r="AG454" s="143"/>
      <c r="AH454" s="143"/>
      <c r="AI454" s="143"/>
      <c r="AJ454" s="97"/>
    </row>
    <row r="455" customHeight="1" spans="2:36">
      <c r="B455" s="141">
        <v>46200</v>
      </c>
      <c r="C455" s="142">
        <v>46200</v>
      </c>
      <c r="D455" s="151"/>
      <c r="E455" s="105"/>
      <c r="F455" s="100"/>
      <c r="G455" s="143"/>
      <c r="H455" s="143"/>
      <c r="I455" s="143"/>
      <c r="J455" s="143"/>
      <c r="K455" s="144"/>
      <c r="L455" s="143"/>
      <c r="M455" s="145"/>
      <c r="N455" s="145"/>
      <c r="O455" s="145"/>
      <c r="P455" s="146"/>
      <c r="Q455" s="145"/>
      <c r="R455" s="146"/>
      <c r="S455" s="145"/>
      <c r="T455" s="146"/>
      <c r="U455" s="94"/>
      <c r="V455" s="103"/>
      <c r="W455" s="143"/>
      <c r="X455" s="92"/>
      <c r="Y455" s="92"/>
      <c r="Z455" s="92"/>
      <c r="AA455" s="92"/>
      <c r="AB455" s="147">
        <f t="shared" si="55"/>
        <v>0</v>
      </c>
      <c r="AC455" s="148"/>
      <c r="AD455" s="144"/>
      <c r="AE455" s="143"/>
      <c r="AF455" s="143"/>
      <c r="AG455" s="143"/>
      <c r="AH455" s="143"/>
      <c r="AI455" s="143"/>
      <c r="AJ455" s="97"/>
    </row>
    <row r="456" customHeight="1" spans="2:36">
      <c r="B456" s="141">
        <v>46201</v>
      </c>
      <c r="C456" s="142">
        <v>46201</v>
      </c>
      <c r="D456" s="151"/>
      <c r="E456" s="105"/>
      <c r="F456" s="100"/>
      <c r="G456" s="143"/>
      <c r="H456" s="143"/>
      <c r="I456" s="143"/>
      <c r="J456" s="143"/>
      <c r="K456" s="144"/>
      <c r="L456" s="143"/>
      <c r="M456" s="145"/>
      <c r="N456" s="145"/>
      <c r="O456" s="145"/>
      <c r="P456" s="146"/>
      <c r="Q456" s="145"/>
      <c r="R456" s="146"/>
      <c r="S456" s="145"/>
      <c r="T456" s="146"/>
      <c r="U456" s="94"/>
      <c r="V456" s="103"/>
      <c r="W456" s="143"/>
      <c r="X456" s="92"/>
      <c r="Y456" s="92"/>
      <c r="Z456" s="92"/>
      <c r="AA456" s="92"/>
      <c r="AB456" s="147">
        <f t="shared" si="55"/>
        <v>0</v>
      </c>
      <c r="AC456" s="148"/>
      <c r="AD456" s="144"/>
      <c r="AE456" s="143"/>
      <c r="AF456" s="143"/>
      <c r="AG456" s="143"/>
      <c r="AH456" s="143"/>
      <c r="AI456" s="143"/>
      <c r="AJ456" s="97"/>
    </row>
    <row r="457" customHeight="1" spans="2:36">
      <c r="B457" s="141">
        <v>46202</v>
      </c>
      <c r="C457" s="142">
        <v>46202</v>
      </c>
      <c r="D457" s="151"/>
      <c r="E457" s="105"/>
      <c r="F457" s="100"/>
      <c r="G457" s="143"/>
      <c r="H457" s="143"/>
      <c r="I457" s="143"/>
      <c r="J457" s="143"/>
      <c r="K457" s="144"/>
      <c r="L457" s="143"/>
      <c r="M457" s="145"/>
      <c r="N457" s="145"/>
      <c r="O457" s="145"/>
      <c r="P457" s="146"/>
      <c r="Q457" s="145"/>
      <c r="R457" s="146"/>
      <c r="S457" s="145"/>
      <c r="T457" s="146"/>
      <c r="U457" s="94"/>
      <c r="V457" s="103"/>
      <c r="W457" s="143"/>
      <c r="X457" s="92"/>
      <c r="Y457" s="92"/>
      <c r="Z457" s="92"/>
      <c r="AA457" s="92"/>
      <c r="AB457" s="147">
        <f t="shared" si="55"/>
        <v>0</v>
      </c>
      <c r="AC457" s="148"/>
      <c r="AD457" s="144"/>
      <c r="AE457" s="143"/>
      <c r="AF457" s="143"/>
      <c r="AG457" s="143"/>
      <c r="AH457" s="143"/>
      <c r="AI457" s="143"/>
      <c r="AJ457" s="97"/>
    </row>
    <row r="458" customHeight="1" spans="2:36">
      <c r="B458" s="141">
        <v>46203</v>
      </c>
      <c r="C458" s="142">
        <v>46203</v>
      </c>
      <c r="D458" s="151"/>
      <c r="E458" s="105"/>
      <c r="F458" s="100"/>
      <c r="G458" s="143"/>
      <c r="H458" s="143"/>
      <c r="I458" s="143"/>
      <c r="J458" s="143"/>
      <c r="K458" s="144"/>
      <c r="L458" s="143"/>
      <c r="M458" s="145"/>
      <c r="N458" s="145"/>
      <c r="O458" s="145"/>
      <c r="P458" s="146"/>
      <c r="Q458" s="145"/>
      <c r="R458" s="146"/>
      <c r="S458" s="145"/>
      <c r="T458" s="146"/>
      <c r="U458" s="94"/>
      <c r="V458" s="103"/>
      <c r="W458" s="143"/>
      <c r="X458" s="92"/>
      <c r="Y458" s="92"/>
      <c r="Z458" s="92"/>
      <c r="AA458" s="92"/>
      <c r="AB458" s="147">
        <f t="shared" si="55"/>
        <v>0</v>
      </c>
      <c r="AC458" s="148"/>
      <c r="AD458" s="144"/>
      <c r="AE458" s="143"/>
      <c r="AF458" s="143"/>
      <c r="AG458" s="143"/>
      <c r="AH458" s="143"/>
      <c r="AI458" s="143"/>
      <c r="AJ458" s="97"/>
    </row>
    <row r="459" customHeight="1" spans="2:36">
      <c r="B459" s="141">
        <v>46204</v>
      </c>
      <c r="C459" s="142">
        <v>46204</v>
      </c>
      <c r="D459" s="151"/>
      <c r="E459" s="105"/>
      <c r="F459" s="100"/>
      <c r="G459" s="143"/>
      <c r="H459" s="143"/>
      <c r="I459" s="143"/>
      <c r="J459" s="143"/>
      <c r="K459" s="144"/>
      <c r="L459" s="143"/>
      <c r="M459" s="145"/>
      <c r="N459" s="145"/>
      <c r="O459" s="145"/>
      <c r="P459" s="146"/>
      <c r="Q459" s="145"/>
      <c r="R459" s="146"/>
      <c r="S459" s="145"/>
      <c r="T459" s="146"/>
      <c r="U459" s="94"/>
      <c r="V459" s="103"/>
      <c r="W459" s="143"/>
      <c r="X459" s="92"/>
      <c r="Y459" s="92"/>
      <c r="Z459" s="92"/>
      <c r="AA459" s="92"/>
      <c r="AB459" s="147">
        <f t="shared" si="55"/>
        <v>0</v>
      </c>
      <c r="AC459" s="148"/>
      <c r="AD459" s="144"/>
      <c r="AE459" s="143"/>
      <c r="AF459" s="143"/>
      <c r="AG459" s="143"/>
      <c r="AH459" s="143"/>
      <c r="AI459" s="143"/>
      <c r="AJ459" s="97"/>
    </row>
    <row r="460" customHeight="1" spans="2:36">
      <c r="B460" s="141">
        <v>46205</v>
      </c>
      <c r="C460" s="142">
        <v>46205</v>
      </c>
      <c r="D460" s="151"/>
      <c r="E460" s="105"/>
      <c r="F460" s="100"/>
      <c r="G460" s="143"/>
      <c r="H460" s="143"/>
      <c r="I460" s="143"/>
      <c r="J460" s="143"/>
      <c r="K460" s="144"/>
      <c r="L460" s="143"/>
      <c r="M460" s="145"/>
      <c r="N460" s="145"/>
      <c r="O460" s="145"/>
      <c r="P460" s="146"/>
      <c r="Q460" s="145"/>
      <c r="R460" s="146"/>
      <c r="S460" s="145"/>
      <c r="T460" s="146"/>
      <c r="U460" s="94"/>
      <c r="V460" s="103"/>
      <c r="W460" s="143"/>
      <c r="X460" s="92"/>
      <c r="Y460" s="92"/>
      <c r="Z460" s="92"/>
      <c r="AA460" s="92"/>
      <c r="AB460" s="147">
        <f t="shared" si="55"/>
        <v>0</v>
      </c>
      <c r="AC460" s="148"/>
      <c r="AD460" s="144"/>
      <c r="AE460" s="143"/>
      <c r="AF460" s="143"/>
      <c r="AG460" s="143"/>
      <c r="AH460" s="143"/>
      <c r="AI460" s="143"/>
      <c r="AJ460" s="97"/>
    </row>
    <row r="461" customHeight="1" spans="2:36">
      <c r="B461" s="141">
        <v>46206</v>
      </c>
      <c r="C461" s="142">
        <v>46206</v>
      </c>
      <c r="D461" s="151"/>
      <c r="E461" s="105"/>
      <c r="F461" s="100"/>
      <c r="G461" s="143"/>
      <c r="H461" s="143"/>
      <c r="I461" s="143"/>
      <c r="J461" s="143"/>
      <c r="K461" s="144"/>
      <c r="L461" s="143"/>
      <c r="M461" s="145"/>
      <c r="N461" s="145"/>
      <c r="O461" s="145"/>
      <c r="P461" s="146"/>
      <c r="Q461" s="145"/>
      <c r="R461" s="146"/>
      <c r="S461" s="145"/>
      <c r="T461" s="146"/>
      <c r="U461" s="94"/>
      <c r="V461" s="103"/>
      <c r="W461" s="143"/>
      <c r="X461" s="92"/>
      <c r="Y461" s="92"/>
      <c r="Z461" s="92"/>
      <c r="AA461" s="92"/>
      <c r="AB461" s="147">
        <f t="shared" si="55"/>
        <v>0</v>
      </c>
      <c r="AC461" s="148"/>
      <c r="AD461" s="144"/>
      <c r="AE461" s="143"/>
      <c r="AF461" s="143"/>
      <c r="AG461" s="143"/>
      <c r="AH461" s="143"/>
      <c r="AI461" s="143"/>
      <c r="AJ461" s="97"/>
    </row>
    <row r="462" customHeight="1" spans="2:36">
      <c r="B462" s="141">
        <v>46207</v>
      </c>
      <c r="C462" s="142">
        <v>46207</v>
      </c>
      <c r="D462" s="151"/>
      <c r="E462" s="105"/>
      <c r="F462" s="100"/>
      <c r="G462" s="143"/>
      <c r="H462" s="143"/>
      <c r="I462" s="143"/>
      <c r="J462" s="143"/>
      <c r="K462" s="144"/>
      <c r="L462" s="143"/>
      <c r="M462" s="145"/>
      <c r="N462" s="145"/>
      <c r="O462" s="145"/>
      <c r="P462" s="146"/>
      <c r="Q462" s="145"/>
      <c r="R462" s="146"/>
      <c r="S462" s="145"/>
      <c r="T462" s="146"/>
      <c r="U462" s="94"/>
      <c r="V462" s="103"/>
      <c r="W462" s="143"/>
      <c r="X462" s="92"/>
      <c r="Y462" s="92"/>
      <c r="Z462" s="92"/>
      <c r="AA462" s="92"/>
      <c r="AB462" s="147">
        <f t="shared" si="55"/>
        <v>0</v>
      </c>
      <c r="AC462" s="148"/>
      <c r="AD462" s="144"/>
      <c r="AE462" s="143"/>
      <c r="AF462" s="143"/>
      <c r="AG462" s="143"/>
      <c r="AH462" s="143"/>
      <c r="AI462" s="143"/>
      <c r="AJ462" s="97"/>
    </row>
  </sheetData>
  <mergeCells count="3">
    <mergeCell ref="H155:T155"/>
    <mergeCell ref="H146:T153"/>
    <mergeCell ref="H156:T163"/>
  </mergeCells>
  <pageMargins left="0.7" right="0.7" top="0.75" bottom="0.75" header="0" footer="0"/>
  <pageSetup paperSize="1" orientation="landscape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223"/>
  <sheetViews>
    <sheetView workbookViewId="0">
      <selection activeCell="G21" sqref="G21"/>
    </sheetView>
  </sheetViews>
  <sheetFormatPr defaultColWidth="14.375" defaultRowHeight="15" customHeight="1" outlineLevelCol="7"/>
  <cols>
    <col min="1" max="1" width="8.75" customWidth="1"/>
    <col min="2" max="2" width="24.75" customWidth="1"/>
    <col min="3" max="3" width="17.375" customWidth="1"/>
    <col min="4" max="5" width="8.75" customWidth="1"/>
    <col min="6" max="6" width="12.75" customWidth="1"/>
    <col min="7" max="7" width="15.75" customWidth="1"/>
    <col min="8" max="8" width="17.75" customWidth="1"/>
  </cols>
  <sheetData>
    <row r="1" ht="14.25" customHeight="1"/>
    <row r="2" ht="14.25" customHeight="1" spans="2:8">
      <c r="B2" s="74" t="s">
        <v>90</v>
      </c>
      <c r="C2" s="74" t="s">
        <v>91</v>
      </c>
      <c r="F2" s="75" t="s">
        <v>92</v>
      </c>
      <c r="G2" s="75" t="s">
        <v>93</v>
      </c>
      <c r="H2" s="75" t="s">
        <v>94</v>
      </c>
    </row>
    <row r="3" ht="14.25" customHeight="1" spans="2:8">
      <c r="B3" s="76" t="s">
        <v>95</v>
      </c>
      <c r="C3" s="77">
        <v>45818</v>
      </c>
      <c r="F3" s="75" t="s">
        <v>96</v>
      </c>
      <c r="G3" s="75">
        <v>275</v>
      </c>
    </row>
    <row r="4" ht="14.25" customHeight="1" spans="2:8">
      <c r="B4" s="76" t="s">
        <v>97</v>
      </c>
      <c r="C4" s="78" t="s">
        <v>12</v>
      </c>
      <c r="F4" s="75" t="s">
        <v>98</v>
      </c>
      <c r="G4" s="75">
        <v>275</v>
      </c>
    </row>
    <row r="5" ht="14.25" customHeight="1" spans="2:8">
      <c r="B5" s="76" t="s">
        <v>99</v>
      </c>
      <c r="C5" s="78" t="s">
        <v>100</v>
      </c>
      <c r="F5" s="75" t="s">
        <v>101</v>
      </c>
      <c r="G5" s="75">
        <v>275</v>
      </c>
    </row>
    <row r="6" ht="14.25" customHeight="1" spans="2:8">
      <c r="B6" s="76" t="s">
        <v>102</v>
      </c>
      <c r="C6" s="78" t="s">
        <v>103</v>
      </c>
      <c r="F6" s="75" t="s">
        <v>104</v>
      </c>
      <c r="G6" s="75">
        <v>275</v>
      </c>
    </row>
    <row r="7" ht="14.25" customHeight="1" spans="2:8">
      <c r="B7" s="76" t="s">
        <v>105</v>
      </c>
      <c r="C7" s="79">
        <v>4.82216</v>
      </c>
      <c r="F7" s="75" t="s">
        <v>106</v>
      </c>
      <c r="G7" s="75">
        <v>275</v>
      </c>
    </row>
    <row r="8" ht="14.25" customHeight="1" spans="2:8">
      <c r="B8" s="76" t="s">
        <v>107</v>
      </c>
      <c r="C8" s="76">
        <v>4</v>
      </c>
      <c r="F8" s="75" t="s">
        <v>108</v>
      </c>
      <c r="G8" s="75">
        <v>275</v>
      </c>
    </row>
    <row r="9" ht="14.25" customHeight="1" spans="2:8">
      <c r="B9" s="76" t="s">
        <v>109</v>
      </c>
      <c r="C9" s="80">
        <f>SUM(H3:H94)</f>
        <v>4822.16</v>
      </c>
      <c r="F9" s="75" t="s">
        <v>110</v>
      </c>
      <c r="G9" s="75">
        <v>275</v>
      </c>
    </row>
    <row r="10" ht="14.25" customHeight="1" spans="2:8">
      <c r="B10" s="76" t="s">
        <v>111</v>
      </c>
      <c r="C10" s="76"/>
      <c r="F10" s="75" t="s">
        <v>112</v>
      </c>
      <c r="G10" s="75">
        <v>275</v>
      </c>
    </row>
    <row r="11" ht="14.25" customHeight="1" spans="2:8">
      <c r="B11" s="76" t="s">
        <v>113</v>
      </c>
      <c r="C11" s="76" t="s">
        <v>114</v>
      </c>
      <c r="F11" s="75" t="s">
        <v>115</v>
      </c>
      <c r="G11" s="75">
        <v>275</v>
      </c>
    </row>
    <row r="12" ht="14.25" customHeight="1" spans="2:8">
      <c r="B12" s="76" t="s">
        <v>116</v>
      </c>
      <c r="C12" s="81">
        <v>2</v>
      </c>
      <c r="F12" s="75" t="s">
        <v>117</v>
      </c>
      <c r="G12" s="75">
        <v>275</v>
      </c>
    </row>
    <row r="13" ht="14.25" customHeight="1" spans="2:8">
      <c r="B13" s="76" t="s">
        <v>118</v>
      </c>
      <c r="C13" s="76" t="s">
        <v>119</v>
      </c>
      <c r="F13" s="75" t="s">
        <v>120</v>
      </c>
      <c r="G13" s="75">
        <v>275</v>
      </c>
    </row>
    <row r="14" ht="14.25" customHeight="1" spans="2:8">
      <c r="B14" s="76" t="s">
        <v>121</v>
      </c>
      <c r="C14" s="76">
        <v>0.275</v>
      </c>
      <c r="F14" s="75" t="s">
        <v>122</v>
      </c>
      <c r="G14" s="75">
        <v>275</v>
      </c>
    </row>
    <row r="15" ht="14.25" customHeight="1" spans="2:8">
      <c r="B15" s="76" t="s">
        <v>123</v>
      </c>
      <c r="C15" s="76">
        <v>15</v>
      </c>
      <c r="F15" s="75" t="s">
        <v>124</v>
      </c>
      <c r="G15" s="75">
        <v>275</v>
      </c>
    </row>
    <row r="16" ht="14.25" customHeight="1" spans="2:8">
      <c r="B16" s="76" t="s">
        <v>125</v>
      </c>
      <c r="C16" s="76" t="s">
        <v>126</v>
      </c>
      <c r="F16" s="75" t="s">
        <v>127</v>
      </c>
      <c r="G16" s="75">
        <v>275</v>
      </c>
    </row>
    <row r="17" ht="14.25" customHeight="1" spans="2:8">
      <c r="B17" s="76" t="s">
        <v>128</v>
      </c>
      <c r="C17" s="76">
        <v>545</v>
      </c>
      <c r="F17" s="75" t="s">
        <v>129</v>
      </c>
      <c r="G17" s="75">
        <v>275</v>
      </c>
    </row>
    <row r="18" ht="14.25" customHeight="1" spans="2:8">
      <c r="B18" s="76" t="s">
        <v>130</v>
      </c>
      <c r="C18" s="79">
        <v>316</v>
      </c>
      <c r="F18" s="75" t="s">
        <v>131</v>
      </c>
      <c r="G18">
        <f>SUM(G3:G17)</f>
        <v>4125</v>
      </c>
      <c r="H18">
        <v>4822.16</v>
      </c>
    </row>
    <row r="19" ht="14.25" customHeight="1" spans="2:8">
      <c r="B19" s="76" t="s">
        <v>132</v>
      </c>
      <c r="C19" s="82" t="s">
        <v>133</v>
      </c>
    </row>
    <row r="20" ht="14.25" customHeight="1" spans="2:8">
      <c r="B20" s="76" t="s">
        <v>134</v>
      </c>
      <c r="C20" s="79">
        <v>8848</v>
      </c>
    </row>
    <row r="21" ht="14.25" customHeight="1" spans="2:8">
      <c r="B21" s="76" t="s">
        <v>135</v>
      </c>
      <c r="C21" s="76" t="s">
        <v>136</v>
      </c>
    </row>
    <row r="22" ht="14.25" customHeight="1" spans="2:8">
      <c r="B22" s="76" t="s">
        <v>137</v>
      </c>
      <c r="C22" s="76" t="s">
        <v>138</v>
      </c>
    </row>
    <row r="23" ht="14.25" customHeight="1" spans="2:8">
      <c r="B23" s="76" t="s">
        <v>139</v>
      </c>
      <c r="C23" s="76"/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</sheetData>
  <pageMargins left="0.7" right="0.7" top="0.75" bottom="0.75" header="0" footer="0"/>
  <pageSetup paperSize="1" orientation="landscape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23"/>
  <sheetViews>
    <sheetView tabSelected="1" zoomScale="130" zoomScaleNormal="130" topLeftCell="C1" workbookViewId="0">
      <pane ySplit="3" topLeftCell="A588" activePane="bottomLeft" state="frozen"/>
      <selection/>
      <selection pane="bottomLeft" activeCell="N605" sqref="N605:N611"/>
    </sheetView>
  </sheetViews>
  <sheetFormatPr defaultColWidth="9" defaultRowHeight="15" customHeight="1"/>
  <cols>
    <col min="1" max="1" width="9" style="1"/>
    <col min="2" max="2" width="9.375" style="1"/>
    <col min="3" max="3" width="11.25" style="1" customWidth="1"/>
    <col min="4" max="4" width="19.5" style="1" customWidth="1"/>
    <col min="5" max="5" width="10.25" style="1" customWidth="1"/>
    <col min="6" max="6" width="9" style="1"/>
    <col min="7" max="7" width="9" style="1" customWidth="1"/>
    <col min="8" max="8" width="20" style="1" customWidth="1"/>
    <col min="9" max="10" width="9" style="1"/>
    <col min="11" max="11" width="15" style="1" customWidth="1"/>
    <col min="12" max="12" width="13.75" style="1" customWidth="1"/>
    <col min="13" max="13" width="9" style="1"/>
    <col min="14" max="14" width="22.375" style="1" customWidth="1"/>
    <col min="15" max="16384" width="9" style="1"/>
  </cols>
  <sheetData>
    <row r="1" ht="14.25"/>
    <row r="2" ht="14.25" spans="1:15">
      <c r="C2" s="42" t="s">
        <v>140</v>
      </c>
      <c r="D2" s="42"/>
      <c r="E2" s="42"/>
    </row>
    <row r="3" s="40" customFormat="1" ht="39" customHeight="1" spans="1:15">
      <c r="A3" s="43" t="s">
        <v>141</v>
      </c>
      <c r="B3" s="43" t="s">
        <v>1</v>
      </c>
      <c r="C3" s="44" t="s">
        <v>142</v>
      </c>
      <c r="D3" s="44" t="s">
        <v>143</v>
      </c>
      <c r="E3" s="44" t="s">
        <v>144</v>
      </c>
      <c r="F3" s="45" t="s">
        <v>145</v>
      </c>
      <c r="G3" s="45" t="s">
        <v>146</v>
      </c>
      <c r="H3" s="45"/>
      <c r="I3" s="45" t="s">
        <v>147</v>
      </c>
      <c r="J3" s="45" t="s">
        <v>148</v>
      </c>
      <c r="K3" s="45" t="s">
        <v>149</v>
      </c>
      <c r="L3" s="45" t="s">
        <v>150</v>
      </c>
      <c r="M3" s="46" t="s">
        <v>151</v>
      </c>
      <c r="N3" s="43" t="s">
        <v>152</v>
      </c>
      <c r="O3" s="40" t="s">
        <v>31</v>
      </c>
    </row>
    <row r="4" spans="1:15">
      <c r="A4" s="47">
        <v>45747</v>
      </c>
      <c r="B4" s="48">
        <v>45747</v>
      </c>
      <c r="C4" s="49"/>
      <c r="D4" s="49"/>
      <c r="E4" s="49"/>
      <c r="F4" s="49"/>
      <c r="G4" s="49"/>
      <c r="H4" s="49"/>
      <c r="I4" s="49"/>
      <c r="J4" s="49"/>
      <c r="K4" s="50"/>
      <c r="L4" s="50"/>
      <c r="M4" s="49"/>
      <c r="N4" s="49"/>
    </row>
    <row r="5" spans="1:15">
      <c r="A5" s="47">
        <v>45748</v>
      </c>
      <c r="B5" s="48">
        <v>45748</v>
      </c>
      <c r="C5" s="49"/>
      <c r="D5" s="49"/>
      <c r="E5" s="49"/>
      <c r="F5" s="49"/>
      <c r="G5" s="49"/>
      <c r="H5" s="49"/>
      <c r="I5" s="49"/>
      <c r="J5" s="49"/>
      <c r="K5" s="50"/>
      <c r="L5" s="50"/>
      <c r="M5" s="49"/>
      <c r="N5" s="49"/>
    </row>
    <row r="6" spans="1:15">
      <c r="A6" s="47">
        <v>45749</v>
      </c>
      <c r="B6" s="48">
        <v>45749</v>
      </c>
      <c r="C6" s="49"/>
      <c r="D6" s="49"/>
      <c r="E6" s="49"/>
      <c r="F6" s="49"/>
      <c r="G6" s="49"/>
      <c r="H6" s="49"/>
      <c r="I6" s="49"/>
      <c r="J6" s="49"/>
      <c r="K6" s="50"/>
      <c r="L6" s="50"/>
      <c r="M6" s="49"/>
      <c r="N6" s="49"/>
    </row>
    <row r="7" spans="1:15">
      <c r="A7" s="47">
        <v>45750</v>
      </c>
      <c r="B7" s="48">
        <v>45750</v>
      </c>
      <c r="C7" s="49"/>
      <c r="D7" s="49"/>
      <c r="E7" s="49"/>
      <c r="F7" s="49"/>
      <c r="G7" s="49"/>
      <c r="H7" s="49"/>
      <c r="I7" s="49"/>
      <c r="J7" s="49"/>
      <c r="K7" s="50"/>
      <c r="L7" s="50"/>
      <c r="M7" s="49"/>
      <c r="N7" s="49"/>
    </row>
    <row r="8" spans="1:15">
      <c r="A8" s="47">
        <v>45751</v>
      </c>
      <c r="B8" s="48">
        <v>45751</v>
      </c>
      <c r="C8" s="49"/>
      <c r="D8" s="49"/>
      <c r="E8" s="49"/>
      <c r="F8" s="49"/>
      <c r="G8" s="49"/>
      <c r="H8" s="49"/>
      <c r="I8" s="49"/>
      <c r="J8" s="49"/>
      <c r="K8" s="50"/>
      <c r="L8" s="50"/>
      <c r="M8" s="49"/>
      <c r="N8" s="49"/>
    </row>
    <row r="9" spans="1:15">
      <c r="A9" s="47">
        <v>45752</v>
      </c>
      <c r="B9" s="48">
        <v>45752</v>
      </c>
      <c r="C9" s="49"/>
      <c r="D9" s="49"/>
      <c r="E9" s="49"/>
      <c r="F9" s="49"/>
      <c r="G9" s="49"/>
      <c r="H9" s="49"/>
      <c r="I9" s="49"/>
      <c r="J9" s="49"/>
      <c r="K9" s="50"/>
      <c r="L9" s="50"/>
      <c r="M9" s="49"/>
      <c r="N9" s="49"/>
    </row>
    <row r="10" spans="1:15">
      <c r="A10" s="47">
        <v>45753</v>
      </c>
      <c r="B10" s="48">
        <v>45753</v>
      </c>
      <c r="C10" s="49"/>
      <c r="D10" s="49"/>
      <c r="E10" s="49"/>
      <c r="F10" s="49"/>
      <c r="G10" s="49"/>
      <c r="H10" s="49"/>
      <c r="I10" s="49"/>
      <c r="J10" s="49"/>
      <c r="K10" s="50"/>
      <c r="L10" s="50"/>
      <c r="M10" s="49"/>
      <c r="N10" s="49"/>
    </row>
    <row r="11" spans="1:15">
      <c r="A11" s="47">
        <v>45754</v>
      </c>
      <c r="B11" s="48">
        <v>45754</v>
      </c>
      <c r="C11" s="49"/>
      <c r="D11" s="49"/>
      <c r="E11" s="49"/>
      <c r="F11" s="49"/>
      <c r="G11" s="49"/>
      <c r="H11" s="49"/>
      <c r="I11" s="49"/>
      <c r="J11" s="49"/>
      <c r="K11" s="50"/>
      <c r="L11" s="50"/>
      <c r="M11" s="49"/>
      <c r="N11" s="49"/>
    </row>
    <row r="12" spans="1:15">
      <c r="A12" s="47">
        <v>45755</v>
      </c>
      <c r="B12" s="48">
        <v>45755</v>
      </c>
      <c r="C12" s="49"/>
      <c r="D12" s="49"/>
      <c r="E12" s="49"/>
      <c r="F12" s="49"/>
      <c r="G12" s="49"/>
      <c r="H12" s="49"/>
      <c r="I12" s="49"/>
      <c r="J12" s="49"/>
      <c r="K12" s="50"/>
      <c r="L12" s="50"/>
      <c r="M12" s="49"/>
      <c r="N12" s="49"/>
    </row>
    <row r="13" spans="1:15">
      <c r="A13" s="47">
        <v>45756</v>
      </c>
      <c r="B13" s="48">
        <v>45756</v>
      </c>
      <c r="C13" s="49"/>
      <c r="D13" s="49"/>
      <c r="E13" s="49"/>
      <c r="F13" s="49"/>
      <c r="G13" s="49"/>
      <c r="H13" s="49"/>
      <c r="I13" s="49"/>
      <c r="J13" s="49"/>
      <c r="K13" s="50"/>
      <c r="L13" s="50"/>
      <c r="M13" s="49"/>
      <c r="N13" s="49"/>
    </row>
    <row r="14" spans="1:15">
      <c r="A14" s="47">
        <v>45757</v>
      </c>
      <c r="B14" s="48">
        <v>45757</v>
      </c>
      <c r="C14" s="49"/>
      <c r="D14" s="49"/>
      <c r="E14" s="49"/>
      <c r="F14" s="49"/>
      <c r="G14" s="49"/>
      <c r="H14" s="49"/>
      <c r="I14" s="49"/>
      <c r="J14" s="49"/>
      <c r="K14" s="50"/>
      <c r="L14" s="50"/>
      <c r="M14" s="49"/>
      <c r="N14" s="49"/>
    </row>
    <row r="15" spans="1:15">
      <c r="A15" s="47">
        <v>45758</v>
      </c>
      <c r="B15" s="48">
        <v>45758</v>
      </c>
      <c r="C15" s="49"/>
      <c r="D15" s="49"/>
      <c r="E15" s="49"/>
      <c r="F15" s="49"/>
      <c r="G15" s="49"/>
      <c r="H15" s="49"/>
      <c r="I15" s="49"/>
      <c r="J15" s="49"/>
      <c r="K15" s="50"/>
      <c r="L15" s="50"/>
      <c r="M15" s="49"/>
      <c r="N15" s="49"/>
    </row>
    <row r="16" spans="1:15">
      <c r="A16" s="47">
        <v>45759</v>
      </c>
      <c r="B16" s="48">
        <v>45759</v>
      </c>
      <c r="C16" s="49"/>
      <c r="D16" s="49"/>
      <c r="E16" s="49"/>
      <c r="F16" s="49"/>
      <c r="G16" s="49"/>
      <c r="H16" s="49"/>
      <c r="I16" s="49"/>
      <c r="J16" s="49"/>
      <c r="K16" s="50"/>
      <c r="L16" s="50"/>
      <c r="M16" s="49"/>
      <c r="N16" s="49"/>
    </row>
    <row r="17" spans="1:14">
      <c r="A17" s="47">
        <v>45760</v>
      </c>
      <c r="B17" s="48">
        <v>45760</v>
      </c>
      <c r="C17" s="49"/>
      <c r="D17" s="49"/>
      <c r="E17" s="49"/>
      <c r="F17" s="49"/>
      <c r="G17" s="49"/>
      <c r="H17" s="49"/>
      <c r="I17" s="49"/>
      <c r="J17" s="49"/>
      <c r="K17" s="50"/>
      <c r="L17" s="50"/>
      <c r="M17" s="49"/>
      <c r="N17" s="49"/>
    </row>
    <row r="18" spans="1:14">
      <c r="A18" s="47">
        <v>45761</v>
      </c>
      <c r="B18" s="48">
        <v>45761</v>
      </c>
      <c r="C18" s="49"/>
      <c r="D18" s="49"/>
      <c r="E18" s="49"/>
      <c r="F18" s="49"/>
      <c r="G18" s="49"/>
      <c r="H18" s="49"/>
      <c r="I18" s="49"/>
      <c r="J18" s="49"/>
      <c r="K18" s="50"/>
      <c r="L18" s="50"/>
      <c r="M18" s="49"/>
      <c r="N18" s="51"/>
    </row>
    <row r="19" customHeight="1" spans="1:14">
      <c r="A19" s="52">
        <v>45762</v>
      </c>
      <c r="B19" s="53">
        <v>45762</v>
      </c>
      <c r="C19" s="54"/>
      <c r="D19" s="54"/>
      <c r="E19" s="54"/>
      <c r="F19" s="54"/>
      <c r="G19" s="49"/>
      <c r="H19" s="49"/>
      <c r="I19" s="49"/>
      <c r="J19" s="49"/>
      <c r="K19" s="50"/>
      <c r="L19" s="50"/>
      <c r="M19" s="49"/>
      <c r="N19" s="51"/>
    </row>
    <row r="20" customHeight="1" spans="1:14">
      <c r="A20" s="55"/>
      <c r="B20" s="56"/>
      <c r="C20" s="57"/>
      <c r="D20" s="57"/>
      <c r="E20" s="57"/>
      <c r="F20" s="57"/>
      <c r="G20" s="49"/>
      <c r="H20" s="49"/>
      <c r="I20" s="49"/>
      <c r="J20" s="49"/>
      <c r="K20" s="50"/>
      <c r="L20" s="50"/>
      <c r="M20" s="49"/>
      <c r="N20" s="51"/>
    </row>
    <row r="21" customHeight="1" spans="1:14">
      <c r="A21" s="55"/>
      <c r="B21" s="56"/>
      <c r="C21" s="57"/>
      <c r="D21" s="57"/>
      <c r="E21" s="57"/>
      <c r="F21" s="57"/>
      <c r="G21" s="49"/>
      <c r="H21" s="49"/>
      <c r="I21" s="49"/>
      <c r="J21" s="49"/>
      <c r="K21" s="50"/>
      <c r="L21" s="50"/>
      <c r="M21" s="49"/>
      <c r="N21" s="51"/>
    </row>
    <row r="22" customHeight="1" spans="1:14">
      <c r="A22" s="55"/>
      <c r="B22" s="56"/>
      <c r="C22" s="57"/>
      <c r="D22" s="57"/>
      <c r="E22" s="57"/>
      <c r="F22" s="57"/>
      <c r="G22" s="49"/>
      <c r="H22" s="49"/>
      <c r="I22" s="49"/>
      <c r="J22" s="49"/>
      <c r="K22" s="50"/>
      <c r="L22" s="50"/>
      <c r="M22" s="49"/>
      <c r="N22" s="51"/>
    </row>
    <row r="23" customHeight="1" spans="1:14">
      <c r="A23" s="58"/>
      <c r="B23" s="59"/>
      <c r="C23" s="60"/>
      <c r="D23" s="60"/>
      <c r="E23" s="60"/>
      <c r="F23" s="60"/>
      <c r="G23" s="49"/>
      <c r="H23" s="49"/>
      <c r="I23" s="49"/>
      <c r="J23" s="49"/>
      <c r="K23" s="50"/>
      <c r="L23" s="50"/>
      <c r="M23" s="49"/>
      <c r="N23" s="51"/>
    </row>
    <row r="24" customHeight="1" spans="1:14">
      <c r="A24" s="52">
        <v>45763</v>
      </c>
      <c r="B24" s="53">
        <v>45763</v>
      </c>
      <c r="C24" s="61"/>
      <c r="D24" s="61"/>
      <c r="E24" s="61"/>
      <c r="F24" s="61"/>
      <c r="G24" s="62"/>
      <c r="H24" s="62"/>
      <c r="I24" s="62"/>
      <c r="J24" s="62"/>
      <c r="K24" s="63"/>
      <c r="L24" s="63"/>
      <c r="M24" s="62"/>
      <c r="N24" s="62"/>
    </row>
    <row r="25" customHeight="1" spans="1:14">
      <c r="A25" s="58"/>
      <c r="B25" s="59"/>
      <c r="C25" s="64"/>
      <c r="D25" s="64"/>
      <c r="E25" s="64"/>
      <c r="F25" s="64"/>
      <c r="G25" s="62"/>
      <c r="H25" s="62"/>
      <c r="I25" s="62"/>
      <c r="J25" s="62"/>
      <c r="K25" s="63"/>
      <c r="L25" s="63"/>
      <c r="M25" s="62"/>
      <c r="N25" s="62"/>
    </row>
    <row r="26" spans="1:14">
      <c r="A26" s="47">
        <v>45764</v>
      </c>
      <c r="B26" s="48">
        <v>45764</v>
      </c>
      <c r="C26" s="62"/>
      <c r="D26" s="62"/>
      <c r="E26" s="62"/>
      <c r="F26" s="62"/>
      <c r="G26" s="62"/>
      <c r="H26" s="62"/>
      <c r="I26" s="62"/>
      <c r="J26" s="62"/>
      <c r="K26" s="63"/>
      <c r="L26" s="63"/>
      <c r="M26" s="62"/>
      <c r="N26" s="65"/>
    </row>
    <row r="27" spans="1:14">
      <c r="A27" s="47">
        <v>45765</v>
      </c>
      <c r="B27" s="48">
        <v>45765</v>
      </c>
      <c r="C27" s="62"/>
      <c r="D27" s="62"/>
      <c r="E27" s="62"/>
      <c r="F27" s="62"/>
      <c r="G27" s="62"/>
      <c r="H27" s="62"/>
      <c r="I27" s="62"/>
      <c r="J27" s="62"/>
      <c r="K27" s="63"/>
      <c r="L27" s="63"/>
      <c r="M27" s="62"/>
      <c r="N27" s="65"/>
    </row>
    <row r="28" spans="1:14">
      <c r="A28" s="47">
        <v>45766</v>
      </c>
      <c r="B28" s="48">
        <v>45766</v>
      </c>
      <c r="C28" s="62"/>
      <c r="D28" s="62"/>
      <c r="E28" s="62"/>
      <c r="F28" s="62"/>
      <c r="G28" s="62"/>
      <c r="H28" s="62"/>
      <c r="I28" s="62"/>
      <c r="J28" s="62"/>
      <c r="K28" s="63"/>
      <c r="L28" s="63"/>
      <c r="M28" s="62"/>
      <c r="N28" s="65"/>
    </row>
    <row r="29" spans="1:14">
      <c r="A29" s="47">
        <v>45766</v>
      </c>
      <c r="B29" s="48">
        <v>45766</v>
      </c>
      <c r="C29" s="62"/>
      <c r="D29" s="62"/>
      <c r="E29" s="62"/>
      <c r="F29" s="62"/>
      <c r="G29" s="62"/>
      <c r="H29" s="62"/>
      <c r="I29" s="62"/>
      <c r="J29" s="62"/>
      <c r="K29" s="63"/>
      <c r="L29" s="63"/>
      <c r="M29" s="62"/>
      <c r="N29" s="65"/>
    </row>
    <row r="30" spans="1:14">
      <c r="A30" s="47">
        <v>45767</v>
      </c>
      <c r="B30" s="48">
        <v>45767</v>
      </c>
      <c r="C30" s="62"/>
      <c r="D30" s="62"/>
      <c r="E30" s="62"/>
      <c r="F30" s="62"/>
      <c r="G30" s="62"/>
      <c r="H30" s="62"/>
      <c r="I30" s="62"/>
      <c r="J30" s="62"/>
      <c r="K30" s="63"/>
      <c r="L30" s="63"/>
      <c r="M30" s="62"/>
      <c r="N30" s="65"/>
    </row>
    <row r="31" spans="1:14">
      <c r="A31" s="47">
        <v>45767</v>
      </c>
      <c r="B31" s="48">
        <v>45767</v>
      </c>
      <c r="C31" s="62"/>
      <c r="D31" s="62"/>
      <c r="E31" s="62"/>
      <c r="F31" s="62"/>
      <c r="G31" s="62"/>
      <c r="H31" s="62"/>
      <c r="I31" s="62"/>
      <c r="J31" s="62"/>
      <c r="K31" s="63"/>
      <c r="L31" s="63"/>
      <c r="M31" s="62"/>
      <c r="N31" s="65"/>
    </row>
    <row r="32" spans="1:14">
      <c r="A32" s="47">
        <v>45768</v>
      </c>
      <c r="B32" s="48">
        <v>45768</v>
      </c>
      <c r="C32" s="62"/>
      <c r="D32" s="62"/>
      <c r="E32" s="62"/>
      <c r="F32" s="62"/>
      <c r="G32" s="62"/>
      <c r="H32" s="62"/>
      <c r="I32" s="62"/>
      <c r="J32" s="62"/>
      <c r="K32" s="63"/>
      <c r="L32" s="63"/>
      <c r="M32" s="62"/>
      <c r="N32" s="65"/>
    </row>
    <row r="33" spans="1:14">
      <c r="A33" s="47">
        <v>45768</v>
      </c>
      <c r="B33" s="48">
        <v>45768</v>
      </c>
      <c r="C33" s="62"/>
      <c r="D33" s="62"/>
      <c r="E33" s="62"/>
      <c r="F33" s="62"/>
      <c r="G33" s="62"/>
      <c r="H33" s="62"/>
      <c r="I33" s="62"/>
      <c r="J33" s="62"/>
      <c r="K33" s="63"/>
      <c r="L33" s="63"/>
      <c r="M33" s="62"/>
      <c r="N33" s="65"/>
    </row>
    <row r="34" spans="1:14">
      <c r="A34" s="47">
        <v>45768</v>
      </c>
      <c r="B34" s="48">
        <v>45768</v>
      </c>
      <c r="C34" s="62"/>
      <c r="D34" s="62"/>
      <c r="E34" s="62"/>
      <c r="F34" s="62"/>
      <c r="G34" s="62"/>
      <c r="H34" s="62"/>
      <c r="I34" s="62"/>
      <c r="J34" s="62"/>
      <c r="K34" s="63"/>
      <c r="L34" s="63"/>
      <c r="M34" s="62"/>
      <c r="N34" s="62"/>
    </row>
    <row r="35" spans="1:14">
      <c r="A35" s="47">
        <v>45769</v>
      </c>
      <c r="B35" s="48">
        <v>45769</v>
      </c>
      <c r="C35" s="62"/>
      <c r="D35" s="62"/>
      <c r="E35" s="62"/>
      <c r="F35" s="62"/>
      <c r="G35" s="62"/>
      <c r="H35" s="62"/>
      <c r="I35" s="62"/>
      <c r="J35" s="62"/>
      <c r="K35" s="63"/>
      <c r="L35" s="63"/>
      <c r="M35" s="62"/>
      <c r="N35" s="62"/>
    </row>
    <row r="36" spans="1:14">
      <c r="A36" s="47">
        <v>45770</v>
      </c>
      <c r="B36" s="48">
        <v>45770</v>
      </c>
      <c r="C36" s="62"/>
      <c r="D36" s="62"/>
      <c r="E36" s="62"/>
      <c r="F36" s="62"/>
      <c r="G36" s="62"/>
      <c r="H36" s="62"/>
      <c r="I36" s="62"/>
      <c r="J36" s="62"/>
      <c r="K36" s="63"/>
      <c r="L36" s="63"/>
      <c r="M36" s="62"/>
      <c r="N36" s="62"/>
    </row>
    <row r="37" spans="1:14">
      <c r="A37" s="47">
        <v>45771</v>
      </c>
      <c r="B37" s="48">
        <v>45771</v>
      </c>
      <c r="C37" s="62"/>
      <c r="D37" s="62"/>
      <c r="E37" s="62"/>
      <c r="F37" s="62"/>
      <c r="G37" s="62"/>
      <c r="H37" s="62"/>
      <c r="I37" s="62"/>
      <c r="J37" s="62"/>
      <c r="K37" s="63"/>
      <c r="L37" s="63"/>
      <c r="M37" s="62"/>
      <c r="N37" s="62"/>
    </row>
    <row r="38" spans="1:14">
      <c r="A38" s="47">
        <v>45772</v>
      </c>
      <c r="B38" s="48">
        <v>45772</v>
      </c>
      <c r="C38" s="62"/>
      <c r="D38" s="62"/>
      <c r="E38" s="62"/>
      <c r="F38" s="62"/>
      <c r="G38" s="62"/>
      <c r="H38" s="62"/>
      <c r="I38" s="62"/>
      <c r="J38" s="62"/>
      <c r="K38" s="63"/>
      <c r="L38" s="63"/>
      <c r="M38" s="62"/>
      <c r="N38" s="62"/>
    </row>
    <row r="39" spans="1:14">
      <c r="A39" s="47">
        <v>45773</v>
      </c>
      <c r="B39" s="48">
        <v>45773</v>
      </c>
      <c r="C39" s="62"/>
      <c r="D39" s="62"/>
      <c r="E39" s="62"/>
      <c r="F39" s="62"/>
      <c r="G39" s="62"/>
      <c r="H39" s="62"/>
      <c r="I39" s="62"/>
      <c r="J39" s="62"/>
      <c r="K39" s="63"/>
      <c r="L39" s="63"/>
      <c r="M39" s="62"/>
      <c r="N39" s="62"/>
    </row>
    <row r="40" spans="1:14">
      <c r="A40" s="47">
        <v>45774</v>
      </c>
      <c r="B40" s="48">
        <v>45774</v>
      </c>
      <c r="C40" s="62"/>
      <c r="D40" s="62"/>
      <c r="E40" s="62"/>
      <c r="F40" s="62"/>
      <c r="G40" s="62"/>
      <c r="H40" s="62"/>
      <c r="I40" s="62"/>
      <c r="J40" s="62"/>
      <c r="K40" s="63"/>
      <c r="L40" s="63"/>
      <c r="M40" s="62"/>
      <c r="N40" s="62"/>
    </row>
    <row r="41" spans="1:14">
      <c r="A41" s="47">
        <v>45775</v>
      </c>
      <c r="B41" s="48">
        <v>45775</v>
      </c>
      <c r="C41" s="62"/>
      <c r="D41" s="62"/>
      <c r="E41" s="62"/>
      <c r="F41" s="62"/>
      <c r="G41" s="62"/>
      <c r="H41" s="62"/>
      <c r="I41" s="62"/>
      <c r="J41" s="62"/>
      <c r="K41" s="63"/>
      <c r="L41" s="63"/>
      <c r="M41" s="62"/>
      <c r="N41" s="62"/>
    </row>
    <row r="42" spans="1:14">
      <c r="A42" s="47">
        <v>45776</v>
      </c>
      <c r="B42" s="48">
        <v>45776</v>
      </c>
      <c r="C42" s="62"/>
      <c r="D42" s="62"/>
      <c r="E42" s="62"/>
      <c r="F42" s="62"/>
      <c r="G42" s="62"/>
      <c r="H42" s="62"/>
      <c r="I42" s="62"/>
      <c r="J42" s="62"/>
      <c r="K42" s="63"/>
      <c r="L42" s="63"/>
      <c r="M42" s="62"/>
      <c r="N42" s="62"/>
    </row>
    <row r="43" spans="1:14">
      <c r="A43" s="47">
        <v>45777</v>
      </c>
      <c r="B43" s="48">
        <v>45777</v>
      </c>
      <c r="C43" s="62"/>
      <c r="D43" s="62"/>
      <c r="E43" s="62"/>
      <c r="F43" s="62"/>
      <c r="G43" s="62"/>
      <c r="H43" s="62"/>
      <c r="I43" s="62"/>
      <c r="J43" s="62"/>
      <c r="K43" s="63"/>
      <c r="L43" s="63"/>
      <c r="M43" s="62"/>
      <c r="N43" s="62"/>
    </row>
    <row r="44" spans="1:14">
      <c r="A44" s="47">
        <v>45778</v>
      </c>
      <c r="B44" s="48">
        <v>45778</v>
      </c>
      <c r="C44" s="62"/>
      <c r="D44" s="62"/>
      <c r="E44" s="62"/>
      <c r="F44" s="62"/>
      <c r="G44" s="62"/>
      <c r="H44" s="62"/>
      <c r="I44" s="62"/>
      <c r="J44" s="62"/>
      <c r="K44" s="63"/>
      <c r="L44" s="63"/>
      <c r="M44" s="62"/>
      <c r="N44" s="62"/>
    </row>
    <row r="45" spans="1:14">
      <c r="A45" s="47">
        <v>45779</v>
      </c>
      <c r="B45" s="48">
        <v>45779</v>
      </c>
      <c r="C45" s="62"/>
      <c r="D45" s="62"/>
      <c r="E45" s="62"/>
      <c r="F45" s="62"/>
      <c r="G45" s="62"/>
      <c r="H45" s="62"/>
      <c r="I45" s="62"/>
      <c r="J45" s="62"/>
      <c r="K45" s="63"/>
      <c r="L45" s="63"/>
      <c r="M45" s="62"/>
      <c r="N45" s="62"/>
    </row>
    <row r="46" spans="1:14">
      <c r="A46" s="47"/>
      <c r="B46" s="48"/>
      <c r="C46" s="62"/>
      <c r="D46" s="62"/>
      <c r="E46" s="62"/>
      <c r="F46" s="62"/>
      <c r="G46" s="62"/>
      <c r="H46" s="62"/>
      <c r="I46" s="62"/>
      <c r="J46" s="62"/>
      <c r="K46" s="63"/>
      <c r="L46" s="63"/>
      <c r="M46" s="62"/>
      <c r="N46" s="62"/>
    </row>
    <row r="47" spans="1:14">
      <c r="A47" s="47"/>
      <c r="B47" s="48"/>
      <c r="C47" s="62"/>
      <c r="D47" s="62"/>
      <c r="E47" s="62"/>
      <c r="F47" s="62"/>
      <c r="G47" s="62"/>
      <c r="H47" s="62"/>
      <c r="I47" s="62"/>
      <c r="J47" s="62"/>
      <c r="K47" s="63"/>
      <c r="L47" s="63"/>
      <c r="M47" s="62"/>
      <c r="N47" s="62"/>
    </row>
    <row r="48" spans="1:14">
      <c r="A48" s="47"/>
      <c r="B48" s="48"/>
      <c r="C48" s="62"/>
      <c r="D48" s="62"/>
      <c r="E48" s="62"/>
      <c r="F48" s="62"/>
      <c r="G48" s="62"/>
      <c r="H48" s="62"/>
      <c r="I48" s="62"/>
      <c r="J48" s="62"/>
      <c r="K48" s="63"/>
      <c r="L48" s="63"/>
      <c r="M48" s="62"/>
      <c r="N48" s="62"/>
    </row>
    <row r="49" spans="1:14">
      <c r="A49" s="47"/>
      <c r="B49" s="48"/>
      <c r="C49" s="62"/>
      <c r="D49" s="62"/>
      <c r="E49" s="62"/>
      <c r="F49" s="62"/>
      <c r="G49" s="62"/>
      <c r="H49" s="62"/>
      <c r="I49" s="62"/>
      <c r="J49" s="62"/>
      <c r="K49" s="63"/>
      <c r="L49" s="63"/>
      <c r="M49" s="62"/>
      <c r="N49" s="62"/>
    </row>
    <row r="50" spans="1:14">
      <c r="A50" s="47">
        <v>45780</v>
      </c>
      <c r="B50" s="48">
        <v>45780</v>
      </c>
      <c r="C50" s="62"/>
      <c r="D50" s="62"/>
      <c r="E50" s="62"/>
      <c r="F50" s="62"/>
      <c r="G50" s="62"/>
      <c r="H50" s="62"/>
      <c r="I50" s="62"/>
      <c r="J50" s="62"/>
      <c r="K50" s="63"/>
      <c r="L50" s="63"/>
      <c r="M50" s="62"/>
      <c r="N50" s="62"/>
    </row>
    <row r="51" spans="1:14">
      <c r="A51" s="47">
        <v>45781</v>
      </c>
      <c r="B51" s="48">
        <v>45781</v>
      </c>
      <c r="C51" s="62"/>
      <c r="D51" s="62"/>
      <c r="E51" s="62"/>
      <c r="F51" s="62"/>
      <c r="G51" s="62"/>
      <c r="H51" s="62"/>
      <c r="I51" s="62"/>
      <c r="J51" s="62"/>
      <c r="K51" s="63"/>
      <c r="L51" s="63"/>
      <c r="M51" s="62"/>
      <c r="N51" s="62"/>
    </row>
    <row r="52" spans="1:14">
      <c r="A52" s="47">
        <v>45782</v>
      </c>
      <c r="B52" s="48">
        <v>45782</v>
      </c>
      <c r="C52" s="62"/>
      <c r="D52" s="62"/>
      <c r="E52" s="62"/>
      <c r="F52" s="62"/>
      <c r="G52" s="62"/>
      <c r="H52" s="62"/>
      <c r="I52" s="62"/>
      <c r="J52" s="62"/>
      <c r="K52" s="63"/>
      <c r="L52" s="63"/>
      <c r="M52" s="62"/>
      <c r="N52" s="62"/>
    </row>
    <row r="53" spans="1:14">
      <c r="A53" s="47">
        <v>45783</v>
      </c>
      <c r="B53" s="48">
        <v>45783</v>
      </c>
      <c r="C53" s="62"/>
      <c r="D53" s="62"/>
      <c r="E53" s="62"/>
      <c r="F53" s="62"/>
      <c r="G53" s="62"/>
      <c r="H53" s="62"/>
      <c r="I53" s="62"/>
      <c r="J53" s="62"/>
      <c r="K53" s="63"/>
      <c r="L53" s="63"/>
      <c r="M53" s="62"/>
      <c r="N53" s="62"/>
    </row>
    <row r="54" spans="1:14">
      <c r="A54" s="47">
        <v>45784</v>
      </c>
      <c r="B54" s="48">
        <v>45784</v>
      </c>
      <c r="C54" s="62"/>
      <c r="D54" s="62"/>
      <c r="E54" s="62"/>
      <c r="F54" s="62"/>
      <c r="G54" s="62"/>
      <c r="H54" s="62"/>
      <c r="I54" s="62"/>
      <c r="J54" s="62"/>
      <c r="K54" s="63"/>
      <c r="L54" s="63"/>
      <c r="M54" s="62"/>
      <c r="N54" s="62"/>
    </row>
    <row r="55" spans="1:14">
      <c r="A55" s="47">
        <v>45785</v>
      </c>
      <c r="B55" s="48">
        <v>45785</v>
      </c>
      <c r="C55" s="62"/>
      <c r="D55" s="62"/>
      <c r="E55" s="62"/>
      <c r="F55" s="62"/>
      <c r="G55" s="62"/>
      <c r="H55" s="62"/>
      <c r="I55" s="62"/>
      <c r="J55" s="62"/>
      <c r="K55" s="63"/>
      <c r="L55" s="63"/>
      <c r="M55" s="62"/>
      <c r="N55" s="62"/>
    </row>
    <row r="56" spans="1:14">
      <c r="A56" s="47">
        <v>45786</v>
      </c>
      <c r="B56" s="48">
        <v>45786</v>
      </c>
      <c r="C56" s="62"/>
      <c r="D56" s="62"/>
      <c r="E56" s="62"/>
      <c r="F56" s="62"/>
      <c r="G56" s="62"/>
      <c r="H56" s="62"/>
      <c r="I56" s="62"/>
      <c r="J56" s="62"/>
      <c r="K56" s="63"/>
      <c r="L56" s="63"/>
      <c r="M56" s="62"/>
      <c r="N56" s="62"/>
    </row>
    <row r="57" spans="1:14">
      <c r="A57" s="47">
        <v>45787</v>
      </c>
      <c r="B57" s="48">
        <v>45787</v>
      </c>
      <c r="C57" s="62"/>
      <c r="D57" s="62"/>
      <c r="E57" s="62"/>
      <c r="F57" s="62"/>
      <c r="G57" s="62"/>
      <c r="H57" s="62"/>
      <c r="I57" s="62"/>
      <c r="J57" s="62"/>
      <c r="K57" s="63"/>
      <c r="L57" s="63"/>
      <c r="M57" s="62"/>
      <c r="N57" s="62"/>
    </row>
    <row r="58" spans="1:14">
      <c r="A58" s="47">
        <v>45788</v>
      </c>
      <c r="B58" s="48">
        <v>45788</v>
      </c>
      <c r="C58" s="62"/>
      <c r="D58" s="62"/>
      <c r="E58" s="62"/>
      <c r="F58" s="62"/>
      <c r="G58" s="62"/>
      <c r="H58" s="62"/>
      <c r="I58" s="62"/>
      <c r="J58" s="62"/>
      <c r="K58" s="63"/>
      <c r="L58" s="63"/>
      <c r="M58" s="62"/>
      <c r="N58" s="62"/>
    </row>
    <row r="59" spans="1:14">
      <c r="A59" s="47">
        <v>45789</v>
      </c>
      <c r="B59" s="48">
        <v>45789</v>
      </c>
      <c r="C59" s="62"/>
      <c r="D59" s="62"/>
      <c r="E59" s="62"/>
      <c r="F59" s="62"/>
      <c r="G59" s="62"/>
      <c r="H59" s="62"/>
      <c r="I59" s="62"/>
      <c r="J59" s="62"/>
      <c r="K59" s="63"/>
      <c r="L59" s="63"/>
      <c r="M59" s="62"/>
      <c r="N59" s="62"/>
    </row>
    <row r="60" spans="1:14">
      <c r="A60" s="47">
        <v>45790</v>
      </c>
      <c r="B60" s="48">
        <v>45790</v>
      </c>
      <c r="C60" s="62"/>
      <c r="D60" s="62"/>
      <c r="E60" s="62"/>
      <c r="F60" s="62"/>
      <c r="G60" s="62"/>
      <c r="H60" s="62"/>
      <c r="I60" s="62"/>
      <c r="J60" s="62"/>
      <c r="K60" s="63"/>
      <c r="L60" s="63"/>
      <c r="M60" s="62"/>
      <c r="N60" s="62"/>
    </row>
    <row r="61" spans="1:14">
      <c r="A61" s="47">
        <v>45791</v>
      </c>
      <c r="B61" s="48">
        <v>45791</v>
      </c>
      <c r="C61" s="62"/>
      <c r="D61" s="62"/>
      <c r="E61" s="62"/>
      <c r="F61" s="62"/>
      <c r="G61" s="62"/>
      <c r="H61" s="62"/>
      <c r="I61" s="62"/>
      <c r="J61" s="62"/>
      <c r="K61" s="63"/>
      <c r="L61" s="63"/>
      <c r="M61" s="62"/>
      <c r="N61" s="62"/>
    </row>
    <row r="62" spans="1:14">
      <c r="A62" s="47">
        <v>45792</v>
      </c>
      <c r="B62" s="48">
        <v>45792</v>
      </c>
      <c r="C62" s="62"/>
      <c r="D62" s="62"/>
      <c r="E62" s="62"/>
      <c r="F62" s="62"/>
      <c r="G62" s="62"/>
      <c r="H62" s="62"/>
      <c r="I62" s="62"/>
      <c r="J62" s="62"/>
      <c r="K62" s="63"/>
      <c r="L62" s="63"/>
      <c r="M62" s="62"/>
      <c r="N62" s="62"/>
    </row>
    <row r="63" spans="1:14">
      <c r="A63" s="47">
        <v>45793</v>
      </c>
      <c r="B63" s="48">
        <v>45793</v>
      </c>
      <c r="C63" s="62"/>
      <c r="D63" s="62"/>
      <c r="E63" s="62"/>
      <c r="F63" s="62"/>
      <c r="G63" s="62"/>
      <c r="H63" s="62"/>
      <c r="I63" s="62"/>
      <c r="J63" s="62"/>
      <c r="K63" s="63"/>
      <c r="L63" s="63"/>
      <c r="M63" s="62"/>
      <c r="N63" s="62"/>
    </row>
    <row r="64" spans="1:14">
      <c r="A64" s="47">
        <v>45794</v>
      </c>
      <c r="B64" s="48">
        <v>45794</v>
      </c>
      <c r="C64" s="62"/>
      <c r="D64" s="62"/>
      <c r="E64" s="62"/>
      <c r="F64" s="62"/>
      <c r="G64" s="62"/>
      <c r="H64" s="62"/>
      <c r="I64" s="62"/>
      <c r="J64" s="62"/>
      <c r="K64" s="63"/>
      <c r="L64" s="63"/>
      <c r="M64" s="62"/>
      <c r="N64" s="62"/>
    </row>
    <row r="65" spans="1:14">
      <c r="A65" s="47">
        <v>45795</v>
      </c>
      <c r="B65" s="48">
        <v>45795</v>
      </c>
      <c r="C65" s="62"/>
      <c r="D65" s="62"/>
      <c r="E65" s="62"/>
      <c r="F65" s="62"/>
      <c r="G65" s="62"/>
      <c r="H65" s="62"/>
      <c r="I65" s="62"/>
      <c r="J65" s="62"/>
      <c r="K65" s="63"/>
      <c r="L65" s="63"/>
      <c r="M65" s="62"/>
      <c r="N65" s="62"/>
    </row>
    <row r="66" spans="1:14">
      <c r="A66" s="47">
        <v>45796</v>
      </c>
      <c r="B66" s="48">
        <v>45796</v>
      </c>
      <c r="C66" s="62"/>
      <c r="D66" s="62"/>
      <c r="E66" s="62"/>
      <c r="F66" s="62"/>
      <c r="G66" s="62"/>
      <c r="H66" s="62"/>
      <c r="I66" s="62"/>
      <c r="J66" s="62"/>
      <c r="K66" s="63"/>
      <c r="L66" s="63"/>
      <c r="M66" s="62"/>
      <c r="N66" s="62"/>
    </row>
    <row r="67" spans="1:14">
      <c r="A67" s="47">
        <v>45797</v>
      </c>
      <c r="B67" s="48">
        <v>45797</v>
      </c>
      <c r="C67" s="62"/>
      <c r="D67" s="62"/>
      <c r="E67" s="62"/>
      <c r="F67" s="62"/>
      <c r="G67" s="62"/>
      <c r="H67" s="62"/>
      <c r="I67" s="62"/>
      <c r="J67" s="62"/>
      <c r="K67" s="63"/>
      <c r="L67" s="63"/>
      <c r="M67" s="62"/>
      <c r="N67" s="62"/>
    </row>
    <row r="68" spans="1:14">
      <c r="A68" s="47">
        <v>45798</v>
      </c>
      <c r="B68" s="48">
        <v>45798</v>
      </c>
      <c r="C68" s="62"/>
      <c r="D68" s="62"/>
      <c r="E68" s="62"/>
      <c r="F68" s="62"/>
      <c r="G68" s="62"/>
      <c r="H68" s="62"/>
      <c r="I68" s="62"/>
      <c r="J68" s="62"/>
      <c r="K68" s="63"/>
      <c r="L68" s="63"/>
      <c r="M68" s="62"/>
      <c r="N68" s="62"/>
    </row>
    <row r="69" spans="1:14">
      <c r="A69" s="47">
        <v>45799</v>
      </c>
      <c r="B69" s="48">
        <v>45799</v>
      </c>
      <c r="C69" s="62"/>
      <c r="D69" s="62"/>
      <c r="E69" s="62"/>
      <c r="F69" s="62"/>
      <c r="G69" s="62"/>
      <c r="H69" s="62"/>
      <c r="I69" s="62"/>
      <c r="J69" s="62"/>
      <c r="K69" s="63"/>
      <c r="L69" s="63"/>
      <c r="M69" s="62"/>
      <c r="N69" s="62"/>
    </row>
    <row r="70" spans="1:14">
      <c r="A70" s="47">
        <v>45800</v>
      </c>
      <c r="B70" s="48">
        <v>45800</v>
      </c>
      <c r="C70" s="62"/>
      <c r="D70" s="62"/>
      <c r="E70" s="62"/>
      <c r="F70" s="62"/>
      <c r="G70" s="62"/>
      <c r="H70" s="62"/>
      <c r="I70" s="62"/>
      <c r="J70" s="62"/>
      <c r="K70" s="63"/>
      <c r="L70" s="63"/>
      <c r="M70" s="62"/>
      <c r="N70" s="62"/>
    </row>
    <row r="71" spans="1:14">
      <c r="A71" s="47">
        <v>45801</v>
      </c>
      <c r="B71" s="48">
        <v>45801</v>
      </c>
      <c r="C71" s="62"/>
      <c r="D71" s="62"/>
      <c r="E71" s="62"/>
      <c r="F71" s="62"/>
      <c r="G71" s="62"/>
      <c r="H71" s="62"/>
      <c r="I71" s="62"/>
      <c r="J71" s="62"/>
      <c r="K71" s="63"/>
      <c r="L71" s="63"/>
      <c r="M71" s="62"/>
      <c r="N71" s="62"/>
    </row>
    <row r="72" spans="1:14">
      <c r="A72" s="47">
        <v>45802</v>
      </c>
      <c r="B72" s="48">
        <v>45802</v>
      </c>
      <c r="C72" s="62"/>
      <c r="D72" s="62"/>
      <c r="E72" s="62"/>
      <c r="F72" s="62"/>
      <c r="G72" s="62"/>
      <c r="H72" s="62"/>
      <c r="I72" s="62"/>
      <c r="J72" s="62"/>
      <c r="K72" s="63"/>
      <c r="L72" s="63"/>
      <c r="M72" s="62"/>
      <c r="N72" s="62"/>
    </row>
    <row r="73" spans="1:14">
      <c r="A73" s="47">
        <v>45803</v>
      </c>
      <c r="B73" s="48">
        <v>45803</v>
      </c>
      <c r="C73" s="62"/>
      <c r="D73" s="62"/>
      <c r="E73" s="62"/>
      <c r="F73" s="62"/>
      <c r="G73" s="62"/>
      <c r="H73" s="62"/>
      <c r="I73" s="62"/>
      <c r="J73" s="62"/>
      <c r="K73" s="63"/>
      <c r="L73" s="63"/>
      <c r="M73" s="62"/>
      <c r="N73" s="62"/>
    </row>
    <row r="74" spans="1:14">
      <c r="A74" s="47">
        <v>45804</v>
      </c>
      <c r="B74" s="48">
        <v>45804</v>
      </c>
      <c r="C74" s="62"/>
      <c r="D74" s="62"/>
      <c r="E74" s="62"/>
      <c r="F74" s="62"/>
      <c r="G74" s="62"/>
      <c r="H74" s="62"/>
      <c r="I74" s="62"/>
      <c r="J74" s="62"/>
      <c r="K74" s="63"/>
      <c r="L74" s="63"/>
      <c r="M74" s="62"/>
      <c r="N74" s="62"/>
    </row>
    <row r="75" spans="1:14">
      <c r="A75" s="47">
        <v>45805</v>
      </c>
      <c r="B75" s="48">
        <v>45805</v>
      </c>
      <c r="C75" s="62"/>
      <c r="D75" s="62"/>
      <c r="E75" s="62"/>
      <c r="F75" s="62"/>
      <c r="G75" s="62"/>
      <c r="H75" s="62"/>
      <c r="I75" s="62"/>
      <c r="J75" s="62"/>
      <c r="K75" s="63"/>
      <c r="L75" s="63"/>
      <c r="M75" s="62"/>
      <c r="N75" s="62"/>
    </row>
    <row r="76" spans="1:14">
      <c r="A76" s="47">
        <v>45806</v>
      </c>
      <c r="B76" s="48">
        <v>45806</v>
      </c>
      <c r="C76" s="62"/>
      <c r="D76" s="62"/>
      <c r="E76" s="62"/>
      <c r="F76" s="62"/>
      <c r="G76" s="62"/>
      <c r="H76" s="62"/>
      <c r="I76" s="62"/>
      <c r="J76" s="62"/>
      <c r="K76" s="63"/>
      <c r="L76" s="63"/>
      <c r="M76" s="62"/>
      <c r="N76" s="62"/>
    </row>
    <row r="77" spans="1:14">
      <c r="A77" s="47">
        <v>45807</v>
      </c>
      <c r="B77" s="48">
        <v>45807</v>
      </c>
      <c r="C77" s="62"/>
      <c r="D77" s="62"/>
      <c r="E77" s="62"/>
      <c r="F77" s="62"/>
      <c r="G77" s="62"/>
      <c r="H77" s="62"/>
      <c r="I77" s="62"/>
      <c r="J77" s="62"/>
      <c r="K77" s="63"/>
      <c r="L77" s="63"/>
      <c r="M77" s="62"/>
      <c r="N77" s="62"/>
    </row>
    <row r="78" spans="1:14">
      <c r="A78" s="47">
        <v>45807</v>
      </c>
      <c r="B78" s="48">
        <v>45807</v>
      </c>
      <c r="C78" s="62"/>
      <c r="D78" s="62"/>
      <c r="E78" s="62"/>
      <c r="F78" s="62"/>
      <c r="G78" s="62"/>
      <c r="H78" s="62"/>
      <c r="I78" s="62"/>
      <c r="J78" s="62"/>
      <c r="K78" s="63"/>
      <c r="L78" s="63"/>
      <c r="M78" s="62"/>
      <c r="N78" s="62"/>
    </row>
    <row r="79" spans="1:14">
      <c r="A79" s="47">
        <v>45808</v>
      </c>
      <c r="B79" s="48">
        <v>45808</v>
      </c>
      <c r="C79" s="62"/>
      <c r="D79" s="62"/>
      <c r="E79" s="62"/>
      <c r="F79" s="62"/>
      <c r="G79" s="62"/>
      <c r="H79" s="62"/>
      <c r="I79" s="62"/>
      <c r="J79" s="62"/>
      <c r="K79" s="63"/>
      <c r="L79" s="63"/>
      <c r="M79" s="62"/>
      <c r="N79" s="62"/>
    </row>
    <row r="80" spans="1:14">
      <c r="A80" s="47">
        <v>45808</v>
      </c>
      <c r="B80" s="48">
        <v>45808</v>
      </c>
      <c r="C80" s="62"/>
      <c r="D80" s="62"/>
      <c r="E80" s="62"/>
      <c r="F80" s="62"/>
      <c r="G80" s="62"/>
      <c r="H80" s="62"/>
      <c r="I80" s="62"/>
      <c r="J80" s="62"/>
      <c r="K80" s="63"/>
      <c r="L80" s="63"/>
      <c r="M80" s="62"/>
      <c r="N80" s="62"/>
    </row>
    <row r="81" spans="1:14">
      <c r="A81" s="47">
        <v>45809</v>
      </c>
      <c r="B81" s="48">
        <v>45809</v>
      </c>
      <c r="C81" s="62"/>
      <c r="D81" s="62"/>
      <c r="E81" s="62"/>
      <c r="F81" s="62"/>
      <c r="G81" s="62"/>
      <c r="H81" s="62"/>
      <c r="I81" s="62"/>
      <c r="J81" s="62"/>
      <c r="K81" s="63"/>
      <c r="L81" s="63"/>
      <c r="M81" s="62"/>
      <c r="N81" s="62"/>
    </row>
    <row r="82" spans="1:14">
      <c r="A82" s="47">
        <v>45809</v>
      </c>
      <c r="B82" s="48">
        <v>45809</v>
      </c>
      <c r="C82" s="62"/>
      <c r="D82" s="62"/>
      <c r="E82" s="62"/>
      <c r="F82" s="62"/>
      <c r="G82" s="62"/>
      <c r="H82" s="62"/>
      <c r="I82" s="62"/>
      <c r="J82" s="62"/>
      <c r="K82" s="63"/>
      <c r="L82" s="63"/>
      <c r="M82" s="62"/>
      <c r="N82" s="62"/>
    </row>
    <row r="83" spans="1:14">
      <c r="A83" s="47">
        <v>45809</v>
      </c>
      <c r="B83" s="48">
        <v>45809</v>
      </c>
      <c r="C83" s="62"/>
      <c r="D83" s="62"/>
      <c r="E83" s="62"/>
      <c r="F83" s="62"/>
      <c r="G83" s="62"/>
      <c r="H83" s="62"/>
      <c r="I83" s="62"/>
      <c r="J83" s="62"/>
      <c r="K83" s="63"/>
      <c r="L83" s="63"/>
      <c r="M83" s="62"/>
      <c r="N83" s="62"/>
    </row>
    <row r="84" spans="1:14">
      <c r="A84" s="47">
        <v>45810</v>
      </c>
      <c r="B84" s="48">
        <v>45810</v>
      </c>
      <c r="C84" s="62"/>
      <c r="D84" s="62"/>
      <c r="E84" s="62"/>
      <c r="F84" s="62"/>
      <c r="G84" s="62"/>
      <c r="H84" s="62"/>
      <c r="I84" s="62"/>
      <c r="J84" s="62"/>
      <c r="K84" s="63"/>
      <c r="L84" s="63"/>
      <c r="M84" s="62"/>
      <c r="N84" s="62"/>
    </row>
    <row r="85" spans="1:14">
      <c r="A85" s="47">
        <v>45811</v>
      </c>
      <c r="B85" s="48">
        <v>45811</v>
      </c>
      <c r="C85" s="62"/>
      <c r="D85" s="62"/>
      <c r="E85" s="62"/>
      <c r="F85" s="62"/>
      <c r="G85" s="62"/>
      <c r="H85" s="62"/>
      <c r="I85" s="62"/>
      <c r="J85" s="62"/>
      <c r="K85" s="63"/>
      <c r="L85" s="63"/>
      <c r="M85" s="62"/>
      <c r="N85" s="62"/>
    </row>
    <row r="86" spans="1:14">
      <c r="A86" s="47">
        <v>45812</v>
      </c>
      <c r="B86" s="48">
        <v>45812</v>
      </c>
      <c r="C86" s="62"/>
      <c r="D86" s="62"/>
      <c r="E86" s="62"/>
      <c r="F86" s="62"/>
      <c r="G86" s="62"/>
      <c r="H86" s="62"/>
      <c r="I86" s="62"/>
      <c r="J86" s="62"/>
      <c r="K86" s="63"/>
      <c r="L86" s="63"/>
      <c r="M86" s="62"/>
      <c r="N86" s="62"/>
    </row>
    <row r="87" spans="1:14">
      <c r="A87" s="47">
        <v>45812</v>
      </c>
      <c r="B87" s="48">
        <v>45812</v>
      </c>
      <c r="C87" s="62"/>
      <c r="D87" s="62"/>
      <c r="E87" s="62"/>
      <c r="F87" s="62"/>
      <c r="G87" s="62"/>
      <c r="H87" s="62"/>
      <c r="I87" s="62"/>
      <c r="J87" s="62"/>
      <c r="K87" s="63"/>
      <c r="L87" s="63"/>
      <c r="M87" s="62"/>
      <c r="N87" s="62"/>
    </row>
    <row r="88" spans="1:14">
      <c r="A88" s="47">
        <v>45812</v>
      </c>
      <c r="B88" s="48">
        <v>45812</v>
      </c>
      <c r="C88" s="62"/>
      <c r="D88" s="62"/>
      <c r="E88" s="62"/>
      <c r="F88" s="62"/>
      <c r="G88" s="62"/>
      <c r="H88" s="62"/>
      <c r="I88" s="62"/>
      <c r="J88" s="62"/>
      <c r="K88" s="63"/>
      <c r="L88" s="63"/>
      <c r="M88" s="62"/>
      <c r="N88" s="62"/>
    </row>
    <row r="89" spans="1:14">
      <c r="A89" s="47">
        <v>45812</v>
      </c>
      <c r="B89" s="48">
        <v>45812</v>
      </c>
      <c r="C89" s="62"/>
      <c r="D89" s="62"/>
      <c r="E89" s="62"/>
      <c r="F89" s="62"/>
      <c r="G89" s="62"/>
      <c r="H89" s="62"/>
      <c r="I89" s="62"/>
      <c r="J89" s="62"/>
      <c r="K89" s="63"/>
      <c r="L89" s="63"/>
      <c r="M89" s="62"/>
      <c r="N89" s="62"/>
    </row>
    <row r="90" spans="1:14">
      <c r="A90" s="47">
        <v>45813</v>
      </c>
      <c r="B90" s="48">
        <v>45813</v>
      </c>
      <c r="C90" s="62"/>
      <c r="D90" s="62"/>
      <c r="E90" s="62"/>
      <c r="F90" s="62"/>
      <c r="G90" s="62"/>
      <c r="H90" s="62"/>
      <c r="I90" s="62"/>
      <c r="J90" s="62"/>
      <c r="K90" s="63"/>
      <c r="L90" s="63"/>
      <c r="M90" s="62"/>
      <c r="N90" s="62"/>
    </row>
    <row r="91" spans="1:14">
      <c r="A91" s="47">
        <v>45813</v>
      </c>
      <c r="B91" s="48">
        <v>45813</v>
      </c>
      <c r="C91" s="62"/>
      <c r="D91" s="62"/>
      <c r="E91" s="62"/>
      <c r="F91" s="62"/>
      <c r="G91" s="62"/>
      <c r="H91" s="62"/>
      <c r="I91" s="62"/>
      <c r="J91" s="62"/>
      <c r="K91" s="63"/>
      <c r="L91" s="63"/>
      <c r="M91" s="62"/>
      <c r="N91" s="62"/>
    </row>
    <row r="92" spans="1:14">
      <c r="A92" s="47">
        <v>45813</v>
      </c>
      <c r="B92" s="48">
        <v>45813</v>
      </c>
      <c r="C92" s="62"/>
      <c r="D92" s="62"/>
      <c r="E92" s="62"/>
      <c r="F92" s="62"/>
      <c r="G92" s="62"/>
      <c r="H92" s="62"/>
      <c r="I92" s="62"/>
      <c r="J92" s="62"/>
      <c r="K92" s="63"/>
      <c r="L92" s="63"/>
      <c r="M92" s="62"/>
      <c r="N92" s="62"/>
    </row>
    <row r="93" spans="1:14">
      <c r="A93" s="47">
        <v>45814</v>
      </c>
      <c r="B93" s="48">
        <v>45814</v>
      </c>
      <c r="C93" s="62"/>
      <c r="D93" s="62"/>
      <c r="E93" s="62"/>
      <c r="F93" s="62"/>
      <c r="G93" s="62"/>
      <c r="H93" s="62"/>
      <c r="I93" s="62"/>
      <c r="J93" s="62"/>
      <c r="K93" s="63"/>
      <c r="L93" s="63"/>
      <c r="M93" s="62"/>
      <c r="N93" s="62"/>
    </row>
    <row r="94" spans="1:14">
      <c r="A94" s="47">
        <v>45815</v>
      </c>
      <c r="B94" s="48">
        <v>45815</v>
      </c>
      <c r="C94" s="62"/>
      <c r="D94" s="62"/>
      <c r="E94" s="62"/>
      <c r="F94" s="62"/>
      <c r="G94" s="62"/>
      <c r="H94" s="62"/>
      <c r="I94" s="62"/>
      <c r="J94" s="62"/>
      <c r="K94" s="63"/>
      <c r="L94" s="63"/>
      <c r="M94" s="62"/>
      <c r="N94" s="62"/>
    </row>
    <row r="95" spans="1:14">
      <c r="A95" s="47">
        <v>45816</v>
      </c>
      <c r="B95" s="48">
        <v>45816</v>
      </c>
      <c r="C95" s="62"/>
      <c r="D95" s="62"/>
      <c r="E95" s="62"/>
      <c r="F95" s="62"/>
      <c r="G95" s="62"/>
      <c r="H95" s="62"/>
      <c r="I95" s="62"/>
      <c r="J95" s="62"/>
      <c r="K95" s="63"/>
      <c r="L95" s="63"/>
      <c r="M95" s="62"/>
      <c r="N95" s="62"/>
    </row>
    <row r="96" spans="1:14">
      <c r="A96" s="47">
        <v>45817</v>
      </c>
      <c r="B96" s="48">
        <v>45817</v>
      </c>
      <c r="C96" s="62"/>
      <c r="D96" s="62"/>
      <c r="E96" s="62"/>
      <c r="F96" s="62"/>
      <c r="G96" s="62"/>
      <c r="H96" s="62"/>
      <c r="I96" s="62"/>
      <c r="J96" s="62"/>
      <c r="K96" s="63"/>
      <c r="L96" s="63"/>
      <c r="M96" s="62"/>
      <c r="N96" s="62"/>
    </row>
    <row r="97" spans="1:14">
      <c r="A97" s="47">
        <v>45817</v>
      </c>
      <c r="B97" s="48">
        <v>45817</v>
      </c>
      <c r="C97" s="62"/>
      <c r="D97" s="62"/>
      <c r="E97" s="62"/>
      <c r="F97" s="62"/>
      <c r="G97" s="62"/>
      <c r="H97" s="62"/>
      <c r="I97" s="62"/>
      <c r="J97" s="62"/>
      <c r="K97" s="63"/>
      <c r="L97" s="63"/>
      <c r="M97" s="62"/>
      <c r="N97" s="62"/>
    </row>
    <row r="98" spans="1:14">
      <c r="A98" s="47">
        <v>45818</v>
      </c>
      <c r="B98" s="48">
        <v>45818</v>
      </c>
      <c r="C98" s="62"/>
      <c r="D98" s="62"/>
      <c r="E98" s="62"/>
      <c r="F98" s="62"/>
      <c r="G98" s="62"/>
      <c r="H98" s="62"/>
      <c r="I98" s="62"/>
      <c r="J98" s="62"/>
      <c r="K98" s="63"/>
      <c r="L98" s="63"/>
      <c r="M98" s="62"/>
      <c r="N98" s="62"/>
    </row>
    <row r="99" spans="1:14">
      <c r="A99" s="47">
        <v>45818</v>
      </c>
      <c r="B99" s="48">
        <v>45818</v>
      </c>
      <c r="C99" s="62"/>
      <c r="D99" s="62"/>
      <c r="E99" s="62"/>
      <c r="F99" s="62"/>
      <c r="G99" s="62"/>
      <c r="H99" s="62"/>
      <c r="I99" s="62"/>
      <c r="J99" s="62"/>
      <c r="K99" s="63"/>
      <c r="L99" s="63"/>
      <c r="M99" s="62"/>
      <c r="N99" s="62"/>
    </row>
    <row r="100" spans="1:14">
      <c r="A100" s="47">
        <v>45819</v>
      </c>
      <c r="B100" s="48">
        <v>45819</v>
      </c>
      <c r="C100" s="62"/>
      <c r="D100" s="62"/>
      <c r="E100" s="62"/>
      <c r="F100" s="62"/>
      <c r="G100" s="62"/>
      <c r="H100" s="62"/>
      <c r="I100" s="62"/>
      <c r="J100" s="62"/>
      <c r="K100" s="63"/>
      <c r="L100" s="63"/>
      <c r="M100" s="62"/>
      <c r="N100" s="62"/>
    </row>
    <row r="101" spans="1:14">
      <c r="A101" s="47">
        <v>45812</v>
      </c>
      <c r="B101" s="48">
        <v>45819</v>
      </c>
      <c r="C101" s="62"/>
      <c r="D101" s="62"/>
      <c r="E101" s="62"/>
      <c r="F101" s="62"/>
      <c r="G101" s="62"/>
      <c r="H101" s="62"/>
      <c r="I101" s="62"/>
      <c r="J101" s="62"/>
      <c r="K101" s="63"/>
      <c r="L101" s="63"/>
      <c r="M101" s="62"/>
      <c r="N101" s="62"/>
    </row>
    <row r="102" spans="1:14">
      <c r="A102" s="47">
        <v>45842</v>
      </c>
      <c r="B102" s="48">
        <v>45819</v>
      </c>
      <c r="C102" s="62"/>
      <c r="D102" s="62"/>
      <c r="E102" s="62"/>
      <c r="F102" s="62"/>
      <c r="G102" s="62"/>
      <c r="H102" s="62"/>
      <c r="I102" s="62"/>
      <c r="J102" s="62"/>
      <c r="K102" s="63"/>
      <c r="L102" s="63"/>
      <c r="M102" s="62"/>
      <c r="N102" s="62"/>
    </row>
    <row r="103" spans="1:14">
      <c r="A103" s="47">
        <v>45820</v>
      </c>
      <c r="B103" s="48">
        <v>45820</v>
      </c>
      <c r="C103" s="62"/>
      <c r="D103" s="62"/>
      <c r="E103" s="62"/>
      <c r="F103" s="62"/>
      <c r="G103" s="62"/>
      <c r="H103" s="62"/>
      <c r="I103" s="62"/>
      <c r="J103" s="62"/>
      <c r="K103" s="63"/>
      <c r="L103" s="63"/>
      <c r="M103" s="62"/>
      <c r="N103" s="62"/>
    </row>
    <row r="104" spans="1:14">
      <c r="A104" s="47">
        <v>45821</v>
      </c>
      <c r="B104" s="48">
        <v>45821</v>
      </c>
      <c r="C104" s="49">
        <v>4</v>
      </c>
      <c r="D104" s="49">
        <v>4000</v>
      </c>
      <c r="E104" s="49"/>
      <c r="F104" s="49">
        <v>1</v>
      </c>
      <c r="G104" s="49" t="s">
        <v>35</v>
      </c>
      <c r="H104" s="49">
        <f>IFERROR(VLOOKUP(G104,[2]Basic_Data!$E$2:$I$9,5,0),"")</f>
        <v>2</v>
      </c>
      <c r="I104" s="49">
        <f>IFERROR(VLOOKUP($G104,[2]Basic_Data!$E$2:$H$10,4,0),"")</f>
        <v>616</v>
      </c>
      <c r="J104" s="49">
        <v>616</v>
      </c>
      <c r="K104" s="50" t="str">
        <f>IFERROR(VLOOKUP($B104-1,[2]Inverter_PR!$B:$I,[2]Module_Cleaning!H104,0),"")</f>
        <v/>
      </c>
      <c r="L104" s="50" t="str">
        <f>IFERROR(VLOOKUP($B104+1,[2]Inverter_PR!$B:$I,[2]Module_Cleaning!H104,0),"")</f>
        <v/>
      </c>
      <c r="M104" s="49">
        <f t="shared" ref="M104:M109" si="0">IFERROR(I104-J104,"")</f>
        <v>0</v>
      </c>
      <c r="N104" s="49" t="s">
        <v>153</v>
      </c>
    </row>
    <row r="105" spans="1:14">
      <c r="A105" s="47">
        <v>45822</v>
      </c>
      <c r="B105" s="48">
        <v>45822</v>
      </c>
      <c r="C105" s="49"/>
      <c r="D105" s="49"/>
      <c r="E105" s="49"/>
      <c r="F105" s="49">
        <v>1</v>
      </c>
      <c r="G105" s="49" t="s">
        <v>36</v>
      </c>
      <c r="H105" s="49">
        <v>3</v>
      </c>
      <c r="I105" s="49">
        <v>616</v>
      </c>
      <c r="J105" s="49">
        <v>616</v>
      </c>
      <c r="K105" s="50" t="str">
        <f>IFERROR(VLOOKUP($B105-1,[2]Inverter_PR!$B:$I,[2]Module_Cleaning!H105,0),"")</f>
        <v/>
      </c>
      <c r="L105" s="50" t="str">
        <f>IFERROR(VLOOKUP($B105+1,[2]Inverter_PR!$B:$I,[2]Module_Cleaning!H105,0),"")</f>
        <v/>
      </c>
      <c r="M105" s="49">
        <v>0</v>
      </c>
      <c r="N105" s="49" t="s">
        <v>153</v>
      </c>
    </row>
    <row r="106" spans="1:14">
      <c r="A106" s="47">
        <v>45823</v>
      </c>
      <c r="B106" s="48">
        <v>45823</v>
      </c>
      <c r="C106" s="49"/>
      <c r="D106" s="49"/>
      <c r="E106" s="49"/>
      <c r="F106" s="49">
        <v>1</v>
      </c>
      <c r="G106" s="49" t="s">
        <v>37</v>
      </c>
      <c r="H106" s="49">
        <v>4</v>
      </c>
      <c r="I106" s="49">
        <v>616</v>
      </c>
      <c r="J106" s="49">
        <v>616</v>
      </c>
      <c r="K106" s="50" t="str">
        <f>IFERROR(VLOOKUP($B106-1,[2]Inverter_PR!$B:$I,[2]Module_Cleaning!H106,0),"")</f>
        <v/>
      </c>
      <c r="L106" s="50" t="str">
        <f>IFERROR(VLOOKUP($B106+1,[2]Inverter_PR!$B:$I,[2]Module_Cleaning!H106,0),"")</f>
        <v/>
      </c>
      <c r="M106" s="49">
        <v>0</v>
      </c>
      <c r="N106" s="49" t="s">
        <v>153</v>
      </c>
    </row>
    <row r="107" spans="1:14">
      <c r="A107" s="47">
        <v>45824</v>
      </c>
      <c r="B107" s="48">
        <v>45824</v>
      </c>
      <c r="C107" s="49"/>
      <c r="D107" s="49"/>
      <c r="E107" s="49"/>
      <c r="F107" s="49">
        <v>1</v>
      </c>
      <c r="G107" s="49" t="s">
        <v>38</v>
      </c>
      <c r="H107" s="49">
        <v>5</v>
      </c>
      <c r="I107" s="49">
        <v>616</v>
      </c>
      <c r="J107" s="49">
        <v>616</v>
      </c>
      <c r="K107" s="50" t="str">
        <f>IFERROR(VLOOKUP($B107-1,[2]Inverter_PR!$B:$I,[2]Module_Cleaning!H107,0),"")</f>
        <v/>
      </c>
      <c r="L107" s="50" t="str">
        <f>IFERROR(VLOOKUP($B107+1,[2]Inverter_PR!$B:$I,[2]Module_Cleaning!H107,0),"")</f>
        <v/>
      </c>
      <c r="M107" s="49">
        <v>0</v>
      </c>
      <c r="N107" s="49" t="s">
        <v>153</v>
      </c>
    </row>
    <row r="108" spans="1:14">
      <c r="A108" s="47">
        <v>45825</v>
      </c>
      <c r="B108" s="48">
        <v>45825</v>
      </c>
      <c r="C108" s="49">
        <v>3</v>
      </c>
      <c r="D108" s="49">
        <v>3000</v>
      </c>
      <c r="E108" s="49"/>
      <c r="F108" s="49">
        <v>1</v>
      </c>
      <c r="G108" s="49" t="s">
        <v>39</v>
      </c>
      <c r="H108" s="49">
        <f>IFERROR(VLOOKUP(G108,[2]Basic_Data!$E$2:$I$9,5,0),"")</f>
        <v>6</v>
      </c>
      <c r="I108" s="49">
        <f>IFERROR(VLOOKUP($G108,[2]Basic_Data!$E$2:$H$10,4,0),"")</f>
        <v>644</v>
      </c>
      <c r="J108" s="49">
        <v>644</v>
      </c>
      <c r="K108" s="50" t="str">
        <f>IFERROR(VLOOKUP($B108-1,[2]Inverter_PR!$B:$I,[2]Module_Cleaning!H108,0),"")</f>
        <v/>
      </c>
      <c r="L108" s="50" t="str">
        <f>IFERROR(VLOOKUP($B108+1,[2]Inverter_PR!$B:$I,[2]Module_Cleaning!H108,0),"")</f>
        <v/>
      </c>
      <c r="M108" s="49">
        <f t="shared" si="0"/>
        <v>0</v>
      </c>
      <c r="N108" s="49" t="s">
        <v>153</v>
      </c>
    </row>
    <row r="109" spans="1:14">
      <c r="A109" s="47">
        <v>45826</v>
      </c>
      <c r="B109" s="48">
        <v>45826</v>
      </c>
      <c r="C109" s="49"/>
      <c r="D109" s="49"/>
      <c r="E109" s="49"/>
      <c r="F109" s="49">
        <v>1</v>
      </c>
      <c r="G109" s="49" t="s">
        <v>40</v>
      </c>
      <c r="H109" s="49">
        <v>7</v>
      </c>
      <c r="I109" s="49">
        <f>IFERROR(VLOOKUP($G109,[2]Basic_Data!$E$2:$H$10,4,0),"")</f>
        <v>644</v>
      </c>
      <c r="J109" s="49">
        <v>644</v>
      </c>
      <c r="K109" s="50" t="str">
        <f>IFERROR(VLOOKUP($B109-1,[2]Inverter_PR!$B:$I,[2]Module_Cleaning!H109,0),"")</f>
        <v/>
      </c>
      <c r="L109" s="50" t="str">
        <f>IFERROR(VLOOKUP($B109+1,[2]Inverter_PR!$B:$I,[2]Module_Cleaning!H109,0),"")</f>
        <v/>
      </c>
      <c r="M109" s="49">
        <f t="shared" si="0"/>
        <v>0</v>
      </c>
      <c r="N109" s="49" t="s">
        <v>153</v>
      </c>
    </row>
    <row r="110" spans="1:14">
      <c r="A110" s="47">
        <v>45827</v>
      </c>
      <c r="B110" s="48">
        <v>45827</v>
      </c>
      <c r="C110" s="62"/>
      <c r="D110" s="62"/>
      <c r="E110" s="62"/>
      <c r="F110" s="62"/>
      <c r="G110" s="62"/>
      <c r="H110" s="62"/>
      <c r="I110" s="62"/>
      <c r="J110" s="62"/>
      <c r="K110" s="63"/>
      <c r="L110" s="63"/>
      <c r="M110" s="62"/>
      <c r="N110" s="62"/>
    </row>
    <row r="111" spans="1:14">
      <c r="A111" s="47">
        <v>45828</v>
      </c>
      <c r="B111" s="48">
        <v>45828</v>
      </c>
      <c r="C111" s="62"/>
      <c r="D111" s="62"/>
      <c r="E111" s="62"/>
      <c r="F111" s="62"/>
      <c r="G111" s="62"/>
      <c r="H111" s="62"/>
      <c r="I111" s="62"/>
      <c r="J111" s="62"/>
      <c r="K111" s="63"/>
      <c r="L111" s="63"/>
      <c r="M111" s="62"/>
      <c r="N111" s="62"/>
    </row>
    <row r="112" spans="1:14">
      <c r="A112" s="47">
        <v>45829</v>
      </c>
      <c r="B112" s="48">
        <v>45829</v>
      </c>
      <c r="C112" s="62"/>
      <c r="D112" s="62"/>
      <c r="E112" s="62"/>
      <c r="F112" s="62"/>
      <c r="G112" s="62"/>
      <c r="H112" s="62"/>
      <c r="I112" s="62"/>
      <c r="J112" s="62"/>
      <c r="K112" s="63"/>
      <c r="L112" s="63"/>
      <c r="M112" s="62"/>
      <c r="N112" s="62"/>
    </row>
    <row r="113" spans="1:14">
      <c r="A113" s="47">
        <v>45830</v>
      </c>
      <c r="B113" s="48">
        <v>45830</v>
      </c>
      <c r="C113" s="62"/>
      <c r="D113" s="62"/>
      <c r="E113" s="62"/>
      <c r="F113" s="62"/>
      <c r="G113" s="62"/>
      <c r="H113" s="62"/>
      <c r="I113" s="62"/>
      <c r="J113" s="62"/>
      <c r="K113" s="63"/>
      <c r="L113" s="63"/>
      <c r="M113" s="62"/>
      <c r="N113" s="62"/>
    </row>
    <row r="114" spans="1:14">
      <c r="A114" s="47">
        <v>45831</v>
      </c>
      <c r="B114" s="48">
        <v>45831</v>
      </c>
      <c r="C114" s="62"/>
      <c r="D114" s="62"/>
      <c r="E114" s="62"/>
      <c r="F114" s="62"/>
      <c r="G114" s="62"/>
      <c r="H114" s="62"/>
      <c r="I114" s="62"/>
      <c r="J114" s="62"/>
      <c r="K114" s="63"/>
      <c r="L114" s="63"/>
      <c r="M114" s="62"/>
      <c r="N114" s="62"/>
    </row>
    <row r="115" spans="1:14">
      <c r="A115" s="47">
        <v>45832</v>
      </c>
      <c r="B115" s="48">
        <v>45832</v>
      </c>
      <c r="C115" s="62"/>
      <c r="D115" s="62"/>
      <c r="E115" s="62"/>
      <c r="F115" s="62"/>
      <c r="G115" s="62"/>
      <c r="H115" s="62"/>
      <c r="I115" s="62"/>
      <c r="J115" s="62"/>
      <c r="K115" s="63"/>
      <c r="L115" s="63"/>
      <c r="M115" s="62"/>
      <c r="N115" s="62"/>
    </row>
    <row r="116" spans="1:14">
      <c r="A116" s="47">
        <v>45833</v>
      </c>
      <c r="B116" s="48">
        <v>45833</v>
      </c>
      <c r="C116" s="62"/>
      <c r="D116" s="62"/>
      <c r="E116" s="62"/>
      <c r="F116" s="62"/>
      <c r="G116" s="62"/>
      <c r="H116" s="62"/>
      <c r="I116" s="62"/>
      <c r="J116" s="62"/>
      <c r="K116" s="63"/>
      <c r="L116" s="63"/>
      <c r="M116" s="62"/>
      <c r="N116" s="62"/>
    </row>
    <row r="117" spans="1:14">
      <c r="A117" s="47">
        <v>45834</v>
      </c>
      <c r="B117" s="48">
        <v>45834</v>
      </c>
      <c r="C117" s="62"/>
      <c r="D117" s="62"/>
      <c r="E117" s="62"/>
      <c r="F117" s="62"/>
      <c r="G117" s="62"/>
      <c r="H117" s="62"/>
      <c r="I117" s="62"/>
      <c r="J117" s="62"/>
      <c r="K117" s="63"/>
      <c r="L117" s="63"/>
      <c r="M117" s="62"/>
      <c r="N117" s="62"/>
    </row>
    <row r="118" spans="1:14">
      <c r="A118" s="47">
        <v>45835</v>
      </c>
      <c r="B118" s="48">
        <v>45835</v>
      </c>
      <c r="C118" s="62"/>
      <c r="D118" s="62"/>
      <c r="E118" s="62"/>
      <c r="F118" s="62"/>
      <c r="G118" s="62"/>
      <c r="H118" s="62"/>
      <c r="I118" s="62"/>
      <c r="J118" s="62"/>
      <c r="K118" s="63"/>
      <c r="L118" s="63"/>
      <c r="M118" s="62"/>
      <c r="N118" s="62"/>
    </row>
    <row r="119" spans="1:14">
      <c r="A119" s="47">
        <v>45836</v>
      </c>
      <c r="B119" s="48">
        <v>45836</v>
      </c>
      <c r="C119" s="62"/>
      <c r="D119" s="62"/>
      <c r="E119" s="62"/>
      <c r="F119" s="62"/>
      <c r="G119" s="62"/>
      <c r="H119" s="62"/>
      <c r="I119" s="62"/>
      <c r="J119" s="62"/>
      <c r="K119" s="63"/>
      <c r="L119" s="63"/>
      <c r="M119" s="62"/>
      <c r="N119" s="62"/>
    </row>
    <row r="120" spans="1:14">
      <c r="A120" s="47">
        <v>45837</v>
      </c>
      <c r="B120" s="48">
        <v>45837</v>
      </c>
      <c r="C120" s="62"/>
      <c r="D120" s="62"/>
      <c r="E120" s="62"/>
      <c r="F120" s="62"/>
      <c r="G120" s="62"/>
      <c r="H120" s="62"/>
      <c r="I120" s="62"/>
      <c r="J120" s="62"/>
      <c r="K120" s="63"/>
      <c r="L120" s="63"/>
      <c r="M120" s="62"/>
      <c r="N120" s="62"/>
    </row>
    <row r="121" spans="1:14">
      <c r="A121" s="47">
        <v>45838</v>
      </c>
      <c r="B121" s="48">
        <v>45838</v>
      </c>
      <c r="C121" s="62"/>
      <c r="D121" s="62"/>
      <c r="E121" s="62"/>
      <c r="F121" s="62"/>
      <c r="G121" s="62"/>
      <c r="H121" s="62"/>
      <c r="I121" s="62"/>
      <c r="J121" s="62"/>
      <c r="K121" s="63"/>
      <c r="L121" s="63"/>
      <c r="M121" s="62"/>
      <c r="N121" s="62"/>
    </row>
    <row r="122" spans="1:14">
      <c r="A122" s="47">
        <v>45839</v>
      </c>
      <c r="B122" s="48">
        <v>45839</v>
      </c>
      <c r="C122" s="62"/>
      <c r="D122" s="62"/>
      <c r="E122" s="62"/>
      <c r="F122" s="62"/>
      <c r="G122" s="62"/>
      <c r="H122" s="62"/>
      <c r="I122" s="62"/>
      <c r="J122" s="62"/>
      <c r="K122" s="63"/>
      <c r="L122" s="63"/>
      <c r="M122" s="62"/>
      <c r="N122" s="62"/>
    </row>
    <row r="123" spans="1:14">
      <c r="A123" s="47">
        <v>45840</v>
      </c>
      <c r="B123" s="48">
        <v>45840</v>
      </c>
      <c r="C123" s="62"/>
      <c r="D123" s="62"/>
      <c r="E123" s="62"/>
      <c r="F123" s="62"/>
      <c r="G123" s="62"/>
      <c r="H123" s="62"/>
      <c r="I123" s="62"/>
      <c r="J123" s="62"/>
      <c r="K123" s="63"/>
      <c r="L123" s="63"/>
      <c r="M123" s="62"/>
      <c r="N123" s="62"/>
    </row>
    <row r="124" spans="1:14">
      <c r="A124" s="47">
        <v>45841</v>
      </c>
      <c r="B124" s="48">
        <v>45841</v>
      </c>
      <c r="C124" s="62"/>
      <c r="D124" s="62"/>
      <c r="E124" s="62"/>
      <c r="F124" s="62"/>
      <c r="G124" s="62"/>
      <c r="H124" s="62"/>
      <c r="I124" s="62"/>
      <c r="J124" s="62"/>
      <c r="K124" s="63"/>
      <c r="L124" s="63"/>
      <c r="M124" s="62"/>
      <c r="N124" s="62"/>
    </row>
    <row r="125" spans="1:14">
      <c r="A125" s="47">
        <v>45842</v>
      </c>
      <c r="B125" s="48">
        <v>45842</v>
      </c>
      <c r="C125" s="62"/>
      <c r="D125" s="62"/>
      <c r="E125" s="62"/>
      <c r="F125" s="62"/>
      <c r="G125" s="62"/>
      <c r="H125" s="62"/>
      <c r="I125" s="62"/>
      <c r="J125" s="62"/>
      <c r="K125" s="63"/>
      <c r="L125" s="63"/>
      <c r="M125" s="62"/>
      <c r="N125" s="62"/>
    </row>
    <row r="126" spans="1:14">
      <c r="A126" s="47">
        <v>45843</v>
      </c>
      <c r="B126" s="48">
        <v>45843</v>
      </c>
      <c r="C126" s="62"/>
      <c r="D126" s="62"/>
      <c r="E126" s="62"/>
      <c r="F126" s="62"/>
      <c r="G126" s="62"/>
      <c r="H126" s="62"/>
      <c r="I126" s="62"/>
      <c r="J126" s="62"/>
      <c r="K126" s="63"/>
      <c r="L126" s="63"/>
      <c r="M126" s="62"/>
      <c r="N126" s="62"/>
    </row>
    <row r="127" spans="1:14">
      <c r="A127" s="47">
        <v>45844</v>
      </c>
      <c r="B127" s="48">
        <v>45844</v>
      </c>
      <c r="C127" s="62"/>
      <c r="D127" s="62"/>
      <c r="E127" s="62"/>
      <c r="F127" s="62"/>
      <c r="G127" s="62"/>
      <c r="H127" s="62"/>
      <c r="I127" s="62"/>
      <c r="J127" s="62"/>
      <c r="K127" s="63"/>
      <c r="L127" s="63"/>
      <c r="M127" s="62"/>
      <c r="N127" s="62"/>
    </row>
    <row r="128" spans="1:14">
      <c r="A128" s="47">
        <v>45845</v>
      </c>
      <c r="B128" s="48">
        <v>45845</v>
      </c>
      <c r="C128" s="62"/>
      <c r="D128" s="62"/>
      <c r="E128" s="62"/>
      <c r="F128" s="62"/>
      <c r="G128" s="62"/>
      <c r="H128" s="62"/>
      <c r="I128" s="62"/>
      <c r="J128" s="62"/>
      <c r="K128" s="63"/>
      <c r="L128" s="63"/>
      <c r="M128" s="62"/>
      <c r="N128" s="62"/>
    </row>
    <row r="129" spans="1:14">
      <c r="A129" s="47">
        <v>45846</v>
      </c>
      <c r="B129" s="48">
        <v>45846</v>
      </c>
      <c r="C129" s="62"/>
      <c r="D129" s="62"/>
      <c r="E129" s="62"/>
      <c r="F129" s="62"/>
      <c r="G129" s="62"/>
      <c r="H129" s="62"/>
      <c r="I129" s="62"/>
      <c r="J129" s="62"/>
      <c r="K129" s="63"/>
      <c r="L129" s="63"/>
      <c r="M129" s="62"/>
      <c r="N129" s="62"/>
    </row>
    <row r="130" spans="1:14">
      <c r="A130" s="47">
        <v>45847</v>
      </c>
      <c r="B130" s="48">
        <v>45847</v>
      </c>
      <c r="C130" s="62"/>
      <c r="D130" s="62"/>
      <c r="E130" s="62"/>
      <c r="F130" s="62"/>
      <c r="G130" s="62"/>
      <c r="H130" s="62"/>
      <c r="I130" s="62"/>
      <c r="J130" s="62"/>
      <c r="K130" s="63"/>
      <c r="L130" s="63"/>
      <c r="M130" s="62"/>
      <c r="N130" s="62"/>
    </row>
    <row r="131" spans="1:14">
      <c r="A131" s="47">
        <v>45848</v>
      </c>
      <c r="B131" s="48">
        <v>45848</v>
      </c>
      <c r="C131" s="62"/>
      <c r="D131" s="62"/>
      <c r="E131" s="62"/>
      <c r="F131" s="62"/>
      <c r="G131" s="62"/>
      <c r="H131" s="62"/>
      <c r="I131" s="62"/>
      <c r="J131" s="62"/>
      <c r="K131" s="63"/>
      <c r="L131" s="63"/>
      <c r="M131" s="62"/>
      <c r="N131" s="62"/>
    </row>
    <row r="132" spans="1:14">
      <c r="A132" s="47">
        <v>45849</v>
      </c>
      <c r="B132" s="48">
        <v>45849</v>
      </c>
      <c r="C132" s="62"/>
      <c r="D132" s="62"/>
      <c r="E132" s="62"/>
      <c r="F132" s="62"/>
      <c r="G132" s="62"/>
      <c r="H132" s="62"/>
      <c r="I132" s="62"/>
      <c r="J132" s="62"/>
      <c r="K132" s="63"/>
      <c r="L132" s="63"/>
      <c r="M132" s="62"/>
      <c r="N132" s="62"/>
    </row>
    <row r="133" spans="1:14">
      <c r="A133" s="47">
        <v>45850</v>
      </c>
      <c r="B133" s="48">
        <v>45850</v>
      </c>
      <c r="C133" s="62"/>
      <c r="D133" s="62"/>
      <c r="E133" s="62"/>
      <c r="F133" s="62"/>
      <c r="G133" s="62"/>
      <c r="H133" s="62"/>
      <c r="I133" s="62"/>
      <c r="J133" s="62"/>
      <c r="K133" s="63"/>
      <c r="L133" s="63"/>
      <c r="M133" s="62"/>
      <c r="N133" s="62"/>
    </row>
    <row r="134" spans="1:14">
      <c r="A134" s="47">
        <v>45851</v>
      </c>
      <c r="B134" s="48">
        <v>45851</v>
      </c>
      <c r="C134" s="62"/>
      <c r="D134" s="62"/>
      <c r="E134" s="62"/>
      <c r="F134" s="62"/>
      <c r="G134" s="62"/>
      <c r="H134" s="62"/>
      <c r="I134" s="62"/>
      <c r="J134" s="62"/>
      <c r="K134" s="63"/>
      <c r="L134" s="63"/>
      <c r="M134" s="62"/>
      <c r="N134" s="62"/>
    </row>
    <row r="135" spans="1:14">
      <c r="A135" s="47">
        <v>45852</v>
      </c>
      <c r="B135" s="48">
        <v>45852</v>
      </c>
      <c r="C135" s="62"/>
      <c r="D135" s="62"/>
      <c r="E135" s="62"/>
      <c r="F135" s="62"/>
      <c r="G135" s="62"/>
      <c r="H135" s="62"/>
      <c r="I135" s="62"/>
      <c r="J135" s="62"/>
      <c r="K135" s="63"/>
      <c r="L135" s="63"/>
      <c r="M135" s="62"/>
      <c r="N135" s="62"/>
    </row>
    <row r="136" spans="1:14">
      <c r="A136" s="47">
        <v>45853</v>
      </c>
      <c r="B136" s="48">
        <v>45853</v>
      </c>
      <c r="C136" s="62"/>
      <c r="D136" s="62"/>
      <c r="E136" s="62"/>
      <c r="F136" s="62"/>
      <c r="G136" s="62"/>
      <c r="H136" s="62"/>
      <c r="I136" s="62"/>
      <c r="J136" s="62"/>
      <c r="K136" s="63"/>
      <c r="L136" s="63"/>
      <c r="M136" s="62"/>
      <c r="N136" s="62"/>
    </row>
    <row r="137" spans="1:14">
      <c r="A137" s="47">
        <v>45854</v>
      </c>
      <c r="B137" s="48">
        <v>45854</v>
      </c>
      <c r="C137" s="62"/>
      <c r="D137" s="62"/>
      <c r="E137" s="62"/>
      <c r="F137" s="62"/>
      <c r="G137" s="62"/>
      <c r="H137" s="62"/>
      <c r="I137" s="62"/>
      <c r="J137" s="62"/>
      <c r="K137" s="63"/>
      <c r="L137" s="63"/>
      <c r="M137" s="62"/>
      <c r="N137" s="62"/>
    </row>
    <row r="138" spans="1:14">
      <c r="A138" s="47">
        <v>45855</v>
      </c>
      <c r="B138" s="48">
        <v>45855</v>
      </c>
      <c r="C138" s="62"/>
      <c r="D138" s="62"/>
      <c r="E138" s="62"/>
      <c r="F138" s="62"/>
      <c r="G138" s="62"/>
      <c r="H138" s="62"/>
      <c r="I138" s="62"/>
      <c r="J138" s="62"/>
      <c r="K138" s="63"/>
      <c r="L138" s="63"/>
      <c r="M138" s="62"/>
      <c r="N138" s="62"/>
    </row>
    <row r="139" spans="1:14">
      <c r="A139" s="47">
        <v>45856</v>
      </c>
      <c r="B139" s="48">
        <v>45856</v>
      </c>
      <c r="C139" s="66">
        <v>0</v>
      </c>
      <c r="D139" s="66">
        <v>0</v>
      </c>
      <c r="E139" s="66">
        <v>0</v>
      </c>
      <c r="F139" s="66">
        <v>0</v>
      </c>
      <c r="G139" s="66"/>
      <c r="H139" s="66">
        <v>0</v>
      </c>
      <c r="I139" s="66">
        <v>0</v>
      </c>
      <c r="J139" s="66">
        <v>0</v>
      </c>
      <c r="K139" s="67">
        <v>0</v>
      </c>
      <c r="L139" s="67">
        <v>0</v>
      </c>
      <c r="M139" s="66">
        <f t="shared" ref="M139:M141" si="1">IFERROR(I139-J139,"")</f>
        <v>0</v>
      </c>
      <c r="N139" s="66" t="s">
        <v>154</v>
      </c>
    </row>
    <row r="140" spans="1:14">
      <c r="A140" s="47">
        <v>45857</v>
      </c>
      <c r="B140" s="48">
        <v>45857</v>
      </c>
      <c r="C140" s="66">
        <v>0</v>
      </c>
      <c r="D140" s="66">
        <v>0</v>
      </c>
      <c r="E140" s="66">
        <v>0</v>
      </c>
      <c r="F140" s="66">
        <v>0</v>
      </c>
      <c r="G140" s="66"/>
      <c r="H140" s="66">
        <v>0</v>
      </c>
      <c r="I140" s="66">
        <v>0</v>
      </c>
      <c r="J140" s="66">
        <v>0</v>
      </c>
      <c r="K140" s="67">
        <v>0</v>
      </c>
      <c r="L140" s="67">
        <v>0</v>
      </c>
      <c r="M140" s="66">
        <f t="shared" si="1"/>
        <v>0</v>
      </c>
      <c r="N140" s="66" t="s">
        <v>154</v>
      </c>
    </row>
    <row r="141" spans="1:14">
      <c r="A141" s="47">
        <v>45858</v>
      </c>
      <c r="B141" s="48">
        <v>45858</v>
      </c>
      <c r="C141" s="68">
        <v>0</v>
      </c>
      <c r="D141" s="68">
        <v>0</v>
      </c>
      <c r="E141" s="68">
        <v>0</v>
      </c>
      <c r="F141" s="68">
        <v>0</v>
      </c>
      <c r="G141" s="68"/>
      <c r="H141" s="68">
        <v>0</v>
      </c>
      <c r="I141" s="68">
        <v>0</v>
      </c>
      <c r="J141" s="68">
        <v>0</v>
      </c>
      <c r="K141" s="69">
        <v>0</v>
      </c>
      <c r="L141" s="69">
        <v>0</v>
      </c>
      <c r="M141" s="68">
        <f t="shared" si="1"/>
        <v>0</v>
      </c>
      <c r="N141" s="68" t="s">
        <v>155</v>
      </c>
    </row>
    <row r="142" spans="1:14">
      <c r="A142" s="47">
        <v>45859</v>
      </c>
      <c r="B142" s="48">
        <v>45859</v>
      </c>
      <c r="C142" s="66">
        <v>0</v>
      </c>
      <c r="D142" s="66">
        <v>0</v>
      </c>
      <c r="E142" s="66">
        <v>0</v>
      </c>
      <c r="F142" s="66">
        <v>0</v>
      </c>
      <c r="G142" s="66"/>
      <c r="H142" s="66">
        <v>0</v>
      </c>
      <c r="I142" s="66">
        <v>0</v>
      </c>
      <c r="J142" s="66">
        <v>0</v>
      </c>
      <c r="K142" s="67">
        <v>0</v>
      </c>
      <c r="L142" s="67">
        <v>0</v>
      </c>
      <c r="M142" s="66">
        <f t="shared" ref="M142" si="2">IFERROR(I142-J142,"")</f>
        <v>0</v>
      </c>
      <c r="N142" s="66" t="s">
        <v>154</v>
      </c>
    </row>
    <row r="143" spans="1:14">
      <c r="A143" s="47">
        <v>45860</v>
      </c>
      <c r="B143" s="48">
        <v>45860</v>
      </c>
      <c r="C143" s="66">
        <v>0</v>
      </c>
      <c r="D143" s="66">
        <v>0</v>
      </c>
      <c r="E143" s="66">
        <v>0</v>
      </c>
      <c r="F143" s="66">
        <v>0</v>
      </c>
      <c r="G143" s="66"/>
      <c r="H143" s="66">
        <v>0</v>
      </c>
      <c r="I143" s="66">
        <v>0</v>
      </c>
      <c r="J143" s="66">
        <v>0</v>
      </c>
      <c r="K143" s="67">
        <v>0</v>
      </c>
      <c r="L143" s="67">
        <v>0</v>
      </c>
      <c r="M143" s="66">
        <f t="shared" ref="M143" si="3">IFERROR(I143-J143,"")</f>
        <v>0</v>
      </c>
      <c r="N143" s="66" t="s">
        <v>154</v>
      </c>
    </row>
    <row r="144" spans="1:14">
      <c r="A144" s="47">
        <v>45861</v>
      </c>
      <c r="B144" s="48">
        <v>45861</v>
      </c>
      <c r="C144" s="68">
        <v>0</v>
      </c>
      <c r="D144" s="68">
        <v>0</v>
      </c>
      <c r="E144" s="68">
        <v>0</v>
      </c>
      <c r="F144" s="68">
        <v>0</v>
      </c>
      <c r="G144" s="68"/>
      <c r="H144" s="68">
        <v>0</v>
      </c>
      <c r="I144" s="68">
        <v>0</v>
      </c>
      <c r="J144" s="68">
        <v>0</v>
      </c>
      <c r="K144" s="69">
        <v>0</v>
      </c>
      <c r="L144" s="69">
        <v>0</v>
      </c>
      <c r="M144" s="68">
        <f t="shared" ref="M144" si="4">IFERROR(I144-J144,"")</f>
        <v>0</v>
      </c>
      <c r="N144" s="68" t="s">
        <v>155</v>
      </c>
    </row>
    <row r="145" spans="1:14">
      <c r="A145" s="47">
        <v>45862</v>
      </c>
      <c r="B145" s="48">
        <v>45862</v>
      </c>
      <c r="C145" s="68">
        <v>0</v>
      </c>
      <c r="D145" s="68">
        <v>0</v>
      </c>
      <c r="E145" s="68">
        <v>0</v>
      </c>
      <c r="F145" s="68">
        <v>0</v>
      </c>
      <c r="G145" s="68"/>
      <c r="H145" s="68">
        <v>0</v>
      </c>
      <c r="I145" s="68">
        <v>0</v>
      </c>
      <c r="J145" s="68">
        <v>0</v>
      </c>
      <c r="K145" s="69">
        <v>0</v>
      </c>
      <c r="L145" s="69">
        <v>0</v>
      </c>
      <c r="M145" s="68">
        <f t="shared" ref="M145" si="5">IFERROR(I145-J145,"")</f>
        <v>0</v>
      </c>
      <c r="N145" s="68" t="s">
        <v>155</v>
      </c>
    </row>
    <row r="146" spans="1:14">
      <c r="A146" s="47">
        <v>45863</v>
      </c>
      <c r="B146" s="48">
        <v>45863</v>
      </c>
      <c r="C146" s="62">
        <v>0</v>
      </c>
      <c r="D146" s="62">
        <v>0</v>
      </c>
      <c r="E146" s="62">
        <v>0</v>
      </c>
      <c r="F146" s="62">
        <v>0</v>
      </c>
      <c r="G146" s="62"/>
      <c r="H146" s="62">
        <v>0</v>
      </c>
      <c r="I146" s="62">
        <v>0</v>
      </c>
      <c r="J146" s="62">
        <v>0</v>
      </c>
      <c r="K146" s="63">
        <v>0</v>
      </c>
      <c r="L146" s="63">
        <v>0</v>
      </c>
      <c r="M146" s="62">
        <f t="shared" ref="M146" si="6">IFERROR(I146-J146,"")</f>
        <v>0</v>
      </c>
      <c r="N146" s="62" t="s">
        <v>154</v>
      </c>
    </row>
    <row r="147" spans="1:14">
      <c r="A147" s="47">
        <v>45864</v>
      </c>
      <c r="B147" s="48">
        <v>45864</v>
      </c>
      <c r="C147" s="62">
        <v>0</v>
      </c>
      <c r="D147" s="62">
        <v>0</v>
      </c>
      <c r="E147" s="62">
        <v>0</v>
      </c>
      <c r="F147" s="62">
        <v>0</v>
      </c>
      <c r="G147" s="62"/>
      <c r="H147" s="62">
        <v>0</v>
      </c>
      <c r="I147" s="62">
        <v>0</v>
      </c>
      <c r="J147" s="62">
        <v>0</v>
      </c>
      <c r="K147" s="63">
        <v>0</v>
      </c>
      <c r="L147" s="63">
        <v>0</v>
      </c>
      <c r="M147" s="62">
        <f t="shared" ref="M147" si="7">IFERROR(I147-J147,"")</f>
        <v>0</v>
      </c>
      <c r="N147" s="62" t="s">
        <v>154</v>
      </c>
    </row>
    <row r="148" spans="1:14">
      <c r="A148" s="47">
        <v>45865</v>
      </c>
      <c r="B148" s="48">
        <v>45865</v>
      </c>
      <c r="C148" s="68">
        <v>0</v>
      </c>
      <c r="D148" s="68">
        <v>0</v>
      </c>
      <c r="E148" s="68">
        <v>0</v>
      </c>
      <c r="F148" s="68">
        <v>0</v>
      </c>
      <c r="G148" s="68"/>
      <c r="H148" s="68">
        <v>0</v>
      </c>
      <c r="I148" s="68">
        <v>0</v>
      </c>
      <c r="J148" s="68">
        <v>0</v>
      </c>
      <c r="K148" s="69">
        <v>0</v>
      </c>
      <c r="L148" s="69">
        <v>0</v>
      </c>
      <c r="M148" s="68">
        <f t="shared" ref="M148" si="8">IFERROR(I148-J148,"")</f>
        <v>0</v>
      </c>
      <c r="N148" s="68" t="s">
        <v>155</v>
      </c>
    </row>
    <row r="149" spans="1:14">
      <c r="A149" s="47">
        <v>45866</v>
      </c>
      <c r="B149" s="48">
        <v>45866</v>
      </c>
      <c r="C149" s="62">
        <v>0</v>
      </c>
      <c r="D149" s="62">
        <v>0</v>
      </c>
      <c r="E149" s="62">
        <v>0</v>
      </c>
      <c r="F149" s="62">
        <v>0</v>
      </c>
      <c r="G149" s="62"/>
      <c r="H149" s="62">
        <v>0</v>
      </c>
      <c r="I149" s="62">
        <v>0</v>
      </c>
      <c r="J149" s="62">
        <v>0</v>
      </c>
      <c r="K149" s="63">
        <v>0</v>
      </c>
      <c r="L149" s="63">
        <v>0</v>
      </c>
      <c r="M149" s="62">
        <f t="shared" ref="M149" si="9">IFERROR(I149-J149,"")</f>
        <v>0</v>
      </c>
      <c r="N149" s="62" t="s">
        <v>154</v>
      </c>
    </row>
    <row r="150" spans="1:14">
      <c r="A150" s="47">
        <v>45867</v>
      </c>
      <c r="B150" s="48">
        <v>45867</v>
      </c>
      <c r="C150" s="62">
        <v>0</v>
      </c>
      <c r="D150" s="62">
        <v>0</v>
      </c>
      <c r="E150" s="62">
        <v>0</v>
      </c>
      <c r="F150" s="62">
        <v>0</v>
      </c>
      <c r="G150" s="62"/>
      <c r="H150" s="62">
        <v>0</v>
      </c>
      <c r="I150" s="62">
        <v>0</v>
      </c>
      <c r="J150" s="62">
        <v>0</v>
      </c>
      <c r="K150" s="63">
        <v>0</v>
      </c>
      <c r="L150" s="63">
        <v>0</v>
      </c>
      <c r="M150" s="62">
        <f t="shared" ref="M150" si="10">IFERROR(I150-J150,"")</f>
        <v>0</v>
      </c>
      <c r="N150" s="62" t="s">
        <v>154</v>
      </c>
    </row>
    <row r="151" spans="1:14">
      <c r="A151" s="47">
        <v>45868</v>
      </c>
      <c r="B151" s="48">
        <v>45868</v>
      </c>
      <c r="C151" s="62">
        <v>0</v>
      </c>
      <c r="D151" s="62">
        <v>0</v>
      </c>
      <c r="E151" s="62">
        <v>0</v>
      </c>
      <c r="F151" s="62">
        <v>0</v>
      </c>
      <c r="G151" s="62"/>
      <c r="H151" s="62">
        <v>0</v>
      </c>
      <c r="I151" s="62">
        <v>0</v>
      </c>
      <c r="J151" s="62">
        <v>0</v>
      </c>
      <c r="K151" s="63">
        <v>0</v>
      </c>
      <c r="L151" s="63">
        <v>0</v>
      </c>
      <c r="M151" s="62">
        <f t="shared" ref="M151" si="11">IFERROR(I151-J151,"")</f>
        <v>0</v>
      </c>
      <c r="N151" s="62" t="s">
        <v>154</v>
      </c>
    </row>
    <row r="152" spans="1:14">
      <c r="A152" s="47">
        <v>45869</v>
      </c>
      <c r="B152" s="48">
        <v>45869</v>
      </c>
      <c r="C152" s="62">
        <v>0</v>
      </c>
      <c r="D152" s="62">
        <v>0</v>
      </c>
      <c r="E152" s="62">
        <v>0</v>
      </c>
      <c r="F152" s="62">
        <v>0</v>
      </c>
      <c r="G152" s="62"/>
      <c r="H152" s="62">
        <v>0</v>
      </c>
      <c r="I152" s="62">
        <v>0</v>
      </c>
      <c r="J152" s="62">
        <v>0</v>
      </c>
      <c r="K152" s="63">
        <v>0</v>
      </c>
      <c r="L152" s="63">
        <v>0</v>
      </c>
      <c r="M152" s="62">
        <f t="shared" ref="M152" si="12">IFERROR(I152-J152,"")</f>
        <v>0</v>
      </c>
      <c r="N152" s="62" t="s">
        <v>154</v>
      </c>
    </row>
    <row r="153" spans="1:14">
      <c r="A153" s="47">
        <v>45870</v>
      </c>
      <c r="B153" s="48">
        <v>45870</v>
      </c>
      <c r="C153" s="62">
        <v>0</v>
      </c>
      <c r="D153" s="62">
        <v>0</v>
      </c>
      <c r="E153" s="62">
        <v>0</v>
      </c>
      <c r="F153" s="62">
        <v>0</v>
      </c>
      <c r="G153" s="62"/>
      <c r="H153" s="62">
        <v>0</v>
      </c>
      <c r="I153" s="62">
        <v>0</v>
      </c>
      <c r="J153" s="62">
        <v>0</v>
      </c>
      <c r="K153" s="63">
        <v>0</v>
      </c>
      <c r="L153" s="63">
        <v>0</v>
      </c>
      <c r="M153" s="62">
        <f t="shared" ref="M153" si="13">IFERROR(I153-J153,"")</f>
        <v>0</v>
      </c>
      <c r="N153" s="62" t="s">
        <v>154</v>
      </c>
    </row>
    <row r="154" spans="1:14">
      <c r="A154" s="47">
        <v>45871</v>
      </c>
      <c r="B154" s="48">
        <v>45871</v>
      </c>
      <c r="C154" s="62">
        <v>0</v>
      </c>
      <c r="D154" s="62">
        <v>0</v>
      </c>
      <c r="E154" s="62">
        <v>0</v>
      </c>
      <c r="F154" s="62">
        <v>0</v>
      </c>
      <c r="G154" s="62"/>
      <c r="H154" s="62">
        <v>0</v>
      </c>
      <c r="I154" s="62">
        <v>0</v>
      </c>
      <c r="J154" s="62">
        <v>0</v>
      </c>
      <c r="K154" s="63">
        <v>0</v>
      </c>
      <c r="L154" s="63">
        <v>0</v>
      </c>
      <c r="M154" s="62">
        <f t="shared" ref="M154" si="14">IFERROR(I154-J154,"")</f>
        <v>0</v>
      </c>
      <c r="N154" s="62" t="s">
        <v>154</v>
      </c>
    </row>
    <row r="155" spans="1:14">
      <c r="A155" s="47">
        <v>45872</v>
      </c>
      <c r="B155" s="48">
        <v>45872</v>
      </c>
      <c r="C155" s="62">
        <v>0</v>
      </c>
      <c r="D155" s="62">
        <v>0</v>
      </c>
      <c r="E155" s="62">
        <v>0</v>
      </c>
      <c r="F155" s="62">
        <v>0</v>
      </c>
      <c r="G155" s="62"/>
      <c r="H155" s="62">
        <v>0</v>
      </c>
      <c r="I155" s="62">
        <v>0</v>
      </c>
      <c r="J155" s="62">
        <v>0</v>
      </c>
      <c r="K155" s="63">
        <v>0</v>
      </c>
      <c r="L155" s="63">
        <v>0</v>
      </c>
      <c r="M155" s="62">
        <f t="shared" ref="M155" si="15">IFERROR(I155-J155,"")</f>
        <v>0</v>
      </c>
      <c r="N155" s="62" t="s">
        <v>154</v>
      </c>
    </row>
    <row r="156" spans="1:14">
      <c r="A156" s="47">
        <v>45873</v>
      </c>
      <c r="B156" s="48">
        <v>45873</v>
      </c>
      <c r="C156" s="62">
        <v>0</v>
      </c>
      <c r="D156" s="62">
        <v>0</v>
      </c>
      <c r="E156" s="62">
        <v>0</v>
      </c>
      <c r="F156" s="62">
        <v>0</v>
      </c>
      <c r="G156" s="62"/>
      <c r="H156" s="62">
        <v>0</v>
      </c>
      <c r="I156" s="62">
        <v>0</v>
      </c>
      <c r="J156" s="62">
        <v>0</v>
      </c>
      <c r="K156" s="63">
        <v>0</v>
      </c>
      <c r="L156" s="63">
        <v>0</v>
      </c>
      <c r="M156" s="62">
        <f t="shared" ref="M156" si="16">IFERROR(I156-J156,"")</f>
        <v>0</v>
      </c>
      <c r="N156" s="62" t="s">
        <v>154</v>
      </c>
    </row>
    <row r="157" spans="1:14">
      <c r="A157" s="47">
        <v>45874</v>
      </c>
      <c r="B157" s="48">
        <v>45874</v>
      </c>
      <c r="C157" s="62">
        <v>0</v>
      </c>
      <c r="D157" s="62">
        <v>0</v>
      </c>
      <c r="E157" s="62">
        <v>0</v>
      </c>
      <c r="F157" s="62">
        <v>0</v>
      </c>
      <c r="G157" s="62"/>
      <c r="H157" s="62">
        <v>0</v>
      </c>
      <c r="I157" s="62">
        <v>0</v>
      </c>
      <c r="J157" s="62">
        <v>0</v>
      </c>
      <c r="K157" s="63">
        <v>0</v>
      </c>
      <c r="L157" s="63">
        <v>0</v>
      </c>
      <c r="M157" s="62">
        <f t="shared" ref="M157" si="17">IFERROR(I157-J157,"")</f>
        <v>0</v>
      </c>
      <c r="N157" s="62" t="s">
        <v>154</v>
      </c>
    </row>
    <row r="158" spans="1:14">
      <c r="A158" s="47">
        <v>45875</v>
      </c>
      <c r="B158" s="48">
        <v>45875</v>
      </c>
      <c r="C158" s="62">
        <v>0</v>
      </c>
      <c r="D158" s="62">
        <v>0</v>
      </c>
      <c r="E158" s="62">
        <v>0</v>
      </c>
      <c r="F158" s="62">
        <v>0</v>
      </c>
      <c r="G158" s="62"/>
      <c r="H158" s="62">
        <v>0</v>
      </c>
      <c r="I158" s="62">
        <v>0</v>
      </c>
      <c r="J158" s="62">
        <v>0</v>
      </c>
      <c r="K158" s="63">
        <v>0</v>
      </c>
      <c r="L158" s="63">
        <v>0</v>
      </c>
      <c r="M158" s="62">
        <f t="shared" ref="M158" si="18">IFERROR(I158-J158,"")</f>
        <v>0</v>
      </c>
      <c r="N158" s="62" t="s">
        <v>154</v>
      </c>
    </row>
    <row r="159" spans="1:14">
      <c r="A159" s="47">
        <v>45876</v>
      </c>
      <c r="B159" s="48">
        <v>45876</v>
      </c>
      <c r="C159" s="62">
        <v>0</v>
      </c>
      <c r="D159" s="62">
        <v>0</v>
      </c>
      <c r="E159" s="62">
        <v>0</v>
      </c>
      <c r="F159" s="62">
        <v>0</v>
      </c>
      <c r="G159" s="62"/>
      <c r="H159" s="62">
        <v>0</v>
      </c>
      <c r="I159" s="62">
        <v>0</v>
      </c>
      <c r="J159" s="62">
        <v>0</v>
      </c>
      <c r="K159" s="63">
        <v>0</v>
      </c>
      <c r="L159" s="63">
        <v>0</v>
      </c>
      <c r="M159" s="62">
        <f t="shared" ref="M159" si="19">IFERROR(I159-J159,"")</f>
        <v>0</v>
      </c>
      <c r="N159" s="62" t="s">
        <v>154</v>
      </c>
    </row>
    <row r="160" spans="1:14">
      <c r="A160" s="47">
        <v>45877</v>
      </c>
      <c r="B160" s="48">
        <v>45877</v>
      </c>
      <c r="C160" s="68">
        <v>0</v>
      </c>
      <c r="D160" s="68">
        <v>0</v>
      </c>
      <c r="E160" s="68">
        <v>0</v>
      </c>
      <c r="F160" s="68">
        <v>0</v>
      </c>
      <c r="G160" s="68"/>
      <c r="H160" s="68">
        <v>0</v>
      </c>
      <c r="I160" s="68">
        <v>0</v>
      </c>
      <c r="J160" s="68">
        <v>0</v>
      </c>
      <c r="K160" s="69">
        <v>0</v>
      </c>
      <c r="L160" s="69">
        <v>0</v>
      </c>
      <c r="M160" s="68">
        <f t="shared" ref="M160" si="20">IFERROR(I160-J160,"")</f>
        <v>0</v>
      </c>
      <c r="N160" s="68" t="s">
        <v>155</v>
      </c>
    </row>
    <row r="161" spans="1:14">
      <c r="A161" s="47">
        <v>45878</v>
      </c>
      <c r="B161" s="48">
        <v>45878</v>
      </c>
      <c r="C161" s="68">
        <v>0</v>
      </c>
      <c r="D161" s="68">
        <v>0</v>
      </c>
      <c r="E161" s="68">
        <v>0</v>
      </c>
      <c r="F161" s="68">
        <v>0</v>
      </c>
      <c r="G161" s="68"/>
      <c r="H161" s="68">
        <v>0</v>
      </c>
      <c r="I161" s="68">
        <v>0</v>
      </c>
      <c r="J161" s="68">
        <v>0</v>
      </c>
      <c r="K161" s="69">
        <v>0</v>
      </c>
      <c r="L161" s="69">
        <v>0</v>
      </c>
      <c r="M161" s="68">
        <f t="shared" ref="M161" si="21">IFERROR(I161-J161,"")</f>
        <v>0</v>
      </c>
      <c r="N161" s="68" t="s">
        <v>155</v>
      </c>
    </row>
    <row r="162" spans="1:14">
      <c r="A162" s="47">
        <v>45879</v>
      </c>
      <c r="B162" s="48">
        <v>45879</v>
      </c>
      <c r="C162" s="68">
        <v>0</v>
      </c>
      <c r="D162" s="68">
        <v>0</v>
      </c>
      <c r="E162" s="68">
        <v>0</v>
      </c>
      <c r="F162" s="68">
        <v>0</v>
      </c>
      <c r="G162" s="68"/>
      <c r="H162" s="68">
        <v>0</v>
      </c>
      <c r="I162" s="68">
        <v>0</v>
      </c>
      <c r="J162" s="68">
        <v>0</v>
      </c>
      <c r="K162" s="69">
        <v>0</v>
      </c>
      <c r="L162" s="69">
        <v>0</v>
      </c>
      <c r="M162" s="68">
        <f t="shared" ref="M162" si="22">IFERROR(I162-J162,"")</f>
        <v>0</v>
      </c>
      <c r="N162" s="68" t="s">
        <v>155</v>
      </c>
    </row>
    <row r="163" spans="1:14">
      <c r="A163" s="47">
        <v>45880</v>
      </c>
      <c r="B163" s="48">
        <v>45880</v>
      </c>
      <c r="C163" s="68">
        <v>0</v>
      </c>
      <c r="D163" s="68">
        <v>0</v>
      </c>
      <c r="E163" s="68">
        <v>0</v>
      </c>
      <c r="F163" s="68">
        <v>0</v>
      </c>
      <c r="G163" s="68"/>
      <c r="H163" s="68">
        <v>0</v>
      </c>
      <c r="I163" s="68">
        <v>0</v>
      </c>
      <c r="J163" s="68">
        <v>0</v>
      </c>
      <c r="K163" s="69">
        <v>0</v>
      </c>
      <c r="L163" s="69">
        <v>0</v>
      </c>
      <c r="M163" s="68">
        <f t="shared" ref="M163" si="23">IFERROR(I163-J163,"")</f>
        <v>0</v>
      </c>
      <c r="N163" s="68" t="s">
        <v>155</v>
      </c>
    </row>
    <row r="164" spans="1:14">
      <c r="A164" s="47">
        <v>45881</v>
      </c>
      <c r="B164" s="48">
        <v>45881</v>
      </c>
      <c r="C164" s="68">
        <v>0</v>
      </c>
      <c r="D164" s="68">
        <v>0</v>
      </c>
      <c r="E164" s="68">
        <v>0</v>
      </c>
      <c r="F164" s="68">
        <v>0</v>
      </c>
      <c r="G164" s="68"/>
      <c r="H164" s="68">
        <v>0</v>
      </c>
      <c r="I164" s="68">
        <v>0</v>
      </c>
      <c r="J164" s="68">
        <v>0</v>
      </c>
      <c r="K164" s="69">
        <v>0</v>
      </c>
      <c r="L164" s="69">
        <v>0</v>
      </c>
      <c r="M164" s="68">
        <f t="shared" ref="M164:M165" si="24">IFERROR(I164-J164,"")</f>
        <v>0</v>
      </c>
      <c r="N164" s="68" t="s">
        <v>155</v>
      </c>
    </row>
    <row r="165" spans="1:14">
      <c r="A165" s="47">
        <v>45882</v>
      </c>
      <c r="B165" s="48">
        <v>45882</v>
      </c>
      <c r="C165" s="62">
        <v>0</v>
      </c>
      <c r="D165" s="62">
        <v>0</v>
      </c>
      <c r="E165" s="62">
        <v>0</v>
      </c>
      <c r="F165" s="62">
        <v>0</v>
      </c>
      <c r="G165" s="62"/>
      <c r="H165" s="62">
        <v>0</v>
      </c>
      <c r="I165" s="62">
        <v>0</v>
      </c>
      <c r="J165" s="62">
        <v>0</v>
      </c>
      <c r="K165" s="63">
        <v>0</v>
      </c>
      <c r="L165" s="63">
        <v>0</v>
      </c>
      <c r="M165" s="62">
        <f t="shared" si="24"/>
        <v>0</v>
      </c>
      <c r="N165" s="62" t="s">
        <v>154</v>
      </c>
    </row>
    <row r="166" spans="1:14">
      <c r="A166" s="47">
        <v>45883</v>
      </c>
      <c r="B166" s="48">
        <v>45883</v>
      </c>
      <c r="C166" s="68">
        <v>0</v>
      </c>
      <c r="D166" s="68">
        <v>0</v>
      </c>
      <c r="E166" s="68">
        <v>0</v>
      </c>
      <c r="F166" s="68">
        <v>0</v>
      </c>
      <c r="G166" s="68"/>
      <c r="H166" s="68">
        <v>0</v>
      </c>
      <c r="I166" s="68">
        <v>0</v>
      </c>
      <c r="J166" s="68">
        <v>0</v>
      </c>
      <c r="K166" s="69">
        <v>0</v>
      </c>
      <c r="L166" s="69">
        <v>0</v>
      </c>
      <c r="M166" s="68">
        <f t="shared" ref="M166" si="25">IFERROR(I166-J166,"")</f>
        <v>0</v>
      </c>
      <c r="N166" s="68" t="s">
        <v>155</v>
      </c>
    </row>
    <row r="167" spans="1:14">
      <c r="A167" s="47">
        <v>45884</v>
      </c>
      <c r="B167" s="48">
        <v>45884</v>
      </c>
      <c r="C167" s="68">
        <v>0</v>
      </c>
      <c r="D167" s="68">
        <v>0</v>
      </c>
      <c r="E167" s="68">
        <v>0</v>
      </c>
      <c r="F167" s="68">
        <v>0</v>
      </c>
      <c r="G167" s="68"/>
      <c r="H167" s="68">
        <v>0</v>
      </c>
      <c r="I167" s="68">
        <v>0</v>
      </c>
      <c r="J167" s="68">
        <v>0</v>
      </c>
      <c r="K167" s="69">
        <v>0</v>
      </c>
      <c r="L167" s="69">
        <v>0</v>
      </c>
      <c r="M167" s="68">
        <f t="shared" ref="M167" si="26">IFERROR(I167-J167,"")</f>
        <v>0</v>
      </c>
      <c r="N167" s="68" t="s">
        <v>155</v>
      </c>
    </row>
    <row r="168" spans="1:14">
      <c r="A168" s="47">
        <v>45885</v>
      </c>
      <c r="B168" s="48">
        <v>45885</v>
      </c>
      <c r="C168" s="68">
        <v>0</v>
      </c>
      <c r="D168" s="68">
        <v>0</v>
      </c>
      <c r="E168" s="68">
        <v>0</v>
      </c>
      <c r="F168" s="68">
        <v>0</v>
      </c>
      <c r="G168" s="68"/>
      <c r="H168" s="68">
        <v>0</v>
      </c>
      <c r="I168" s="68">
        <v>0</v>
      </c>
      <c r="J168" s="68">
        <v>0</v>
      </c>
      <c r="K168" s="69">
        <v>0</v>
      </c>
      <c r="L168" s="69">
        <v>0</v>
      </c>
      <c r="M168" s="68">
        <f t="shared" ref="M168" si="27">IFERROR(I168-J168,"")</f>
        <v>0</v>
      </c>
      <c r="N168" s="68" t="s">
        <v>155</v>
      </c>
    </row>
    <row r="169" spans="1:14">
      <c r="A169" s="47">
        <v>45886</v>
      </c>
      <c r="B169" s="48">
        <v>45886</v>
      </c>
      <c r="C169" s="68">
        <v>0</v>
      </c>
      <c r="D169" s="68">
        <v>0</v>
      </c>
      <c r="E169" s="68">
        <v>0</v>
      </c>
      <c r="F169" s="68">
        <v>0</v>
      </c>
      <c r="G169" s="68"/>
      <c r="H169" s="68">
        <v>0</v>
      </c>
      <c r="I169" s="68">
        <v>0</v>
      </c>
      <c r="J169" s="68">
        <v>0</v>
      </c>
      <c r="K169" s="69">
        <v>0</v>
      </c>
      <c r="L169" s="69">
        <v>0</v>
      </c>
      <c r="M169" s="68">
        <f t="shared" ref="M169" si="28">IFERROR(I169-J169,"")</f>
        <v>0</v>
      </c>
      <c r="N169" s="68" t="s">
        <v>155</v>
      </c>
    </row>
    <row r="170" spans="1:14">
      <c r="A170" s="47">
        <v>45887</v>
      </c>
      <c r="B170" s="48">
        <v>45887</v>
      </c>
      <c r="C170" s="68">
        <v>0</v>
      </c>
      <c r="D170" s="68">
        <v>0</v>
      </c>
      <c r="E170" s="68">
        <v>0</v>
      </c>
      <c r="F170" s="68">
        <v>0</v>
      </c>
      <c r="G170" s="68"/>
      <c r="H170" s="68">
        <v>0</v>
      </c>
      <c r="I170" s="68">
        <v>0</v>
      </c>
      <c r="J170" s="68">
        <v>0</v>
      </c>
      <c r="K170" s="69">
        <v>0</v>
      </c>
      <c r="L170" s="69">
        <v>0</v>
      </c>
      <c r="M170" s="68">
        <f t="shared" ref="M170" si="29">IFERROR(I170-J170,"")</f>
        <v>0</v>
      </c>
      <c r="N170" s="68" t="s">
        <v>155</v>
      </c>
    </row>
    <row r="171" spans="1:14">
      <c r="A171" s="47">
        <v>45888</v>
      </c>
      <c r="B171" s="48">
        <v>45888</v>
      </c>
      <c r="C171" s="49"/>
      <c r="D171" s="49"/>
      <c r="E171" s="49"/>
      <c r="F171" s="49"/>
      <c r="G171" s="49"/>
      <c r="H171" s="49" t="str">
        <f>IFERROR(VLOOKUP(G171,[2]Basic_Data!$E$2:$I$9,5,0),"")</f>
        <v/>
      </c>
      <c r="I171" s="49" t="str">
        <f>IFERROR(VLOOKUP($G171,[2]Basic_Data!$E$2:$H$10,4,0),"")</f>
        <v/>
      </c>
      <c r="J171" s="49"/>
      <c r="K171" s="50" t="str">
        <f>IFERROR(VLOOKUP($B171-1,[2]Inverter_PR!$B:$I,[2]Module_Cleaning!H171,0),"")</f>
        <v/>
      </c>
      <c r="L171" s="50" t="str">
        <f>IFERROR(VLOOKUP($B171+1,[2]Inverter_PR!$B:$I,[2]Module_Cleaning!H171,0),"")</f>
        <v/>
      </c>
      <c r="M171" s="49" t="str">
        <f t="shared" ref="M171:M206" si="30">IFERROR(I171-J171,"")</f>
        <v/>
      </c>
      <c r="N171" s="49"/>
    </row>
    <row r="172" spans="1:14">
      <c r="A172" s="47">
        <v>45889</v>
      </c>
      <c r="B172" s="48">
        <v>45889</v>
      </c>
      <c r="C172" s="49"/>
      <c r="D172" s="49"/>
      <c r="E172" s="49"/>
      <c r="F172" s="49"/>
      <c r="G172" s="49"/>
      <c r="H172" s="49" t="str">
        <f>IFERROR(VLOOKUP(G172,[2]Basic_Data!$E$2:$I$9,5,0),"")</f>
        <v/>
      </c>
      <c r="I172" s="49" t="str">
        <f>IFERROR(VLOOKUP($G172,[2]Basic_Data!$E$2:$H$10,4,0),"")</f>
        <v/>
      </c>
      <c r="J172" s="49"/>
      <c r="K172" s="50" t="str">
        <f>IFERROR(VLOOKUP($B172-1,[2]Inverter_PR!$B:$I,[2]Module_Cleaning!H172,0),"")</f>
        <v/>
      </c>
      <c r="L172" s="50" t="str">
        <f>IFERROR(VLOOKUP($B172+1,[2]Inverter_PR!$B:$I,[2]Module_Cleaning!H172,0),"")</f>
        <v/>
      </c>
      <c r="M172" s="49" t="str">
        <f t="shared" si="30"/>
        <v/>
      </c>
      <c r="N172" s="49"/>
    </row>
    <row r="173" spans="1:14">
      <c r="A173" s="47">
        <v>45890</v>
      </c>
      <c r="B173" s="48">
        <v>45890</v>
      </c>
      <c r="C173" s="49"/>
      <c r="D173" s="49"/>
      <c r="E173" s="49"/>
      <c r="F173" s="49"/>
      <c r="G173" s="49"/>
      <c r="H173" s="49" t="str">
        <f>IFERROR(VLOOKUP(G173,[2]Basic_Data!$E$2:$I$9,5,0),"")</f>
        <v/>
      </c>
      <c r="I173" s="49" t="str">
        <f>IFERROR(VLOOKUP($G173,[2]Basic_Data!$E$2:$H$10,4,0),"")</f>
        <v/>
      </c>
      <c r="J173" s="49"/>
      <c r="K173" s="50" t="str">
        <f>IFERROR(VLOOKUP($B173-1,[2]Inverter_PR!$B:$I,[2]Module_Cleaning!H173,0),"")</f>
        <v/>
      </c>
      <c r="L173" s="50" t="str">
        <f>IFERROR(VLOOKUP($B173+1,[2]Inverter_PR!$B:$I,[2]Module_Cleaning!H173,0),"")</f>
        <v/>
      </c>
      <c r="M173" s="49" t="str">
        <f t="shared" si="30"/>
        <v/>
      </c>
      <c r="N173" s="49"/>
    </row>
    <row r="174" spans="1:14">
      <c r="A174" s="47">
        <v>45891</v>
      </c>
      <c r="B174" s="48">
        <v>45891</v>
      </c>
      <c r="C174" s="49"/>
      <c r="D174" s="49"/>
      <c r="E174" s="49"/>
      <c r="F174" s="49"/>
      <c r="G174" s="49"/>
      <c r="H174" s="49" t="str">
        <f>IFERROR(VLOOKUP(G174,[2]Basic_Data!$E$2:$I$9,5,0),"")</f>
        <v/>
      </c>
      <c r="I174" s="49" t="str">
        <f>IFERROR(VLOOKUP($G174,[2]Basic_Data!$E$2:$H$10,4,0),"")</f>
        <v/>
      </c>
      <c r="J174" s="49"/>
      <c r="K174" s="50" t="str">
        <f>IFERROR(VLOOKUP($B174-1,[2]Inverter_PR!$B:$I,[2]Module_Cleaning!H174,0),"")</f>
        <v/>
      </c>
      <c r="L174" s="50" t="str">
        <f>IFERROR(VLOOKUP($B174+1,[2]Inverter_PR!$B:$I,[2]Module_Cleaning!H174,0),"")</f>
        <v/>
      </c>
      <c r="M174" s="49" t="str">
        <f t="shared" si="30"/>
        <v/>
      </c>
      <c r="N174" s="49"/>
    </row>
    <row r="175" spans="1:14">
      <c r="A175" s="47">
        <v>45892</v>
      </c>
      <c r="B175" s="48">
        <v>45892</v>
      </c>
      <c r="C175" s="49"/>
      <c r="D175" s="49"/>
      <c r="E175" s="49"/>
      <c r="F175" s="49"/>
      <c r="G175" s="49"/>
      <c r="H175" s="49" t="str">
        <f>IFERROR(VLOOKUP(G175,[2]Basic_Data!$E$2:$I$9,5,0),"")</f>
        <v/>
      </c>
      <c r="I175" s="49" t="str">
        <f>IFERROR(VLOOKUP($G175,[2]Basic_Data!$E$2:$H$10,4,0),"")</f>
        <v/>
      </c>
      <c r="J175" s="49"/>
      <c r="K175" s="50" t="str">
        <f>IFERROR(VLOOKUP($B175-1,[2]Inverter_PR!$B:$I,[2]Module_Cleaning!H175,0),"")</f>
        <v/>
      </c>
      <c r="L175" s="50" t="str">
        <f>IFERROR(VLOOKUP($B175+1,[2]Inverter_PR!$B:$I,[2]Module_Cleaning!H175,0),"")</f>
        <v/>
      </c>
      <c r="M175" s="49" t="str">
        <f t="shared" si="30"/>
        <v/>
      </c>
      <c r="N175" s="49"/>
    </row>
    <row r="176" spans="1:14">
      <c r="A176" s="47">
        <v>45893</v>
      </c>
      <c r="B176" s="48">
        <v>45893</v>
      </c>
      <c r="C176" s="49"/>
      <c r="D176" s="49"/>
      <c r="E176" s="49"/>
      <c r="F176" s="49"/>
      <c r="G176" s="49"/>
      <c r="H176" s="49" t="str">
        <f>IFERROR(VLOOKUP(G176,[2]Basic_Data!$E$2:$I$9,5,0),"")</f>
        <v/>
      </c>
      <c r="I176" s="49" t="str">
        <f>IFERROR(VLOOKUP($G176,[2]Basic_Data!$E$2:$H$10,4,0),"")</f>
        <v/>
      </c>
      <c r="J176" s="49"/>
      <c r="K176" s="50" t="str">
        <f>IFERROR(VLOOKUP($B176-1,[2]Inverter_PR!$B:$I,[2]Module_Cleaning!H176,0),"")</f>
        <v/>
      </c>
      <c r="L176" s="50" t="str">
        <f>IFERROR(VLOOKUP($B176+1,[2]Inverter_PR!$B:$I,[2]Module_Cleaning!H176,0),"")</f>
        <v/>
      </c>
      <c r="M176" s="49" t="str">
        <f t="shared" si="30"/>
        <v/>
      </c>
      <c r="N176" s="49"/>
    </row>
    <row r="177" spans="1:14">
      <c r="A177" s="47">
        <v>45894</v>
      </c>
      <c r="B177" s="48">
        <v>45894</v>
      </c>
      <c r="C177" s="49"/>
      <c r="D177" s="49"/>
      <c r="E177" s="49"/>
      <c r="F177" s="49"/>
      <c r="G177" s="49"/>
      <c r="H177" s="49" t="str">
        <f>IFERROR(VLOOKUP(G177,[2]Basic_Data!$E$2:$I$9,5,0),"")</f>
        <v/>
      </c>
      <c r="I177" s="49" t="str">
        <f>IFERROR(VLOOKUP($G177,[2]Basic_Data!$E$2:$H$10,4,0),"")</f>
        <v/>
      </c>
      <c r="J177" s="49"/>
      <c r="K177" s="50" t="str">
        <f>IFERROR(VLOOKUP($B177-1,[2]Inverter_PR!$B:$I,[2]Module_Cleaning!H177,0),"")</f>
        <v/>
      </c>
      <c r="L177" s="50" t="str">
        <f>IFERROR(VLOOKUP($B177+1,[2]Inverter_PR!$B:$I,[2]Module_Cleaning!H177,0),"")</f>
        <v/>
      </c>
      <c r="M177" s="49" t="str">
        <f t="shared" si="30"/>
        <v/>
      </c>
      <c r="N177" s="49"/>
    </row>
    <row r="178" spans="1:14">
      <c r="A178" s="47">
        <v>45895</v>
      </c>
      <c r="B178" s="48">
        <v>45895</v>
      </c>
      <c r="C178" s="49"/>
      <c r="D178" s="49"/>
      <c r="E178" s="49"/>
      <c r="F178" s="49"/>
      <c r="G178" s="49"/>
      <c r="H178" s="49" t="str">
        <f>IFERROR(VLOOKUP(G178,[2]Basic_Data!$E$2:$I$9,5,0),"")</f>
        <v/>
      </c>
      <c r="I178" s="49" t="str">
        <f>IFERROR(VLOOKUP($G178,[2]Basic_Data!$E$2:$H$10,4,0),"")</f>
        <v/>
      </c>
      <c r="J178" s="49"/>
      <c r="K178" s="50" t="str">
        <f>IFERROR(VLOOKUP($B178-1,[2]Inverter_PR!$B:$I,[2]Module_Cleaning!H178,0),"")</f>
        <v/>
      </c>
      <c r="L178" s="50" t="str">
        <f>IFERROR(VLOOKUP($B178+1,[2]Inverter_PR!$B:$I,[2]Module_Cleaning!H178,0),"")</f>
        <v/>
      </c>
      <c r="M178" s="49" t="str">
        <f t="shared" si="30"/>
        <v/>
      </c>
      <c r="N178" s="49"/>
    </row>
    <row r="179" spans="1:14">
      <c r="A179" s="47">
        <v>45896</v>
      </c>
      <c r="B179" s="48">
        <v>45896</v>
      </c>
      <c r="C179" s="49"/>
      <c r="D179" s="49"/>
      <c r="E179" s="49"/>
      <c r="F179" s="49"/>
      <c r="G179" s="49"/>
      <c r="H179" s="49" t="str">
        <f>IFERROR(VLOOKUP(G179,[2]Basic_Data!$E$2:$I$9,5,0),"")</f>
        <v/>
      </c>
      <c r="I179" s="49" t="str">
        <f>IFERROR(VLOOKUP($G179,[2]Basic_Data!$E$2:$H$10,4,0),"")</f>
        <v/>
      </c>
      <c r="J179" s="49"/>
      <c r="K179" s="50" t="str">
        <f>IFERROR(VLOOKUP($B179-1,[2]Inverter_PR!$B:$I,[2]Module_Cleaning!H179,0),"")</f>
        <v/>
      </c>
      <c r="L179" s="50" t="str">
        <f>IFERROR(VLOOKUP($B179+1,[2]Inverter_PR!$B:$I,[2]Module_Cleaning!H179,0),"")</f>
        <v/>
      </c>
      <c r="M179" s="49" t="str">
        <f t="shared" si="30"/>
        <v/>
      </c>
      <c r="N179" s="49"/>
    </row>
    <row r="180" spans="1:14">
      <c r="A180" s="47">
        <v>45897</v>
      </c>
      <c r="B180" s="48">
        <v>45897</v>
      </c>
      <c r="C180" s="49"/>
      <c r="D180" s="49"/>
      <c r="E180" s="49"/>
      <c r="F180" s="49"/>
      <c r="G180" s="49"/>
      <c r="H180" s="49" t="str">
        <f>IFERROR(VLOOKUP(G180,[2]Basic_Data!$E$2:$I$9,5,0),"")</f>
        <v/>
      </c>
      <c r="I180" s="49" t="str">
        <f>IFERROR(VLOOKUP($G180,[2]Basic_Data!$E$2:$H$10,4,0),"")</f>
        <v/>
      </c>
      <c r="J180" s="49"/>
      <c r="K180" s="50" t="str">
        <f>IFERROR(VLOOKUP($B180-1,[2]Inverter_PR!$B:$I,[2]Module_Cleaning!H180,0),"")</f>
        <v/>
      </c>
      <c r="L180" s="50" t="str">
        <f>IFERROR(VLOOKUP($B180+1,[2]Inverter_PR!$B:$I,[2]Module_Cleaning!H180,0),"")</f>
        <v/>
      </c>
      <c r="M180" s="49" t="str">
        <f t="shared" si="30"/>
        <v/>
      </c>
      <c r="N180" s="49"/>
    </row>
    <row r="181" spans="1:14">
      <c r="A181" s="47">
        <v>45898</v>
      </c>
      <c r="B181" s="48">
        <v>45898</v>
      </c>
      <c r="C181" s="49"/>
      <c r="D181" s="49"/>
      <c r="E181" s="49"/>
      <c r="F181" s="49"/>
      <c r="G181" s="49"/>
      <c r="H181" s="49" t="str">
        <f>IFERROR(VLOOKUP(G181,[2]Basic_Data!$E$2:$I$9,5,0),"")</f>
        <v/>
      </c>
      <c r="I181" s="49" t="str">
        <f>IFERROR(VLOOKUP($G181,[2]Basic_Data!$E$2:$H$10,4,0),"")</f>
        <v/>
      </c>
      <c r="J181" s="49"/>
      <c r="K181" s="50" t="str">
        <f>IFERROR(VLOOKUP($B181-1,[2]Inverter_PR!$B:$I,[2]Module_Cleaning!H181,0),"")</f>
        <v/>
      </c>
      <c r="L181" s="50" t="str">
        <f>IFERROR(VLOOKUP($B181+1,[2]Inverter_PR!$B:$I,[2]Module_Cleaning!H181,0),"")</f>
        <v/>
      </c>
      <c r="M181" s="49" t="str">
        <f t="shared" si="30"/>
        <v/>
      </c>
      <c r="N181" s="49"/>
    </row>
    <row r="182" spans="1:14">
      <c r="A182" s="47">
        <v>45899</v>
      </c>
      <c r="B182" s="48">
        <v>45899</v>
      </c>
      <c r="C182" s="49"/>
      <c r="D182" s="49"/>
      <c r="E182" s="49"/>
      <c r="F182" s="49"/>
      <c r="G182" s="49"/>
      <c r="H182" s="49" t="str">
        <f>IFERROR(VLOOKUP(G182,[2]Basic_Data!$E$2:$I$9,5,0),"")</f>
        <v/>
      </c>
      <c r="I182" s="49" t="str">
        <f>IFERROR(VLOOKUP($G182,[2]Basic_Data!$E$2:$H$10,4,0),"")</f>
        <v/>
      </c>
      <c r="J182" s="49"/>
      <c r="K182" s="50" t="str">
        <f>IFERROR(VLOOKUP($B182-1,[2]Inverter_PR!$B:$I,[2]Module_Cleaning!H182,0),"")</f>
        <v/>
      </c>
      <c r="L182" s="50" t="str">
        <f>IFERROR(VLOOKUP($B182+1,[2]Inverter_PR!$B:$I,[2]Module_Cleaning!H182,0),"")</f>
        <v/>
      </c>
      <c r="M182" s="49" t="str">
        <f t="shared" si="30"/>
        <v/>
      </c>
      <c r="N182" s="49"/>
    </row>
    <row r="183" spans="1:14">
      <c r="A183" s="47">
        <v>45900</v>
      </c>
      <c r="B183" s="48">
        <v>45900</v>
      </c>
      <c r="C183" s="49"/>
      <c r="D183" s="49"/>
      <c r="E183" s="49"/>
      <c r="F183" s="49"/>
      <c r="G183" s="49"/>
      <c r="H183" s="49" t="str">
        <f>IFERROR(VLOOKUP(G183,[2]Basic_Data!$E$2:$I$9,5,0),"")</f>
        <v/>
      </c>
      <c r="I183" s="49" t="str">
        <f>IFERROR(VLOOKUP($G183,[2]Basic_Data!$E$2:$H$10,4,0),"")</f>
        <v/>
      </c>
      <c r="J183" s="49"/>
      <c r="K183" s="50" t="str">
        <f>IFERROR(VLOOKUP($B183-1,[2]Inverter_PR!$B:$I,[2]Module_Cleaning!H183,0),"")</f>
        <v/>
      </c>
      <c r="L183" s="50" t="str">
        <f>IFERROR(VLOOKUP($B183+1,[2]Inverter_PR!$B:$I,[2]Module_Cleaning!H183,0),"")</f>
        <v/>
      </c>
      <c r="M183" s="49" t="str">
        <f t="shared" si="30"/>
        <v/>
      </c>
      <c r="N183" s="49"/>
    </row>
    <row r="184" spans="1:14">
      <c r="A184" s="47">
        <v>45901</v>
      </c>
      <c r="B184" s="48">
        <v>45901</v>
      </c>
      <c r="C184" s="49"/>
      <c r="D184" s="49"/>
      <c r="E184" s="49"/>
      <c r="F184" s="49"/>
      <c r="G184" s="49"/>
      <c r="H184" s="49" t="str">
        <f>IFERROR(VLOOKUP(G184,[2]Basic_Data!$E$2:$I$9,5,0),"")</f>
        <v/>
      </c>
      <c r="I184" s="49" t="str">
        <f>IFERROR(VLOOKUP($G184,[2]Basic_Data!$E$2:$H$10,4,0),"")</f>
        <v/>
      </c>
      <c r="J184" s="49"/>
      <c r="K184" s="50" t="str">
        <f>IFERROR(VLOOKUP($B184-1,[2]Inverter_PR!$B:$I,[2]Module_Cleaning!H184,0),"")</f>
        <v/>
      </c>
      <c r="L184" s="50" t="str">
        <f>IFERROR(VLOOKUP($B184+1,[2]Inverter_PR!$B:$I,[2]Module_Cleaning!H184,0),"")</f>
        <v/>
      </c>
      <c r="M184" s="49" t="str">
        <f t="shared" si="30"/>
        <v/>
      </c>
      <c r="N184" s="49"/>
    </row>
    <row r="185" spans="1:14">
      <c r="A185" s="47">
        <v>45902</v>
      </c>
      <c r="B185" s="48">
        <v>45902</v>
      </c>
      <c r="C185" s="49"/>
      <c r="D185" s="49"/>
      <c r="E185" s="49"/>
      <c r="F185" s="49"/>
      <c r="G185" s="49"/>
      <c r="H185" s="49" t="str">
        <f>IFERROR(VLOOKUP(G185,[2]Basic_Data!$E$2:$I$9,5,0),"")</f>
        <v/>
      </c>
      <c r="I185" s="49" t="str">
        <f>IFERROR(VLOOKUP($G185,[2]Basic_Data!$E$2:$H$10,4,0),"")</f>
        <v/>
      </c>
      <c r="J185" s="49"/>
      <c r="K185" s="50" t="str">
        <f>IFERROR(VLOOKUP($B185-1,[2]Inverter_PR!$B:$I,[2]Module_Cleaning!H185,0),"")</f>
        <v/>
      </c>
      <c r="L185" s="50" t="str">
        <f>IFERROR(VLOOKUP($B185+1,[2]Inverter_PR!$B:$I,[2]Module_Cleaning!H185,0),"")</f>
        <v/>
      </c>
      <c r="M185" s="49" t="str">
        <f t="shared" si="30"/>
        <v/>
      </c>
      <c r="N185" s="49"/>
    </row>
    <row r="186" spans="1:14">
      <c r="A186" s="47">
        <v>45903</v>
      </c>
      <c r="B186" s="48">
        <v>45903</v>
      </c>
      <c r="C186" s="49"/>
      <c r="D186" s="49"/>
      <c r="E186" s="49"/>
      <c r="F186" s="49"/>
      <c r="G186" s="49"/>
      <c r="H186" s="49" t="str">
        <f>IFERROR(VLOOKUP(G186,[2]Basic_Data!$E$2:$I$9,5,0),"")</f>
        <v/>
      </c>
      <c r="I186" s="49" t="str">
        <f>IFERROR(VLOOKUP($G186,[2]Basic_Data!$E$2:$H$10,4,0),"")</f>
        <v/>
      </c>
      <c r="J186" s="49"/>
      <c r="K186" s="50" t="str">
        <f>IFERROR(VLOOKUP($B186-1,[2]Inverter_PR!$B:$I,[2]Module_Cleaning!H186,0),"")</f>
        <v/>
      </c>
      <c r="L186" s="50" t="str">
        <f>IFERROR(VLOOKUP($B186+1,[2]Inverter_PR!$B:$I,[2]Module_Cleaning!H186,0),"")</f>
        <v/>
      </c>
      <c r="M186" s="49" t="str">
        <f t="shared" si="30"/>
        <v/>
      </c>
      <c r="N186" s="49"/>
    </row>
    <row r="187" spans="1:14">
      <c r="A187" s="47">
        <v>45904</v>
      </c>
      <c r="B187" s="48">
        <v>45904</v>
      </c>
      <c r="C187" s="49"/>
      <c r="D187" s="49"/>
      <c r="E187" s="49"/>
      <c r="F187" s="49"/>
      <c r="G187" s="49"/>
      <c r="H187" s="49" t="str">
        <f>IFERROR(VLOOKUP(G187,[2]Basic_Data!$E$2:$I$9,5,0),"")</f>
        <v/>
      </c>
      <c r="I187" s="49" t="str">
        <f>IFERROR(VLOOKUP($G187,[2]Basic_Data!$E$2:$H$10,4,0),"")</f>
        <v/>
      </c>
      <c r="J187" s="49"/>
      <c r="K187" s="50" t="str">
        <f>IFERROR(VLOOKUP($B187-1,[2]Inverter_PR!$B:$I,[2]Module_Cleaning!H187,0),"")</f>
        <v/>
      </c>
      <c r="L187" s="50" t="str">
        <f>IFERROR(VLOOKUP($B187+1,[2]Inverter_PR!$B:$I,[2]Module_Cleaning!H187,0),"")</f>
        <v/>
      </c>
      <c r="M187" s="49" t="str">
        <f t="shared" si="30"/>
        <v/>
      </c>
      <c r="N187" s="49"/>
    </row>
    <row r="188" spans="1:14">
      <c r="A188" s="47">
        <v>45905</v>
      </c>
      <c r="B188" s="48">
        <v>45905</v>
      </c>
      <c r="C188" s="49"/>
      <c r="D188" s="49"/>
      <c r="E188" s="49"/>
      <c r="F188" s="49"/>
      <c r="G188" s="49"/>
      <c r="H188" s="49" t="str">
        <f>IFERROR(VLOOKUP(G188,[2]Basic_Data!$E$2:$I$9,5,0),"")</f>
        <v/>
      </c>
      <c r="I188" s="49" t="str">
        <f>IFERROR(VLOOKUP($G188,[2]Basic_Data!$E$2:$H$10,4,0),"")</f>
        <v/>
      </c>
      <c r="J188" s="49"/>
      <c r="K188" s="50" t="str">
        <f>IFERROR(VLOOKUP($B188-1,[2]Inverter_PR!$B:$I,[2]Module_Cleaning!H188,0),"")</f>
        <v/>
      </c>
      <c r="L188" s="50" t="str">
        <f>IFERROR(VLOOKUP($B188+1,[2]Inverter_PR!$B:$I,[2]Module_Cleaning!H188,0),"")</f>
        <v/>
      </c>
      <c r="M188" s="49" t="str">
        <f t="shared" si="30"/>
        <v/>
      </c>
      <c r="N188" s="49"/>
    </row>
    <row r="189" spans="1:14">
      <c r="A189" s="47">
        <v>45906</v>
      </c>
      <c r="B189" s="48">
        <v>45906</v>
      </c>
      <c r="C189" s="49"/>
      <c r="D189" s="49"/>
      <c r="E189" s="49"/>
      <c r="F189" s="49"/>
      <c r="G189" s="49"/>
      <c r="H189" s="49" t="str">
        <f>IFERROR(VLOOKUP(G189,[2]Basic_Data!$E$2:$I$9,5,0),"")</f>
        <v/>
      </c>
      <c r="I189" s="49" t="str">
        <f>IFERROR(VLOOKUP($G189,[2]Basic_Data!$E$2:$H$10,4,0),"")</f>
        <v/>
      </c>
      <c r="J189" s="49"/>
      <c r="K189" s="50" t="str">
        <f>IFERROR(VLOOKUP($B189-1,[2]Inverter_PR!$B:$I,[2]Module_Cleaning!H189,0),"")</f>
        <v/>
      </c>
      <c r="L189" s="50" t="str">
        <f>IFERROR(VLOOKUP($B189+1,[2]Inverter_PR!$B:$I,[2]Module_Cleaning!H189,0),"")</f>
        <v/>
      </c>
      <c r="M189" s="49" t="str">
        <f t="shared" si="30"/>
        <v/>
      </c>
      <c r="N189" s="49"/>
    </row>
    <row r="190" spans="1:14">
      <c r="A190" s="47">
        <v>45907</v>
      </c>
      <c r="B190" s="48">
        <v>45907</v>
      </c>
      <c r="C190" s="49"/>
      <c r="D190" s="49"/>
      <c r="E190" s="49"/>
      <c r="F190" s="49"/>
      <c r="G190" s="49"/>
      <c r="H190" s="49" t="str">
        <f>IFERROR(VLOOKUP(G190,[2]Basic_Data!$E$2:$I$9,5,0),"")</f>
        <v/>
      </c>
      <c r="I190" s="49" t="str">
        <f>IFERROR(VLOOKUP($G190,[2]Basic_Data!$E$2:$H$10,4,0),"")</f>
        <v/>
      </c>
      <c r="J190" s="49"/>
      <c r="K190" s="50" t="str">
        <f>IFERROR(VLOOKUP($B190-1,[2]Inverter_PR!$B:$I,[2]Module_Cleaning!H190,0),"")</f>
        <v/>
      </c>
      <c r="L190" s="50" t="str">
        <f>IFERROR(VLOOKUP($B190+1,[2]Inverter_PR!$B:$I,[2]Module_Cleaning!H190,0),"")</f>
        <v/>
      </c>
      <c r="M190" s="49" t="str">
        <f t="shared" si="30"/>
        <v/>
      </c>
      <c r="N190" s="49"/>
    </row>
    <row r="191" spans="1:14">
      <c r="A191" s="47">
        <v>45908</v>
      </c>
      <c r="B191" s="48">
        <v>45908</v>
      </c>
      <c r="C191" s="49"/>
      <c r="D191" s="49"/>
      <c r="E191" s="49"/>
      <c r="F191" s="49"/>
      <c r="G191" s="49"/>
      <c r="H191" s="49" t="str">
        <f>IFERROR(VLOOKUP(G191,[2]Basic_Data!$E$2:$I$9,5,0),"")</f>
        <v/>
      </c>
      <c r="I191" s="49" t="str">
        <f>IFERROR(VLOOKUP($G191,[2]Basic_Data!$E$2:$H$10,4,0),"")</f>
        <v/>
      </c>
      <c r="J191" s="49"/>
      <c r="K191" s="50" t="str">
        <f>IFERROR(VLOOKUP($B191-1,[2]Inverter_PR!$B:$I,[2]Module_Cleaning!H191,0),"")</f>
        <v/>
      </c>
      <c r="L191" s="50" t="str">
        <f>IFERROR(VLOOKUP($B191+1,[2]Inverter_PR!$B:$I,[2]Module_Cleaning!H191,0),"")</f>
        <v/>
      </c>
      <c r="M191" s="49" t="str">
        <f t="shared" si="30"/>
        <v/>
      </c>
      <c r="N191" s="49"/>
    </row>
    <row r="192" spans="1:14">
      <c r="A192" s="47">
        <v>45909</v>
      </c>
      <c r="B192" s="48">
        <v>45909</v>
      </c>
      <c r="C192" s="49"/>
      <c r="D192" s="49"/>
      <c r="E192" s="49"/>
      <c r="F192" s="49"/>
      <c r="G192" s="49"/>
      <c r="H192" s="49" t="str">
        <f>IFERROR(VLOOKUP(G192,[2]Basic_Data!$E$2:$I$9,5,0),"")</f>
        <v/>
      </c>
      <c r="I192" s="49" t="str">
        <f>IFERROR(VLOOKUP($G192,[2]Basic_Data!$E$2:$H$10,4,0),"")</f>
        <v/>
      </c>
      <c r="J192" s="49"/>
      <c r="K192" s="50" t="str">
        <f>IFERROR(VLOOKUP($B192-1,[2]Inverter_PR!$B:$I,[2]Module_Cleaning!H192,0),"")</f>
        <v/>
      </c>
      <c r="L192" s="50" t="str">
        <f>IFERROR(VLOOKUP($B192+1,[2]Inverter_PR!$B:$I,[2]Module_Cleaning!H192,0),"")</f>
        <v/>
      </c>
      <c r="M192" s="49" t="str">
        <f t="shared" si="30"/>
        <v/>
      </c>
      <c r="N192" s="49"/>
    </row>
    <row r="193" spans="1:14">
      <c r="A193" s="47">
        <v>45910</v>
      </c>
      <c r="B193" s="48">
        <v>45910</v>
      </c>
      <c r="C193" s="49"/>
      <c r="D193" s="49"/>
      <c r="E193" s="49"/>
      <c r="F193" s="49"/>
      <c r="G193" s="49"/>
      <c r="H193" s="49" t="str">
        <f>IFERROR(VLOOKUP(G193,[2]Basic_Data!$E$2:$I$9,5,0),"")</f>
        <v/>
      </c>
      <c r="I193" s="49" t="str">
        <f>IFERROR(VLOOKUP($G193,[2]Basic_Data!$E$2:$H$10,4,0),"")</f>
        <v/>
      </c>
      <c r="J193" s="49"/>
      <c r="K193" s="50" t="str">
        <f>IFERROR(VLOOKUP($B193-1,[2]Inverter_PR!$B:$I,[2]Module_Cleaning!H193,0),"")</f>
        <v/>
      </c>
      <c r="L193" s="50" t="str">
        <f>IFERROR(VLOOKUP($B193+1,[2]Inverter_PR!$B:$I,[2]Module_Cleaning!H193,0),"")</f>
        <v/>
      </c>
      <c r="M193" s="49" t="str">
        <f t="shared" si="30"/>
        <v/>
      </c>
      <c r="N193" s="49"/>
    </row>
    <row r="194" spans="1:14">
      <c r="A194" s="47">
        <v>45911</v>
      </c>
      <c r="B194" s="48">
        <v>45911</v>
      </c>
      <c r="C194" s="49"/>
      <c r="D194" s="49"/>
      <c r="E194" s="49"/>
      <c r="F194" s="49"/>
      <c r="G194" s="49"/>
      <c r="H194" s="49" t="str">
        <f>IFERROR(VLOOKUP(G194,[2]Basic_Data!$E$2:$I$9,5,0),"")</f>
        <v/>
      </c>
      <c r="I194" s="49" t="str">
        <f>IFERROR(VLOOKUP($G194,[2]Basic_Data!$E$2:$H$10,4,0),"")</f>
        <v/>
      </c>
      <c r="J194" s="49"/>
      <c r="K194" s="50" t="str">
        <f>IFERROR(VLOOKUP($B194-1,[2]Inverter_PR!$B:$I,[2]Module_Cleaning!H194,0),"")</f>
        <v/>
      </c>
      <c r="L194" s="50" t="str">
        <f>IFERROR(VLOOKUP($B194+1,[2]Inverter_PR!$B:$I,[2]Module_Cleaning!H194,0),"")</f>
        <v/>
      </c>
      <c r="M194" s="49" t="str">
        <f t="shared" si="30"/>
        <v/>
      </c>
      <c r="N194" s="49"/>
    </row>
    <row r="195" spans="1:14">
      <c r="A195" s="47">
        <v>45912</v>
      </c>
      <c r="B195" s="48">
        <v>45912</v>
      </c>
      <c r="C195" s="49"/>
      <c r="D195" s="49"/>
      <c r="E195" s="49"/>
      <c r="F195" s="49"/>
      <c r="G195" s="49"/>
      <c r="H195" s="49" t="str">
        <f>IFERROR(VLOOKUP(G195,[2]Basic_Data!$E$2:$I$9,5,0),"")</f>
        <v/>
      </c>
      <c r="I195" s="49" t="str">
        <f>IFERROR(VLOOKUP($G195,[2]Basic_Data!$E$2:$H$10,4,0),"")</f>
        <v/>
      </c>
      <c r="J195" s="49"/>
      <c r="K195" s="50" t="str">
        <f>IFERROR(VLOOKUP($B195-1,[2]Inverter_PR!$B:$I,[2]Module_Cleaning!H195,0),"")</f>
        <v/>
      </c>
      <c r="L195" s="50" t="str">
        <f>IFERROR(VLOOKUP($B195+1,[2]Inverter_PR!$B:$I,[2]Module_Cleaning!H195,0),"")</f>
        <v/>
      </c>
      <c r="M195" s="49" t="str">
        <f t="shared" si="30"/>
        <v/>
      </c>
      <c r="N195" s="49"/>
    </row>
    <row r="196" spans="1:14">
      <c r="A196" s="47">
        <v>45913</v>
      </c>
      <c r="B196" s="48">
        <v>45913</v>
      </c>
      <c r="C196" s="49"/>
      <c r="D196" s="49"/>
      <c r="E196" s="49"/>
      <c r="F196" s="49"/>
      <c r="G196" s="49"/>
      <c r="H196" s="49" t="str">
        <f>IFERROR(VLOOKUP(G196,[2]Basic_Data!$E$2:$I$9,5,0),"")</f>
        <v/>
      </c>
      <c r="I196" s="49" t="str">
        <f>IFERROR(VLOOKUP($G196,[2]Basic_Data!$E$2:$H$10,4,0),"")</f>
        <v/>
      </c>
      <c r="J196" s="49"/>
      <c r="K196" s="50" t="str">
        <f>IFERROR(VLOOKUP($B196-1,[2]Inverter_PR!$B:$I,[2]Module_Cleaning!H196,0),"")</f>
        <v/>
      </c>
      <c r="L196" s="50" t="str">
        <f>IFERROR(VLOOKUP($B196+1,[2]Inverter_PR!$B:$I,[2]Module_Cleaning!H196,0),"")</f>
        <v/>
      </c>
      <c r="M196" s="49" t="str">
        <f t="shared" si="30"/>
        <v/>
      </c>
      <c r="N196" s="49"/>
    </row>
    <row r="197" spans="1:14">
      <c r="A197" s="47">
        <v>45914</v>
      </c>
      <c r="B197" s="48">
        <v>45914</v>
      </c>
      <c r="C197" s="49"/>
      <c r="D197" s="49"/>
      <c r="E197" s="49"/>
      <c r="F197" s="49"/>
      <c r="G197" s="49"/>
      <c r="H197" s="49" t="str">
        <f>IFERROR(VLOOKUP(G197,[2]Basic_Data!$E$2:$I$9,5,0),"")</f>
        <v/>
      </c>
      <c r="I197" s="49" t="str">
        <f>IFERROR(VLOOKUP($G197,[2]Basic_Data!$E$2:$H$10,4,0),"")</f>
        <v/>
      </c>
      <c r="J197" s="49"/>
      <c r="K197" s="50" t="str">
        <f>IFERROR(VLOOKUP($B197-1,[2]Inverter_PR!$B:$I,[2]Module_Cleaning!H197,0),"")</f>
        <v/>
      </c>
      <c r="L197" s="50" t="str">
        <f>IFERROR(VLOOKUP($B197+1,[2]Inverter_PR!$B:$I,[2]Module_Cleaning!H197,0),"")</f>
        <v/>
      </c>
      <c r="M197" s="49" t="str">
        <f t="shared" si="30"/>
        <v/>
      </c>
      <c r="N197" s="49"/>
    </row>
    <row r="198" spans="1:14">
      <c r="A198" s="47">
        <v>45915</v>
      </c>
      <c r="B198" s="48">
        <v>45915</v>
      </c>
      <c r="C198" s="49"/>
      <c r="D198" s="49"/>
      <c r="E198" s="49"/>
      <c r="F198" s="49"/>
      <c r="G198" s="49"/>
      <c r="H198" s="49" t="str">
        <f>IFERROR(VLOOKUP(G198,[2]Basic_Data!$E$2:$I$9,5,0),"")</f>
        <v/>
      </c>
      <c r="I198" s="49" t="str">
        <f>IFERROR(VLOOKUP($G198,[2]Basic_Data!$E$2:$H$10,4,0),"")</f>
        <v/>
      </c>
      <c r="J198" s="49"/>
      <c r="K198" s="50" t="str">
        <f>IFERROR(VLOOKUP($B198-1,[2]Inverter_PR!$B:$I,[2]Module_Cleaning!H198,0),"")</f>
        <v/>
      </c>
      <c r="L198" s="50" t="str">
        <f>IFERROR(VLOOKUP($B198+1,[2]Inverter_PR!$B:$I,[2]Module_Cleaning!H198,0),"")</f>
        <v/>
      </c>
      <c r="M198" s="49" t="str">
        <f t="shared" si="30"/>
        <v/>
      </c>
      <c r="N198" s="49"/>
    </row>
    <row r="199" spans="1:14">
      <c r="A199" s="47">
        <v>45916</v>
      </c>
      <c r="B199" s="48">
        <v>45916</v>
      </c>
      <c r="C199" s="49"/>
      <c r="D199" s="49"/>
      <c r="E199" s="49"/>
      <c r="F199" s="49"/>
      <c r="G199" s="49"/>
      <c r="H199" s="49" t="str">
        <f>IFERROR(VLOOKUP(G199,[2]Basic_Data!$E$2:$I$9,5,0),"")</f>
        <v/>
      </c>
      <c r="I199" s="49" t="str">
        <f>IFERROR(VLOOKUP($G199,[2]Basic_Data!$E$2:$H$10,4,0),"")</f>
        <v/>
      </c>
      <c r="J199" s="49"/>
      <c r="K199" s="50" t="str">
        <f>IFERROR(VLOOKUP($B199-1,[2]Inverter_PR!$B:$I,[2]Module_Cleaning!H199,0),"")</f>
        <v/>
      </c>
      <c r="L199" s="50" t="str">
        <f>IFERROR(VLOOKUP($B199+1,[2]Inverter_PR!$B:$I,[2]Module_Cleaning!H199,0),"")</f>
        <v/>
      </c>
      <c r="M199" s="49" t="str">
        <f t="shared" si="30"/>
        <v/>
      </c>
      <c r="N199" s="49"/>
    </row>
    <row r="200" spans="1:14">
      <c r="A200" s="47">
        <v>45917</v>
      </c>
      <c r="B200" s="48">
        <v>45917</v>
      </c>
      <c r="C200" s="49"/>
      <c r="D200" s="49"/>
      <c r="E200" s="49"/>
      <c r="F200" s="49"/>
      <c r="G200" s="49"/>
      <c r="H200" s="49" t="str">
        <f>IFERROR(VLOOKUP(G200,[2]Basic_Data!$E$2:$I$9,5,0),"")</f>
        <v/>
      </c>
      <c r="I200" s="49" t="str">
        <f>IFERROR(VLOOKUP($G200,[2]Basic_Data!$E$2:$H$10,4,0),"")</f>
        <v/>
      </c>
      <c r="J200" s="49"/>
      <c r="K200" s="50" t="str">
        <f>IFERROR(VLOOKUP($B200-1,[2]Inverter_PR!$B:$I,[2]Module_Cleaning!H200,0),"")</f>
        <v/>
      </c>
      <c r="L200" s="50" t="str">
        <f>IFERROR(VLOOKUP($B200+1,[2]Inverter_PR!$B:$I,[2]Module_Cleaning!H200,0),"")</f>
        <v/>
      </c>
      <c r="M200" s="49" t="str">
        <f t="shared" si="30"/>
        <v/>
      </c>
      <c r="N200" s="49"/>
    </row>
    <row r="201" spans="1:14">
      <c r="A201" s="47">
        <v>45918</v>
      </c>
      <c r="B201" s="48">
        <v>45918</v>
      </c>
      <c r="C201" s="49"/>
      <c r="D201" s="49"/>
      <c r="E201" s="49"/>
      <c r="F201" s="49"/>
      <c r="G201" s="49"/>
      <c r="H201" s="49" t="str">
        <f>IFERROR(VLOOKUP(G201,[2]Basic_Data!$E$2:$I$9,5,0),"")</f>
        <v/>
      </c>
      <c r="I201" s="49" t="str">
        <f>IFERROR(VLOOKUP($G201,[2]Basic_Data!$E$2:$H$10,4,0),"")</f>
        <v/>
      </c>
      <c r="J201" s="49"/>
      <c r="K201" s="50" t="str">
        <f>IFERROR(VLOOKUP($B201-1,[2]Inverter_PR!$B:$I,[2]Module_Cleaning!H201,0),"")</f>
        <v/>
      </c>
      <c r="L201" s="50" t="str">
        <f>IFERROR(VLOOKUP($B201+1,[2]Inverter_PR!$B:$I,[2]Module_Cleaning!H201,0),"")</f>
        <v/>
      </c>
      <c r="M201" s="49" t="str">
        <f t="shared" si="30"/>
        <v/>
      </c>
      <c r="N201" s="49"/>
    </row>
    <row r="202" spans="1:14">
      <c r="A202" s="47">
        <v>45919</v>
      </c>
      <c r="B202" s="48">
        <v>45919</v>
      </c>
      <c r="C202" s="49"/>
      <c r="D202" s="49"/>
      <c r="E202" s="49"/>
      <c r="F202" s="49"/>
      <c r="G202" s="49"/>
      <c r="H202" s="49" t="str">
        <f>IFERROR(VLOOKUP(G202,[2]Basic_Data!$E$2:$I$9,5,0),"")</f>
        <v/>
      </c>
      <c r="I202" s="49" t="str">
        <f>IFERROR(VLOOKUP($G202,[2]Basic_Data!$E$2:$H$10,4,0),"")</f>
        <v/>
      </c>
      <c r="J202" s="49"/>
      <c r="K202" s="50" t="str">
        <f>IFERROR(VLOOKUP($B202-1,[2]Inverter_PR!$B:$I,[2]Module_Cleaning!H202,0),"")</f>
        <v/>
      </c>
      <c r="L202" s="50" t="str">
        <f>IFERROR(VLOOKUP($B202+1,[2]Inverter_PR!$B:$I,[2]Module_Cleaning!H202,0),"")</f>
        <v/>
      </c>
      <c r="M202" s="49" t="str">
        <f t="shared" si="30"/>
        <v/>
      </c>
      <c r="N202" s="49"/>
    </row>
    <row r="203" spans="1:14">
      <c r="A203" s="47">
        <v>45920</v>
      </c>
      <c r="B203" s="48">
        <v>45920</v>
      </c>
      <c r="C203" s="49"/>
      <c r="D203" s="49"/>
      <c r="E203" s="49"/>
      <c r="F203" s="49"/>
      <c r="G203" s="49"/>
      <c r="H203" s="49" t="str">
        <f>IFERROR(VLOOKUP(G203,[2]Basic_Data!$E$2:$I$9,5,0),"")</f>
        <v/>
      </c>
      <c r="I203" s="49" t="str">
        <f>IFERROR(VLOOKUP($G203,[2]Basic_Data!$E$2:$H$10,4,0),"")</f>
        <v/>
      </c>
      <c r="J203" s="49"/>
      <c r="K203" s="50" t="str">
        <f>IFERROR(VLOOKUP($B203-1,[2]Inverter_PR!$B:$I,[2]Module_Cleaning!H203,0),"")</f>
        <v/>
      </c>
      <c r="L203" s="50" t="str">
        <f>IFERROR(VLOOKUP($B203+1,[2]Inverter_PR!$B:$I,[2]Module_Cleaning!H203,0),"")</f>
        <v/>
      </c>
      <c r="M203" s="49" t="str">
        <f t="shared" si="30"/>
        <v/>
      </c>
      <c r="N203" s="49"/>
    </row>
    <row r="204" spans="1:14">
      <c r="A204" s="47">
        <v>45921</v>
      </c>
      <c r="B204" s="48">
        <v>45921</v>
      </c>
      <c r="C204" s="49"/>
      <c r="D204" s="49"/>
      <c r="E204" s="49"/>
      <c r="F204" s="49"/>
      <c r="G204" s="49"/>
      <c r="H204" s="49" t="str">
        <f>IFERROR(VLOOKUP(G204,[2]Basic_Data!$E$2:$I$9,5,0),"")</f>
        <v/>
      </c>
      <c r="I204" s="49" t="str">
        <f>IFERROR(VLOOKUP($G204,[2]Basic_Data!$E$2:$H$10,4,0),"")</f>
        <v/>
      </c>
      <c r="J204" s="49"/>
      <c r="K204" s="50" t="str">
        <f>IFERROR(VLOOKUP($B204-1,[2]Inverter_PR!$B:$I,[2]Module_Cleaning!H204,0),"")</f>
        <v/>
      </c>
      <c r="L204" s="50" t="str">
        <f>IFERROR(VLOOKUP($B204+1,[2]Inverter_PR!$B:$I,[2]Module_Cleaning!H204,0),"")</f>
        <v/>
      </c>
      <c r="M204" s="49" t="str">
        <f t="shared" si="30"/>
        <v/>
      </c>
      <c r="N204" s="49"/>
    </row>
    <row r="205" spans="1:14">
      <c r="A205" s="47">
        <v>45922</v>
      </c>
      <c r="B205" s="48">
        <v>45922</v>
      </c>
      <c r="C205" s="49"/>
      <c r="D205" s="49"/>
      <c r="E205" s="49"/>
      <c r="F205" s="49"/>
      <c r="G205" s="49"/>
      <c r="H205" s="49" t="str">
        <f>IFERROR(VLOOKUP(G205,[2]Basic_Data!$E$2:$I$9,5,0),"")</f>
        <v/>
      </c>
      <c r="I205" s="49" t="str">
        <f>IFERROR(VLOOKUP($G205,[2]Basic_Data!$E$2:$H$10,4,0),"")</f>
        <v/>
      </c>
      <c r="J205" s="49"/>
      <c r="K205" s="50" t="str">
        <f>IFERROR(VLOOKUP($B205-1,[2]Inverter_PR!$B:$I,[2]Module_Cleaning!H205,0),"")</f>
        <v/>
      </c>
      <c r="L205" s="50" t="str">
        <f>IFERROR(VLOOKUP($B205+1,[2]Inverter_PR!$B:$I,[2]Module_Cleaning!H205,0),"")</f>
        <v/>
      </c>
      <c r="M205" s="49" t="str">
        <f t="shared" si="30"/>
        <v/>
      </c>
      <c r="N205" s="49"/>
    </row>
    <row r="206" s="41" customFormat="1" spans="1:14">
      <c r="A206" s="70">
        <v>45923</v>
      </c>
      <c r="B206" s="71">
        <v>45923</v>
      </c>
      <c r="C206" s="68">
        <v>0</v>
      </c>
      <c r="D206" s="68">
        <v>0</v>
      </c>
      <c r="E206" s="68">
        <v>0</v>
      </c>
      <c r="F206" s="68">
        <v>0</v>
      </c>
      <c r="G206" s="68"/>
      <c r="H206" s="68">
        <v>0</v>
      </c>
      <c r="I206" s="68">
        <v>0</v>
      </c>
      <c r="J206" s="68">
        <v>0</v>
      </c>
      <c r="K206" s="69">
        <v>0</v>
      </c>
      <c r="L206" s="69">
        <v>0</v>
      </c>
      <c r="M206" s="68">
        <f t="shared" si="30"/>
        <v>0</v>
      </c>
      <c r="N206" s="68" t="s">
        <v>155</v>
      </c>
    </row>
    <row r="207" spans="1:14">
      <c r="A207" s="47">
        <v>45924</v>
      </c>
      <c r="B207" s="48">
        <v>45924</v>
      </c>
      <c r="C207" s="62">
        <v>0</v>
      </c>
      <c r="D207" s="62">
        <v>0</v>
      </c>
      <c r="E207" s="62">
        <v>0</v>
      </c>
      <c r="F207" s="62">
        <v>0</v>
      </c>
      <c r="G207" s="62"/>
      <c r="H207" s="62">
        <v>0</v>
      </c>
      <c r="I207" s="62">
        <v>0</v>
      </c>
      <c r="J207" s="62">
        <v>0</v>
      </c>
      <c r="K207" s="63">
        <v>0</v>
      </c>
      <c r="L207" s="63">
        <v>0</v>
      </c>
      <c r="M207" s="62">
        <f t="shared" ref="M207" si="31">IFERROR(I207-J207,"")</f>
        <v>0</v>
      </c>
      <c r="N207" s="62" t="s">
        <v>154</v>
      </c>
    </row>
    <row r="208" spans="1:14">
      <c r="A208" s="47">
        <v>45925</v>
      </c>
      <c r="B208" s="48">
        <v>45925</v>
      </c>
      <c r="C208" s="62">
        <v>0</v>
      </c>
      <c r="D208" s="62">
        <v>0</v>
      </c>
      <c r="E208" s="62">
        <v>0</v>
      </c>
      <c r="F208" s="62">
        <v>0</v>
      </c>
      <c r="G208" s="62"/>
      <c r="H208" s="62">
        <v>0</v>
      </c>
      <c r="I208" s="62">
        <v>0</v>
      </c>
      <c r="J208" s="62">
        <v>0</v>
      </c>
      <c r="K208" s="63">
        <v>0</v>
      </c>
      <c r="L208" s="63">
        <v>0</v>
      </c>
      <c r="M208" s="62">
        <f t="shared" ref="M208" si="32">IFERROR(I208-J208,"")</f>
        <v>0</v>
      </c>
      <c r="N208" s="62" t="s">
        <v>154</v>
      </c>
    </row>
    <row r="209" spans="1:14">
      <c r="A209" s="47">
        <v>45926</v>
      </c>
      <c r="B209" s="48">
        <v>45926</v>
      </c>
      <c r="C209" s="62">
        <v>0</v>
      </c>
      <c r="D209" s="62">
        <v>0</v>
      </c>
      <c r="E209" s="62">
        <v>0</v>
      </c>
      <c r="F209" s="62">
        <v>0</v>
      </c>
      <c r="G209" s="62"/>
      <c r="H209" s="62">
        <v>0</v>
      </c>
      <c r="I209" s="62">
        <v>0</v>
      </c>
      <c r="J209" s="62">
        <v>0</v>
      </c>
      <c r="K209" s="63">
        <v>0</v>
      </c>
      <c r="L209" s="63">
        <v>0</v>
      </c>
      <c r="M209" s="62">
        <f t="shared" ref="M209" si="33">IFERROR(I209-J209,"")</f>
        <v>0</v>
      </c>
      <c r="N209" s="62" t="s">
        <v>154</v>
      </c>
    </row>
    <row r="210" spans="1:14">
      <c r="A210" s="47">
        <v>45927</v>
      </c>
      <c r="B210" s="48">
        <v>45927</v>
      </c>
      <c r="C210" s="62">
        <v>0</v>
      </c>
      <c r="D210" s="62">
        <v>0</v>
      </c>
      <c r="E210" s="62">
        <v>0</v>
      </c>
      <c r="F210" s="62">
        <v>0</v>
      </c>
      <c r="G210" s="62"/>
      <c r="H210" s="62">
        <v>0</v>
      </c>
      <c r="I210" s="62">
        <v>0</v>
      </c>
      <c r="J210" s="62">
        <v>0</v>
      </c>
      <c r="K210" s="63">
        <v>0</v>
      </c>
      <c r="L210" s="63">
        <v>0</v>
      </c>
      <c r="M210" s="62">
        <f t="shared" ref="M210" si="34">IFERROR(I210-J210,"")</f>
        <v>0</v>
      </c>
      <c r="N210" s="62" t="s">
        <v>154</v>
      </c>
    </row>
    <row r="211" s="41" customFormat="1" spans="1:14">
      <c r="A211" s="70">
        <v>45928</v>
      </c>
      <c r="B211" s="71">
        <v>45928</v>
      </c>
      <c r="C211" s="68">
        <v>0</v>
      </c>
      <c r="D211" s="68">
        <v>0</v>
      </c>
      <c r="E211" s="68">
        <v>0</v>
      </c>
      <c r="F211" s="68">
        <v>0</v>
      </c>
      <c r="G211" s="68"/>
      <c r="H211" s="68">
        <v>0</v>
      </c>
      <c r="I211" s="68">
        <v>0</v>
      </c>
      <c r="J211" s="68">
        <v>0</v>
      </c>
      <c r="K211" s="69">
        <v>0</v>
      </c>
      <c r="L211" s="69">
        <v>0</v>
      </c>
      <c r="M211" s="68">
        <f t="shared" ref="M211" si="35">IFERROR(I211-J211,"")</f>
        <v>0</v>
      </c>
      <c r="N211" s="68" t="s">
        <v>155</v>
      </c>
    </row>
    <row r="212" spans="1:14">
      <c r="A212" s="47">
        <v>45929</v>
      </c>
      <c r="B212" s="48">
        <v>45929</v>
      </c>
      <c r="C212" s="68">
        <v>0</v>
      </c>
      <c r="D212" s="68">
        <v>0</v>
      </c>
      <c r="E212" s="68">
        <v>0</v>
      </c>
      <c r="F212" s="68">
        <v>0</v>
      </c>
      <c r="G212" s="68"/>
      <c r="H212" s="68">
        <v>0</v>
      </c>
      <c r="I212" s="68">
        <v>0</v>
      </c>
      <c r="J212" s="68">
        <v>0</v>
      </c>
      <c r="K212" s="69">
        <v>0</v>
      </c>
      <c r="L212" s="69">
        <v>0</v>
      </c>
      <c r="M212" s="68">
        <f t="shared" ref="M212:M213" si="36">IFERROR(I212-J212,"")</f>
        <v>0</v>
      </c>
      <c r="N212" s="68" t="s">
        <v>155</v>
      </c>
    </row>
    <row r="213" spans="1:14">
      <c r="A213" s="47">
        <v>45930</v>
      </c>
      <c r="B213" s="48">
        <v>45930</v>
      </c>
      <c r="C213" s="62">
        <v>0</v>
      </c>
      <c r="D213" s="62">
        <v>0</v>
      </c>
      <c r="E213" s="62">
        <v>0</v>
      </c>
      <c r="F213" s="62">
        <v>0</v>
      </c>
      <c r="G213" s="62"/>
      <c r="H213" s="62">
        <v>0</v>
      </c>
      <c r="I213" s="62">
        <v>0</v>
      </c>
      <c r="J213" s="62">
        <v>0</v>
      </c>
      <c r="K213" s="63">
        <v>0</v>
      </c>
      <c r="L213" s="63">
        <v>0</v>
      </c>
      <c r="M213" s="62">
        <f t="shared" si="36"/>
        <v>0</v>
      </c>
      <c r="N213" s="62" t="s">
        <v>154</v>
      </c>
    </row>
    <row r="214" spans="1:14">
      <c r="A214" s="47">
        <v>45931</v>
      </c>
      <c r="B214" s="48">
        <v>45931</v>
      </c>
      <c r="C214" s="62">
        <v>0</v>
      </c>
      <c r="D214" s="62">
        <v>0</v>
      </c>
      <c r="E214" s="62">
        <v>0</v>
      </c>
      <c r="F214" s="62">
        <v>0</v>
      </c>
      <c r="G214" s="62"/>
      <c r="H214" s="62">
        <v>0</v>
      </c>
      <c r="I214" s="62">
        <v>0</v>
      </c>
      <c r="J214" s="62">
        <v>0</v>
      </c>
      <c r="K214" s="63">
        <v>0</v>
      </c>
      <c r="L214" s="63">
        <v>0</v>
      </c>
      <c r="M214" s="62">
        <f t="shared" ref="M214" si="37">IFERROR(I214-J214,"")</f>
        <v>0</v>
      </c>
      <c r="N214" s="62" t="s">
        <v>154</v>
      </c>
    </row>
    <row r="215" spans="1:14">
      <c r="A215" s="47">
        <v>45932</v>
      </c>
      <c r="B215" s="48">
        <v>45932</v>
      </c>
      <c r="C215" s="62">
        <v>0</v>
      </c>
      <c r="D215" s="62">
        <v>0</v>
      </c>
      <c r="E215" s="62">
        <v>0</v>
      </c>
      <c r="F215" s="62">
        <v>0</v>
      </c>
      <c r="G215" s="62"/>
      <c r="H215" s="62">
        <v>0</v>
      </c>
      <c r="I215" s="62">
        <v>0</v>
      </c>
      <c r="J215" s="62">
        <v>0</v>
      </c>
      <c r="K215" s="63">
        <v>0</v>
      </c>
      <c r="L215" s="63">
        <v>0</v>
      </c>
      <c r="M215" s="62">
        <f t="shared" ref="M215" si="38">IFERROR(I215-J215,"")</f>
        <v>0</v>
      </c>
      <c r="N215" s="62" t="s">
        <v>154</v>
      </c>
    </row>
    <row r="216" spans="1:14">
      <c r="A216" s="47">
        <v>45933</v>
      </c>
      <c r="B216" s="48">
        <v>45933</v>
      </c>
      <c r="C216" s="62">
        <v>0</v>
      </c>
      <c r="D216" s="62">
        <v>0</v>
      </c>
      <c r="E216" s="62">
        <v>0</v>
      </c>
      <c r="F216" s="62">
        <v>0</v>
      </c>
      <c r="G216" s="62"/>
      <c r="H216" s="62">
        <v>0</v>
      </c>
      <c r="I216" s="62">
        <v>0</v>
      </c>
      <c r="J216" s="62">
        <v>0</v>
      </c>
      <c r="K216" s="63">
        <v>0</v>
      </c>
      <c r="L216" s="63">
        <v>0</v>
      </c>
      <c r="M216" s="62">
        <f t="shared" ref="M216" si="39">IFERROR(I216-J216,"")</f>
        <v>0</v>
      </c>
      <c r="N216" s="62" t="s">
        <v>154</v>
      </c>
    </row>
    <row r="217" spans="1:14">
      <c r="A217" s="47">
        <v>45934</v>
      </c>
      <c r="B217" s="48">
        <v>45934</v>
      </c>
      <c r="C217" s="62">
        <v>0</v>
      </c>
      <c r="D217" s="62">
        <v>0</v>
      </c>
      <c r="E217" s="62">
        <v>0</v>
      </c>
      <c r="F217" s="62">
        <v>0</v>
      </c>
      <c r="G217" s="62"/>
      <c r="H217" s="62">
        <v>0</v>
      </c>
      <c r="I217" s="62">
        <v>0</v>
      </c>
      <c r="J217" s="62">
        <v>0</v>
      </c>
      <c r="K217" s="63">
        <v>0</v>
      </c>
      <c r="L217" s="63">
        <v>0</v>
      </c>
      <c r="M217" s="62">
        <f t="shared" ref="M217" si="40">IFERROR(I217-J217,"")</f>
        <v>0</v>
      </c>
      <c r="N217" s="62" t="s">
        <v>154</v>
      </c>
    </row>
    <row r="218" spans="1:14">
      <c r="A218" s="47">
        <v>45935</v>
      </c>
      <c r="B218" s="48">
        <v>45935</v>
      </c>
      <c r="C218" s="62">
        <v>0</v>
      </c>
      <c r="D218" s="62">
        <v>0</v>
      </c>
      <c r="E218" s="62">
        <v>0</v>
      </c>
      <c r="F218" s="62">
        <v>0</v>
      </c>
      <c r="G218" s="62"/>
      <c r="H218" s="62">
        <v>0</v>
      </c>
      <c r="I218" s="62">
        <v>0</v>
      </c>
      <c r="J218" s="62">
        <v>0</v>
      </c>
      <c r="K218" s="63">
        <v>0</v>
      </c>
      <c r="L218" s="63">
        <v>0</v>
      </c>
      <c r="M218" s="62">
        <f t="shared" ref="M218" si="41">IFERROR(I218-J218,"")</f>
        <v>0</v>
      </c>
      <c r="N218" s="62" t="s">
        <v>154</v>
      </c>
    </row>
    <row r="219" spans="1:14">
      <c r="A219" s="47">
        <v>45936</v>
      </c>
      <c r="B219" s="48">
        <v>45936</v>
      </c>
      <c r="C219" s="62">
        <v>0</v>
      </c>
      <c r="D219" s="62">
        <v>0</v>
      </c>
      <c r="E219" s="62">
        <v>0</v>
      </c>
      <c r="F219" s="62">
        <v>0</v>
      </c>
      <c r="G219" s="62"/>
      <c r="H219" s="62">
        <v>0</v>
      </c>
      <c r="I219" s="62">
        <v>0</v>
      </c>
      <c r="J219" s="62">
        <v>0</v>
      </c>
      <c r="K219" s="63">
        <v>0</v>
      </c>
      <c r="L219" s="63">
        <v>0</v>
      </c>
      <c r="M219" s="62">
        <f t="shared" ref="M219" si="42">IFERROR(I219-J219,"")</f>
        <v>0</v>
      </c>
      <c r="N219" s="62" t="s">
        <v>154</v>
      </c>
    </row>
    <row r="220" spans="1:14">
      <c r="A220" s="47">
        <v>45937</v>
      </c>
      <c r="B220" s="48">
        <v>45937</v>
      </c>
      <c r="C220" s="62">
        <v>0</v>
      </c>
      <c r="D220" s="62">
        <v>0</v>
      </c>
      <c r="E220" s="62">
        <v>0</v>
      </c>
      <c r="F220" s="62">
        <v>0</v>
      </c>
      <c r="G220" s="62"/>
      <c r="H220" s="62">
        <v>0</v>
      </c>
      <c r="I220" s="62">
        <v>0</v>
      </c>
      <c r="J220" s="62">
        <v>0</v>
      </c>
      <c r="K220" s="63">
        <v>0</v>
      </c>
      <c r="L220" s="63">
        <v>0</v>
      </c>
      <c r="M220" s="62">
        <f t="shared" ref="M220" si="43">IFERROR(I220-J220,"")</f>
        <v>0</v>
      </c>
      <c r="N220" s="62" t="s">
        <v>154</v>
      </c>
    </row>
    <row r="221" spans="1:14">
      <c r="A221" s="47">
        <v>45938</v>
      </c>
      <c r="B221" s="48">
        <v>45938</v>
      </c>
      <c r="C221" s="62">
        <v>0</v>
      </c>
      <c r="D221" s="62">
        <v>0</v>
      </c>
      <c r="E221" s="62">
        <v>0</v>
      </c>
      <c r="F221" s="62">
        <v>0</v>
      </c>
      <c r="G221" s="62"/>
      <c r="H221" s="62">
        <v>0</v>
      </c>
      <c r="I221" s="62">
        <v>0</v>
      </c>
      <c r="J221" s="62">
        <v>0</v>
      </c>
      <c r="K221" s="63">
        <v>0</v>
      </c>
      <c r="L221" s="63">
        <v>0</v>
      </c>
      <c r="M221" s="62">
        <f t="shared" ref="M221" si="44">IFERROR(I221-J221,"")</f>
        <v>0</v>
      </c>
      <c r="N221" s="62" t="s">
        <v>154</v>
      </c>
    </row>
    <row r="222" spans="1:14">
      <c r="A222" s="47">
        <v>45939</v>
      </c>
      <c r="B222" s="48">
        <v>45939</v>
      </c>
      <c r="C222" s="62">
        <v>0</v>
      </c>
      <c r="D222" s="62">
        <v>0</v>
      </c>
      <c r="E222" s="62">
        <v>0</v>
      </c>
      <c r="F222" s="62">
        <v>0</v>
      </c>
      <c r="G222" s="62"/>
      <c r="H222" s="62">
        <v>0</v>
      </c>
      <c r="I222" s="62">
        <v>0</v>
      </c>
      <c r="J222" s="62">
        <v>0</v>
      </c>
      <c r="K222" s="63">
        <v>0</v>
      </c>
      <c r="L222" s="63">
        <v>0</v>
      </c>
      <c r="M222" s="62">
        <f t="shared" ref="M222" si="45">IFERROR(I222-J222,"")</f>
        <v>0</v>
      </c>
      <c r="N222" s="62" t="s">
        <v>154</v>
      </c>
    </row>
    <row r="223" spans="1:14">
      <c r="A223" s="47">
        <v>45940</v>
      </c>
      <c r="B223" s="48">
        <v>45940</v>
      </c>
      <c r="C223" s="62">
        <v>0</v>
      </c>
      <c r="D223" s="62">
        <v>0</v>
      </c>
      <c r="E223" s="62">
        <v>0</v>
      </c>
      <c r="F223" s="62">
        <v>0</v>
      </c>
      <c r="G223" s="62"/>
      <c r="H223" s="62">
        <v>0</v>
      </c>
      <c r="I223" s="62">
        <v>0</v>
      </c>
      <c r="J223" s="62">
        <v>0</v>
      </c>
      <c r="K223" s="63">
        <v>0</v>
      </c>
      <c r="L223" s="63">
        <v>0</v>
      </c>
      <c r="M223" s="62">
        <f t="shared" ref="M223" si="46">IFERROR(I223-J223,"")</f>
        <v>0</v>
      </c>
      <c r="N223" s="62" t="s">
        <v>154</v>
      </c>
    </row>
    <row r="224" spans="1:14">
      <c r="A224" s="47">
        <v>45941</v>
      </c>
      <c r="B224" s="48">
        <v>45941</v>
      </c>
      <c r="C224" s="62">
        <v>0</v>
      </c>
      <c r="D224" s="62">
        <v>0</v>
      </c>
      <c r="E224" s="62">
        <v>0</v>
      </c>
      <c r="F224" s="62">
        <v>0</v>
      </c>
      <c r="G224" s="62"/>
      <c r="H224" s="62">
        <v>0</v>
      </c>
      <c r="I224" s="62">
        <v>0</v>
      </c>
      <c r="J224" s="62">
        <v>0</v>
      </c>
      <c r="K224" s="63">
        <v>0</v>
      </c>
      <c r="L224" s="63">
        <v>0</v>
      </c>
      <c r="M224" s="62">
        <f t="shared" ref="M224" si="47">IFERROR(I224-J224,"")</f>
        <v>0</v>
      </c>
      <c r="N224" s="62" t="s">
        <v>154</v>
      </c>
    </row>
    <row r="225" spans="1:14">
      <c r="A225" s="47">
        <v>45942</v>
      </c>
      <c r="B225" s="48">
        <v>45942</v>
      </c>
      <c r="C225" s="62">
        <v>0</v>
      </c>
      <c r="D225" s="62">
        <v>0</v>
      </c>
      <c r="E225" s="62">
        <v>0</v>
      </c>
      <c r="F225" s="62">
        <v>0</v>
      </c>
      <c r="G225" s="62"/>
      <c r="H225" s="62">
        <v>0</v>
      </c>
      <c r="I225" s="62">
        <v>0</v>
      </c>
      <c r="J225" s="62">
        <v>0</v>
      </c>
      <c r="K225" s="63">
        <v>0</v>
      </c>
      <c r="L225" s="63">
        <v>0</v>
      </c>
      <c r="M225" s="62">
        <f t="shared" ref="M225" si="48">IFERROR(I225-J225,"")</f>
        <v>0</v>
      </c>
      <c r="N225" s="62" t="s">
        <v>154</v>
      </c>
    </row>
    <row r="226" spans="1:14">
      <c r="A226" s="47">
        <v>45943</v>
      </c>
      <c r="B226" s="48">
        <v>45943</v>
      </c>
      <c r="C226" s="62">
        <v>0</v>
      </c>
      <c r="D226" s="62">
        <v>0</v>
      </c>
      <c r="E226" s="62">
        <v>0</v>
      </c>
      <c r="F226" s="62">
        <v>0</v>
      </c>
      <c r="G226" s="62"/>
      <c r="H226" s="62">
        <v>0</v>
      </c>
      <c r="I226" s="62">
        <v>0</v>
      </c>
      <c r="J226" s="62">
        <v>0</v>
      </c>
      <c r="K226" s="63">
        <v>0</v>
      </c>
      <c r="L226" s="63">
        <v>0</v>
      </c>
      <c r="M226" s="62">
        <f t="shared" ref="M226" si="49">IFERROR(I226-J226,"")</f>
        <v>0</v>
      </c>
      <c r="N226" s="62" t="s">
        <v>154</v>
      </c>
    </row>
    <row r="227" spans="1:14">
      <c r="A227" s="47">
        <v>45944</v>
      </c>
      <c r="B227" s="48">
        <v>45944</v>
      </c>
      <c r="C227" s="62">
        <v>0</v>
      </c>
      <c r="D227" s="62">
        <v>0</v>
      </c>
      <c r="E227" s="62">
        <v>0</v>
      </c>
      <c r="F227" s="62">
        <v>0</v>
      </c>
      <c r="G227" s="62"/>
      <c r="H227" s="62">
        <v>0</v>
      </c>
      <c r="I227" s="62">
        <v>0</v>
      </c>
      <c r="J227" s="62">
        <v>0</v>
      </c>
      <c r="K227" s="63">
        <v>0</v>
      </c>
      <c r="L227" s="63">
        <v>0</v>
      </c>
      <c r="M227" s="62">
        <f t="shared" ref="M227" si="50">IFERROR(I227-J227,"")</f>
        <v>0</v>
      </c>
      <c r="N227" s="62" t="s">
        <v>154</v>
      </c>
    </row>
    <row r="228" spans="1:14">
      <c r="A228" s="47">
        <v>45945</v>
      </c>
      <c r="B228" s="48">
        <v>45945</v>
      </c>
      <c r="C228" s="62">
        <v>0</v>
      </c>
      <c r="D228" s="62">
        <v>0</v>
      </c>
      <c r="E228" s="62">
        <v>0</v>
      </c>
      <c r="F228" s="62">
        <v>0</v>
      </c>
      <c r="G228" s="62"/>
      <c r="H228" s="62">
        <v>0</v>
      </c>
      <c r="I228" s="62">
        <v>0</v>
      </c>
      <c r="J228" s="62">
        <v>0</v>
      </c>
      <c r="K228" s="63">
        <v>0</v>
      </c>
      <c r="L228" s="63">
        <v>0</v>
      </c>
      <c r="M228" s="62">
        <f t="shared" ref="M228" si="51">IFERROR(I228-J228,"")</f>
        <v>0</v>
      </c>
      <c r="N228" s="62" t="s">
        <v>154</v>
      </c>
    </row>
    <row r="229" spans="1:14">
      <c r="A229" s="47">
        <v>45946</v>
      </c>
      <c r="B229" s="48">
        <v>45946</v>
      </c>
      <c r="C229" s="62">
        <v>0</v>
      </c>
      <c r="D229" s="62">
        <v>0</v>
      </c>
      <c r="E229" s="62">
        <v>0</v>
      </c>
      <c r="F229" s="62">
        <v>0</v>
      </c>
      <c r="G229" s="62"/>
      <c r="H229" s="62">
        <v>0</v>
      </c>
      <c r="I229" s="62">
        <v>0</v>
      </c>
      <c r="J229" s="62">
        <v>0</v>
      </c>
      <c r="K229" s="63">
        <v>0</v>
      </c>
      <c r="L229" s="63">
        <v>0</v>
      </c>
      <c r="M229" s="62">
        <f t="shared" ref="M229" si="52">IFERROR(I229-J229,"")</f>
        <v>0</v>
      </c>
      <c r="N229" s="62" t="s">
        <v>154</v>
      </c>
    </row>
    <row r="230" spans="1:14">
      <c r="A230" s="47">
        <v>45947</v>
      </c>
      <c r="B230" s="48">
        <v>45947</v>
      </c>
      <c r="C230" s="49">
        <v>0</v>
      </c>
      <c r="D230" s="49">
        <v>0</v>
      </c>
      <c r="E230" s="49"/>
      <c r="F230" s="49">
        <v>0</v>
      </c>
      <c r="G230" s="49"/>
      <c r="H230" s="49">
        <v>0</v>
      </c>
      <c r="I230" s="49">
        <v>0</v>
      </c>
      <c r="J230" s="49">
        <v>0</v>
      </c>
      <c r="K230" s="63">
        <v>0</v>
      </c>
      <c r="L230" s="63">
        <v>0</v>
      </c>
      <c r="M230" s="49">
        <f t="shared" ref="M230:M310" si="53">IFERROR(I230-J230,"")</f>
        <v>0</v>
      </c>
      <c r="N230" s="49"/>
    </row>
    <row r="231" spans="1:14">
      <c r="A231" s="47">
        <v>45948</v>
      </c>
      <c r="B231" s="48">
        <v>45948</v>
      </c>
      <c r="C231" s="49">
        <v>0</v>
      </c>
      <c r="D231" s="49">
        <v>0</v>
      </c>
      <c r="E231" s="49">
        <v>0</v>
      </c>
      <c r="F231" s="49">
        <v>1</v>
      </c>
      <c r="G231" s="49" t="s">
        <v>35</v>
      </c>
      <c r="H231" s="49">
        <f>IFERROR(VLOOKUP(G231,[2]Basic_Data!$E$2:$I$9,5,0),"")</f>
        <v>2</v>
      </c>
      <c r="I231" s="49">
        <f>IFERROR(VLOOKUP($G231,[2]Basic_Data!$E$2:$H$10,4,0),"")</f>
        <v>616</v>
      </c>
      <c r="J231" s="49">
        <v>0</v>
      </c>
      <c r="K231" s="63">
        <v>0</v>
      </c>
      <c r="L231" s="63">
        <v>0</v>
      </c>
      <c r="M231" s="49">
        <f t="shared" si="53"/>
        <v>616</v>
      </c>
      <c r="N231" s="49" t="s">
        <v>156</v>
      </c>
    </row>
    <row r="232" spans="1:14">
      <c r="A232" s="47">
        <v>45949</v>
      </c>
      <c r="B232" s="48">
        <v>45949</v>
      </c>
      <c r="C232" s="49"/>
      <c r="D232" s="49"/>
      <c r="E232" s="49"/>
      <c r="F232" s="49">
        <v>1</v>
      </c>
      <c r="G232" s="49" t="s">
        <v>36</v>
      </c>
      <c r="H232" s="49">
        <f>IFERROR(VLOOKUP(G232,[2]Basic_Data!$E$2:$I$9,5,0),"")</f>
        <v>3</v>
      </c>
      <c r="I232" s="49">
        <f>IFERROR(VLOOKUP($G232,[2]Basic_Data!$E$2:$H$10,4,0),"")</f>
        <v>616</v>
      </c>
      <c r="J232" s="49">
        <v>0</v>
      </c>
      <c r="K232" s="63">
        <v>0</v>
      </c>
      <c r="L232" s="63">
        <v>0</v>
      </c>
      <c r="M232" s="49">
        <f t="shared" si="53"/>
        <v>616</v>
      </c>
      <c r="N232" s="49" t="s">
        <v>156</v>
      </c>
    </row>
    <row r="233" spans="1:14">
      <c r="A233" s="47">
        <v>45950</v>
      </c>
      <c r="B233" s="48">
        <v>45950</v>
      </c>
      <c r="C233" s="49"/>
      <c r="D233" s="49"/>
      <c r="E233" s="49"/>
      <c r="F233" s="49">
        <v>1</v>
      </c>
      <c r="G233" s="49" t="s">
        <v>37</v>
      </c>
      <c r="H233" s="49">
        <f>IFERROR(VLOOKUP(G233,[2]Basic_Data!$E$2:$I$9,5,0),"")</f>
        <v>4</v>
      </c>
      <c r="I233" s="49">
        <f>IFERROR(VLOOKUP($G233,[2]Basic_Data!$E$2:$H$10,4,0),"")</f>
        <v>616</v>
      </c>
      <c r="J233" s="49">
        <v>0</v>
      </c>
      <c r="K233" s="63">
        <v>0</v>
      </c>
      <c r="L233" s="63">
        <v>0</v>
      </c>
      <c r="M233" s="49">
        <f t="shared" si="53"/>
        <v>616</v>
      </c>
      <c r="N233" s="49" t="s">
        <v>156</v>
      </c>
    </row>
    <row r="234" spans="1:14">
      <c r="A234" s="47">
        <v>45951</v>
      </c>
      <c r="B234" s="48">
        <v>45951</v>
      </c>
      <c r="C234" s="49"/>
      <c r="D234" s="49"/>
      <c r="E234" s="49"/>
      <c r="F234" s="49">
        <v>1</v>
      </c>
      <c r="G234" s="49" t="s">
        <v>38</v>
      </c>
      <c r="H234" s="49">
        <f>IFERROR(VLOOKUP(G234,[2]Basic_Data!$E$2:$I$9,5,0),"")</f>
        <v>5</v>
      </c>
      <c r="I234" s="49">
        <f>IFERROR(VLOOKUP($G234,[2]Basic_Data!$E$2:$H$10,4,0),"")</f>
        <v>644</v>
      </c>
      <c r="J234" s="49">
        <v>0</v>
      </c>
      <c r="K234" s="63">
        <v>0</v>
      </c>
      <c r="L234" s="63">
        <v>0</v>
      </c>
      <c r="M234" s="49">
        <f t="shared" si="53"/>
        <v>644</v>
      </c>
      <c r="N234" s="49" t="s">
        <v>156</v>
      </c>
    </row>
    <row r="235" spans="1:14">
      <c r="A235" s="47">
        <v>45952</v>
      </c>
      <c r="B235" s="48">
        <v>45952</v>
      </c>
      <c r="C235" s="49"/>
      <c r="D235" s="49"/>
      <c r="E235" s="49"/>
      <c r="F235" s="49">
        <v>1</v>
      </c>
      <c r="G235" s="49" t="s">
        <v>39</v>
      </c>
      <c r="H235" s="49">
        <f>IFERROR(VLOOKUP(G235,[2]Basic_Data!$E$2:$I$9,5,0),"")</f>
        <v>6</v>
      </c>
      <c r="I235" s="49">
        <f>IFERROR(VLOOKUP($G235,[2]Basic_Data!$E$2:$H$10,4,0),"")</f>
        <v>644</v>
      </c>
      <c r="J235" s="49">
        <v>0</v>
      </c>
      <c r="K235" s="63">
        <v>0</v>
      </c>
      <c r="L235" s="63">
        <v>0</v>
      </c>
      <c r="M235" s="49">
        <f t="shared" si="53"/>
        <v>644</v>
      </c>
      <c r="N235" s="49" t="s">
        <v>156</v>
      </c>
    </row>
    <row r="236" spans="1:14">
      <c r="A236" s="47">
        <v>45953</v>
      </c>
      <c r="B236" s="48">
        <v>45953</v>
      </c>
      <c r="C236" s="49"/>
      <c r="D236" s="49"/>
      <c r="E236" s="49"/>
      <c r="F236" s="49">
        <v>1</v>
      </c>
      <c r="G236" s="49" t="s">
        <v>40</v>
      </c>
      <c r="H236" s="49">
        <f>IFERROR(VLOOKUP(G236,[2]Basic_Data!$E$2:$I$9,5,0),"")</f>
        <v>7</v>
      </c>
      <c r="I236" s="49">
        <f>IFERROR(VLOOKUP($G236,[2]Basic_Data!$E$2:$H$10,4,0),"")</f>
        <v>644</v>
      </c>
      <c r="J236" s="49">
        <v>0</v>
      </c>
      <c r="K236" s="63">
        <v>0</v>
      </c>
      <c r="L236" s="63">
        <v>0</v>
      </c>
      <c r="M236" s="49">
        <f t="shared" si="53"/>
        <v>644</v>
      </c>
      <c r="N236" s="49" t="s">
        <v>156</v>
      </c>
    </row>
    <row r="237" spans="1:14">
      <c r="A237" s="47">
        <v>45954</v>
      </c>
      <c r="B237" s="48">
        <v>45954</v>
      </c>
      <c r="C237" s="49"/>
      <c r="D237" s="49"/>
      <c r="E237" s="49"/>
      <c r="F237" s="49">
        <v>1</v>
      </c>
      <c r="G237" s="49" t="s">
        <v>41</v>
      </c>
      <c r="H237" s="49">
        <f>IFERROR(VLOOKUP(G237,[2]Basic_Data!$E$2:$I$9,5,0),"")</f>
        <v>8</v>
      </c>
      <c r="I237" s="49">
        <f>IFERROR(VLOOKUP($G237,[2]Basic_Data!$E$2:$H$10,4,0),"")</f>
        <v>644</v>
      </c>
      <c r="J237" s="49">
        <v>0</v>
      </c>
      <c r="K237" s="63">
        <v>0</v>
      </c>
      <c r="L237" s="63">
        <v>0</v>
      </c>
      <c r="M237" s="49">
        <f t="shared" si="53"/>
        <v>644</v>
      </c>
      <c r="N237" s="49" t="s">
        <v>156</v>
      </c>
    </row>
    <row r="238" spans="1:14">
      <c r="A238" s="47">
        <v>45955</v>
      </c>
      <c r="B238" s="48">
        <v>45955</v>
      </c>
      <c r="C238" s="49">
        <v>0</v>
      </c>
      <c r="D238" s="49">
        <v>0</v>
      </c>
      <c r="E238" s="49">
        <v>0</v>
      </c>
      <c r="F238" s="49">
        <v>0</v>
      </c>
      <c r="G238" s="49"/>
      <c r="H238" s="49">
        <v>0</v>
      </c>
      <c r="I238" s="49">
        <v>0</v>
      </c>
      <c r="J238" s="49">
        <v>0</v>
      </c>
      <c r="K238" s="50">
        <v>0</v>
      </c>
      <c r="L238" s="50">
        <v>0</v>
      </c>
      <c r="M238" s="49">
        <f t="shared" si="53"/>
        <v>0</v>
      </c>
      <c r="N238" s="49" t="s">
        <v>154</v>
      </c>
    </row>
    <row r="239" spans="1:14">
      <c r="A239" s="47">
        <v>45956</v>
      </c>
      <c r="B239" s="48">
        <v>45956</v>
      </c>
      <c r="C239" s="49">
        <v>0</v>
      </c>
      <c r="D239" s="49">
        <v>0</v>
      </c>
      <c r="E239" s="49">
        <v>0</v>
      </c>
      <c r="F239" s="49">
        <v>0</v>
      </c>
      <c r="G239" s="49"/>
      <c r="H239" s="49">
        <v>0</v>
      </c>
      <c r="I239" s="49">
        <v>0</v>
      </c>
      <c r="J239" s="49">
        <v>0</v>
      </c>
      <c r="K239" s="50">
        <v>0</v>
      </c>
      <c r="L239" s="50">
        <v>0</v>
      </c>
      <c r="M239" s="49">
        <f t="shared" ref="M239:M240" si="54">IFERROR(I239-J239,"")</f>
        <v>0</v>
      </c>
      <c r="N239" s="49" t="s">
        <v>154</v>
      </c>
    </row>
    <row r="240" spans="1:14">
      <c r="A240" s="47">
        <v>45957</v>
      </c>
      <c r="B240" s="48">
        <v>45957</v>
      </c>
      <c r="C240" s="68">
        <v>0</v>
      </c>
      <c r="D240" s="68">
        <v>0</v>
      </c>
      <c r="E240" s="68">
        <v>0</v>
      </c>
      <c r="F240" s="68">
        <v>0</v>
      </c>
      <c r="G240" s="68"/>
      <c r="H240" s="68">
        <v>0</v>
      </c>
      <c r="I240" s="68">
        <v>0</v>
      </c>
      <c r="J240" s="68">
        <v>0</v>
      </c>
      <c r="K240" s="69">
        <v>0</v>
      </c>
      <c r="L240" s="69">
        <v>0</v>
      </c>
      <c r="M240" s="68">
        <f t="shared" si="54"/>
        <v>0</v>
      </c>
      <c r="N240" s="68" t="s">
        <v>155</v>
      </c>
    </row>
    <row r="241" spans="1:14">
      <c r="A241" s="47">
        <v>45958</v>
      </c>
      <c r="B241" s="48">
        <v>45958</v>
      </c>
      <c r="C241" s="68">
        <v>0</v>
      </c>
      <c r="D241" s="68">
        <v>0</v>
      </c>
      <c r="E241" s="68">
        <v>0</v>
      </c>
      <c r="F241" s="68">
        <v>0</v>
      </c>
      <c r="G241" s="68"/>
      <c r="H241" s="68">
        <v>0</v>
      </c>
      <c r="I241" s="68">
        <v>0</v>
      </c>
      <c r="J241" s="68">
        <v>0</v>
      </c>
      <c r="K241" s="69">
        <v>0</v>
      </c>
      <c r="L241" s="69">
        <v>0</v>
      </c>
      <c r="M241" s="68">
        <f t="shared" ref="M241:M242" si="55">IFERROR(I241-J241,"")</f>
        <v>0</v>
      </c>
      <c r="N241" s="68" t="s">
        <v>155</v>
      </c>
    </row>
    <row r="242" spans="1:14">
      <c r="A242" s="47">
        <v>45959</v>
      </c>
      <c r="B242" s="48">
        <v>45959</v>
      </c>
      <c r="C242" s="49">
        <v>0</v>
      </c>
      <c r="D242" s="49">
        <v>0</v>
      </c>
      <c r="E242" s="49">
        <v>0</v>
      </c>
      <c r="F242" s="49">
        <v>0</v>
      </c>
      <c r="G242" s="49"/>
      <c r="H242" s="49">
        <v>0</v>
      </c>
      <c r="I242" s="49">
        <v>0</v>
      </c>
      <c r="J242" s="49">
        <v>0</v>
      </c>
      <c r="K242" s="50">
        <v>0</v>
      </c>
      <c r="L242" s="50">
        <v>0</v>
      </c>
      <c r="M242" s="49">
        <f t="shared" si="55"/>
        <v>0</v>
      </c>
      <c r="N242" s="49" t="s">
        <v>154</v>
      </c>
    </row>
    <row r="243" spans="1:14">
      <c r="A243" s="47">
        <v>45960</v>
      </c>
      <c r="B243" s="71">
        <v>45960</v>
      </c>
      <c r="C243" s="68">
        <v>0</v>
      </c>
      <c r="D243" s="68">
        <v>0</v>
      </c>
      <c r="E243" s="68">
        <v>0</v>
      </c>
      <c r="F243" s="68">
        <v>0</v>
      </c>
      <c r="G243" s="68"/>
      <c r="H243" s="68">
        <v>0</v>
      </c>
      <c r="I243" s="68">
        <v>0</v>
      </c>
      <c r="J243" s="68">
        <v>0</v>
      </c>
      <c r="K243" s="69">
        <v>0</v>
      </c>
      <c r="L243" s="69">
        <v>0</v>
      </c>
      <c r="M243" s="68">
        <f t="shared" ref="M243:M244" si="56">IFERROR(I243-J243,"")</f>
        <v>0</v>
      </c>
      <c r="N243" s="68" t="s">
        <v>155</v>
      </c>
    </row>
    <row r="244" spans="1:14">
      <c r="A244" s="47">
        <v>45961</v>
      </c>
      <c r="B244" s="48">
        <v>45961</v>
      </c>
      <c r="C244" s="49">
        <v>0</v>
      </c>
      <c r="D244" s="49">
        <v>0</v>
      </c>
      <c r="E244" s="49">
        <v>0</v>
      </c>
      <c r="F244" s="49">
        <v>0</v>
      </c>
      <c r="G244" s="49"/>
      <c r="H244" s="49">
        <v>0</v>
      </c>
      <c r="I244" s="49">
        <v>0</v>
      </c>
      <c r="J244" s="49">
        <v>0</v>
      </c>
      <c r="K244" s="50">
        <v>0</v>
      </c>
      <c r="L244" s="50">
        <v>0</v>
      </c>
      <c r="M244" s="49">
        <f t="shared" si="56"/>
        <v>0</v>
      </c>
      <c r="N244" s="49" t="s">
        <v>154</v>
      </c>
    </row>
    <row r="245" spans="1:14">
      <c r="A245" s="47">
        <v>45962</v>
      </c>
      <c r="B245" s="48">
        <v>45962</v>
      </c>
      <c r="C245" s="49">
        <v>0</v>
      </c>
      <c r="D245" s="49">
        <v>0</v>
      </c>
      <c r="E245" s="49">
        <v>0</v>
      </c>
      <c r="F245" s="49">
        <v>0</v>
      </c>
      <c r="G245" s="49"/>
      <c r="H245" s="49">
        <v>0</v>
      </c>
      <c r="I245" s="49">
        <v>0</v>
      </c>
      <c r="J245" s="49">
        <v>0</v>
      </c>
      <c r="K245" s="50">
        <v>0</v>
      </c>
      <c r="L245" s="50">
        <v>0</v>
      </c>
      <c r="M245" s="49">
        <f t="shared" ref="M245" si="57">IFERROR(I245-J245,"")</f>
        <v>0</v>
      </c>
      <c r="N245" s="49" t="s">
        <v>154</v>
      </c>
    </row>
    <row r="246" spans="1:14">
      <c r="A246" s="47">
        <v>45963</v>
      </c>
      <c r="B246" s="48">
        <v>45963</v>
      </c>
      <c r="C246" s="49">
        <v>0</v>
      </c>
      <c r="D246" s="49">
        <v>0</v>
      </c>
      <c r="E246" s="49">
        <v>0</v>
      </c>
      <c r="F246" s="49">
        <v>0</v>
      </c>
      <c r="G246" s="49"/>
      <c r="H246" s="49">
        <v>0</v>
      </c>
      <c r="I246" s="49">
        <v>0</v>
      </c>
      <c r="J246" s="49">
        <v>0</v>
      </c>
      <c r="K246" s="50">
        <v>0</v>
      </c>
      <c r="L246" s="50">
        <v>0</v>
      </c>
      <c r="M246" s="49">
        <f t="shared" ref="M246" si="58">IFERROR(I246-J246,"")</f>
        <v>0</v>
      </c>
      <c r="N246" s="49" t="s">
        <v>154</v>
      </c>
    </row>
    <row r="247" spans="1:14">
      <c r="A247" s="47">
        <v>45964</v>
      </c>
      <c r="B247" s="48">
        <v>45964</v>
      </c>
      <c r="C247" s="49">
        <v>0</v>
      </c>
      <c r="D247" s="49">
        <v>0</v>
      </c>
      <c r="E247" s="49">
        <v>0</v>
      </c>
      <c r="F247" s="49">
        <v>0</v>
      </c>
      <c r="G247" s="49"/>
      <c r="H247" s="49">
        <v>0</v>
      </c>
      <c r="I247" s="49">
        <v>0</v>
      </c>
      <c r="J247" s="49">
        <v>0</v>
      </c>
      <c r="K247" s="50">
        <v>0</v>
      </c>
      <c r="L247" s="50">
        <v>0</v>
      </c>
      <c r="M247" s="49">
        <f t="shared" ref="M247" si="59">IFERROR(I247-J247,"")</f>
        <v>0</v>
      </c>
      <c r="N247" s="49" t="s">
        <v>154</v>
      </c>
    </row>
    <row r="248" spans="1:14">
      <c r="A248" s="47">
        <v>45965</v>
      </c>
      <c r="B248" s="48">
        <v>45965</v>
      </c>
      <c r="C248" s="49">
        <v>0</v>
      </c>
      <c r="D248" s="49">
        <v>0</v>
      </c>
      <c r="E248" s="49">
        <v>0</v>
      </c>
      <c r="F248" s="49">
        <v>0</v>
      </c>
      <c r="G248" s="49"/>
      <c r="H248" s="49">
        <v>0</v>
      </c>
      <c r="I248" s="49">
        <v>0</v>
      </c>
      <c r="J248" s="49">
        <v>0</v>
      </c>
      <c r="K248" s="50">
        <v>0</v>
      </c>
      <c r="L248" s="50">
        <v>0</v>
      </c>
      <c r="M248" s="49">
        <f t="shared" ref="M248" si="60">IFERROR(I248-J248,"")</f>
        <v>0</v>
      </c>
      <c r="N248" s="49" t="s">
        <v>154</v>
      </c>
    </row>
    <row r="249" spans="1:14">
      <c r="A249" s="47">
        <v>45966</v>
      </c>
      <c r="B249" s="48">
        <v>45966</v>
      </c>
      <c r="C249" s="49">
        <v>0</v>
      </c>
      <c r="D249" s="49">
        <v>0</v>
      </c>
      <c r="E249" s="49">
        <v>0</v>
      </c>
      <c r="F249" s="49">
        <v>0</v>
      </c>
      <c r="G249" s="49"/>
      <c r="H249" s="49">
        <v>0</v>
      </c>
      <c r="I249" s="49">
        <v>0</v>
      </c>
      <c r="J249" s="49">
        <v>0</v>
      </c>
      <c r="K249" s="50">
        <v>0</v>
      </c>
      <c r="L249" s="50">
        <v>0</v>
      </c>
      <c r="M249" s="49">
        <f t="shared" ref="M249" si="61">IFERROR(I249-J249,"")</f>
        <v>0</v>
      </c>
      <c r="N249" s="49" t="s">
        <v>154</v>
      </c>
    </row>
    <row r="250" spans="1:14">
      <c r="A250" s="47">
        <v>45967</v>
      </c>
      <c r="B250" s="48">
        <v>45967</v>
      </c>
      <c r="C250" s="49">
        <v>0</v>
      </c>
      <c r="D250" s="49">
        <v>0</v>
      </c>
      <c r="E250" s="49">
        <v>0</v>
      </c>
      <c r="F250" s="49">
        <v>1</v>
      </c>
      <c r="G250" s="49" t="s">
        <v>35</v>
      </c>
      <c r="H250" s="49">
        <f>IFERROR(VLOOKUP(G250,[2]Basic_Data!$E$2:$I$9,5,0),"")</f>
        <v>2</v>
      </c>
      <c r="I250" s="49">
        <v>588</v>
      </c>
      <c r="J250" s="49">
        <v>588</v>
      </c>
      <c r="K250" s="50">
        <v>0</v>
      </c>
      <c r="L250" s="50">
        <v>0</v>
      </c>
      <c r="M250" s="49">
        <f t="shared" si="53"/>
        <v>0</v>
      </c>
      <c r="N250" s="49" t="s">
        <v>156</v>
      </c>
    </row>
    <row r="251" spans="1:14">
      <c r="A251" s="47"/>
      <c r="B251" s="48"/>
      <c r="C251" s="49"/>
      <c r="D251" s="49"/>
      <c r="E251" s="49"/>
      <c r="F251" s="49">
        <v>1</v>
      </c>
      <c r="G251" s="49" t="s">
        <v>36</v>
      </c>
      <c r="H251" s="49">
        <v>3</v>
      </c>
      <c r="I251" s="49">
        <v>588</v>
      </c>
      <c r="J251" s="49">
        <v>588</v>
      </c>
      <c r="K251" s="50">
        <v>0</v>
      </c>
      <c r="L251" s="50">
        <v>0</v>
      </c>
      <c r="M251" s="49">
        <f t="shared" si="53"/>
        <v>0</v>
      </c>
      <c r="N251" s="49" t="s">
        <v>156</v>
      </c>
    </row>
    <row r="252" spans="1:14">
      <c r="A252" s="47">
        <v>45968</v>
      </c>
      <c r="B252" s="48">
        <v>45968</v>
      </c>
      <c r="C252" s="49"/>
      <c r="D252" s="49"/>
      <c r="E252" s="49"/>
      <c r="F252" s="49">
        <v>1</v>
      </c>
      <c r="G252" s="49" t="s">
        <v>37</v>
      </c>
      <c r="H252" s="49">
        <f>IFERROR(VLOOKUP(G252,[2]Basic_Data!$E$2:$I$9,5,0),"")</f>
        <v>4</v>
      </c>
      <c r="I252" s="49">
        <v>588</v>
      </c>
      <c r="J252" s="49">
        <v>588</v>
      </c>
      <c r="K252" s="50">
        <v>0</v>
      </c>
      <c r="L252" s="50">
        <v>0</v>
      </c>
      <c r="M252" s="49">
        <f t="shared" si="53"/>
        <v>0</v>
      </c>
      <c r="N252" s="49" t="s">
        <v>156</v>
      </c>
    </row>
    <row r="253" spans="1:14">
      <c r="A253" s="47"/>
      <c r="B253" s="48"/>
      <c r="C253" s="49"/>
      <c r="D253" s="49"/>
      <c r="E253" s="49"/>
      <c r="F253" s="49">
        <v>1</v>
      </c>
      <c r="G253" s="49" t="s">
        <v>38</v>
      </c>
      <c r="H253" s="49">
        <v>5</v>
      </c>
      <c r="I253" s="49">
        <v>588</v>
      </c>
      <c r="J253" s="49">
        <v>588</v>
      </c>
      <c r="K253" s="50">
        <v>0</v>
      </c>
      <c r="L253" s="50">
        <v>0</v>
      </c>
      <c r="M253" s="49">
        <f t="shared" si="53"/>
        <v>0</v>
      </c>
      <c r="N253" s="49" t="s">
        <v>156</v>
      </c>
    </row>
    <row r="254" spans="1:14">
      <c r="A254" s="47">
        <v>45969</v>
      </c>
      <c r="B254" s="48">
        <v>45969</v>
      </c>
      <c r="C254" s="49"/>
      <c r="D254" s="49"/>
      <c r="E254" s="49"/>
      <c r="F254" s="49">
        <v>1</v>
      </c>
      <c r="G254" s="49" t="s">
        <v>39</v>
      </c>
      <c r="H254" s="49">
        <f>IFERROR(VLOOKUP(G254,[2]Basic_Data!$E$2:$I$9,5,0),"")</f>
        <v>6</v>
      </c>
      <c r="I254" s="49">
        <v>588</v>
      </c>
      <c r="J254" s="49">
        <v>588</v>
      </c>
      <c r="K254" s="50">
        <v>0</v>
      </c>
      <c r="L254" s="50">
        <v>0</v>
      </c>
      <c r="M254" s="49">
        <f t="shared" si="53"/>
        <v>0</v>
      </c>
      <c r="N254" s="49" t="s">
        <v>156</v>
      </c>
    </row>
    <row r="255" spans="1:14">
      <c r="A255" s="47"/>
      <c r="B255" s="48"/>
      <c r="C255" s="49"/>
      <c r="D255" s="49"/>
      <c r="E255" s="49"/>
      <c r="F255" s="49">
        <v>1</v>
      </c>
      <c r="G255" s="49" t="s">
        <v>40</v>
      </c>
      <c r="H255" s="49">
        <f>IFERROR(VLOOKUP(G255,[2]Basic_Data!$E$2:$I$9,5,0),"")</f>
        <v>7</v>
      </c>
      <c r="I255" s="49">
        <v>588</v>
      </c>
      <c r="J255" s="49">
        <v>588</v>
      </c>
      <c r="K255" s="50">
        <v>0</v>
      </c>
      <c r="L255" s="50">
        <v>0</v>
      </c>
      <c r="M255" s="49">
        <f t="shared" ref="M255" si="62">IFERROR(I255-J255,"")</f>
        <v>0</v>
      </c>
      <c r="N255" s="49" t="s">
        <v>156</v>
      </c>
    </row>
    <row r="256" spans="1:14">
      <c r="A256" s="47">
        <v>45970</v>
      </c>
      <c r="B256" s="48">
        <v>45970</v>
      </c>
      <c r="C256" s="49"/>
      <c r="D256" s="49"/>
      <c r="E256" s="49"/>
      <c r="F256" s="49">
        <v>1</v>
      </c>
      <c r="G256" s="49" t="s">
        <v>41</v>
      </c>
      <c r="H256" s="49">
        <f>IFERROR(VLOOKUP(G256,[2]Basic_Data!$E$2:$I$9,5,0),"")</f>
        <v>8</v>
      </c>
      <c r="I256" s="49">
        <v>588</v>
      </c>
      <c r="J256" s="49">
        <v>588</v>
      </c>
      <c r="K256" s="50">
        <v>0</v>
      </c>
      <c r="L256" s="50">
        <v>0</v>
      </c>
      <c r="M256" s="49">
        <f t="shared" si="53"/>
        <v>0</v>
      </c>
      <c r="N256" s="49" t="s">
        <v>156</v>
      </c>
    </row>
    <row r="257" spans="1:14">
      <c r="A257" s="47"/>
      <c r="B257" s="48"/>
      <c r="C257" s="49"/>
      <c r="D257" s="49"/>
      <c r="E257" s="49"/>
      <c r="F257" s="49">
        <v>1</v>
      </c>
      <c r="G257" s="49" t="s">
        <v>41</v>
      </c>
      <c r="H257" s="49">
        <v>8</v>
      </c>
      <c r="I257" s="49">
        <v>616</v>
      </c>
      <c r="J257" s="49">
        <v>616</v>
      </c>
      <c r="K257" s="50">
        <v>0</v>
      </c>
      <c r="L257" s="50">
        <v>0</v>
      </c>
      <c r="M257" s="49">
        <f t="shared" si="53"/>
        <v>0</v>
      </c>
      <c r="N257" s="49" t="s">
        <v>156</v>
      </c>
    </row>
    <row r="258" spans="1:14">
      <c r="A258" s="47">
        <v>45971</v>
      </c>
      <c r="B258" s="48">
        <v>45971</v>
      </c>
      <c r="C258" s="49"/>
      <c r="D258" s="49"/>
      <c r="E258" s="49"/>
      <c r="F258" s="49">
        <v>1</v>
      </c>
      <c r="G258" s="49" t="s">
        <v>35</v>
      </c>
      <c r="H258" s="49">
        <f>IFERROR(VLOOKUP(G258,[2]Basic_Data!$E$2:$I$9,5,0),"")</f>
        <v>2</v>
      </c>
      <c r="I258" s="49">
        <v>588</v>
      </c>
      <c r="J258" s="49">
        <v>588</v>
      </c>
      <c r="K258" s="50">
        <v>0</v>
      </c>
      <c r="L258" s="50">
        <v>0</v>
      </c>
      <c r="M258" s="49">
        <f t="shared" si="53"/>
        <v>0</v>
      </c>
      <c r="N258" s="49" t="s">
        <v>156</v>
      </c>
    </row>
    <row r="259" spans="1:14">
      <c r="A259" s="47"/>
      <c r="B259" s="48"/>
      <c r="C259" s="49"/>
      <c r="D259" s="49"/>
      <c r="E259" s="49"/>
      <c r="F259" s="49">
        <v>1</v>
      </c>
      <c r="G259" s="49" t="s">
        <v>36</v>
      </c>
      <c r="H259" s="49"/>
      <c r="I259" s="49">
        <v>588</v>
      </c>
      <c r="J259" s="49">
        <v>588</v>
      </c>
      <c r="K259" s="50">
        <v>0</v>
      </c>
      <c r="L259" s="50">
        <v>0</v>
      </c>
      <c r="M259" s="49">
        <f t="shared" si="53"/>
        <v>0</v>
      </c>
      <c r="N259" s="49" t="s">
        <v>156</v>
      </c>
    </row>
    <row r="260" spans="1:14">
      <c r="A260" s="47">
        <v>45972</v>
      </c>
      <c r="B260" s="48">
        <v>45972</v>
      </c>
      <c r="C260" s="49">
        <v>0</v>
      </c>
      <c r="D260" s="49">
        <v>0</v>
      </c>
      <c r="E260" s="49">
        <v>0</v>
      </c>
      <c r="F260" s="49">
        <v>1</v>
      </c>
      <c r="G260" s="49" t="s">
        <v>37</v>
      </c>
      <c r="H260" s="49">
        <f>IFERROR(VLOOKUP(G260,[2]Basic_Data!$E$2:$I$9,5,0),"")</f>
        <v>4</v>
      </c>
      <c r="I260" s="49">
        <v>588</v>
      </c>
      <c r="J260" s="49">
        <v>588</v>
      </c>
      <c r="K260" s="50">
        <v>0</v>
      </c>
      <c r="L260" s="50">
        <v>0</v>
      </c>
      <c r="M260" s="49">
        <f t="shared" si="53"/>
        <v>0</v>
      </c>
      <c r="N260" s="49" t="s">
        <v>156</v>
      </c>
    </row>
    <row r="261" spans="1:14">
      <c r="A261" s="47"/>
      <c r="B261" s="48"/>
      <c r="C261" s="49"/>
      <c r="D261" s="49"/>
      <c r="E261" s="49"/>
      <c r="F261" s="49"/>
      <c r="G261" s="49"/>
      <c r="H261" s="49"/>
      <c r="I261" s="49"/>
      <c r="J261" s="49"/>
      <c r="K261" s="50"/>
      <c r="L261" s="50"/>
      <c r="M261" s="49"/>
      <c r="N261" s="49"/>
    </row>
    <row r="262" spans="1:14">
      <c r="A262" s="47"/>
      <c r="B262" s="48"/>
      <c r="C262" s="49"/>
      <c r="D262" s="49"/>
      <c r="E262" s="49"/>
      <c r="F262" s="49"/>
      <c r="G262" s="49"/>
      <c r="H262" s="49"/>
      <c r="I262" s="49"/>
      <c r="J262" s="49"/>
      <c r="K262" s="50"/>
      <c r="L262" s="50"/>
      <c r="M262" s="49"/>
      <c r="N262" s="49"/>
    </row>
    <row r="263" spans="1:14">
      <c r="A263" s="47">
        <v>45973</v>
      </c>
      <c r="B263" s="48">
        <v>45973</v>
      </c>
      <c r="C263" s="49"/>
      <c r="D263" s="49"/>
      <c r="E263" s="49"/>
      <c r="F263" s="49">
        <v>2</v>
      </c>
      <c r="G263" s="49" t="s">
        <v>35</v>
      </c>
      <c r="H263" s="49">
        <f>IFERROR(VLOOKUP(G263,[2]Basic_Data!$E$2:$I$9,5,0),"")</f>
        <v>2</v>
      </c>
      <c r="I263" s="49">
        <v>588</v>
      </c>
      <c r="J263" s="49">
        <v>588</v>
      </c>
      <c r="K263" s="50" t="str">
        <f>IFERROR(VLOOKUP($B263-1,[2]Inverter_PR!$B:$I,[2]Module_Cleaning!H256,0),"")</f>
        <v/>
      </c>
      <c r="L263" s="50" t="str">
        <f>IFERROR(VLOOKUP($B263+1,[2]Inverter_PR!$B:$I,[2]Module_Cleaning!H256,0),"")</f>
        <v/>
      </c>
      <c r="M263" s="49">
        <f t="shared" si="53"/>
        <v>0</v>
      </c>
      <c r="N263" s="49" t="s">
        <v>156</v>
      </c>
    </row>
    <row r="264" spans="1:14">
      <c r="A264" s="47"/>
      <c r="B264" s="48"/>
      <c r="C264" s="49"/>
      <c r="D264" s="49"/>
      <c r="E264" s="49"/>
      <c r="F264" s="49">
        <v>2</v>
      </c>
      <c r="G264" s="49" t="s">
        <v>37</v>
      </c>
      <c r="H264" s="49">
        <v>4</v>
      </c>
      <c r="I264" s="49">
        <v>588</v>
      </c>
      <c r="J264" s="49">
        <v>588</v>
      </c>
      <c r="K264" s="50"/>
      <c r="L264" s="50"/>
      <c r="M264" s="49">
        <v>0</v>
      </c>
      <c r="N264" s="49" t="s">
        <v>156</v>
      </c>
    </row>
    <row r="265" spans="1:14">
      <c r="A265" s="47">
        <v>45974</v>
      </c>
      <c r="B265" s="48">
        <v>45974</v>
      </c>
      <c r="C265" s="49"/>
      <c r="D265" s="49"/>
      <c r="E265" s="49"/>
      <c r="F265" s="49">
        <v>2</v>
      </c>
      <c r="G265" s="49" t="s">
        <v>40</v>
      </c>
      <c r="H265" s="49">
        <f>IFERROR(VLOOKUP(G265,[2]Basic_Data!$E$2:$I$9,5,0),"")</f>
        <v>7</v>
      </c>
      <c r="I265" s="49">
        <v>588</v>
      </c>
      <c r="J265" s="49">
        <v>588</v>
      </c>
      <c r="K265" s="50">
        <f>IFERROR(VLOOKUP($B265-1,[2]Inverter_PR!$B:$I,[2]Module_Cleaning!H257,0),"")</f>
        <v>1.45315449164959</v>
      </c>
      <c r="L265" s="50">
        <f>IFERROR(VLOOKUP($B265+1,[2]Inverter_PR!$B:$I,[2]Module_Cleaning!H257,0),"")</f>
        <v>1.56822344322344</v>
      </c>
      <c r="M265" s="49">
        <f t="shared" si="53"/>
        <v>0</v>
      </c>
      <c r="N265" s="49" t="s">
        <v>156</v>
      </c>
    </row>
    <row r="266" spans="1:14">
      <c r="A266" s="47"/>
      <c r="B266" s="48"/>
      <c r="C266" s="49"/>
      <c r="D266" s="49"/>
      <c r="E266" s="49"/>
      <c r="F266" s="49">
        <v>2</v>
      </c>
      <c r="G266" s="49" t="s">
        <v>38</v>
      </c>
      <c r="H266" s="49"/>
      <c r="I266" s="49">
        <v>588</v>
      </c>
      <c r="J266" s="49">
        <v>588</v>
      </c>
      <c r="K266" s="50"/>
      <c r="L266" s="50"/>
      <c r="M266" s="49">
        <f t="shared" si="53"/>
        <v>0</v>
      </c>
      <c r="N266" s="49" t="s">
        <v>156</v>
      </c>
    </row>
    <row r="267" spans="1:14">
      <c r="A267" s="47">
        <v>45975</v>
      </c>
      <c r="B267" s="48">
        <v>45975</v>
      </c>
      <c r="C267" s="49">
        <v>0</v>
      </c>
      <c r="D267" s="49">
        <v>0</v>
      </c>
      <c r="E267" s="49">
        <v>0</v>
      </c>
      <c r="F267" s="49">
        <v>0</v>
      </c>
      <c r="G267" s="49"/>
      <c r="H267" s="49">
        <v>0</v>
      </c>
      <c r="I267" s="49">
        <v>0</v>
      </c>
      <c r="J267" s="49">
        <v>0</v>
      </c>
      <c r="K267" s="50">
        <f>IFERROR(VLOOKUP($B267-1,[2]Inverter_PR!$B:$I,[2]Module_Cleaning!H258,0),"")</f>
        <v>1.53627802710372</v>
      </c>
      <c r="L267" s="50">
        <f>IFERROR(VLOOKUP($B267+1,[2]Inverter_PR!$B:$I,[2]Module_Cleaning!H258,0),"")</f>
        <v>1.60396527307432</v>
      </c>
      <c r="M267" s="49">
        <f t="shared" si="53"/>
        <v>0</v>
      </c>
      <c r="N267" s="49" t="s">
        <v>154</v>
      </c>
    </row>
    <row r="268" spans="1:14">
      <c r="A268" s="47">
        <v>45976</v>
      </c>
      <c r="B268" s="48">
        <v>45976</v>
      </c>
      <c r="C268" s="49"/>
      <c r="D268" s="49"/>
      <c r="E268" s="49"/>
      <c r="F268" s="49">
        <v>2</v>
      </c>
      <c r="G268" s="49" t="s">
        <v>39</v>
      </c>
      <c r="H268" s="49">
        <f>IFERROR(VLOOKUP(G268,[2]Basic_Data!$E$2:$I$9,5,0),"")</f>
        <v>6</v>
      </c>
      <c r="I268" s="49">
        <v>588</v>
      </c>
      <c r="J268" s="49">
        <v>588</v>
      </c>
      <c r="K268" s="50">
        <f>IFERROR(VLOOKUP($B268-1,[2]Inverter_PR!$B:$I,[2]Module_Cleaning!H259,0),"")</f>
        <v>1.56663863659276</v>
      </c>
      <c r="L268" s="50">
        <f>IFERROR(VLOOKUP($B268+1,[2]Inverter_PR!$B:$I,[2]Module_Cleaning!H259,0),"")</f>
        <v>1.66916430702739</v>
      </c>
      <c r="M268" s="49">
        <f t="shared" si="53"/>
        <v>0</v>
      </c>
      <c r="N268" s="49" t="s">
        <v>156</v>
      </c>
    </row>
    <row r="269" spans="1:14">
      <c r="A269" s="47"/>
      <c r="B269" s="48"/>
      <c r="C269" s="49"/>
      <c r="D269" s="49"/>
      <c r="E269" s="49"/>
      <c r="F269" s="49">
        <v>2</v>
      </c>
      <c r="G269" s="49" t="s">
        <v>40</v>
      </c>
      <c r="H269" s="49"/>
      <c r="I269" s="49">
        <v>588</v>
      </c>
      <c r="J269" s="49">
        <v>588</v>
      </c>
      <c r="K269" s="50"/>
      <c r="L269" s="50"/>
      <c r="M269" s="49">
        <f t="shared" si="53"/>
        <v>0</v>
      </c>
      <c r="N269" s="49" t="s">
        <v>156</v>
      </c>
    </row>
    <row r="270" spans="1:14">
      <c r="A270" s="47"/>
      <c r="B270" s="48"/>
      <c r="C270" s="49"/>
      <c r="D270" s="49"/>
      <c r="E270" s="49"/>
      <c r="F270" s="49">
        <v>2</v>
      </c>
      <c r="G270" s="49" t="s">
        <v>41</v>
      </c>
      <c r="H270" s="49"/>
      <c r="I270" s="49">
        <v>588</v>
      </c>
      <c r="J270" s="49">
        <v>588</v>
      </c>
      <c r="K270" s="50"/>
      <c r="L270" s="50"/>
      <c r="M270" s="49">
        <f t="shared" si="53"/>
        <v>0</v>
      </c>
      <c r="N270" s="49" t="s">
        <v>156</v>
      </c>
    </row>
    <row r="271" spans="1:14">
      <c r="A271" s="47">
        <v>45977</v>
      </c>
      <c r="B271" s="48">
        <v>45977</v>
      </c>
      <c r="C271" s="49"/>
      <c r="D271" s="49"/>
      <c r="E271" s="49"/>
      <c r="F271" s="49">
        <v>2</v>
      </c>
      <c r="G271" s="49" t="s">
        <v>35</v>
      </c>
      <c r="H271" s="49">
        <f>IFERROR(VLOOKUP(G271,[2]Basic_Data!$E$2:$I$9,5,0),"")</f>
        <v>2</v>
      </c>
      <c r="I271" s="49">
        <v>588</v>
      </c>
      <c r="J271" s="49">
        <v>588</v>
      </c>
      <c r="K271" s="50">
        <f>IFERROR(VLOOKUP($B271-1,[2]Inverter_PR!$B:$I,[2]Module_Cleaning!H260,0),"")</f>
        <v>1.59019749495277</v>
      </c>
      <c r="L271" s="50">
        <f>IFERROR(VLOOKUP($B271+1,[2]Inverter_PR!$B:$I,[2]Module_Cleaning!H260,0),"")</f>
        <v>1.72522569166804</v>
      </c>
      <c r="M271" s="49">
        <f t="shared" si="53"/>
        <v>0</v>
      </c>
      <c r="N271" s="49" t="s">
        <v>156</v>
      </c>
    </row>
    <row r="272" spans="1:14">
      <c r="A272" s="47">
        <v>45978</v>
      </c>
      <c r="B272" s="48">
        <v>45978</v>
      </c>
      <c r="C272" s="49">
        <v>0</v>
      </c>
      <c r="D272" s="49">
        <v>0</v>
      </c>
      <c r="E272" s="49">
        <v>0</v>
      </c>
      <c r="F272" s="49">
        <v>0</v>
      </c>
      <c r="G272" s="49"/>
      <c r="H272" s="49" t="str">
        <f>IFERROR(VLOOKUP(G272,[2]Basic_Data!$E$2:$I$9,5,0),"")</f>
        <v/>
      </c>
      <c r="I272" s="49">
        <v>0</v>
      </c>
      <c r="J272" s="49">
        <v>0</v>
      </c>
      <c r="K272" s="50" t="str">
        <f>IFERROR(VLOOKUP($B272-1,[2]Inverter_PR!$B:$I,[2]Module_Cleaning!H261,0),"")</f>
        <v/>
      </c>
      <c r="L272" s="50" t="str">
        <f>IFERROR(VLOOKUP($B272+1,[2]Inverter_PR!$B:$I,[2]Module_Cleaning!H261,0),"")</f>
        <v/>
      </c>
      <c r="M272" s="49">
        <f t="shared" si="53"/>
        <v>0</v>
      </c>
      <c r="N272" s="49" t="s">
        <v>154</v>
      </c>
    </row>
    <row r="273" spans="1:14">
      <c r="A273" s="47">
        <v>45979</v>
      </c>
      <c r="B273" s="48">
        <v>45979</v>
      </c>
      <c r="C273" s="49">
        <v>0</v>
      </c>
      <c r="D273" s="49">
        <v>0</v>
      </c>
      <c r="E273" s="49">
        <v>0</v>
      </c>
      <c r="F273" s="49">
        <v>0</v>
      </c>
      <c r="G273" s="49"/>
      <c r="H273" s="49" t="str">
        <f>IFERROR(VLOOKUP(G273,[2]Basic_Data!$E$2:$I$9,5,0),"")</f>
        <v/>
      </c>
      <c r="I273" s="49">
        <v>0</v>
      </c>
      <c r="J273" s="49">
        <v>0</v>
      </c>
      <c r="K273" s="50" t="str">
        <f>IFERROR(VLOOKUP($B273-1,[2]Inverter_PR!$B:$I,[2]Module_Cleaning!H262,0),"")</f>
        <v/>
      </c>
      <c r="L273" s="50" t="str">
        <f>IFERROR(VLOOKUP($B273+1,[2]Inverter_PR!$B:$I,[2]Module_Cleaning!H262,0),"")</f>
        <v/>
      </c>
      <c r="M273" s="49">
        <f t="shared" ref="M273" si="63">IFERROR(I273-J273,"")</f>
        <v>0</v>
      </c>
      <c r="N273" s="49" t="s">
        <v>154</v>
      </c>
    </row>
    <row r="274" spans="1:14">
      <c r="A274" s="47">
        <v>45980</v>
      </c>
      <c r="B274" s="48">
        <v>45980</v>
      </c>
      <c r="C274" s="49"/>
      <c r="D274" s="49"/>
      <c r="E274" s="49"/>
      <c r="F274" s="49">
        <v>2</v>
      </c>
      <c r="G274" s="49" t="s">
        <v>37</v>
      </c>
      <c r="H274" s="49">
        <f>IFERROR(VLOOKUP(G274,[2]Basic_Data!$E$2:$I$9,5,0),"")</f>
        <v>4</v>
      </c>
      <c r="I274" s="49">
        <v>588</v>
      </c>
      <c r="J274" s="49">
        <v>588</v>
      </c>
      <c r="K274" s="50">
        <f>IFERROR(VLOOKUP($B274-1,[2]Inverter_PR!$B:$I,[2]Module_Cleaning!H263,0),"")</f>
        <v>1.68229686803956</v>
      </c>
      <c r="L274" s="50">
        <f>IFERROR(VLOOKUP($B274+1,[2]Inverter_PR!$B:$I,[2]Module_Cleaning!H263,0),"")</f>
        <v>1.54649202172253</v>
      </c>
      <c r="M274" s="49">
        <f t="shared" si="53"/>
        <v>0</v>
      </c>
      <c r="N274" s="49" t="s">
        <v>156</v>
      </c>
    </row>
    <row r="275" spans="1:14">
      <c r="A275" s="47"/>
      <c r="B275" s="48"/>
      <c r="C275" s="49"/>
      <c r="D275" s="49"/>
      <c r="E275" s="49"/>
      <c r="F275" s="49">
        <v>2</v>
      </c>
      <c r="G275" s="49" t="s">
        <v>40</v>
      </c>
      <c r="H275" s="49"/>
      <c r="I275" s="49">
        <v>588</v>
      </c>
      <c r="J275" s="49">
        <v>588</v>
      </c>
      <c r="K275" s="50"/>
      <c r="L275" s="50"/>
      <c r="M275" s="49">
        <f t="shared" si="53"/>
        <v>0</v>
      </c>
      <c r="N275" s="49" t="s">
        <v>156</v>
      </c>
    </row>
    <row r="276" spans="1:14">
      <c r="A276" s="47">
        <v>45981</v>
      </c>
      <c r="B276" s="48">
        <v>45981</v>
      </c>
      <c r="C276" s="49"/>
      <c r="D276" s="49"/>
      <c r="E276" s="49"/>
      <c r="F276" s="49">
        <v>2</v>
      </c>
      <c r="G276" s="49" t="s">
        <v>36</v>
      </c>
      <c r="H276" s="49">
        <f>IFERROR(VLOOKUP(G276,[2]Basic_Data!$E$2:$I$9,5,0),"")</f>
        <v>3</v>
      </c>
      <c r="I276" s="49">
        <v>588</v>
      </c>
      <c r="J276" s="49">
        <v>588</v>
      </c>
      <c r="K276" s="50" t="str">
        <f>IFERROR(VLOOKUP($B276-1,[2]Inverter_PR!$B:$I,[2]Module_Cleaning!H264,0),"")</f>
        <v/>
      </c>
      <c r="L276" s="50" t="str">
        <f>IFERROR(VLOOKUP($B276+1,[2]Inverter_PR!$B:$I,[2]Module_Cleaning!H264,0),"")</f>
        <v/>
      </c>
      <c r="M276" s="49">
        <f t="shared" si="53"/>
        <v>0</v>
      </c>
      <c r="N276" s="49" t="s">
        <v>156</v>
      </c>
    </row>
    <row r="277" spans="1:14">
      <c r="A277" s="47"/>
      <c r="B277" s="48"/>
      <c r="C277" s="49"/>
      <c r="D277" s="49"/>
      <c r="E277" s="49"/>
      <c r="F277" s="49">
        <v>2</v>
      </c>
      <c r="G277" s="49" t="s">
        <v>38</v>
      </c>
      <c r="H277" s="49"/>
      <c r="I277" s="49">
        <v>588</v>
      </c>
      <c r="J277" s="49">
        <v>588</v>
      </c>
      <c r="K277" s="50"/>
      <c r="L277" s="50"/>
      <c r="M277" s="49">
        <f t="shared" si="53"/>
        <v>0</v>
      </c>
      <c r="N277" s="49" t="s">
        <v>156</v>
      </c>
    </row>
    <row r="278" spans="1:14">
      <c r="A278" s="47">
        <v>45982</v>
      </c>
      <c r="B278" s="48">
        <v>45982</v>
      </c>
      <c r="C278" s="49"/>
      <c r="D278" s="49"/>
      <c r="E278" s="49"/>
      <c r="F278" s="49">
        <v>2</v>
      </c>
      <c r="G278" s="49" t="s">
        <v>41</v>
      </c>
      <c r="H278" s="49">
        <f>IFERROR(VLOOKUP(G278,[2]Basic_Data!$E$2:$I$9,5,0),"")</f>
        <v>8</v>
      </c>
      <c r="I278" s="49">
        <v>588</v>
      </c>
      <c r="J278" s="49">
        <v>588</v>
      </c>
      <c r="K278" s="50" t="str">
        <f>IFERROR(VLOOKUP($B278-1,[2]Inverter_PR!$B:$I,[2]Module_Cleaning!H265,0),"")</f>
        <v/>
      </c>
      <c r="L278" s="50" t="str">
        <f>IFERROR(VLOOKUP($B278+1,[2]Inverter_PR!$B:$I,[2]Module_Cleaning!H265,0),"")</f>
        <v/>
      </c>
      <c r="M278" s="49">
        <f t="shared" si="53"/>
        <v>0</v>
      </c>
      <c r="N278" s="49" t="s">
        <v>156</v>
      </c>
    </row>
    <row r="279" spans="1:14">
      <c r="A279" s="47"/>
      <c r="B279" s="48"/>
      <c r="C279" s="49"/>
      <c r="D279" s="49"/>
      <c r="E279" s="49"/>
      <c r="F279" s="49">
        <v>2</v>
      </c>
      <c r="G279" s="49" t="s">
        <v>41</v>
      </c>
      <c r="H279" s="49"/>
      <c r="I279" s="49">
        <v>588</v>
      </c>
      <c r="J279" s="49">
        <v>588</v>
      </c>
      <c r="K279" s="50"/>
      <c r="L279" s="50"/>
      <c r="M279" s="49">
        <f t="shared" si="53"/>
        <v>0</v>
      </c>
      <c r="N279" s="49" t="s">
        <v>156</v>
      </c>
    </row>
    <row r="280" spans="1:14">
      <c r="A280" s="47"/>
      <c r="B280" s="48"/>
      <c r="C280" s="49"/>
      <c r="D280" s="49"/>
      <c r="E280" s="49"/>
      <c r="F280" s="49">
        <v>2</v>
      </c>
      <c r="G280" s="49" t="s">
        <v>39</v>
      </c>
      <c r="H280" s="49"/>
      <c r="I280" s="49">
        <v>588</v>
      </c>
      <c r="J280" s="49">
        <v>588</v>
      </c>
      <c r="K280" s="50"/>
      <c r="L280" s="50"/>
      <c r="M280" s="49">
        <f t="shared" si="53"/>
        <v>0</v>
      </c>
      <c r="N280" s="49" t="s">
        <v>156</v>
      </c>
    </row>
    <row r="281" spans="1:14">
      <c r="A281" s="47">
        <v>45983</v>
      </c>
      <c r="B281" s="48">
        <v>45983</v>
      </c>
      <c r="C281" s="49">
        <v>0</v>
      </c>
      <c r="D281" s="49">
        <v>0</v>
      </c>
      <c r="E281" s="49">
        <v>0</v>
      </c>
      <c r="F281" s="49">
        <v>0</v>
      </c>
      <c r="G281" s="49"/>
      <c r="H281" s="49" t="str">
        <f>IFERROR(VLOOKUP(G281,[2]Basic_Data!$E$2:$I$9,5,0),"")</f>
        <v/>
      </c>
      <c r="I281" s="49">
        <v>0</v>
      </c>
      <c r="J281" s="49">
        <v>0</v>
      </c>
      <c r="K281" s="50">
        <v>0</v>
      </c>
      <c r="L281" s="50">
        <v>0</v>
      </c>
      <c r="M281" s="49">
        <f t="shared" si="53"/>
        <v>0</v>
      </c>
      <c r="N281" s="49" t="s">
        <v>154</v>
      </c>
    </row>
    <row r="282" spans="1:14">
      <c r="A282" s="47">
        <v>45984</v>
      </c>
      <c r="B282" s="48">
        <v>45984</v>
      </c>
      <c r="C282" s="49">
        <v>0</v>
      </c>
      <c r="D282" s="49">
        <v>0</v>
      </c>
      <c r="E282" s="49">
        <v>0</v>
      </c>
      <c r="F282" s="49">
        <v>0</v>
      </c>
      <c r="G282" s="49"/>
      <c r="H282" s="49" t="str">
        <f>IFERROR(VLOOKUP(G282,[2]Basic_Data!$E$2:$I$9,5,0),"")</f>
        <v/>
      </c>
      <c r="I282" s="49">
        <v>0</v>
      </c>
      <c r="J282" s="49">
        <v>0</v>
      </c>
      <c r="K282" s="50">
        <v>0</v>
      </c>
      <c r="L282" s="50">
        <v>0</v>
      </c>
      <c r="M282" s="49">
        <f t="shared" ref="M282" si="64">IFERROR(I282-J282,"")</f>
        <v>0</v>
      </c>
      <c r="N282" s="49" t="s">
        <v>154</v>
      </c>
    </row>
    <row r="283" spans="1:14">
      <c r="A283" s="47">
        <v>45985</v>
      </c>
      <c r="B283" s="48">
        <v>45985</v>
      </c>
      <c r="C283" s="49"/>
      <c r="D283" s="49"/>
      <c r="E283" s="49"/>
      <c r="F283" s="49">
        <v>2</v>
      </c>
      <c r="G283" s="49" t="s">
        <v>41</v>
      </c>
      <c r="H283" s="49">
        <f>IFERROR(VLOOKUP(G283,[2]Basic_Data!$E$2:$I$9,5,0),"")</f>
        <v>8</v>
      </c>
      <c r="I283" s="49">
        <v>588</v>
      </c>
      <c r="J283" s="49">
        <v>588</v>
      </c>
      <c r="K283" s="50">
        <v>0</v>
      </c>
      <c r="L283" s="50">
        <v>0</v>
      </c>
      <c r="M283" s="49">
        <f t="shared" si="53"/>
        <v>0</v>
      </c>
      <c r="N283" s="49" t="s">
        <v>156</v>
      </c>
    </row>
    <row r="284" spans="1:14">
      <c r="A284" s="47">
        <v>45986</v>
      </c>
      <c r="B284" s="48">
        <v>45986</v>
      </c>
      <c r="C284" s="49"/>
      <c r="D284" s="49"/>
      <c r="E284" s="49"/>
      <c r="F284" s="49">
        <v>2</v>
      </c>
      <c r="G284" s="49" t="s">
        <v>41</v>
      </c>
      <c r="H284" s="49">
        <f>IFERROR(VLOOKUP(G284,[2]Basic_Data!$E$2:$I$9,5,0),"")</f>
        <v>8</v>
      </c>
      <c r="I284" s="49">
        <v>588</v>
      </c>
      <c r="J284" s="49">
        <v>588</v>
      </c>
      <c r="K284" s="50" t="str">
        <f>IFERROR(VLOOKUP($B284-1,[2]Inverter_PR!$B:$I,[2]Module_Cleaning!H269,0),"")</f>
        <v/>
      </c>
      <c r="L284" s="50" t="str">
        <f>IFERROR(VLOOKUP($B284+1,[2]Inverter_PR!$B:$I,[2]Module_Cleaning!H269,0),"")</f>
        <v/>
      </c>
      <c r="M284" s="49">
        <f t="shared" si="53"/>
        <v>0</v>
      </c>
      <c r="N284" s="49" t="s">
        <v>156</v>
      </c>
    </row>
    <row r="285" spans="1:14">
      <c r="A285" s="47"/>
      <c r="B285" s="48"/>
      <c r="C285" s="49"/>
      <c r="D285" s="49"/>
      <c r="E285" s="49"/>
      <c r="F285" s="49">
        <v>2</v>
      </c>
      <c r="G285" s="49" t="s">
        <v>39</v>
      </c>
      <c r="H285" s="49"/>
      <c r="I285" s="49">
        <v>588</v>
      </c>
      <c r="J285" s="49">
        <v>588</v>
      </c>
      <c r="K285" s="50"/>
      <c r="L285" s="50"/>
      <c r="M285" s="49"/>
      <c r="N285" s="49" t="s">
        <v>156</v>
      </c>
    </row>
    <row r="286" spans="1:14">
      <c r="A286" s="47">
        <v>45987</v>
      </c>
      <c r="B286" s="48">
        <v>45987</v>
      </c>
      <c r="C286" s="49"/>
      <c r="D286" s="49"/>
      <c r="E286" s="49"/>
      <c r="F286" s="49">
        <v>3</v>
      </c>
      <c r="G286" s="49" t="s">
        <v>38</v>
      </c>
      <c r="H286" s="49">
        <f>IFERROR(VLOOKUP(G286,[2]Basic_Data!$E$2:$I$9,5,0),"")</f>
        <v>5</v>
      </c>
      <c r="I286" s="49">
        <v>588</v>
      </c>
      <c r="J286" s="49">
        <v>588</v>
      </c>
      <c r="K286" s="50" t="str">
        <f>IFERROR(VLOOKUP($B286-1,[2]Inverter_PR!$B:$I,[2]Module_Cleaning!H270,0),"")</f>
        <v/>
      </c>
      <c r="L286" s="50" t="str">
        <f>IFERROR(VLOOKUP($B286+1,[2]Inverter_PR!$B:$I,[2]Module_Cleaning!H270,0),"")</f>
        <v/>
      </c>
      <c r="M286" s="49">
        <f t="shared" si="53"/>
        <v>0</v>
      </c>
      <c r="N286" s="49" t="s">
        <v>156</v>
      </c>
    </row>
    <row r="287" spans="1:14">
      <c r="A287" s="47"/>
      <c r="B287" s="48"/>
      <c r="C287" s="49"/>
      <c r="D287" s="49"/>
      <c r="E287" s="49"/>
      <c r="F287" s="49">
        <v>3</v>
      </c>
      <c r="G287" s="49" t="s">
        <v>36</v>
      </c>
      <c r="H287" s="49"/>
      <c r="I287" s="49">
        <v>588</v>
      </c>
      <c r="J287" s="49">
        <v>588</v>
      </c>
      <c r="K287" s="50"/>
      <c r="L287" s="50"/>
      <c r="M287" s="49"/>
      <c r="N287" s="49" t="s">
        <v>156</v>
      </c>
    </row>
    <row r="288" spans="1:14">
      <c r="A288" s="47">
        <v>45988</v>
      </c>
      <c r="B288" s="48">
        <v>45988</v>
      </c>
      <c r="C288" s="49"/>
      <c r="D288" s="49"/>
      <c r="E288" s="49"/>
      <c r="F288" s="49">
        <v>3</v>
      </c>
      <c r="G288" s="49" t="s">
        <v>35</v>
      </c>
      <c r="H288" s="49">
        <f>IFERROR(VLOOKUP(G288,[2]Basic_Data!$E$2:$I$9,5,0),"")</f>
        <v>2</v>
      </c>
      <c r="I288" s="49">
        <v>588</v>
      </c>
      <c r="J288" s="49">
        <v>588</v>
      </c>
      <c r="K288" s="50" t="str">
        <f>IFERROR(VLOOKUP($B288-1,[2]Inverter_PR!$B:$I,[2]Module_Cleaning!H271,0),"")</f>
        <v/>
      </c>
      <c r="L288" s="50" t="str">
        <f>IFERROR(VLOOKUP($B288+1,[2]Inverter_PR!$B:$I,[2]Module_Cleaning!H271,0),"")</f>
        <v/>
      </c>
      <c r="M288" s="49">
        <f t="shared" si="53"/>
        <v>0</v>
      </c>
      <c r="N288" s="49" t="s">
        <v>156</v>
      </c>
    </row>
    <row r="289" spans="1:14">
      <c r="A289" s="47"/>
      <c r="B289" s="48"/>
      <c r="C289" s="49"/>
      <c r="D289" s="49"/>
      <c r="E289" s="49"/>
      <c r="F289" s="49">
        <v>3</v>
      </c>
      <c r="G289" s="49" t="s">
        <v>37</v>
      </c>
      <c r="H289" s="49"/>
      <c r="I289" s="49">
        <v>588</v>
      </c>
      <c r="J289" s="49">
        <v>588</v>
      </c>
      <c r="K289" s="50"/>
      <c r="L289" s="50"/>
      <c r="M289" s="49"/>
      <c r="N289" s="49" t="s">
        <v>156</v>
      </c>
    </row>
    <row r="290" spans="1:14">
      <c r="A290" s="47"/>
      <c r="B290" s="48"/>
      <c r="C290" s="49"/>
      <c r="D290" s="49"/>
      <c r="E290" s="49"/>
      <c r="F290" s="49">
        <v>3</v>
      </c>
      <c r="G290" s="49" t="s">
        <v>40</v>
      </c>
      <c r="H290" s="49"/>
      <c r="I290" s="49">
        <v>588</v>
      </c>
      <c r="J290" s="49">
        <v>588</v>
      </c>
      <c r="K290" s="50"/>
      <c r="L290" s="50"/>
      <c r="M290" s="49"/>
      <c r="N290" s="49" t="s">
        <v>156</v>
      </c>
    </row>
    <row r="291" spans="1:14">
      <c r="A291" s="47">
        <v>45989</v>
      </c>
      <c r="B291" s="48">
        <v>45989</v>
      </c>
      <c r="C291" s="49"/>
      <c r="D291" s="49"/>
      <c r="E291" s="49"/>
      <c r="F291" s="49">
        <v>3</v>
      </c>
      <c r="G291" s="49" t="s">
        <v>41</v>
      </c>
      <c r="H291" s="49">
        <f>IFERROR(VLOOKUP(G291,[2]Basic_Data!$E$2:$I$9,5,0),"")</f>
        <v>8</v>
      </c>
      <c r="I291" s="49">
        <v>588</v>
      </c>
      <c r="J291" s="49">
        <v>588</v>
      </c>
      <c r="K291" s="50" t="str">
        <f>IFERROR(VLOOKUP($B291-1,[2]Inverter_PR!$B:$I,[2]Module_Cleaning!H272,0),"")</f>
        <v/>
      </c>
      <c r="L291" s="50" t="str">
        <f>IFERROR(VLOOKUP($B291+1,[2]Inverter_PR!$B:$I,[2]Module_Cleaning!H272,0),"")</f>
        <v/>
      </c>
      <c r="M291" s="49">
        <f t="shared" si="53"/>
        <v>0</v>
      </c>
      <c r="N291" s="49" t="s">
        <v>156</v>
      </c>
    </row>
    <row r="292" spans="1:14">
      <c r="A292" s="47"/>
      <c r="B292" s="48"/>
      <c r="C292" s="49"/>
      <c r="D292" s="49"/>
      <c r="E292" s="49"/>
      <c r="F292" s="49">
        <v>3</v>
      </c>
      <c r="G292" s="49" t="s">
        <v>39</v>
      </c>
      <c r="H292" s="49"/>
      <c r="I292" s="49">
        <v>588</v>
      </c>
      <c r="J292" s="49">
        <v>588</v>
      </c>
      <c r="K292" s="50"/>
      <c r="L292" s="50"/>
      <c r="M292" s="49"/>
      <c r="N292" s="49" t="s">
        <v>156</v>
      </c>
    </row>
    <row r="293" spans="1:14">
      <c r="A293" s="47">
        <v>45990</v>
      </c>
      <c r="B293" s="48">
        <v>45990</v>
      </c>
      <c r="C293" s="49"/>
      <c r="D293" s="49"/>
      <c r="E293" s="49"/>
      <c r="F293" s="49">
        <v>3</v>
      </c>
      <c r="G293" s="49" t="s">
        <v>36</v>
      </c>
      <c r="H293" s="49">
        <f>IFERROR(VLOOKUP(G293,[2]Basic_Data!$E$2:$I$9,5,0),"")</f>
        <v>3</v>
      </c>
      <c r="I293" s="49">
        <v>588</v>
      </c>
      <c r="J293" s="49">
        <v>588</v>
      </c>
      <c r="K293" s="50" t="str">
        <f>IFERROR(VLOOKUP($B293-1,[2]Inverter_PR!$B:$I,[2]Module_Cleaning!H273,0),"")</f>
        <v/>
      </c>
      <c r="L293" s="50" t="str">
        <f>IFERROR(VLOOKUP($B293+1,[2]Inverter_PR!$B:$I,[2]Module_Cleaning!H273,0),"")</f>
        <v/>
      </c>
      <c r="M293" s="49">
        <f t="shared" si="53"/>
        <v>0</v>
      </c>
      <c r="N293" s="49" t="s">
        <v>156</v>
      </c>
    </row>
    <row r="294" spans="1:14">
      <c r="A294" s="47"/>
      <c r="B294" s="48"/>
      <c r="C294" s="49"/>
      <c r="D294" s="49"/>
      <c r="E294" s="49"/>
      <c r="F294" s="49">
        <v>3</v>
      </c>
      <c r="G294" s="49" t="s">
        <v>40</v>
      </c>
      <c r="H294" s="49">
        <f>IFERROR(VLOOKUP(G294,[2]Basic_Data!$E$2:$I$9,5,0),"")</f>
        <v>7</v>
      </c>
      <c r="I294" s="49">
        <v>588</v>
      </c>
      <c r="J294" s="49">
        <v>588</v>
      </c>
      <c r="K294" s="50" t="str">
        <f>IFERROR(VLOOKUP($B294-1,[2]Inverter_PR!$B:$I,[2]Module_Cleaning!H273,0),"")</f>
        <v/>
      </c>
      <c r="L294" s="50" t="str">
        <f>IFERROR(VLOOKUP($B294+1,[2]Inverter_PR!$B:$I,[2]Module_Cleaning!H273,0),"")</f>
        <v/>
      </c>
      <c r="M294" s="49">
        <f t="shared" ref="M294" si="65">IFERROR(I294-J294,"")</f>
        <v>0</v>
      </c>
      <c r="N294" s="49" t="s">
        <v>156</v>
      </c>
    </row>
    <row r="295" spans="1:14">
      <c r="A295" s="47">
        <v>45991</v>
      </c>
      <c r="B295" s="48">
        <v>45991</v>
      </c>
      <c r="C295" s="49"/>
      <c r="D295" s="49"/>
      <c r="E295" s="49"/>
      <c r="F295" s="49">
        <v>3</v>
      </c>
      <c r="G295" s="49" t="s">
        <v>38</v>
      </c>
      <c r="H295" s="49"/>
      <c r="I295" s="49">
        <v>588</v>
      </c>
      <c r="J295" s="49">
        <v>588</v>
      </c>
      <c r="K295" s="50"/>
      <c r="L295" s="50"/>
      <c r="M295" s="49"/>
      <c r="N295" s="49" t="s">
        <v>156</v>
      </c>
    </row>
    <row r="296" spans="1:14">
      <c r="A296" s="47">
        <v>45992</v>
      </c>
      <c r="B296" s="48">
        <v>45992</v>
      </c>
      <c r="C296" s="49">
        <v>0</v>
      </c>
      <c r="D296" s="49">
        <v>0</v>
      </c>
      <c r="E296" s="49"/>
      <c r="F296" s="49">
        <v>0</v>
      </c>
      <c r="G296" s="49"/>
      <c r="H296" s="49">
        <v>0</v>
      </c>
      <c r="I296" s="49">
        <v>0</v>
      </c>
      <c r="J296" s="49">
        <v>0</v>
      </c>
      <c r="K296" s="50" t="str">
        <f>IFERROR(VLOOKUP($B296-1,[2]Inverter_PR!$B:$I,[2]Module_Cleaning!H275,0),"")</f>
        <v/>
      </c>
      <c r="L296" s="50" t="str">
        <f>IFERROR(VLOOKUP($B296+1,[2]Inverter_PR!$B:$I,[2]Module_Cleaning!H275,0),"")</f>
        <v/>
      </c>
      <c r="M296" s="49">
        <f t="shared" si="53"/>
        <v>0</v>
      </c>
      <c r="N296" s="49" t="s">
        <v>154</v>
      </c>
    </row>
    <row r="297" spans="1:14">
      <c r="A297" s="47">
        <v>45993</v>
      </c>
      <c r="B297" s="48">
        <v>45993</v>
      </c>
      <c r="C297" s="49">
        <v>0</v>
      </c>
      <c r="D297" s="49">
        <v>0</v>
      </c>
      <c r="E297" s="49"/>
      <c r="F297" s="49">
        <v>0</v>
      </c>
      <c r="G297" s="49"/>
      <c r="H297" s="49">
        <v>0</v>
      </c>
      <c r="I297" s="49">
        <v>0</v>
      </c>
      <c r="J297" s="49">
        <v>0</v>
      </c>
      <c r="K297" s="50" t="str">
        <f>IFERROR(VLOOKUP($B297-1,[2]Inverter_PR!$B:$I,[2]Module_Cleaning!H276,0),"")</f>
        <v/>
      </c>
      <c r="L297" s="50" t="str">
        <f>IFERROR(VLOOKUP($B297+1,[2]Inverter_PR!$B:$I,[2]Module_Cleaning!H276,0),"")</f>
        <v/>
      </c>
      <c r="M297" s="49">
        <f t="shared" si="53"/>
        <v>0</v>
      </c>
      <c r="N297" s="49" t="s">
        <v>154</v>
      </c>
    </row>
    <row r="298" spans="1:14">
      <c r="A298" s="47">
        <v>45994</v>
      </c>
      <c r="B298" s="48">
        <v>45994</v>
      </c>
      <c r="C298" s="49">
        <v>0</v>
      </c>
      <c r="D298" s="49">
        <v>0</v>
      </c>
      <c r="E298" s="49"/>
      <c r="F298" s="49">
        <v>0</v>
      </c>
      <c r="G298" s="49"/>
      <c r="H298" s="49">
        <v>0</v>
      </c>
      <c r="I298" s="49">
        <v>0</v>
      </c>
      <c r="J298" s="49">
        <v>0</v>
      </c>
      <c r="K298" s="50" t="str">
        <f>IFERROR(VLOOKUP($B298-1,[2]Inverter_PR!$B:$I,[2]Module_Cleaning!H277,0),"")</f>
        <v/>
      </c>
      <c r="L298" s="50" t="str">
        <f>IFERROR(VLOOKUP($B298+1,[2]Inverter_PR!$B:$I,[2]Module_Cleaning!H277,0),"")</f>
        <v/>
      </c>
      <c r="M298" s="49">
        <f t="shared" ref="M298" si="66">IFERROR(I298-J298,"")</f>
        <v>0</v>
      </c>
      <c r="N298" s="49" t="s">
        <v>154</v>
      </c>
    </row>
    <row r="299" spans="1:14">
      <c r="A299" s="47">
        <v>45995</v>
      </c>
      <c r="B299" s="48">
        <v>45995</v>
      </c>
      <c r="C299" s="49"/>
      <c r="D299" s="49"/>
      <c r="E299" s="49"/>
      <c r="F299" s="49">
        <v>1</v>
      </c>
      <c r="G299" s="49" t="s">
        <v>35</v>
      </c>
      <c r="H299" s="49">
        <f>IFERROR(VLOOKUP(G299,[2]Basic_Data!$E$2:$I$9,5,0),"")</f>
        <v>2</v>
      </c>
      <c r="I299" s="49">
        <v>588</v>
      </c>
      <c r="J299" s="49">
        <v>588</v>
      </c>
      <c r="K299" s="50" t="str">
        <f>IFERROR(VLOOKUP($B299-1,[2]Inverter_PR!$B:$I,[2]Module_Cleaning!H278,0),"")</f>
        <v/>
      </c>
      <c r="L299" s="50" t="str">
        <f>IFERROR(VLOOKUP($B299+1,[2]Inverter_PR!$B:$I,[2]Module_Cleaning!H278,0),"")</f>
        <v/>
      </c>
      <c r="M299" s="49">
        <f t="shared" si="53"/>
        <v>0</v>
      </c>
      <c r="N299" s="49" t="s">
        <v>156</v>
      </c>
    </row>
    <row r="300" spans="1:14">
      <c r="A300" s="47">
        <v>45996</v>
      </c>
      <c r="B300" s="48">
        <v>45996</v>
      </c>
      <c r="C300" s="49"/>
      <c r="D300" s="49"/>
      <c r="E300" s="49"/>
      <c r="F300" s="49">
        <v>1</v>
      </c>
      <c r="G300" s="49" t="s">
        <v>37</v>
      </c>
      <c r="H300" s="49">
        <f>IFERROR(VLOOKUP(G300,[2]Basic_Data!$E$2:$I$9,5,0),"")</f>
        <v>4</v>
      </c>
      <c r="I300" s="49">
        <v>588</v>
      </c>
      <c r="J300" s="49">
        <v>588</v>
      </c>
      <c r="K300" s="50" t="str">
        <f>IFERROR(VLOOKUP($B300-1,[2]Inverter_PR!$B:$I,[2]Module_Cleaning!H279,0),"")</f>
        <v/>
      </c>
      <c r="L300" s="50" t="str">
        <f>IFERROR(VLOOKUP($B300+1,[2]Inverter_PR!$B:$I,[2]Module_Cleaning!H279,0),"")</f>
        <v/>
      </c>
      <c r="M300" s="49">
        <f t="shared" si="53"/>
        <v>0</v>
      </c>
      <c r="N300" s="49" t="s">
        <v>156</v>
      </c>
    </row>
    <row r="301" spans="1:14">
      <c r="A301" s="47">
        <v>45997</v>
      </c>
      <c r="B301" s="48">
        <v>45997</v>
      </c>
      <c r="C301" s="49"/>
      <c r="D301" s="49"/>
      <c r="E301" s="49"/>
      <c r="F301" s="49">
        <v>1</v>
      </c>
      <c r="G301" s="49" t="s">
        <v>38</v>
      </c>
      <c r="H301" s="49">
        <f>IFERROR(VLOOKUP(G301,[2]Basic_Data!$E$2:$I$9,5,0),"")</f>
        <v>5</v>
      </c>
      <c r="I301" s="49">
        <v>588</v>
      </c>
      <c r="J301" s="49">
        <v>588</v>
      </c>
      <c r="K301" s="50">
        <f>IFERROR(VLOOKUP($B301-1,[2]Inverter_PR!$B:$I,[2]Module_Cleaning!H280,0),"")</f>
        <v>1.08800121564382</v>
      </c>
      <c r="L301" s="50">
        <f>IFERROR(VLOOKUP($B301+1,[2]Inverter_PR!$B:$I,[2]Module_Cleaning!H280,0),"")</f>
        <v>1.07776899629278</v>
      </c>
      <c r="M301" s="49">
        <f t="shared" si="53"/>
        <v>0</v>
      </c>
      <c r="N301" s="49" t="s">
        <v>156</v>
      </c>
    </row>
    <row r="302" spans="1:14">
      <c r="A302" s="47"/>
      <c r="B302" s="48"/>
      <c r="C302" s="49"/>
      <c r="D302" s="49"/>
      <c r="E302" s="49"/>
      <c r="F302" s="49">
        <v>1</v>
      </c>
      <c r="G302" s="49" t="s">
        <v>40</v>
      </c>
      <c r="H302" s="49"/>
      <c r="I302" s="49">
        <v>588</v>
      </c>
      <c r="J302" s="49">
        <v>588</v>
      </c>
      <c r="K302" s="50"/>
      <c r="L302" s="50"/>
      <c r="M302" s="49"/>
      <c r="N302" s="49" t="s">
        <v>156</v>
      </c>
    </row>
    <row r="303" spans="1:14">
      <c r="A303" s="47">
        <v>45998</v>
      </c>
      <c r="B303" s="48">
        <v>45998</v>
      </c>
      <c r="C303" s="49"/>
      <c r="D303" s="49"/>
      <c r="E303" s="49"/>
      <c r="F303" s="49">
        <v>1</v>
      </c>
      <c r="G303" s="49" t="s">
        <v>41</v>
      </c>
      <c r="H303" s="49">
        <f>IFERROR(VLOOKUP(G303,[2]Basic_Data!$E$2:$I$9,5,0),"")</f>
        <v>8</v>
      </c>
      <c r="I303" s="49">
        <v>588</v>
      </c>
      <c r="J303" s="49">
        <v>588</v>
      </c>
      <c r="K303" s="50">
        <f>IFERROR(VLOOKUP($B303-1,[2]Inverter_PR!$B:$I,[2]Module_Cleaning!H281,0),"")</f>
        <v>1.18932001247724</v>
      </c>
      <c r="L303" s="50">
        <f>IFERROR(VLOOKUP($B303+1,[2]Inverter_PR!$B:$I,[2]Module_Cleaning!H281,0),"")</f>
        <v>1.15301779162673</v>
      </c>
      <c r="M303" s="49">
        <f t="shared" si="53"/>
        <v>0</v>
      </c>
      <c r="N303" s="49" t="s">
        <v>156</v>
      </c>
    </row>
    <row r="304" spans="1:14">
      <c r="A304" s="47"/>
      <c r="B304" s="48"/>
      <c r="C304" s="49"/>
      <c r="D304" s="49"/>
      <c r="E304" s="49"/>
      <c r="F304" s="49">
        <v>1</v>
      </c>
      <c r="G304" s="49" t="s">
        <v>39</v>
      </c>
      <c r="H304" s="49"/>
      <c r="I304" s="49">
        <v>588</v>
      </c>
      <c r="J304" s="49">
        <v>588</v>
      </c>
      <c r="K304" s="50"/>
      <c r="L304" s="50"/>
      <c r="M304" s="49">
        <v>0</v>
      </c>
      <c r="N304" s="49" t="s">
        <v>156</v>
      </c>
    </row>
    <row r="305" spans="1:14">
      <c r="A305" s="47">
        <v>45999</v>
      </c>
      <c r="B305" s="48">
        <v>45999</v>
      </c>
      <c r="C305" s="49"/>
      <c r="D305" s="49"/>
      <c r="E305" s="49"/>
      <c r="F305" s="49">
        <v>1</v>
      </c>
      <c r="G305" s="49" t="s">
        <v>36</v>
      </c>
      <c r="H305" s="49">
        <f>IFERROR(VLOOKUP(G305,[2]Basic_Data!$E$2:$I$9,5,0),"")</f>
        <v>3</v>
      </c>
      <c r="I305" s="49">
        <v>588</v>
      </c>
      <c r="J305" s="49">
        <v>588</v>
      </c>
      <c r="K305" s="50" t="str">
        <f>IFERROR(VLOOKUP($B305-1,[2]Inverter_PR!$B:$I,[2]Module_Cleaning!H282,0),"")</f>
        <v/>
      </c>
      <c r="L305" s="50" t="str">
        <f>IFERROR(VLOOKUP($B305+1,[2]Inverter_PR!$B:$I,[2]Module_Cleaning!H282,0),"")</f>
        <v/>
      </c>
      <c r="M305" s="49">
        <f t="shared" si="53"/>
        <v>0</v>
      </c>
      <c r="N305" s="49" t="s">
        <v>156</v>
      </c>
    </row>
    <row r="306" spans="1:14">
      <c r="A306" s="47">
        <v>46000</v>
      </c>
      <c r="B306" s="48">
        <v>46000</v>
      </c>
      <c r="C306" s="49"/>
      <c r="D306" s="49"/>
      <c r="E306" s="49"/>
      <c r="F306" s="49">
        <v>1</v>
      </c>
      <c r="G306" s="49" t="s">
        <v>35</v>
      </c>
      <c r="H306" s="49">
        <f>IFERROR(VLOOKUP(G306,[2]Basic_Data!$E$2:$I$9,5,0),"")</f>
        <v>2</v>
      </c>
      <c r="I306" s="49">
        <v>588</v>
      </c>
      <c r="J306" s="49">
        <v>588</v>
      </c>
      <c r="K306" s="50" t="str">
        <f>IFERROR(VLOOKUP($B306-1,[2]Inverter_PR!$B:$I,[2]Module_Cleaning!H283,0),"")</f>
        <v/>
      </c>
      <c r="L306" s="50" t="str">
        <f>IFERROR(VLOOKUP($B306+1,[2]Inverter_PR!$B:$I,[2]Module_Cleaning!H283,0),"")</f>
        <v/>
      </c>
      <c r="M306" s="49">
        <f t="shared" si="53"/>
        <v>0</v>
      </c>
      <c r="N306" s="49" t="s">
        <v>156</v>
      </c>
    </row>
    <row r="307" spans="1:14">
      <c r="A307" s="47"/>
      <c r="B307" s="48"/>
      <c r="C307" s="49"/>
      <c r="D307" s="49"/>
      <c r="E307" s="49"/>
      <c r="F307" s="49">
        <v>1</v>
      </c>
      <c r="G307" s="49" t="s">
        <v>37</v>
      </c>
      <c r="H307" s="49"/>
      <c r="I307" s="49"/>
      <c r="J307" s="49"/>
      <c r="K307" s="50"/>
      <c r="L307" s="50"/>
      <c r="M307" s="49"/>
      <c r="N307" s="49" t="s">
        <v>156</v>
      </c>
    </row>
    <row r="308" spans="1:14">
      <c r="A308" s="47">
        <v>46001</v>
      </c>
      <c r="B308" s="48">
        <v>46001</v>
      </c>
      <c r="C308" s="49"/>
      <c r="D308" s="49"/>
      <c r="E308" s="49"/>
      <c r="F308" s="49">
        <v>1</v>
      </c>
      <c r="G308" s="49" t="s">
        <v>40</v>
      </c>
      <c r="H308" s="49">
        <f>IFERROR(VLOOKUP(G308,[2]Basic_Data!$E$2:$I$9,5,0),"")</f>
        <v>7</v>
      </c>
      <c r="I308" s="49">
        <v>588</v>
      </c>
      <c r="J308" s="49">
        <v>588</v>
      </c>
      <c r="K308" s="50" t="str">
        <f>IFERROR(VLOOKUP($B308-1,[2]Inverter_PR!$B:$I,[2]Module_Cleaning!H284,0),"")</f>
        <v/>
      </c>
      <c r="L308" s="50" t="str">
        <f>IFERROR(VLOOKUP($B308+1,[2]Inverter_PR!$B:$I,[2]Module_Cleaning!H284,0),"")</f>
        <v/>
      </c>
      <c r="M308" s="49">
        <f t="shared" si="53"/>
        <v>0</v>
      </c>
      <c r="N308" s="49" t="s">
        <v>156</v>
      </c>
    </row>
    <row r="309" spans="1:14">
      <c r="A309" s="47">
        <v>46002</v>
      </c>
      <c r="B309" s="48">
        <v>46002</v>
      </c>
      <c r="C309" s="49">
        <v>0</v>
      </c>
      <c r="D309" s="49">
        <v>0</v>
      </c>
      <c r="E309" s="49">
        <v>0</v>
      </c>
      <c r="F309" s="49">
        <v>0</v>
      </c>
      <c r="G309" s="49"/>
      <c r="H309" s="49">
        <v>0</v>
      </c>
      <c r="I309" s="49">
        <v>0</v>
      </c>
      <c r="J309" s="49">
        <v>588</v>
      </c>
      <c r="K309" s="50" t="str">
        <f>IFERROR(VLOOKUP($B309-1,[2]Inverter_PR!$B:$I,[2]Module_Cleaning!H285,0),"")</f>
        <v/>
      </c>
      <c r="L309" s="50" t="str">
        <f>IFERROR(VLOOKUP($B309+1,[2]Inverter_PR!$B:$I,[2]Module_Cleaning!H285,0),"")</f>
        <v/>
      </c>
      <c r="M309" s="49">
        <f t="shared" si="53"/>
        <v>-588</v>
      </c>
      <c r="N309" s="49" t="s">
        <v>157</v>
      </c>
    </row>
    <row r="310" spans="1:14">
      <c r="A310" s="47">
        <v>46003</v>
      </c>
      <c r="B310" s="48">
        <v>46003</v>
      </c>
      <c r="C310" s="49"/>
      <c r="D310" s="49"/>
      <c r="E310" s="49"/>
      <c r="F310" s="49">
        <v>1</v>
      </c>
      <c r="G310" s="49" t="s">
        <v>41</v>
      </c>
      <c r="H310" s="49">
        <f>IFERROR(VLOOKUP(G310,[2]Basic_Data!$E$2:$I$9,5,0),"")</f>
        <v>8</v>
      </c>
      <c r="I310" s="49">
        <v>588</v>
      </c>
      <c r="J310" s="49">
        <v>588</v>
      </c>
      <c r="K310" s="50">
        <f>IFERROR(VLOOKUP($B310-1,[2]Inverter_PR!$B:$I,[2]Module_Cleaning!H286,0),"")</f>
        <v>1.18966496983051</v>
      </c>
      <c r="L310" s="50">
        <f>IFERROR(VLOOKUP($B310+1,[2]Inverter_PR!$B:$I,[2]Module_Cleaning!H286,0),"")</f>
        <v>1.13875169459069</v>
      </c>
      <c r="M310" s="49">
        <f t="shared" si="53"/>
        <v>0</v>
      </c>
      <c r="N310" s="49" t="s">
        <v>156</v>
      </c>
    </row>
    <row r="311" spans="1:14">
      <c r="A311" s="47"/>
      <c r="B311" s="48"/>
      <c r="C311" s="49"/>
      <c r="D311" s="49"/>
      <c r="E311" s="49"/>
      <c r="F311" s="49">
        <v>1</v>
      </c>
      <c r="G311" s="49" t="s">
        <v>38</v>
      </c>
      <c r="H311" s="49"/>
      <c r="I311" s="49"/>
      <c r="J311" s="49">
        <v>588</v>
      </c>
      <c r="K311" s="50"/>
      <c r="L311" s="50"/>
      <c r="M311" s="49">
        <v>0</v>
      </c>
      <c r="N311" s="49" t="s">
        <v>156</v>
      </c>
    </row>
    <row r="312" spans="1:14">
      <c r="A312" s="47">
        <v>46004</v>
      </c>
      <c r="B312" s="48">
        <v>46004</v>
      </c>
      <c r="C312" s="49"/>
      <c r="D312" s="49"/>
      <c r="E312" s="49"/>
      <c r="F312" s="49">
        <v>1</v>
      </c>
      <c r="G312" s="49" t="s">
        <v>36</v>
      </c>
      <c r="H312" s="49">
        <f>IFERROR(VLOOKUP(G312,[2]Basic_Data!$E$2:$I$9,5,0),"")</f>
        <v>3</v>
      </c>
      <c r="I312" s="49">
        <v>588</v>
      </c>
      <c r="J312" s="49">
        <v>588</v>
      </c>
      <c r="K312" s="50" t="str">
        <f>IFERROR(VLOOKUP($B312-1,[2]Inverter_PR!$B:$I,[2]Module_Cleaning!H287,0),"")</f>
        <v/>
      </c>
      <c r="L312" s="50" t="str">
        <f>IFERROR(VLOOKUP($B312+1,[2]Inverter_PR!$B:$I,[2]Module_Cleaning!H287,0),"")</f>
        <v/>
      </c>
      <c r="M312" s="49">
        <f>IFERROR(I312-J312,"")</f>
        <v>0</v>
      </c>
      <c r="N312" s="49" t="s">
        <v>156</v>
      </c>
    </row>
    <row r="313" spans="1:14">
      <c r="A313" s="47"/>
      <c r="B313" s="48"/>
      <c r="C313" s="49"/>
      <c r="D313" s="49"/>
      <c r="E313" s="49"/>
      <c r="F313" s="49">
        <v>1</v>
      </c>
      <c r="G313" s="49" t="s">
        <v>39</v>
      </c>
      <c r="H313" s="49"/>
      <c r="I313" s="49"/>
      <c r="J313" s="49"/>
      <c r="K313" s="50"/>
      <c r="L313" s="50"/>
      <c r="M313" s="49"/>
      <c r="N313" s="49" t="s">
        <v>156</v>
      </c>
    </row>
    <row r="314" spans="1:14">
      <c r="A314" s="47">
        <v>46005</v>
      </c>
      <c r="B314" s="48">
        <v>46005</v>
      </c>
      <c r="C314" s="49"/>
      <c r="D314" s="49"/>
      <c r="E314" s="49"/>
      <c r="F314" s="49">
        <v>1</v>
      </c>
      <c r="G314" s="49" t="s">
        <v>41</v>
      </c>
      <c r="H314" s="49">
        <f>IFERROR(VLOOKUP(G314,[2]Basic_Data!$E$2:$I$9,5,0),"")</f>
        <v>8</v>
      </c>
      <c r="I314" s="49">
        <v>589</v>
      </c>
      <c r="J314" s="49">
        <v>588</v>
      </c>
      <c r="K314" s="50">
        <f>IFERROR(VLOOKUP($B314-1,[2]Inverter_PR!$B:$I,[2]Module_Cleaning!H288,0),"")</f>
        <v>1.15245539610805</v>
      </c>
      <c r="L314" s="50">
        <f>IFERROR(VLOOKUP($B314+1,[2]Inverter_PR!$B:$I,[2]Module_Cleaning!H288,0),"")</f>
        <v>1.14984457761302</v>
      </c>
      <c r="M314" s="49">
        <f>IFERROR(I314-J314,"")</f>
        <v>1</v>
      </c>
      <c r="N314" s="49" t="s">
        <v>156</v>
      </c>
    </row>
    <row r="315" spans="1:14">
      <c r="A315" s="47">
        <v>46006</v>
      </c>
      <c r="B315" s="48">
        <v>46006</v>
      </c>
      <c r="C315" s="49">
        <v>0</v>
      </c>
      <c r="D315" s="49">
        <v>0</v>
      </c>
      <c r="E315" s="49">
        <v>0</v>
      </c>
      <c r="F315" s="49">
        <v>0</v>
      </c>
      <c r="G315" s="49"/>
      <c r="H315" s="49">
        <v>0</v>
      </c>
      <c r="I315" s="49">
        <v>0</v>
      </c>
      <c r="J315" s="49">
        <v>0</v>
      </c>
      <c r="K315" s="50" t="str">
        <f>IFERROR(VLOOKUP($B315-1,[2]Inverter_PR!$B:$I,[2]Module_Cleaning!H289,0),"")</f>
        <v/>
      </c>
      <c r="L315" s="50" t="str">
        <f>IFERROR(VLOOKUP($B315+1,[2]Inverter_PR!$B:$I,[2]Module_Cleaning!H289,0),"")</f>
        <v/>
      </c>
      <c r="M315" s="49">
        <f>IFERROR(I315-J315,"")</f>
        <v>0</v>
      </c>
      <c r="N315" s="49" t="s">
        <v>154</v>
      </c>
    </row>
    <row r="316" spans="1:14">
      <c r="A316" s="47">
        <v>46007</v>
      </c>
      <c r="B316" s="48">
        <v>46007</v>
      </c>
      <c r="C316" s="49"/>
      <c r="D316" s="49"/>
      <c r="E316" s="49"/>
      <c r="F316" s="49">
        <v>2</v>
      </c>
      <c r="G316" s="49" t="s">
        <v>41</v>
      </c>
      <c r="H316" s="49">
        <f>IFERROR(VLOOKUP(G316,[2]Basic_Data!$E$2:$I$9,5,0),"")</f>
        <v>8</v>
      </c>
      <c r="I316" s="49">
        <v>616</v>
      </c>
      <c r="J316" s="49">
        <v>616</v>
      </c>
      <c r="K316" s="50" t="str">
        <f>IFERROR(VLOOKUP($B316-1,[2]Inverter_PR!$B:$I,[2]Module_Cleaning!H290,0),"")</f>
        <v/>
      </c>
      <c r="L316" s="50" t="str">
        <f>IFERROR(VLOOKUP($B316+1,[2]Inverter_PR!$B:$I,[2]Module_Cleaning!H290,0),"")</f>
        <v/>
      </c>
      <c r="M316" s="49">
        <f>IFERROR(I316-J316,"")</f>
        <v>0</v>
      </c>
      <c r="N316" s="49" t="s">
        <v>156</v>
      </c>
    </row>
    <row r="317" spans="1:14">
      <c r="A317" s="47"/>
      <c r="B317" s="48"/>
      <c r="C317" s="49"/>
      <c r="D317" s="49"/>
      <c r="E317" s="49"/>
      <c r="F317" s="49">
        <v>2</v>
      </c>
      <c r="G317" s="49" t="s">
        <v>39</v>
      </c>
      <c r="H317" s="49"/>
      <c r="I317" s="49"/>
      <c r="J317" s="49"/>
      <c r="K317" s="50"/>
      <c r="L317" s="50"/>
      <c r="M317" s="49"/>
      <c r="N317" s="49" t="s">
        <v>156</v>
      </c>
    </row>
    <row r="318" spans="1:14">
      <c r="A318" s="47">
        <v>46008</v>
      </c>
      <c r="B318" s="48">
        <v>46008</v>
      </c>
      <c r="C318" s="49">
        <v>0</v>
      </c>
      <c r="D318" s="49">
        <v>0</v>
      </c>
      <c r="E318" s="49">
        <v>0</v>
      </c>
      <c r="F318" s="49">
        <v>0</v>
      </c>
      <c r="G318" s="49"/>
      <c r="H318" s="49" t="str">
        <f>IFERROR(VLOOKUP(G318,[2]Basic_Data!$E$2:$I$9,5,0),"")</f>
        <v/>
      </c>
      <c r="I318" s="49">
        <v>0</v>
      </c>
      <c r="J318" s="49">
        <v>0</v>
      </c>
      <c r="K318" s="50">
        <v>0</v>
      </c>
      <c r="L318" s="50">
        <v>0</v>
      </c>
      <c r="M318" s="49">
        <f>IFERROR(I318-J318,"")</f>
        <v>0</v>
      </c>
      <c r="N318" s="49" t="s">
        <v>158</v>
      </c>
    </row>
    <row r="319" spans="1:14">
      <c r="A319" s="47">
        <v>46009</v>
      </c>
      <c r="B319" s="48">
        <v>46009</v>
      </c>
      <c r="C319" s="49">
        <v>0</v>
      </c>
      <c r="D319" s="49">
        <v>0</v>
      </c>
      <c r="E319" s="49">
        <v>0</v>
      </c>
      <c r="F319" s="49">
        <v>0</v>
      </c>
      <c r="G319" s="49"/>
      <c r="H319" s="49" t="str">
        <f>IFERROR(VLOOKUP(G319,[2]Basic_Data!$E$2:$I$9,5,0),"")</f>
        <v/>
      </c>
      <c r="I319" s="49">
        <v>0</v>
      </c>
      <c r="J319" s="49">
        <v>0</v>
      </c>
      <c r="K319" s="50">
        <v>0</v>
      </c>
      <c r="L319" s="50">
        <v>0</v>
      </c>
      <c r="M319" s="49">
        <f t="shared" ref="M319" si="67">IFERROR(I319-J319,"")</f>
        <v>0</v>
      </c>
      <c r="N319" s="49" t="s">
        <v>158</v>
      </c>
    </row>
    <row r="320" spans="1:14">
      <c r="A320" s="47">
        <v>46010</v>
      </c>
      <c r="B320" s="48">
        <v>46010</v>
      </c>
      <c r="C320" s="49">
        <v>0</v>
      </c>
      <c r="D320" s="49">
        <v>0</v>
      </c>
      <c r="E320" s="49">
        <v>0</v>
      </c>
      <c r="F320" s="49">
        <v>0</v>
      </c>
      <c r="G320" s="49"/>
      <c r="H320" s="49" t="str">
        <f>IFERROR(VLOOKUP(G320,[2]Basic_Data!$E$2:$I$9,5,0),"")</f>
        <v/>
      </c>
      <c r="I320" s="49">
        <v>0</v>
      </c>
      <c r="J320" s="49">
        <v>0</v>
      </c>
      <c r="K320" s="50">
        <v>0</v>
      </c>
      <c r="L320" s="50">
        <v>0</v>
      </c>
      <c r="M320" s="49">
        <f t="shared" ref="M320" si="68">IFERROR(I320-J320,"")</f>
        <v>0</v>
      </c>
      <c r="N320" s="49" t="s">
        <v>158</v>
      </c>
    </row>
    <row r="321" spans="1:14">
      <c r="A321" s="47">
        <v>46011</v>
      </c>
      <c r="B321" s="48">
        <v>46011</v>
      </c>
      <c r="C321" s="49">
        <v>0</v>
      </c>
      <c r="D321" s="49">
        <v>0</v>
      </c>
      <c r="E321" s="49">
        <v>0</v>
      </c>
      <c r="F321" s="49">
        <v>0</v>
      </c>
      <c r="G321" s="49"/>
      <c r="H321" s="49" t="str">
        <f>IFERROR(VLOOKUP(G321,[2]Basic_Data!$E$2:$I$9,5,0),"")</f>
        <v/>
      </c>
      <c r="I321" s="49">
        <v>0</v>
      </c>
      <c r="J321" s="49">
        <v>0</v>
      </c>
      <c r="K321" s="50">
        <v>0</v>
      </c>
      <c r="L321" s="50">
        <v>0</v>
      </c>
      <c r="M321" s="49">
        <f t="shared" ref="M321" si="69">IFERROR(I321-J321,"")</f>
        <v>0</v>
      </c>
      <c r="N321" s="49" t="s">
        <v>158</v>
      </c>
    </row>
    <row r="322" spans="1:14">
      <c r="A322" s="47">
        <v>46012</v>
      </c>
      <c r="B322" s="48">
        <v>46012</v>
      </c>
      <c r="C322" s="49">
        <v>0</v>
      </c>
      <c r="D322" s="49">
        <v>0</v>
      </c>
      <c r="E322" s="49">
        <v>0</v>
      </c>
      <c r="F322" s="49">
        <v>0</v>
      </c>
      <c r="G322" s="49"/>
      <c r="H322" s="49" t="str">
        <f>IFERROR(VLOOKUP(G322,[2]Basic_Data!$E$2:$I$9,5,0),"")</f>
        <v/>
      </c>
      <c r="I322" s="49">
        <v>0</v>
      </c>
      <c r="J322" s="49">
        <v>0</v>
      </c>
      <c r="K322" s="50">
        <v>0</v>
      </c>
      <c r="L322" s="50">
        <v>0</v>
      </c>
      <c r="M322" s="49">
        <f t="shared" ref="M322" si="70">IFERROR(I322-J322,"")</f>
        <v>0</v>
      </c>
      <c r="N322" s="49" t="s">
        <v>158</v>
      </c>
    </row>
    <row r="323" spans="1:14">
      <c r="A323" s="47">
        <v>46013</v>
      </c>
      <c r="B323" s="48">
        <v>46013</v>
      </c>
      <c r="C323" s="49">
        <v>0</v>
      </c>
      <c r="D323" s="49">
        <v>0</v>
      </c>
      <c r="E323" s="49">
        <v>0</v>
      </c>
      <c r="F323" s="49">
        <v>0</v>
      </c>
      <c r="G323" s="49"/>
      <c r="H323" s="49" t="str">
        <f>IFERROR(VLOOKUP(G323,[2]Basic_Data!$E$2:$I$9,5,0),"")</f>
        <v/>
      </c>
      <c r="I323" s="49">
        <v>0</v>
      </c>
      <c r="J323" s="49">
        <v>0</v>
      </c>
      <c r="K323" s="50">
        <v>0</v>
      </c>
      <c r="L323" s="50">
        <v>0</v>
      </c>
      <c r="M323" s="49">
        <f t="shared" ref="M323" si="71">IFERROR(I323-J323,"")</f>
        <v>0</v>
      </c>
      <c r="N323" s="49" t="s">
        <v>158</v>
      </c>
    </row>
    <row r="324" spans="1:14">
      <c r="A324" s="47">
        <v>46014</v>
      </c>
      <c r="B324" s="48">
        <v>46014</v>
      </c>
      <c r="C324" s="49">
        <v>0</v>
      </c>
      <c r="D324" s="49">
        <v>0</v>
      </c>
      <c r="E324" s="49">
        <v>0</v>
      </c>
      <c r="F324" s="49">
        <v>0</v>
      </c>
      <c r="G324" s="49"/>
      <c r="H324" s="49" t="str">
        <f>IFERROR(VLOOKUP(G324,[2]Basic_Data!$E$2:$I$9,5,0),"")</f>
        <v/>
      </c>
      <c r="I324" s="49">
        <v>0</v>
      </c>
      <c r="J324" s="49">
        <v>0</v>
      </c>
      <c r="K324" s="50">
        <v>0</v>
      </c>
      <c r="L324" s="50">
        <v>0</v>
      </c>
      <c r="M324" s="49">
        <f t="shared" ref="M324" si="72">IFERROR(I324-J324,"")</f>
        <v>0</v>
      </c>
      <c r="N324" s="49" t="s">
        <v>158</v>
      </c>
    </row>
    <row r="325" spans="1:14">
      <c r="A325" s="47">
        <v>46015</v>
      </c>
      <c r="B325" s="48">
        <v>46015</v>
      </c>
      <c r="C325" s="49">
        <v>0</v>
      </c>
      <c r="D325" s="49">
        <v>0</v>
      </c>
      <c r="E325" s="49">
        <v>0</v>
      </c>
      <c r="F325" s="49">
        <v>0</v>
      </c>
      <c r="G325" s="49"/>
      <c r="H325" s="49" t="str">
        <f>IFERROR(VLOOKUP(G325,[2]Basic_Data!$E$2:$I$9,5,0),"")</f>
        <v/>
      </c>
      <c r="I325" s="49">
        <v>0</v>
      </c>
      <c r="J325" s="49">
        <v>0</v>
      </c>
      <c r="K325" s="50">
        <v>0</v>
      </c>
      <c r="L325" s="50">
        <v>0</v>
      </c>
      <c r="M325" s="49">
        <f t="shared" ref="M325" si="73">IFERROR(I325-J325,"")</f>
        <v>0</v>
      </c>
      <c r="N325" s="49" t="s">
        <v>158</v>
      </c>
    </row>
    <row r="326" spans="1:14">
      <c r="A326" s="47">
        <v>46016</v>
      </c>
      <c r="B326" s="48">
        <v>46016</v>
      </c>
      <c r="C326" s="49">
        <v>0</v>
      </c>
      <c r="D326" s="49">
        <v>0</v>
      </c>
      <c r="E326" s="49">
        <v>0</v>
      </c>
      <c r="F326" s="49">
        <v>0</v>
      </c>
      <c r="G326" s="49"/>
      <c r="H326" s="49" t="str">
        <f>IFERROR(VLOOKUP(G326,[2]Basic_Data!$E$2:$I$9,5,0),"")</f>
        <v/>
      </c>
      <c r="I326" s="49">
        <v>0</v>
      </c>
      <c r="J326" s="49">
        <v>0</v>
      </c>
      <c r="K326" s="50">
        <v>0</v>
      </c>
      <c r="L326" s="50">
        <v>0</v>
      </c>
      <c r="M326" s="49">
        <f t="shared" ref="M326" si="74">IFERROR(I326-J326,"")</f>
        <v>0</v>
      </c>
      <c r="N326" s="49" t="s">
        <v>158</v>
      </c>
    </row>
    <row r="327" spans="1:14">
      <c r="A327" s="47">
        <v>46017</v>
      </c>
      <c r="B327" s="48">
        <v>46017</v>
      </c>
      <c r="C327" s="49">
        <v>0</v>
      </c>
      <c r="D327" s="49">
        <v>0</v>
      </c>
      <c r="E327" s="49">
        <v>0</v>
      </c>
      <c r="F327" s="49">
        <v>0</v>
      </c>
      <c r="G327" s="49"/>
      <c r="H327" s="49" t="str">
        <f>IFERROR(VLOOKUP(G327,[2]Basic_Data!$E$2:$I$9,5,0),"")</f>
        <v/>
      </c>
      <c r="I327" s="49">
        <v>0</v>
      </c>
      <c r="J327" s="49">
        <v>0</v>
      </c>
      <c r="K327" s="50">
        <v>0</v>
      </c>
      <c r="L327" s="50">
        <v>0</v>
      </c>
      <c r="M327" s="49">
        <f t="shared" ref="M327" si="75">IFERROR(I327-J327,"")</f>
        <v>0</v>
      </c>
      <c r="N327" s="49" t="s">
        <v>158</v>
      </c>
    </row>
    <row r="328" spans="1:14">
      <c r="A328" s="47">
        <v>46018</v>
      </c>
      <c r="B328" s="48">
        <v>46018</v>
      </c>
      <c r="C328" s="49">
        <v>0</v>
      </c>
      <c r="D328" s="49">
        <v>0</v>
      </c>
      <c r="E328" s="49">
        <v>0</v>
      </c>
      <c r="F328" s="49">
        <v>0</v>
      </c>
      <c r="G328" s="49"/>
      <c r="H328" s="49" t="str">
        <f>IFERROR(VLOOKUP(G328,[2]Basic_Data!$E$2:$I$9,5,0),"")</f>
        <v/>
      </c>
      <c r="I328" s="49">
        <v>0</v>
      </c>
      <c r="J328" s="49">
        <v>0</v>
      </c>
      <c r="K328" s="50">
        <v>0</v>
      </c>
      <c r="L328" s="50">
        <v>0</v>
      </c>
      <c r="M328" s="49">
        <f t="shared" ref="M328" si="76">IFERROR(I328-J328,"")</f>
        <v>0</v>
      </c>
      <c r="N328" s="49" t="s">
        <v>158</v>
      </c>
    </row>
    <row r="329" spans="1:14">
      <c r="A329" s="47">
        <v>46019</v>
      </c>
      <c r="B329" s="48">
        <v>46019</v>
      </c>
      <c r="C329" s="49">
        <v>0</v>
      </c>
      <c r="D329" s="49">
        <v>0</v>
      </c>
      <c r="E329" s="49">
        <v>0</v>
      </c>
      <c r="F329" s="49">
        <v>0</v>
      </c>
      <c r="G329" s="49"/>
      <c r="H329" s="49" t="str">
        <f>IFERROR(VLOOKUP(G329,[2]Basic_Data!$E$2:$I$9,5,0),"")</f>
        <v/>
      </c>
      <c r="I329" s="49">
        <v>0</v>
      </c>
      <c r="J329" s="49">
        <v>0</v>
      </c>
      <c r="K329" s="50">
        <v>0</v>
      </c>
      <c r="L329" s="50">
        <v>0</v>
      </c>
      <c r="M329" s="49">
        <f t="shared" ref="M329" si="77">IFERROR(I329-J329,"")</f>
        <v>0</v>
      </c>
      <c r="N329" s="49" t="s">
        <v>158</v>
      </c>
    </row>
    <row r="330" spans="1:14">
      <c r="A330" s="47">
        <v>46020</v>
      </c>
      <c r="B330" s="48">
        <v>46020</v>
      </c>
      <c r="C330" s="49">
        <v>0</v>
      </c>
      <c r="D330" s="49">
        <v>0</v>
      </c>
      <c r="E330" s="49">
        <v>0</v>
      </c>
      <c r="F330" s="49">
        <v>0</v>
      </c>
      <c r="G330" s="49"/>
      <c r="H330" s="49" t="str">
        <f>IFERROR(VLOOKUP(G330,[2]Basic_Data!$E$2:$I$9,5,0),"")</f>
        <v/>
      </c>
      <c r="I330" s="49">
        <v>0</v>
      </c>
      <c r="J330" s="49">
        <v>0</v>
      </c>
      <c r="K330" s="50">
        <v>0</v>
      </c>
      <c r="L330" s="50">
        <v>0</v>
      </c>
      <c r="M330" s="49">
        <f t="shared" ref="M330" si="78">IFERROR(I330-J330,"")</f>
        <v>0</v>
      </c>
      <c r="N330" s="49" t="s">
        <v>158</v>
      </c>
    </row>
    <row r="331" spans="1:14">
      <c r="A331" s="47">
        <v>46021</v>
      </c>
      <c r="B331" s="48">
        <v>46021</v>
      </c>
      <c r="C331" s="49">
        <v>0</v>
      </c>
      <c r="D331" s="49">
        <v>0</v>
      </c>
      <c r="E331" s="49">
        <v>0</v>
      </c>
      <c r="F331" s="49">
        <v>0</v>
      </c>
      <c r="G331" s="49"/>
      <c r="H331" s="49" t="str">
        <f>IFERROR(VLOOKUP(G331,[2]Basic_Data!$E$2:$I$9,5,0),"")</f>
        <v/>
      </c>
      <c r="I331" s="49">
        <v>0</v>
      </c>
      <c r="J331" s="49">
        <v>0</v>
      </c>
      <c r="K331" s="50">
        <v>0</v>
      </c>
      <c r="L331" s="50">
        <v>0</v>
      </c>
      <c r="M331" s="49">
        <f t="shared" ref="M331" si="79">IFERROR(I331-J331,"")</f>
        <v>0</v>
      </c>
      <c r="N331" s="49" t="s">
        <v>158</v>
      </c>
    </row>
    <row r="332" spans="1:14">
      <c r="A332" s="47">
        <v>46022</v>
      </c>
      <c r="B332" s="48">
        <v>46022</v>
      </c>
      <c r="C332" s="49">
        <v>0</v>
      </c>
      <c r="D332" s="49">
        <v>0</v>
      </c>
      <c r="E332" s="49">
        <v>0</v>
      </c>
      <c r="F332" s="49">
        <v>0</v>
      </c>
      <c r="G332" s="49"/>
      <c r="H332" s="49" t="str">
        <f>IFERROR(VLOOKUP(G332,[2]Basic_Data!$E$2:$I$9,5,0),"")</f>
        <v/>
      </c>
      <c r="I332" s="49">
        <v>0</v>
      </c>
      <c r="J332" s="49">
        <v>0</v>
      </c>
      <c r="K332" s="50">
        <v>0</v>
      </c>
      <c r="L332" s="50">
        <v>0</v>
      </c>
      <c r="M332" s="49">
        <f t="shared" ref="M332" si="80">IFERROR(I332-J332,"")</f>
        <v>0</v>
      </c>
      <c r="N332" s="49" t="s">
        <v>158</v>
      </c>
    </row>
    <row r="333" spans="1:14">
      <c r="A333" s="47">
        <v>46023</v>
      </c>
      <c r="B333" s="48">
        <v>46023</v>
      </c>
      <c r="C333" s="49">
        <v>0</v>
      </c>
      <c r="D333" s="49">
        <v>0</v>
      </c>
      <c r="E333" s="49">
        <v>0</v>
      </c>
      <c r="F333" s="49">
        <v>0</v>
      </c>
      <c r="G333" s="49"/>
      <c r="H333" s="49" t="str">
        <f>IFERROR(VLOOKUP(G333,[2]Basic_Data!$E$2:$I$9,5,0),"")</f>
        <v/>
      </c>
      <c r="I333" s="49">
        <v>0</v>
      </c>
      <c r="J333" s="49">
        <v>0</v>
      </c>
      <c r="K333" s="50">
        <v>0</v>
      </c>
      <c r="L333" s="50">
        <v>0</v>
      </c>
      <c r="M333" s="49">
        <f t="shared" ref="M333" si="81">IFERROR(I333-J333,"")</f>
        <v>0</v>
      </c>
      <c r="N333" s="49" t="s">
        <v>158</v>
      </c>
    </row>
    <row r="334" spans="1:14">
      <c r="A334" s="47">
        <v>46024</v>
      </c>
      <c r="B334" s="48">
        <v>46024</v>
      </c>
      <c r="C334" s="49">
        <v>0</v>
      </c>
      <c r="D334" s="49">
        <v>0</v>
      </c>
      <c r="E334" s="49">
        <v>0</v>
      </c>
      <c r="F334" s="49">
        <v>0</v>
      </c>
      <c r="G334" s="49"/>
      <c r="H334" s="49" t="str">
        <f>IFERROR(VLOOKUP(G334,[2]Basic_Data!$E$2:$I$9,5,0),"")</f>
        <v/>
      </c>
      <c r="I334" s="49">
        <v>0</v>
      </c>
      <c r="J334" s="49">
        <v>0</v>
      </c>
      <c r="K334" s="50">
        <v>0</v>
      </c>
      <c r="L334" s="50">
        <v>0</v>
      </c>
      <c r="M334" s="49">
        <f t="shared" ref="M334:M339" si="82">IFERROR(I334-J334,"")</f>
        <v>0</v>
      </c>
      <c r="N334" s="49" t="s">
        <v>158</v>
      </c>
    </row>
    <row r="335" spans="1:14">
      <c r="A335" s="47">
        <v>46025</v>
      </c>
      <c r="B335" s="48">
        <v>46025</v>
      </c>
      <c r="C335" s="49">
        <v>0</v>
      </c>
      <c r="D335" s="49">
        <v>0</v>
      </c>
      <c r="E335" s="49">
        <v>0</v>
      </c>
      <c r="F335" s="49">
        <v>0</v>
      </c>
      <c r="G335" s="49"/>
      <c r="H335" s="49" t="str">
        <f>IFERROR(VLOOKUP(G335,[2]Basic_Data!$E$2:$I$9,5,0),"")</f>
        <v/>
      </c>
      <c r="I335" s="49">
        <v>0</v>
      </c>
      <c r="J335" s="49">
        <v>0</v>
      </c>
      <c r="K335" s="50">
        <v>0</v>
      </c>
      <c r="L335" s="50">
        <v>0</v>
      </c>
      <c r="M335" s="49">
        <f t="shared" si="82"/>
        <v>0</v>
      </c>
      <c r="N335" s="49" t="s">
        <v>158</v>
      </c>
    </row>
    <row r="336" spans="1:14">
      <c r="A336" s="47">
        <v>46026</v>
      </c>
      <c r="B336" s="48">
        <v>46026</v>
      </c>
      <c r="C336" s="49">
        <v>0</v>
      </c>
      <c r="D336" s="49">
        <v>0</v>
      </c>
      <c r="E336" s="49">
        <v>0</v>
      </c>
      <c r="F336" s="49">
        <v>0</v>
      </c>
      <c r="G336" s="49"/>
      <c r="H336" s="49" t="str">
        <f>IFERROR(VLOOKUP(G336,[2]Basic_Data!$E$2:$I$9,5,0),"")</f>
        <v/>
      </c>
      <c r="I336" s="49">
        <v>0</v>
      </c>
      <c r="J336" s="49">
        <v>0</v>
      </c>
      <c r="K336" s="50">
        <v>0</v>
      </c>
      <c r="L336" s="50">
        <v>0</v>
      </c>
      <c r="M336" s="49">
        <f t="shared" si="82"/>
        <v>0</v>
      </c>
      <c r="N336" s="49" t="s">
        <v>158</v>
      </c>
    </row>
    <row r="337" spans="1:14">
      <c r="A337" s="47">
        <v>46027</v>
      </c>
      <c r="B337" s="48">
        <v>46027</v>
      </c>
      <c r="C337" s="49">
        <v>0</v>
      </c>
      <c r="D337" s="49">
        <v>0</v>
      </c>
      <c r="E337" s="49">
        <v>0</v>
      </c>
      <c r="F337" s="49">
        <v>0</v>
      </c>
      <c r="G337" s="49"/>
      <c r="H337" s="49" t="str">
        <f>IFERROR(VLOOKUP(G337,[2]Basic_Data!$E$2:$I$9,5,0),"")</f>
        <v/>
      </c>
      <c r="I337" s="49">
        <v>0</v>
      </c>
      <c r="J337" s="49">
        <v>0</v>
      </c>
      <c r="K337" s="50">
        <v>0</v>
      </c>
      <c r="L337" s="50">
        <v>0</v>
      </c>
      <c r="M337" s="49">
        <f t="shared" si="82"/>
        <v>0</v>
      </c>
      <c r="N337" s="49" t="s">
        <v>158</v>
      </c>
    </row>
    <row r="338" spans="1:14">
      <c r="A338" s="47">
        <v>46028</v>
      </c>
      <c r="B338" s="48">
        <v>46028</v>
      </c>
      <c r="C338" s="49">
        <v>0</v>
      </c>
      <c r="D338" s="49">
        <v>0</v>
      </c>
      <c r="E338" s="49">
        <v>0</v>
      </c>
      <c r="F338" s="49">
        <v>0</v>
      </c>
      <c r="G338" s="49"/>
      <c r="H338" s="49" t="str">
        <f>IFERROR(VLOOKUP(G338,[2]Basic_Data!$E$2:$I$9,5,0),"")</f>
        <v/>
      </c>
      <c r="I338" s="49">
        <v>0</v>
      </c>
      <c r="J338" s="49">
        <v>0</v>
      </c>
      <c r="K338" s="50">
        <v>0</v>
      </c>
      <c r="L338" s="50">
        <v>0</v>
      </c>
      <c r="M338" s="49">
        <f t="shared" si="82"/>
        <v>0</v>
      </c>
      <c r="N338" s="49" t="s">
        <v>158</v>
      </c>
    </row>
    <row r="339" spans="1:14">
      <c r="A339" s="47">
        <v>46029</v>
      </c>
      <c r="B339" s="48">
        <v>46029</v>
      </c>
      <c r="C339" s="49">
        <v>0</v>
      </c>
      <c r="D339" s="49">
        <v>0</v>
      </c>
      <c r="E339" s="49">
        <v>0</v>
      </c>
      <c r="F339" s="49">
        <v>0</v>
      </c>
      <c r="G339" s="49"/>
      <c r="H339" s="49" t="str">
        <f>IFERROR(VLOOKUP(G339,[2]Basic_Data!$E$2:$I$9,5,0),"")</f>
        <v/>
      </c>
      <c r="I339" s="49">
        <v>0</v>
      </c>
      <c r="J339" s="49">
        <v>0</v>
      </c>
      <c r="K339" s="50">
        <v>0</v>
      </c>
      <c r="L339" s="50">
        <v>0</v>
      </c>
      <c r="M339" s="49">
        <f t="shared" si="82"/>
        <v>0</v>
      </c>
      <c r="N339" s="49" t="s">
        <v>158</v>
      </c>
    </row>
    <row r="340" spans="1:14">
      <c r="A340" s="47">
        <v>46030</v>
      </c>
      <c r="B340" s="48">
        <v>46030</v>
      </c>
      <c r="C340" s="49">
        <v>0</v>
      </c>
      <c r="D340" s="49">
        <v>0</v>
      </c>
      <c r="E340" s="49">
        <v>0</v>
      </c>
      <c r="F340" s="49">
        <v>0</v>
      </c>
      <c r="G340" s="49"/>
      <c r="H340" s="49" t="str">
        <f>IFERROR(VLOOKUP(G340,[2]Basic_Data!$E$2:$I$9,5,0),"")</f>
        <v/>
      </c>
      <c r="I340" s="49">
        <v>0</v>
      </c>
      <c r="J340" s="49">
        <v>0</v>
      </c>
      <c r="K340" s="50">
        <v>0</v>
      </c>
      <c r="L340" s="50">
        <v>0</v>
      </c>
      <c r="M340" s="49">
        <f t="shared" ref="M340" si="83">IFERROR(I340-J340,"")</f>
        <v>0</v>
      </c>
      <c r="N340" s="49" t="s">
        <v>158</v>
      </c>
    </row>
    <row r="341" spans="1:14">
      <c r="A341" s="47">
        <v>46031</v>
      </c>
      <c r="B341" s="48">
        <v>46031</v>
      </c>
      <c r="C341" s="49">
        <v>0</v>
      </c>
      <c r="D341" s="49">
        <v>0</v>
      </c>
      <c r="E341" s="49">
        <v>0</v>
      </c>
      <c r="F341" s="49">
        <v>0</v>
      </c>
      <c r="G341" s="49"/>
      <c r="H341" s="49" t="str">
        <f>IFERROR(VLOOKUP(G341,[2]Basic_Data!$E$2:$I$9,5,0),"")</f>
        <v/>
      </c>
      <c r="I341" s="49">
        <v>0</v>
      </c>
      <c r="J341" s="49">
        <v>0</v>
      </c>
      <c r="K341" s="50">
        <v>0</v>
      </c>
      <c r="L341" s="50">
        <v>0</v>
      </c>
      <c r="M341" s="49">
        <f t="shared" ref="M341" si="84">IFERROR(I341-J341,"")</f>
        <v>0</v>
      </c>
      <c r="N341" s="49" t="s">
        <v>158</v>
      </c>
    </row>
    <row r="342" spans="1:14">
      <c r="A342" s="47">
        <v>46032</v>
      </c>
      <c r="B342" s="48">
        <v>46032</v>
      </c>
      <c r="C342" s="49">
        <v>0</v>
      </c>
      <c r="D342" s="49">
        <v>0</v>
      </c>
      <c r="E342" s="49">
        <v>0</v>
      </c>
      <c r="F342" s="49">
        <v>0</v>
      </c>
      <c r="G342" s="49"/>
      <c r="H342" s="49" t="str">
        <f>IFERROR(VLOOKUP(G342,[2]Basic_Data!$E$2:$I$9,5,0),"")</f>
        <v/>
      </c>
      <c r="I342" s="49">
        <v>0</v>
      </c>
      <c r="J342" s="49">
        <v>0</v>
      </c>
      <c r="K342" s="50">
        <v>0</v>
      </c>
      <c r="L342" s="50">
        <v>0</v>
      </c>
      <c r="M342" s="49">
        <f t="shared" ref="M342" si="85">IFERROR(I342-J342,"")</f>
        <v>0</v>
      </c>
      <c r="N342" s="49" t="s">
        <v>158</v>
      </c>
    </row>
    <row r="343" spans="1:14">
      <c r="A343" s="47">
        <v>46033</v>
      </c>
      <c r="B343" s="48">
        <v>46033</v>
      </c>
      <c r="C343" s="49">
        <v>0</v>
      </c>
      <c r="D343" s="49">
        <v>0</v>
      </c>
      <c r="E343" s="49">
        <v>0</v>
      </c>
      <c r="F343" s="49">
        <v>0</v>
      </c>
      <c r="G343" s="49"/>
      <c r="H343" s="49" t="str">
        <f>IFERROR(VLOOKUP(G343,[2]Basic_Data!$E$2:$I$9,5,0),"")</f>
        <v/>
      </c>
      <c r="I343" s="49">
        <v>0</v>
      </c>
      <c r="J343" s="49">
        <v>0</v>
      </c>
      <c r="K343" s="50">
        <v>0</v>
      </c>
      <c r="L343" s="50">
        <v>0</v>
      </c>
      <c r="M343" s="49">
        <f t="shared" ref="M343" si="86">IFERROR(I343-J343,"")</f>
        <v>0</v>
      </c>
      <c r="N343" s="49" t="s">
        <v>158</v>
      </c>
    </row>
    <row r="344" spans="1:14">
      <c r="A344" s="47">
        <v>46034</v>
      </c>
      <c r="B344" s="48">
        <v>46034</v>
      </c>
      <c r="C344" s="49">
        <v>0</v>
      </c>
      <c r="D344" s="49">
        <v>0</v>
      </c>
      <c r="E344" s="49">
        <v>0</v>
      </c>
      <c r="F344" s="49">
        <v>0</v>
      </c>
      <c r="G344" s="49"/>
      <c r="H344" s="49" t="str">
        <f>IFERROR(VLOOKUP(G344,[2]Basic_Data!$E$2:$I$9,5,0),"")</f>
        <v/>
      </c>
      <c r="I344" s="49">
        <v>0</v>
      </c>
      <c r="J344" s="49">
        <v>0</v>
      </c>
      <c r="K344" s="50">
        <v>0</v>
      </c>
      <c r="L344" s="50">
        <v>0</v>
      </c>
      <c r="M344" s="49">
        <f t="shared" ref="M344" si="87">IFERROR(I344-J344,"")</f>
        <v>0</v>
      </c>
      <c r="N344" s="49" t="s">
        <v>158</v>
      </c>
    </row>
    <row r="345" spans="1:14">
      <c r="A345" s="47">
        <v>46035</v>
      </c>
      <c r="B345" s="48">
        <v>46035</v>
      </c>
      <c r="C345" s="49">
        <v>0</v>
      </c>
      <c r="D345" s="49">
        <v>0</v>
      </c>
      <c r="E345" s="49">
        <v>0</v>
      </c>
      <c r="F345" s="49">
        <v>0</v>
      </c>
      <c r="G345" s="49"/>
      <c r="H345" s="49" t="str">
        <f>IFERROR(VLOOKUP(G345,[2]Basic_Data!$E$2:$I$9,5,0),"")</f>
        <v/>
      </c>
      <c r="I345" s="49">
        <v>0</v>
      </c>
      <c r="J345" s="49">
        <v>0</v>
      </c>
      <c r="K345" s="50">
        <v>0</v>
      </c>
      <c r="L345" s="50">
        <v>0</v>
      </c>
      <c r="M345" s="49">
        <f t="shared" ref="M345" si="88">IFERROR(I345-J345,"")</f>
        <v>0</v>
      </c>
      <c r="N345" s="49" t="s">
        <v>158</v>
      </c>
    </row>
    <row r="346" spans="1:14">
      <c r="A346" s="47">
        <v>46036</v>
      </c>
      <c r="B346" s="48">
        <v>46036</v>
      </c>
      <c r="C346" s="49">
        <v>0</v>
      </c>
      <c r="D346" s="49">
        <v>0</v>
      </c>
      <c r="E346" s="49">
        <v>0</v>
      </c>
      <c r="F346" s="49">
        <v>0</v>
      </c>
      <c r="G346" s="49"/>
      <c r="H346" s="49" t="str">
        <f>IFERROR(VLOOKUP(G346,[2]Basic_Data!$E$2:$I$9,5,0),"")</f>
        <v/>
      </c>
      <c r="I346" s="49">
        <v>0</v>
      </c>
      <c r="J346" s="49">
        <v>0</v>
      </c>
      <c r="K346" s="50">
        <v>0</v>
      </c>
      <c r="L346" s="50">
        <v>0</v>
      </c>
      <c r="M346" s="49">
        <f t="shared" ref="M346" si="89">IFERROR(I346-J346,"")</f>
        <v>0</v>
      </c>
      <c r="N346" s="49" t="s">
        <v>158</v>
      </c>
    </row>
    <row r="347" spans="1:14">
      <c r="A347" s="47">
        <v>46037</v>
      </c>
      <c r="B347" s="48">
        <v>46037</v>
      </c>
      <c r="C347" s="49">
        <v>0</v>
      </c>
      <c r="D347" s="49">
        <v>0</v>
      </c>
      <c r="E347" s="49">
        <v>0</v>
      </c>
      <c r="F347" s="49">
        <v>0</v>
      </c>
      <c r="G347" s="49"/>
      <c r="H347" s="49" t="str">
        <f>IFERROR(VLOOKUP(G347,[2]Basic_Data!$E$2:$I$9,5,0),"")</f>
        <v/>
      </c>
      <c r="I347" s="49">
        <v>0</v>
      </c>
      <c r="J347" s="49">
        <v>0</v>
      </c>
      <c r="K347" s="50">
        <v>0</v>
      </c>
      <c r="L347" s="50">
        <v>0</v>
      </c>
      <c r="M347" s="49">
        <f t="shared" ref="M347:M350" si="90">IFERROR(I347-J347,"")</f>
        <v>0</v>
      </c>
      <c r="N347" s="49" t="s">
        <v>158</v>
      </c>
    </row>
    <row r="348" spans="1:14">
      <c r="A348" s="47">
        <v>46038</v>
      </c>
      <c r="B348" s="48">
        <v>46038</v>
      </c>
      <c r="C348" s="49"/>
      <c r="D348" s="49"/>
      <c r="E348" s="49"/>
      <c r="F348" s="49"/>
      <c r="G348" s="49"/>
      <c r="H348" s="49" t="str">
        <f>IFERROR(VLOOKUP(G348,[2]Basic_Data!$E$2:$I$9,5,0),"")</f>
        <v/>
      </c>
      <c r="I348" s="49" t="str">
        <f>IFERROR(VLOOKUP($G348,[2]Basic_Data!$E$2:$H$10,4,0),"")</f>
        <v/>
      </c>
      <c r="J348" s="49"/>
      <c r="K348" s="50">
        <f>IFERROR(VLOOKUP($B348-1,[2]Inverter_PR!$B:$I,[2]Module_Cleaning!H321,0),"")</f>
        <v>1.20096601837338</v>
      </c>
      <c r="L348" s="50">
        <f>IFERROR(VLOOKUP($B348+1,[2]Inverter_PR!$B:$I,[2]Module_Cleaning!H321,0),"")</f>
        <v>1.2290334538041</v>
      </c>
      <c r="M348" s="49" t="str">
        <f t="shared" si="90"/>
        <v/>
      </c>
      <c r="N348" s="49"/>
    </row>
    <row r="349" spans="1:14">
      <c r="A349" s="47">
        <v>46039</v>
      </c>
      <c r="B349" s="48">
        <v>46039</v>
      </c>
      <c r="C349" s="49">
        <v>1</v>
      </c>
      <c r="D349" s="49">
        <v>3000</v>
      </c>
      <c r="E349" s="49"/>
      <c r="F349" s="49">
        <v>1</v>
      </c>
      <c r="G349" s="49" t="s">
        <v>41</v>
      </c>
      <c r="H349" s="49">
        <f>IFERROR(VLOOKUP(G349,[2]Basic_Data!$E$2:$I$9,5,0),"")</f>
        <v>8</v>
      </c>
      <c r="I349" s="49">
        <f>IFERROR(VLOOKUP($G349,[2]Basic_Data!$E$2:$H$10,4,0),"")</f>
        <v>644</v>
      </c>
      <c r="J349" s="49"/>
      <c r="K349" s="50" t="str">
        <f>IFERROR(VLOOKUP($B349-1,[2]Inverter_PR!$B:$I,[2]Module_Cleaning!H322,0),"")</f>
        <v/>
      </c>
      <c r="L349" s="50" t="str">
        <f>IFERROR(VLOOKUP($B349+1,[2]Inverter_PR!$B:$I,[2]Module_Cleaning!H322,0),"")</f>
        <v/>
      </c>
      <c r="M349" s="49">
        <f t="shared" si="90"/>
        <v>644</v>
      </c>
      <c r="N349" s="49" t="s">
        <v>153</v>
      </c>
    </row>
    <row r="350" spans="1:14">
      <c r="A350" s="47">
        <v>46040</v>
      </c>
      <c r="B350" s="48">
        <v>46040</v>
      </c>
      <c r="C350" s="49">
        <v>2</v>
      </c>
      <c r="D350" s="49">
        <v>6000</v>
      </c>
      <c r="E350" s="49"/>
      <c r="F350" s="49">
        <v>1</v>
      </c>
      <c r="G350" s="49" t="s">
        <v>41</v>
      </c>
      <c r="H350" s="49">
        <f>IFERROR(VLOOKUP(G350,[2]Basic_Data!$E$2:$I$9,5,0),"")</f>
        <v>8</v>
      </c>
      <c r="I350" s="49">
        <f>IFERROR(VLOOKUP($G350,[2]Basic_Data!$E$2:$H$10,4,0),"")</f>
        <v>644</v>
      </c>
      <c r="J350" s="49"/>
      <c r="K350" s="50" t="str">
        <f>IFERROR(VLOOKUP($B350-1,[2]Inverter_PR!$B:$I,[2]Module_Cleaning!H323,0),"")</f>
        <v/>
      </c>
      <c r="L350" s="50" t="str">
        <f>IFERROR(VLOOKUP($B350+1,[2]Inverter_PR!$B:$I,[2]Module_Cleaning!H323,0),"")</f>
        <v/>
      </c>
      <c r="M350" s="49">
        <f t="shared" si="90"/>
        <v>644</v>
      </c>
      <c r="N350" s="49" t="s">
        <v>153</v>
      </c>
    </row>
    <row r="351" spans="1:14">
      <c r="A351" s="47"/>
      <c r="B351" s="48"/>
      <c r="C351" s="49"/>
      <c r="D351" s="49"/>
      <c r="E351" s="49"/>
      <c r="F351" s="49">
        <v>1</v>
      </c>
      <c r="G351" s="49" t="s">
        <v>39</v>
      </c>
      <c r="H351" s="49"/>
      <c r="I351" s="49"/>
      <c r="J351" s="49"/>
      <c r="K351" s="50"/>
      <c r="L351" s="50"/>
      <c r="M351" s="49"/>
      <c r="N351" s="49" t="s">
        <v>153</v>
      </c>
    </row>
    <row r="352" spans="1:14">
      <c r="A352" s="47"/>
      <c r="B352" s="48"/>
      <c r="C352" s="49"/>
      <c r="D352" s="49"/>
      <c r="E352" s="49"/>
      <c r="F352" s="49">
        <v>1</v>
      </c>
      <c r="G352" s="49" t="s">
        <v>36</v>
      </c>
      <c r="H352" s="49"/>
      <c r="I352" s="49"/>
      <c r="J352" s="49"/>
      <c r="K352" s="50"/>
      <c r="L352" s="50"/>
      <c r="M352" s="49"/>
      <c r="N352" s="49" t="s">
        <v>153</v>
      </c>
    </row>
    <row r="353" spans="1:14">
      <c r="A353" s="47"/>
      <c r="B353" s="48"/>
      <c r="C353" s="49"/>
      <c r="D353" s="49"/>
      <c r="E353" s="49"/>
      <c r="F353" s="49">
        <v>1</v>
      </c>
      <c r="G353" s="49" t="s">
        <v>38</v>
      </c>
      <c r="H353" s="49"/>
      <c r="I353" s="49"/>
      <c r="J353" s="49"/>
      <c r="K353" s="50"/>
      <c r="L353" s="50"/>
      <c r="M353" s="49"/>
      <c r="N353" s="49" t="s">
        <v>153</v>
      </c>
    </row>
    <row r="354" spans="1:14">
      <c r="A354" s="47">
        <v>46041</v>
      </c>
      <c r="B354" s="48">
        <v>46041</v>
      </c>
      <c r="C354" s="49">
        <v>3</v>
      </c>
      <c r="D354" s="49">
        <v>9000</v>
      </c>
      <c r="E354" s="49"/>
      <c r="F354" s="49">
        <v>1</v>
      </c>
      <c r="G354" s="49" t="s">
        <v>35</v>
      </c>
      <c r="H354" s="49">
        <f>IFERROR(VLOOKUP(G354,[2]Basic_Data!$E$2:$I$9,5,0),"")</f>
        <v>2</v>
      </c>
      <c r="I354" s="49">
        <f>IFERROR(VLOOKUP($G354,[2]Basic_Data!$E$2:$H$10,4,0),"")</f>
        <v>616</v>
      </c>
      <c r="J354" s="49"/>
      <c r="K354" s="50" t="str">
        <f>IFERROR(VLOOKUP($B354-1,[2]Inverter_PR!$B:$I,[2]Module_Cleaning!H324,0),"")</f>
        <v/>
      </c>
      <c r="L354" s="50" t="str">
        <f>IFERROR(VLOOKUP($B354+1,[2]Inverter_PR!$B:$I,[2]Module_Cleaning!H324,0),"")</f>
        <v/>
      </c>
      <c r="M354" s="49">
        <f>IFERROR(I354-J354,"")</f>
        <v>616</v>
      </c>
      <c r="N354" s="49" t="s">
        <v>153</v>
      </c>
    </row>
    <row r="355" spans="1:14">
      <c r="A355" s="47"/>
      <c r="B355" s="48"/>
      <c r="C355" s="49"/>
      <c r="D355" s="49"/>
      <c r="E355" s="49"/>
      <c r="F355" s="49">
        <v>1</v>
      </c>
      <c r="G355" s="49" t="s">
        <v>37</v>
      </c>
      <c r="H355" s="49"/>
      <c r="I355" s="49"/>
      <c r="J355" s="49"/>
      <c r="K355" s="50"/>
      <c r="L355" s="50"/>
      <c r="M355" s="49"/>
      <c r="N355" s="49" t="s">
        <v>153</v>
      </c>
    </row>
    <row r="356" spans="1:14">
      <c r="A356" s="47"/>
      <c r="B356" s="48"/>
      <c r="C356" s="49"/>
      <c r="D356" s="49"/>
      <c r="E356" s="49"/>
      <c r="F356" s="49">
        <v>1</v>
      </c>
      <c r="G356" s="49" t="s">
        <v>40</v>
      </c>
      <c r="H356" s="49"/>
      <c r="I356" s="49"/>
      <c r="J356" s="49"/>
      <c r="K356" s="50"/>
      <c r="L356" s="50"/>
      <c r="M356" s="49"/>
      <c r="N356" s="49" t="s">
        <v>153</v>
      </c>
    </row>
    <row r="357" spans="1:14">
      <c r="A357" s="47">
        <v>46042</v>
      </c>
      <c r="B357" s="48">
        <v>46042</v>
      </c>
      <c r="C357" s="49">
        <v>2</v>
      </c>
      <c r="D357" s="49">
        <v>6000</v>
      </c>
      <c r="E357" s="49"/>
      <c r="F357" s="49">
        <v>1</v>
      </c>
      <c r="G357" s="49" t="s">
        <v>41</v>
      </c>
      <c r="H357" s="49">
        <f>IFERROR(VLOOKUP(G357,[2]Basic_Data!$E$2:$I$9,5,0),"")</f>
        <v>8</v>
      </c>
      <c r="I357" s="49">
        <f>IFERROR(VLOOKUP($G357,[2]Basic_Data!$E$2:$H$10,4,0),"")</f>
        <v>644</v>
      </c>
      <c r="J357" s="49"/>
      <c r="K357" s="50" t="str">
        <f>IFERROR(VLOOKUP($B357-1,[2]Inverter_PR!$B:$I,[2]Module_Cleaning!H325,0),"")</f>
        <v/>
      </c>
      <c r="L357" s="50" t="str">
        <f>IFERROR(VLOOKUP($B357+1,[2]Inverter_PR!$B:$I,[2]Module_Cleaning!H325,0),"")</f>
        <v/>
      </c>
      <c r="M357" s="49">
        <f>IFERROR(I357-J357,"")</f>
        <v>644</v>
      </c>
      <c r="N357" s="49" t="s">
        <v>153</v>
      </c>
    </row>
    <row r="358" spans="1:14">
      <c r="A358" s="47"/>
      <c r="B358" s="48"/>
      <c r="C358" s="49"/>
      <c r="D358" s="49"/>
      <c r="E358" s="49"/>
      <c r="F358" s="49">
        <v>1</v>
      </c>
      <c r="G358" s="49" t="s">
        <v>39</v>
      </c>
      <c r="H358" s="49"/>
      <c r="I358" s="49"/>
      <c r="J358" s="49"/>
      <c r="K358" s="50"/>
      <c r="L358" s="50"/>
      <c r="M358" s="49"/>
      <c r="N358" s="49" t="s">
        <v>153</v>
      </c>
    </row>
    <row r="359" spans="1:14">
      <c r="A359" s="47"/>
      <c r="B359" s="48"/>
      <c r="C359" s="49"/>
      <c r="D359" s="49"/>
      <c r="E359" s="49"/>
      <c r="F359" s="49">
        <v>1</v>
      </c>
      <c r="G359" s="49" t="s">
        <v>36</v>
      </c>
      <c r="H359" s="49"/>
      <c r="I359" s="49"/>
      <c r="J359" s="49"/>
      <c r="K359" s="50"/>
      <c r="L359" s="50"/>
      <c r="M359" s="49"/>
      <c r="N359" s="49" t="s">
        <v>153</v>
      </c>
    </row>
    <row r="360" spans="1:14">
      <c r="A360" s="47">
        <v>46043</v>
      </c>
      <c r="B360" s="48">
        <v>46043</v>
      </c>
      <c r="C360" s="49">
        <v>3</v>
      </c>
      <c r="D360" s="49">
        <v>9000</v>
      </c>
      <c r="E360" s="49"/>
      <c r="F360" s="49">
        <v>1</v>
      </c>
      <c r="G360" s="49" t="s">
        <v>38</v>
      </c>
      <c r="H360" s="49">
        <f>IFERROR(VLOOKUP(G360,[2]Basic_Data!$E$2:$I$9,5,0),"")</f>
        <v>5</v>
      </c>
      <c r="I360" s="49">
        <f>IFERROR(VLOOKUP($G360,[2]Basic_Data!$E$2:$H$10,4,0),"")</f>
        <v>644</v>
      </c>
      <c r="J360" s="49"/>
      <c r="K360" s="50" t="str">
        <f>IFERROR(VLOOKUP($B360-1,[2]Inverter_PR!$B:$I,[2]Module_Cleaning!H326,0),"")</f>
        <v/>
      </c>
      <c r="L360" s="50" t="str">
        <f>IFERROR(VLOOKUP($B360+1,[2]Inverter_PR!$B:$I,[2]Module_Cleaning!H326,0),"")</f>
        <v/>
      </c>
      <c r="M360" s="49">
        <f>IFERROR(I360-J360,"")</f>
        <v>644</v>
      </c>
      <c r="N360" s="49" t="s">
        <v>153</v>
      </c>
    </row>
    <row r="361" spans="1:14">
      <c r="A361" s="47"/>
      <c r="B361" s="48"/>
      <c r="C361" s="49"/>
      <c r="D361" s="49"/>
      <c r="E361" s="49"/>
      <c r="F361" s="49">
        <v>1</v>
      </c>
      <c r="G361" s="49" t="s">
        <v>35</v>
      </c>
      <c r="H361" s="49"/>
      <c r="I361" s="49"/>
      <c r="J361" s="49"/>
      <c r="K361" s="50"/>
      <c r="L361" s="50"/>
      <c r="M361" s="49"/>
      <c r="N361" s="49" t="s">
        <v>153</v>
      </c>
    </row>
    <row r="362" spans="1:14">
      <c r="A362" s="47"/>
      <c r="B362" s="48"/>
      <c r="C362" s="49"/>
      <c r="D362" s="49"/>
      <c r="E362" s="49"/>
      <c r="F362" s="49">
        <v>1</v>
      </c>
      <c r="G362" s="49" t="s">
        <v>37</v>
      </c>
      <c r="H362" s="49"/>
      <c r="I362" s="49"/>
      <c r="J362" s="49"/>
      <c r="K362" s="50"/>
      <c r="L362" s="50"/>
      <c r="M362" s="49"/>
      <c r="N362" s="49" t="s">
        <v>153</v>
      </c>
    </row>
    <row r="363" spans="1:14">
      <c r="A363" s="47"/>
      <c r="B363" s="48"/>
      <c r="C363" s="49"/>
      <c r="D363" s="49"/>
      <c r="E363" s="49"/>
      <c r="F363" s="49">
        <v>1</v>
      </c>
      <c r="G363" s="49" t="s">
        <v>40</v>
      </c>
      <c r="H363" s="49"/>
      <c r="I363" s="49"/>
      <c r="J363" s="49"/>
      <c r="K363" s="50"/>
      <c r="L363" s="50"/>
      <c r="M363" s="49"/>
      <c r="N363" s="49" t="s">
        <v>153</v>
      </c>
    </row>
    <row r="364" spans="1:14">
      <c r="A364" s="47">
        <v>46044</v>
      </c>
      <c r="B364" s="48">
        <v>46044</v>
      </c>
      <c r="C364" s="49">
        <v>0</v>
      </c>
      <c r="D364" s="49">
        <v>0</v>
      </c>
      <c r="E364" s="49">
        <v>0</v>
      </c>
      <c r="F364" s="49">
        <v>0</v>
      </c>
      <c r="G364" s="49"/>
      <c r="H364" s="49" t="str">
        <f>IFERROR(VLOOKUP(G364,[2]Basic_Data!$E$2:$I$9,5,0),"")</f>
        <v/>
      </c>
      <c r="I364" s="49">
        <v>0</v>
      </c>
      <c r="J364" s="49">
        <v>0</v>
      </c>
      <c r="K364" s="50">
        <v>0</v>
      </c>
      <c r="L364" s="50">
        <v>0</v>
      </c>
      <c r="M364" s="49">
        <f>IFERROR(I364-J364,"")</f>
        <v>0</v>
      </c>
      <c r="N364" s="49" t="s">
        <v>158</v>
      </c>
    </row>
    <row r="365" spans="1:14">
      <c r="A365" s="47">
        <v>46045</v>
      </c>
      <c r="B365" s="48">
        <v>46045</v>
      </c>
      <c r="C365" s="49">
        <v>0</v>
      </c>
      <c r="D365" s="49">
        <v>0</v>
      </c>
      <c r="E365" s="49">
        <v>0</v>
      </c>
      <c r="F365" s="49">
        <v>0</v>
      </c>
      <c r="G365" s="49"/>
      <c r="H365" s="49" t="str">
        <f>IFERROR(VLOOKUP(G365,[2]Basic_Data!$E$2:$I$9,5,0),"")</f>
        <v/>
      </c>
      <c r="I365" s="49">
        <v>0</v>
      </c>
      <c r="J365" s="49">
        <v>0</v>
      </c>
      <c r="K365" s="50">
        <v>0</v>
      </c>
      <c r="L365" s="50">
        <v>0</v>
      </c>
      <c r="M365" s="49">
        <f t="shared" ref="M365:M367" si="91">IFERROR(I365-J365,"")</f>
        <v>0</v>
      </c>
      <c r="N365" s="49" t="s">
        <v>158</v>
      </c>
    </row>
    <row r="366" spans="1:14">
      <c r="A366" s="47">
        <v>46046</v>
      </c>
      <c r="B366" s="48">
        <v>46046</v>
      </c>
      <c r="C366" s="49">
        <v>0</v>
      </c>
      <c r="D366" s="49">
        <v>0</v>
      </c>
      <c r="E366" s="49">
        <v>0</v>
      </c>
      <c r="F366" s="49">
        <v>0</v>
      </c>
      <c r="G366" s="49"/>
      <c r="H366" s="49" t="str">
        <f>IFERROR(VLOOKUP(G366,[2]Basic_Data!$E$2:$I$9,5,0),"")</f>
        <v/>
      </c>
      <c r="I366" s="49">
        <v>0</v>
      </c>
      <c r="J366" s="49">
        <v>0</v>
      </c>
      <c r="K366" s="50">
        <v>0</v>
      </c>
      <c r="L366" s="50">
        <v>0</v>
      </c>
      <c r="M366" s="49">
        <f t="shared" si="91"/>
        <v>0</v>
      </c>
      <c r="N366" s="49" t="s">
        <v>158</v>
      </c>
    </row>
    <row r="367" spans="1:14">
      <c r="A367" s="47">
        <v>46047</v>
      </c>
      <c r="B367" s="48">
        <v>46047</v>
      </c>
      <c r="C367" s="49">
        <v>3</v>
      </c>
      <c r="D367" s="49">
        <v>9000</v>
      </c>
      <c r="E367" s="49"/>
      <c r="F367" s="49">
        <v>2</v>
      </c>
      <c r="G367" s="49" t="s">
        <v>41</v>
      </c>
      <c r="H367" s="49">
        <f>IFERROR(VLOOKUP(G367,[2]Basic_Data!$E$2:$I$9,5,0),"")</f>
        <v>8</v>
      </c>
      <c r="I367" s="49">
        <f>IFERROR(VLOOKUP($G367,[2]Basic_Data!$E$2:$H$10,4,0),"")</f>
        <v>644</v>
      </c>
      <c r="J367" s="49"/>
      <c r="K367" s="50" t="str">
        <f>IFERROR(VLOOKUP($B367-1,[2]Inverter_PR!$B:$I,[2]Module_Cleaning!H330,0),"")</f>
        <v/>
      </c>
      <c r="L367" s="50" t="str">
        <f>IFERROR(VLOOKUP($B367+1,[2]Inverter_PR!$B:$I,[2]Module_Cleaning!H330,0),"")</f>
        <v/>
      </c>
      <c r="M367" s="49">
        <f t="shared" si="91"/>
        <v>644</v>
      </c>
      <c r="N367" s="49" t="s">
        <v>153</v>
      </c>
    </row>
    <row r="368" spans="1:14">
      <c r="A368" s="47"/>
      <c r="B368" s="48"/>
      <c r="C368" s="49"/>
      <c r="D368" s="49"/>
      <c r="E368" s="49"/>
      <c r="F368" s="49">
        <v>2</v>
      </c>
      <c r="G368" s="49" t="s">
        <v>41</v>
      </c>
      <c r="H368" s="49"/>
      <c r="I368" s="49"/>
      <c r="J368" s="49"/>
      <c r="K368" s="50"/>
      <c r="L368" s="50"/>
      <c r="M368" s="49"/>
      <c r="N368" s="49" t="s">
        <v>153</v>
      </c>
    </row>
    <row r="369" spans="1:14">
      <c r="A369" s="47"/>
      <c r="B369" s="48"/>
      <c r="C369" s="49"/>
      <c r="D369" s="49"/>
      <c r="E369" s="49"/>
      <c r="F369" s="49">
        <v>2</v>
      </c>
      <c r="G369" s="49" t="s">
        <v>39</v>
      </c>
      <c r="H369" s="49"/>
      <c r="I369" s="49"/>
      <c r="J369" s="49"/>
      <c r="K369" s="50"/>
      <c r="L369" s="50"/>
      <c r="M369" s="49"/>
      <c r="N369" s="49" t="s">
        <v>153</v>
      </c>
    </row>
    <row r="370" spans="1:14">
      <c r="A370" s="47"/>
      <c r="B370" s="48"/>
      <c r="C370" s="49"/>
      <c r="D370" s="49"/>
      <c r="E370" s="49"/>
      <c r="F370" s="49">
        <v>2</v>
      </c>
      <c r="G370" s="49" t="s">
        <v>36</v>
      </c>
      <c r="H370" s="49"/>
      <c r="I370" s="49"/>
      <c r="J370" s="49"/>
      <c r="K370" s="50"/>
      <c r="L370" s="50"/>
      <c r="M370" s="49"/>
      <c r="N370" s="49" t="s">
        <v>153</v>
      </c>
    </row>
    <row r="371" spans="1:14">
      <c r="A371" s="47">
        <v>46048</v>
      </c>
      <c r="B371" s="48">
        <v>46048</v>
      </c>
      <c r="C371" s="49"/>
      <c r="D371" s="49"/>
      <c r="E371" s="49"/>
      <c r="F371" s="49">
        <v>2</v>
      </c>
      <c r="G371" s="49" t="s">
        <v>35</v>
      </c>
      <c r="H371" s="49">
        <f>IFERROR(VLOOKUP(G371,[2]Basic_Data!$E$2:$I$9,5,0),"")</f>
        <v>2</v>
      </c>
      <c r="I371" s="49">
        <f>IFERROR(VLOOKUP($G371,[2]Basic_Data!$E$2:$H$10,4,0),"")</f>
        <v>616</v>
      </c>
      <c r="J371" s="49"/>
      <c r="K371" s="50" t="str">
        <f>IFERROR(VLOOKUP($B371-1,[2]Inverter_PR!$B:$I,[2]Module_Cleaning!H331,0),"")</f>
        <v/>
      </c>
      <c r="L371" s="50" t="str">
        <f>IFERROR(VLOOKUP($B371+1,[2]Inverter_PR!$B:$I,[2]Module_Cleaning!H331,0),"")</f>
        <v/>
      </c>
      <c r="M371" s="49">
        <f>IFERROR(I371-J371,"")</f>
        <v>616</v>
      </c>
      <c r="N371" s="49" t="s">
        <v>153</v>
      </c>
    </row>
    <row r="372" spans="1:14">
      <c r="A372" s="47"/>
      <c r="B372" s="48"/>
      <c r="C372" s="49"/>
      <c r="D372" s="49"/>
      <c r="E372" s="49"/>
      <c r="F372" s="49">
        <v>2</v>
      </c>
      <c r="G372" s="49" t="s">
        <v>37</v>
      </c>
      <c r="H372" s="49"/>
      <c r="I372" s="49"/>
      <c r="J372" s="49"/>
      <c r="K372" s="50"/>
      <c r="L372" s="50"/>
      <c r="M372" s="49"/>
      <c r="N372" s="49" t="s">
        <v>153</v>
      </c>
    </row>
    <row r="373" spans="1:14">
      <c r="A373" s="47"/>
      <c r="B373" s="48"/>
      <c r="C373" s="49"/>
      <c r="D373" s="49"/>
      <c r="E373" s="49"/>
      <c r="F373" s="49">
        <v>2</v>
      </c>
      <c r="G373" s="49" t="s">
        <v>40</v>
      </c>
      <c r="H373" s="49"/>
      <c r="I373" s="49"/>
      <c r="J373" s="49"/>
      <c r="K373" s="50"/>
      <c r="L373" s="50"/>
      <c r="M373" s="49"/>
      <c r="N373" s="49" t="s">
        <v>153</v>
      </c>
    </row>
    <row r="374" spans="1:14">
      <c r="A374" s="47">
        <v>46049</v>
      </c>
      <c r="B374" s="48">
        <v>46049</v>
      </c>
      <c r="C374" s="49">
        <v>0</v>
      </c>
      <c r="D374" s="49">
        <v>0</v>
      </c>
      <c r="E374" s="49">
        <v>0</v>
      </c>
      <c r="F374" s="49">
        <v>0</v>
      </c>
      <c r="G374" s="49"/>
      <c r="H374" s="49" t="str">
        <f>IFERROR(VLOOKUP(G374,[2]Basic_Data!$E$2:$I$9,5,0),"")</f>
        <v/>
      </c>
      <c r="I374" s="49">
        <v>0</v>
      </c>
      <c r="J374" s="49">
        <v>0</v>
      </c>
      <c r="K374" s="50">
        <v>0</v>
      </c>
      <c r="L374" s="50">
        <v>0</v>
      </c>
      <c r="M374" s="49">
        <f t="shared" ref="M374:M387" si="92">IFERROR(I374-J374,"")</f>
        <v>0</v>
      </c>
      <c r="N374" s="49" t="s">
        <v>158</v>
      </c>
    </row>
    <row r="375" spans="1:14">
      <c r="A375" s="47">
        <v>46050</v>
      </c>
      <c r="B375" s="48">
        <v>46050</v>
      </c>
      <c r="C375" s="49">
        <v>0</v>
      </c>
      <c r="D375" s="49">
        <v>0</v>
      </c>
      <c r="E375" s="49">
        <v>0</v>
      </c>
      <c r="F375" s="49">
        <v>0</v>
      </c>
      <c r="G375" s="49"/>
      <c r="H375" s="49" t="str">
        <f>IFERROR(VLOOKUP(G375,[2]Basic_Data!$E$2:$I$9,5,0),"")</f>
        <v/>
      </c>
      <c r="I375" s="49">
        <v>0</v>
      </c>
      <c r="J375" s="49">
        <v>0</v>
      </c>
      <c r="K375" s="50">
        <v>0</v>
      </c>
      <c r="L375" s="50">
        <v>0</v>
      </c>
      <c r="M375" s="49">
        <f t="shared" si="92"/>
        <v>0</v>
      </c>
      <c r="N375" s="49" t="s">
        <v>158</v>
      </c>
    </row>
    <row r="376" spans="1:14">
      <c r="A376" s="47">
        <v>46051</v>
      </c>
      <c r="B376" s="48">
        <v>46051</v>
      </c>
      <c r="C376" s="49">
        <v>0</v>
      </c>
      <c r="D376" s="49">
        <v>0</v>
      </c>
      <c r="E376" s="49">
        <v>0</v>
      </c>
      <c r="F376" s="49">
        <v>0</v>
      </c>
      <c r="G376" s="49"/>
      <c r="H376" s="49" t="str">
        <f>IFERROR(VLOOKUP(G376,[2]Basic_Data!$E$2:$I$9,5,0),"")</f>
        <v/>
      </c>
      <c r="I376" s="49">
        <v>0</v>
      </c>
      <c r="J376" s="49">
        <v>0</v>
      </c>
      <c r="K376" s="50">
        <v>0</v>
      </c>
      <c r="L376" s="50">
        <v>0</v>
      </c>
      <c r="M376" s="49">
        <f t="shared" si="92"/>
        <v>0</v>
      </c>
      <c r="N376" s="49" t="s">
        <v>158</v>
      </c>
    </row>
    <row r="377" spans="1:14">
      <c r="A377" s="47">
        <v>46052</v>
      </c>
      <c r="B377" s="48">
        <v>46052</v>
      </c>
      <c r="C377" s="49">
        <v>0</v>
      </c>
      <c r="D377" s="49">
        <v>0</v>
      </c>
      <c r="E377" s="49">
        <v>0</v>
      </c>
      <c r="F377" s="49">
        <v>0</v>
      </c>
      <c r="G377" s="49"/>
      <c r="H377" s="49" t="str">
        <f>IFERROR(VLOOKUP(G377,[2]Basic_Data!$E$2:$I$9,5,0),"")</f>
        <v/>
      </c>
      <c r="I377" s="49">
        <v>0</v>
      </c>
      <c r="J377" s="49">
        <v>0</v>
      </c>
      <c r="K377" s="50">
        <v>0</v>
      </c>
      <c r="L377" s="50">
        <v>0</v>
      </c>
      <c r="M377" s="49">
        <f t="shared" si="92"/>
        <v>0</v>
      </c>
      <c r="N377" s="49" t="s">
        <v>158</v>
      </c>
    </row>
    <row r="378" spans="1:14">
      <c r="A378" s="47">
        <v>46053</v>
      </c>
      <c r="B378" s="48">
        <v>46053</v>
      </c>
      <c r="C378" s="49">
        <v>0</v>
      </c>
      <c r="D378" s="49">
        <v>0</v>
      </c>
      <c r="E378" s="49">
        <v>0</v>
      </c>
      <c r="F378" s="49">
        <v>0</v>
      </c>
      <c r="G378" s="49"/>
      <c r="H378" s="49" t="str">
        <f>IFERROR(VLOOKUP(G378,[2]Basic_Data!$E$2:$I$9,5,0),"")</f>
        <v/>
      </c>
      <c r="I378" s="49">
        <v>0</v>
      </c>
      <c r="J378" s="49">
        <v>0</v>
      </c>
      <c r="K378" s="50">
        <v>0</v>
      </c>
      <c r="L378" s="50">
        <v>0</v>
      </c>
      <c r="M378" s="49">
        <f t="shared" si="92"/>
        <v>0</v>
      </c>
      <c r="N378" s="49" t="s">
        <v>158</v>
      </c>
    </row>
    <row r="379" spans="1:14">
      <c r="A379" s="47">
        <v>46054</v>
      </c>
      <c r="B379" s="48">
        <v>46054</v>
      </c>
      <c r="C379" s="49">
        <v>0</v>
      </c>
      <c r="D379" s="49">
        <v>0</v>
      </c>
      <c r="E379" s="49">
        <v>0</v>
      </c>
      <c r="F379" s="49">
        <v>0</v>
      </c>
      <c r="G379" s="49"/>
      <c r="H379" s="49" t="str">
        <f>IFERROR(VLOOKUP(G379,[2]Basic_Data!$E$2:$I$9,5,0),"")</f>
        <v/>
      </c>
      <c r="I379" s="49">
        <v>0</v>
      </c>
      <c r="J379" s="49">
        <v>0</v>
      </c>
      <c r="K379" s="72">
        <v>0</v>
      </c>
      <c r="L379" s="50">
        <v>0</v>
      </c>
      <c r="M379" s="49">
        <f t="shared" si="92"/>
        <v>0</v>
      </c>
      <c r="N379" s="49" t="s">
        <v>158</v>
      </c>
    </row>
    <row r="380" spans="1:14">
      <c r="A380" s="47">
        <v>46055</v>
      </c>
      <c r="B380" s="48">
        <v>46055</v>
      </c>
      <c r="C380" s="49">
        <v>0</v>
      </c>
      <c r="D380" s="49">
        <v>0</v>
      </c>
      <c r="E380" s="49">
        <v>0</v>
      </c>
      <c r="F380" s="49">
        <v>0</v>
      </c>
      <c r="G380" s="49"/>
      <c r="H380" s="49" t="str">
        <f>IFERROR(VLOOKUP(G380,[2]Basic_Data!$E$2:$I$9,5,0),"")</f>
        <v/>
      </c>
      <c r="I380" s="49">
        <v>0</v>
      </c>
      <c r="J380" s="49">
        <v>0</v>
      </c>
      <c r="K380" s="72">
        <v>0</v>
      </c>
      <c r="L380" s="50">
        <v>0</v>
      </c>
      <c r="M380" s="49">
        <f t="shared" si="92"/>
        <v>0</v>
      </c>
      <c r="N380" s="49" t="s">
        <v>158</v>
      </c>
    </row>
    <row r="381" spans="1:14">
      <c r="A381" s="47">
        <v>46056</v>
      </c>
      <c r="B381" s="48">
        <v>46056</v>
      </c>
      <c r="C381" s="49">
        <v>0</v>
      </c>
      <c r="D381" s="49">
        <v>0</v>
      </c>
      <c r="E381" s="49">
        <v>0</v>
      </c>
      <c r="F381" s="49">
        <v>0</v>
      </c>
      <c r="G381" s="49"/>
      <c r="H381" s="49" t="str">
        <f>IFERROR(VLOOKUP(G381,[2]Basic_Data!$E$2:$I$9,5,0),"")</f>
        <v/>
      </c>
      <c r="I381" s="49">
        <v>0</v>
      </c>
      <c r="J381" s="49">
        <v>0</v>
      </c>
      <c r="K381" s="72">
        <v>0</v>
      </c>
      <c r="L381" s="72">
        <v>0</v>
      </c>
      <c r="M381" s="49">
        <f t="shared" si="92"/>
        <v>0</v>
      </c>
      <c r="N381" s="49" t="s">
        <v>158</v>
      </c>
    </row>
    <row r="382" spans="1:14">
      <c r="A382" s="47">
        <v>46057</v>
      </c>
      <c r="B382" s="48">
        <v>46057</v>
      </c>
      <c r="C382" s="49">
        <v>0</v>
      </c>
      <c r="D382" s="49">
        <v>0</v>
      </c>
      <c r="E382" s="49">
        <v>0</v>
      </c>
      <c r="F382" s="49">
        <v>0</v>
      </c>
      <c r="G382" s="49"/>
      <c r="H382" s="49" t="str">
        <f>IFERROR(VLOOKUP(G382,[2]Basic_Data!$E$2:$I$9,5,0),"")</f>
        <v/>
      </c>
      <c r="I382" s="49">
        <v>0</v>
      </c>
      <c r="J382" s="49">
        <v>0</v>
      </c>
      <c r="K382" s="72">
        <v>0</v>
      </c>
      <c r="L382" s="72">
        <v>0</v>
      </c>
      <c r="M382" s="49">
        <f t="shared" si="92"/>
        <v>0</v>
      </c>
      <c r="N382" s="49" t="s">
        <v>158</v>
      </c>
    </row>
    <row r="383" spans="1:14">
      <c r="A383" s="47">
        <v>46058</v>
      </c>
      <c r="B383" s="48">
        <v>46058</v>
      </c>
      <c r="C383" s="49">
        <v>0</v>
      </c>
      <c r="D383" s="49">
        <v>0</v>
      </c>
      <c r="E383" s="49">
        <v>0</v>
      </c>
      <c r="F383" s="49">
        <v>0</v>
      </c>
      <c r="G383" s="49"/>
      <c r="H383" s="49"/>
      <c r="I383" s="49">
        <v>0</v>
      </c>
      <c r="J383" s="49">
        <v>0</v>
      </c>
      <c r="K383" s="72">
        <v>0</v>
      </c>
      <c r="L383" s="72">
        <v>0</v>
      </c>
      <c r="M383" s="49">
        <v>0</v>
      </c>
      <c r="N383" s="49" t="s">
        <v>158</v>
      </c>
    </row>
    <row r="384" spans="1:14">
      <c r="A384" s="47">
        <v>46059</v>
      </c>
      <c r="B384" s="48">
        <v>46059</v>
      </c>
      <c r="C384" s="49">
        <v>0</v>
      </c>
      <c r="D384" s="49">
        <v>0</v>
      </c>
      <c r="E384" s="49">
        <v>0</v>
      </c>
      <c r="F384" s="49">
        <v>0</v>
      </c>
      <c r="G384" s="49"/>
      <c r="H384" s="49"/>
      <c r="I384" s="49">
        <v>0</v>
      </c>
      <c r="J384" s="49">
        <v>0</v>
      </c>
      <c r="K384" s="72">
        <v>0</v>
      </c>
      <c r="L384" s="72">
        <v>0</v>
      </c>
      <c r="M384" s="49">
        <v>0</v>
      </c>
      <c r="N384" s="49" t="s">
        <v>158</v>
      </c>
    </row>
    <row r="385" spans="1:14">
      <c r="A385" s="47">
        <v>46060</v>
      </c>
      <c r="B385" s="48">
        <v>46060</v>
      </c>
      <c r="C385" s="49">
        <v>0</v>
      </c>
      <c r="D385" s="49">
        <v>0</v>
      </c>
      <c r="E385" s="49">
        <v>0</v>
      </c>
      <c r="F385" s="49">
        <v>0</v>
      </c>
      <c r="G385" s="49"/>
      <c r="H385" s="49"/>
      <c r="I385" s="49">
        <v>0</v>
      </c>
      <c r="J385" s="49">
        <v>0</v>
      </c>
      <c r="K385" s="72">
        <v>0</v>
      </c>
      <c r="L385" s="72">
        <v>0</v>
      </c>
      <c r="M385" s="49">
        <v>0</v>
      </c>
      <c r="N385" s="49" t="s">
        <v>158</v>
      </c>
    </row>
    <row r="386" spans="1:14">
      <c r="A386" s="47">
        <v>46061</v>
      </c>
      <c r="B386" s="48">
        <v>46061</v>
      </c>
      <c r="C386" s="49">
        <v>0</v>
      </c>
      <c r="D386" s="49">
        <v>0</v>
      </c>
      <c r="E386" s="49">
        <v>0</v>
      </c>
      <c r="F386" s="49">
        <v>0</v>
      </c>
      <c r="G386" s="49"/>
      <c r="H386" s="49"/>
      <c r="I386" s="49">
        <v>0</v>
      </c>
      <c r="J386" s="49">
        <v>0</v>
      </c>
      <c r="K386" s="72">
        <v>0</v>
      </c>
      <c r="L386" s="72">
        <v>0</v>
      </c>
      <c r="M386" s="49">
        <v>0</v>
      </c>
      <c r="N386" s="49" t="s">
        <v>158</v>
      </c>
    </row>
    <row r="387" spans="1:14">
      <c r="A387" s="47">
        <v>46062</v>
      </c>
      <c r="B387" s="48">
        <v>46062</v>
      </c>
      <c r="C387" s="73">
        <v>2</v>
      </c>
      <c r="D387" s="49">
        <v>6000</v>
      </c>
      <c r="E387" s="49">
        <v>0</v>
      </c>
      <c r="F387" s="49">
        <v>1</v>
      </c>
      <c r="G387" s="49" t="s">
        <v>41</v>
      </c>
      <c r="H387" s="49">
        <f>IFERROR(VLOOKUP(G387,[2]Basic_Data!$E$2:$I$9,5,0),"")</f>
        <v>8</v>
      </c>
      <c r="I387" s="49">
        <f>IFERROR(VLOOKUP($G387,[2]Basic_Data!$E$2:$H$10,4,0),"")</f>
        <v>644</v>
      </c>
      <c r="J387" s="49"/>
      <c r="K387" s="50" t="str">
        <f>IFERROR(VLOOKUP($B387-1,[2]Inverter_PR!$B:$I,[2]Module_Cleaning!H345,0),"")</f>
        <v/>
      </c>
      <c r="L387" s="50" t="str">
        <f>IFERROR(VLOOKUP($B387+1,[2]Inverter_PR!$B:$I,[2]Module_Cleaning!H345,0),"")</f>
        <v/>
      </c>
      <c r="M387" s="49">
        <f t="shared" si="92"/>
        <v>644</v>
      </c>
      <c r="N387" s="49" t="s">
        <v>153</v>
      </c>
    </row>
    <row r="388" spans="1:14">
      <c r="A388" s="47"/>
      <c r="B388" s="48"/>
      <c r="C388" s="73"/>
      <c r="D388" s="49"/>
      <c r="E388" s="49"/>
      <c r="F388" s="49">
        <v>1</v>
      </c>
      <c r="G388" s="49" t="s">
        <v>39</v>
      </c>
      <c r="H388" s="49"/>
      <c r="I388" s="49"/>
      <c r="J388" s="49"/>
      <c r="K388" s="50"/>
      <c r="L388" s="50"/>
      <c r="M388" s="49"/>
      <c r="N388" s="49" t="s">
        <v>153</v>
      </c>
    </row>
    <row r="389" spans="1:14">
      <c r="A389" s="47"/>
      <c r="B389" s="48"/>
      <c r="C389" s="73"/>
      <c r="D389" s="49"/>
      <c r="E389" s="49"/>
      <c r="F389" s="49">
        <v>1</v>
      </c>
      <c r="G389" s="49" t="s">
        <v>36</v>
      </c>
      <c r="H389" s="49"/>
      <c r="I389" s="49"/>
      <c r="J389" s="49"/>
      <c r="K389" s="50"/>
      <c r="L389" s="50"/>
      <c r="M389" s="49"/>
      <c r="N389" s="49" t="s">
        <v>153</v>
      </c>
    </row>
    <row r="390" spans="1:14">
      <c r="A390" s="47">
        <v>46063</v>
      </c>
      <c r="B390" s="48">
        <v>46063</v>
      </c>
      <c r="C390" s="49">
        <v>2</v>
      </c>
      <c r="D390" s="49">
        <v>6000</v>
      </c>
      <c r="E390" s="49"/>
      <c r="F390" s="49">
        <v>1</v>
      </c>
      <c r="G390" s="49" t="s">
        <v>38</v>
      </c>
      <c r="H390" s="49">
        <f>IFERROR(VLOOKUP(G390,[2]Basic_Data!$E$2:$I$9,5,0),"")</f>
        <v>5</v>
      </c>
      <c r="I390" s="49">
        <f>IFERROR(VLOOKUP($G390,[2]Basic_Data!$E$2:$H$10,4,0),"")</f>
        <v>644</v>
      </c>
      <c r="J390" s="49"/>
      <c r="K390" s="50" t="str">
        <f>IFERROR(VLOOKUP($B390-1,[2]Inverter_PR!$B:$I,[2]Module_Cleaning!H346,0),"")</f>
        <v/>
      </c>
      <c r="L390" s="50" t="str">
        <f>IFERROR(VLOOKUP($B390+1,[2]Inverter_PR!$B:$I,[2]Module_Cleaning!H346,0),"")</f>
        <v/>
      </c>
      <c r="M390" s="49">
        <f>IFERROR(I390-J390,"")</f>
        <v>644</v>
      </c>
      <c r="N390" s="49" t="s">
        <v>153</v>
      </c>
    </row>
    <row r="391" spans="1:14">
      <c r="A391" s="47"/>
      <c r="B391" s="48"/>
      <c r="C391" s="49"/>
      <c r="D391" s="49"/>
      <c r="E391" s="49"/>
      <c r="F391" s="49">
        <v>1</v>
      </c>
      <c r="G391" s="49" t="s">
        <v>41</v>
      </c>
      <c r="H391" s="49"/>
      <c r="I391" s="49"/>
      <c r="J391" s="49"/>
      <c r="K391" s="50"/>
      <c r="L391" s="50"/>
      <c r="M391" s="49"/>
      <c r="N391" s="49" t="s">
        <v>153</v>
      </c>
    </row>
    <row r="392" spans="1:14">
      <c r="A392" s="47"/>
      <c r="C392" s="48"/>
      <c r="D392" s="49"/>
      <c r="E392" s="49"/>
      <c r="F392" s="49">
        <v>1</v>
      </c>
      <c r="G392" s="49" t="s">
        <v>40</v>
      </c>
      <c r="H392" s="49"/>
      <c r="I392" s="49"/>
      <c r="J392" s="49"/>
      <c r="K392" s="50"/>
      <c r="L392" s="50"/>
      <c r="M392" s="49"/>
      <c r="N392" s="49" t="s">
        <v>153</v>
      </c>
    </row>
    <row r="393" spans="1:14">
      <c r="A393" s="47">
        <v>46064</v>
      </c>
      <c r="B393" s="48">
        <v>46064</v>
      </c>
      <c r="C393" s="49">
        <v>3</v>
      </c>
      <c r="D393" s="49">
        <v>9000</v>
      </c>
      <c r="E393" s="49"/>
      <c r="F393" s="49">
        <v>1</v>
      </c>
      <c r="G393" s="49" t="s">
        <v>37</v>
      </c>
      <c r="H393" s="49">
        <f>IFERROR(VLOOKUP(G393,[2]Basic_Data!$E$2:$I$9,5,0),"")</f>
        <v>4</v>
      </c>
      <c r="I393" s="49">
        <f>IFERROR(VLOOKUP($G393,[2]Basic_Data!$E$2:$H$10,4,0),"")</f>
        <v>616</v>
      </c>
      <c r="J393" s="49"/>
      <c r="K393" s="50" t="str">
        <f>IFERROR(VLOOKUP(#REF!-1,[2]Inverter_PR!$B:$I,[2]Module_Cleaning!H347,0),"")</f>
        <v/>
      </c>
      <c r="L393" s="50" t="str">
        <f>IFERROR(VLOOKUP(#REF!+1,[2]Inverter_PR!$B:$I,[2]Module_Cleaning!H347,0),"")</f>
        <v/>
      </c>
      <c r="M393" s="49">
        <f>IFERROR(I393-J393,"")</f>
        <v>616</v>
      </c>
      <c r="N393" s="49" t="s">
        <v>153</v>
      </c>
    </row>
    <row r="394" spans="1:14">
      <c r="A394" s="47"/>
      <c r="B394" s="48"/>
      <c r="C394" s="49"/>
      <c r="D394" s="49"/>
      <c r="E394" s="49"/>
      <c r="F394" s="49">
        <v>1</v>
      </c>
      <c r="G394" s="49" t="s">
        <v>35</v>
      </c>
      <c r="H394" s="49"/>
      <c r="I394" s="49"/>
      <c r="J394" s="49"/>
      <c r="K394" s="50"/>
      <c r="L394" s="50"/>
      <c r="M394" s="49"/>
      <c r="N394" s="49" t="s">
        <v>153</v>
      </c>
    </row>
    <row r="395" spans="1:14">
      <c r="A395" s="47"/>
      <c r="B395" s="48"/>
      <c r="C395" s="49"/>
      <c r="D395" s="49"/>
      <c r="E395" s="49"/>
      <c r="F395" s="49">
        <v>1</v>
      </c>
      <c r="G395" s="49" t="s">
        <v>41</v>
      </c>
      <c r="H395" s="49"/>
      <c r="I395" s="49"/>
      <c r="J395" s="49"/>
      <c r="K395" s="50"/>
      <c r="L395" s="50"/>
      <c r="M395" s="49"/>
      <c r="N395" s="49" t="s">
        <v>153</v>
      </c>
    </row>
    <row r="396" spans="1:14">
      <c r="A396" s="47"/>
      <c r="B396" s="48"/>
      <c r="C396" s="49"/>
      <c r="D396" s="49"/>
      <c r="E396" s="49"/>
      <c r="F396" s="49">
        <v>1</v>
      </c>
      <c r="G396" s="49" t="s">
        <v>39</v>
      </c>
      <c r="H396" s="49"/>
      <c r="I396" s="49"/>
      <c r="J396" s="49"/>
      <c r="K396" s="50"/>
      <c r="L396" s="50"/>
      <c r="M396" s="49"/>
      <c r="N396" s="49" t="s">
        <v>153</v>
      </c>
    </row>
    <row r="397" spans="1:14">
      <c r="A397" s="47"/>
      <c r="B397" s="48"/>
      <c r="C397" s="49"/>
      <c r="D397" s="49"/>
      <c r="E397" s="49"/>
      <c r="F397" s="49">
        <v>1</v>
      </c>
      <c r="G397" s="49" t="s">
        <v>36</v>
      </c>
      <c r="H397" s="49"/>
      <c r="I397" s="49"/>
      <c r="J397" s="49"/>
      <c r="K397" s="50"/>
      <c r="L397" s="50"/>
      <c r="M397" s="49"/>
      <c r="N397" s="49" t="s">
        <v>153</v>
      </c>
    </row>
    <row r="398" spans="1:14">
      <c r="A398" s="47">
        <v>46065</v>
      </c>
      <c r="B398" s="48">
        <v>46065</v>
      </c>
      <c r="C398" s="49"/>
      <c r="D398" s="49"/>
      <c r="E398" s="49"/>
      <c r="F398" s="49">
        <v>1</v>
      </c>
      <c r="G398" s="49" t="s">
        <v>38</v>
      </c>
      <c r="H398" s="49">
        <f>IFERROR(VLOOKUP(G398,[2]Basic_Data!$E$2:$I$9,5,0),"")</f>
        <v>5</v>
      </c>
      <c r="I398" s="49">
        <f>IFERROR(VLOOKUP($G398,[2]Basic_Data!$E$2:$H$10,4,0),"")</f>
        <v>644</v>
      </c>
      <c r="J398" s="49"/>
      <c r="K398" s="50" t="str">
        <f>IFERROR(VLOOKUP($C392-1,[2]Inverter_PR!$B:$I,[2]Module_Cleaning!H348,0),"")</f>
        <v/>
      </c>
      <c r="L398" s="50" t="str">
        <f>IFERROR(VLOOKUP($C392+1,[2]Inverter_PR!$B:$I,[2]Module_Cleaning!H348,0),"")</f>
        <v/>
      </c>
      <c r="M398" s="49">
        <f>IFERROR(I398-J398,"")</f>
        <v>644</v>
      </c>
      <c r="N398" s="49" t="s">
        <v>153</v>
      </c>
    </row>
    <row r="399" spans="1:14">
      <c r="A399" s="47"/>
      <c r="B399" s="48"/>
      <c r="C399" s="49"/>
      <c r="D399" s="49"/>
      <c r="E399" s="49"/>
      <c r="F399" s="49"/>
      <c r="G399" s="49" t="s">
        <v>37</v>
      </c>
      <c r="H399" s="49"/>
      <c r="I399" s="49"/>
      <c r="J399" s="49"/>
      <c r="K399" s="50"/>
      <c r="L399" s="50"/>
      <c r="M399" s="49"/>
      <c r="N399" s="49" t="s">
        <v>153</v>
      </c>
    </row>
    <row r="400" spans="1:14">
      <c r="A400" s="47"/>
      <c r="B400" s="48"/>
      <c r="C400" s="49"/>
      <c r="D400" s="49"/>
      <c r="E400" s="49"/>
      <c r="F400" s="49"/>
      <c r="G400" s="49" t="s">
        <v>35</v>
      </c>
      <c r="H400" s="49"/>
      <c r="I400" s="49"/>
      <c r="J400" s="49"/>
      <c r="K400" s="50"/>
      <c r="L400" s="50"/>
      <c r="M400" s="49"/>
      <c r="N400" s="49" t="s">
        <v>153</v>
      </c>
    </row>
    <row r="401" spans="1:14">
      <c r="A401" s="47"/>
      <c r="B401" s="48"/>
      <c r="C401" s="49"/>
      <c r="D401" s="49"/>
      <c r="E401" s="49"/>
      <c r="F401" s="49"/>
      <c r="G401" s="49" t="s">
        <v>40</v>
      </c>
      <c r="H401" s="49"/>
      <c r="I401" s="49"/>
      <c r="J401" s="49"/>
      <c r="K401" s="50"/>
      <c r="L401" s="50"/>
      <c r="M401" s="49"/>
      <c r="N401" s="49" t="s">
        <v>153</v>
      </c>
    </row>
    <row r="402" spans="1:14">
      <c r="A402" s="47">
        <v>46066</v>
      </c>
      <c r="B402" s="48">
        <v>46066</v>
      </c>
      <c r="C402" s="49">
        <v>0</v>
      </c>
      <c r="D402" s="49">
        <v>0</v>
      </c>
      <c r="E402" s="49">
        <v>0</v>
      </c>
      <c r="F402" s="49">
        <v>0</v>
      </c>
      <c r="G402" s="49"/>
      <c r="H402" s="49" t="str">
        <f>IFERROR(VLOOKUP(G402,[2]Basic_Data!$E$2:$I$9,5,0),"")</f>
        <v/>
      </c>
      <c r="I402" s="49">
        <v>0</v>
      </c>
      <c r="J402" s="49">
        <v>0</v>
      </c>
      <c r="K402" s="72">
        <v>0</v>
      </c>
      <c r="L402" s="72">
        <v>0</v>
      </c>
      <c r="M402" s="49">
        <f t="shared" ref="M402:M417" si="93">IFERROR(I402-J402,"")</f>
        <v>0</v>
      </c>
      <c r="N402" s="49" t="s">
        <v>154</v>
      </c>
    </row>
    <row r="403" spans="1:14">
      <c r="A403" s="47">
        <v>46067</v>
      </c>
      <c r="B403" s="48">
        <v>46067</v>
      </c>
      <c r="C403" s="49">
        <v>0</v>
      </c>
      <c r="D403" s="49">
        <v>0</v>
      </c>
      <c r="E403" s="49">
        <v>0</v>
      </c>
      <c r="F403" s="49">
        <v>0</v>
      </c>
      <c r="G403" s="49"/>
      <c r="H403" s="49" t="str">
        <f>IFERROR(VLOOKUP(G403,[2]Basic_Data!$E$2:$I$9,5,0),"")</f>
        <v/>
      </c>
      <c r="I403" s="49">
        <v>0</v>
      </c>
      <c r="J403" s="49">
        <v>0</v>
      </c>
      <c r="K403" s="72">
        <v>0</v>
      </c>
      <c r="L403" s="72">
        <v>0</v>
      </c>
      <c r="M403" s="49">
        <f t="shared" si="93"/>
        <v>0</v>
      </c>
      <c r="N403" s="49" t="s">
        <v>154</v>
      </c>
    </row>
    <row r="404" spans="1:14">
      <c r="A404" s="47">
        <v>46068</v>
      </c>
      <c r="B404" s="48">
        <v>46068</v>
      </c>
      <c r="C404" s="49">
        <v>0</v>
      </c>
      <c r="D404" s="49">
        <v>0</v>
      </c>
      <c r="E404" s="49">
        <v>0</v>
      </c>
      <c r="F404" s="49">
        <v>0</v>
      </c>
      <c r="G404" s="49"/>
      <c r="H404" s="49" t="str">
        <f>IFERROR(VLOOKUP(G404,[2]Basic_Data!$E$2:$I$9,5,0),"")</f>
        <v/>
      </c>
      <c r="I404" s="49">
        <v>0</v>
      </c>
      <c r="J404" s="49">
        <v>0</v>
      </c>
      <c r="K404" s="72">
        <v>0</v>
      </c>
      <c r="L404" s="72">
        <v>0</v>
      </c>
      <c r="M404" s="49">
        <f t="shared" si="93"/>
        <v>0</v>
      </c>
      <c r="N404" s="49" t="s">
        <v>154</v>
      </c>
    </row>
    <row r="405" spans="1:14">
      <c r="A405" s="47">
        <v>46069</v>
      </c>
      <c r="B405" s="48">
        <v>46069</v>
      </c>
      <c r="C405" s="49">
        <v>0</v>
      </c>
      <c r="D405" s="49">
        <v>0</v>
      </c>
      <c r="E405" s="49">
        <v>0</v>
      </c>
      <c r="F405" s="49">
        <v>0</v>
      </c>
      <c r="G405" s="49"/>
      <c r="H405" s="49" t="str">
        <f>IFERROR(VLOOKUP(G405,[2]Basic_Data!$E$2:$I$9,5,0),"")</f>
        <v/>
      </c>
      <c r="I405" s="49">
        <v>0</v>
      </c>
      <c r="J405" s="49">
        <v>0</v>
      </c>
      <c r="K405" s="72">
        <v>0</v>
      </c>
      <c r="L405" s="72">
        <v>0</v>
      </c>
      <c r="M405" s="49">
        <f t="shared" si="93"/>
        <v>0</v>
      </c>
      <c r="N405" s="49" t="s">
        <v>154</v>
      </c>
    </row>
    <row r="406" spans="1:14">
      <c r="A406" s="47">
        <v>46070</v>
      </c>
      <c r="B406" s="48">
        <v>46070</v>
      </c>
      <c r="C406" s="49">
        <v>0</v>
      </c>
      <c r="D406" s="49">
        <v>0</v>
      </c>
      <c r="E406" s="49">
        <v>0</v>
      </c>
      <c r="F406" s="49">
        <v>0</v>
      </c>
      <c r="G406" s="49"/>
      <c r="H406" s="49" t="str">
        <f>IFERROR(VLOOKUP(G406,[2]Basic_Data!$E$2:$I$9,5,0),"")</f>
        <v/>
      </c>
      <c r="I406" s="49">
        <v>0</v>
      </c>
      <c r="J406" s="49">
        <v>0</v>
      </c>
      <c r="K406" s="72">
        <v>0</v>
      </c>
      <c r="L406" s="72">
        <v>0</v>
      </c>
      <c r="M406" s="49">
        <f t="shared" si="93"/>
        <v>0</v>
      </c>
      <c r="N406" s="49" t="s">
        <v>154</v>
      </c>
    </row>
    <row r="407" spans="1:14">
      <c r="A407" s="47">
        <v>46071</v>
      </c>
      <c r="B407" s="48">
        <v>46071</v>
      </c>
      <c r="C407" s="49">
        <v>0</v>
      </c>
      <c r="D407" s="49">
        <v>0</v>
      </c>
      <c r="E407" s="49">
        <v>0</v>
      </c>
      <c r="F407" s="49">
        <v>0</v>
      </c>
      <c r="G407" s="49"/>
      <c r="H407" s="49" t="str">
        <f>IFERROR(VLOOKUP(G407,[2]Basic_Data!$E$2:$I$9,5,0),"")</f>
        <v/>
      </c>
      <c r="I407" s="49">
        <v>0</v>
      </c>
      <c r="J407" s="49">
        <v>0</v>
      </c>
      <c r="K407" s="72">
        <v>0</v>
      </c>
      <c r="L407" s="72">
        <v>0</v>
      </c>
      <c r="M407" s="49">
        <f t="shared" si="93"/>
        <v>0</v>
      </c>
      <c r="N407" s="49" t="s">
        <v>154</v>
      </c>
    </row>
    <row r="408" spans="1:14">
      <c r="A408" s="47">
        <v>46072</v>
      </c>
      <c r="B408" s="48">
        <v>46072</v>
      </c>
      <c r="C408" s="49">
        <v>0</v>
      </c>
      <c r="D408" s="49">
        <v>0</v>
      </c>
      <c r="E408" s="49">
        <v>0</v>
      </c>
      <c r="F408" s="49">
        <v>0</v>
      </c>
      <c r="G408" s="49"/>
      <c r="H408" s="49" t="str">
        <f>IFERROR(VLOOKUP(G408,[2]Basic_Data!$E$2:$I$9,5,0),"")</f>
        <v/>
      </c>
      <c r="I408" s="49">
        <v>0</v>
      </c>
      <c r="J408" s="49">
        <v>0</v>
      </c>
      <c r="K408" s="72">
        <v>0</v>
      </c>
      <c r="L408" s="72">
        <v>0</v>
      </c>
      <c r="M408" s="49">
        <f t="shared" si="93"/>
        <v>0</v>
      </c>
      <c r="N408" s="49" t="s">
        <v>154</v>
      </c>
    </row>
    <row r="409" spans="1:14">
      <c r="A409" s="47">
        <v>46073</v>
      </c>
      <c r="B409" s="48">
        <v>46073</v>
      </c>
      <c r="C409" s="49">
        <v>0</v>
      </c>
      <c r="D409" s="49">
        <v>0</v>
      </c>
      <c r="E409" s="49">
        <v>0</v>
      </c>
      <c r="F409" s="49">
        <v>0</v>
      </c>
      <c r="G409" s="49"/>
      <c r="H409" s="49" t="str">
        <f>IFERROR(VLOOKUP(G409,[2]Basic_Data!$E$2:$I$9,5,0),"")</f>
        <v/>
      </c>
      <c r="I409" s="49">
        <v>0</v>
      </c>
      <c r="J409" s="49">
        <v>0</v>
      </c>
      <c r="K409" s="72">
        <v>0</v>
      </c>
      <c r="L409" s="72">
        <v>0</v>
      </c>
      <c r="M409" s="49">
        <f t="shared" si="93"/>
        <v>0</v>
      </c>
      <c r="N409" s="49" t="s">
        <v>154</v>
      </c>
    </row>
    <row r="410" spans="1:14">
      <c r="A410" s="47">
        <v>46074</v>
      </c>
      <c r="B410" s="48">
        <v>46074</v>
      </c>
      <c r="C410" s="49">
        <v>0</v>
      </c>
      <c r="D410" s="49">
        <v>0</v>
      </c>
      <c r="E410" s="49">
        <v>0</v>
      </c>
      <c r="F410" s="49">
        <v>0</v>
      </c>
      <c r="G410" s="49"/>
      <c r="H410" s="49" t="str">
        <f>IFERROR(VLOOKUP(G410,[2]Basic_Data!$E$2:$I$9,5,0),"")</f>
        <v/>
      </c>
      <c r="I410" s="49">
        <v>0</v>
      </c>
      <c r="J410" s="49">
        <v>0</v>
      </c>
      <c r="K410" s="72">
        <v>0</v>
      </c>
      <c r="L410" s="72">
        <v>0</v>
      </c>
      <c r="M410" s="49">
        <f t="shared" si="93"/>
        <v>0</v>
      </c>
      <c r="N410" s="49" t="s">
        <v>154</v>
      </c>
    </row>
    <row r="411" spans="1:14">
      <c r="A411" s="47">
        <v>46075</v>
      </c>
      <c r="B411" s="48">
        <v>46075</v>
      </c>
      <c r="C411" s="49">
        <v>0</v>
      </c>
      <c r="D411" s="49">
        <v>0</v>
      </c>
      <c r="E411" s="49">
        <v>0</v>
      </c>
      <c r="F411" s="49">
        <v>0</v>
      </c>
      <c r="G411" s="49"/>
      <c r="H411" s="49" t="str">
        <f>IFERROR(VLOOKUP(G411,[2]Basic_Data!$E$2:$I$9,5,0),"")</f>
        <v/>
      </c>
      <c r="I411" s="49">
        <v>0</v>
      </c>
      <c r="J411" s="49">
        <v>0</v>
      </c>
      <c r="K411" s="72">
        <v>0</v>
      </c>
      <c r="L411" s="72">
        <v>0</v>
      </c>
      <c r="M411" s="49">
        <f t="shared" si="93"/>
        <v>0</v>
      </c>
      <c r="N411" s="49" t="s">
        <v>154</v>
      </c>
    </row>
    <row r="412" spans="1:14">
      <c r="A412" s="47">
        <v>46076</v>
      </c>
      <c r="B412" s="48">
        <v>46076</v>
      </c>
      <c r="C412" s="49">
        <v>0</v>
      </c>
      <c r="D412" s="49">
        <v>0</v>
      </c>
      <c r="E412" s="49">
        <v>0</v>
      </c>
      <c r="F412" s="49">
        <v>0</v>
      </c>
      <c r="G412" s="49"/>
      <c r="H412" s="49" t="str">
        <f>IFERROR(VLOOKUP(G412,[2]Basic_Data!$E$2:$I$9,5,0),"")</f>
        <v/>
      </c>
      <c r="I412" s="49">
        <v>0</v>
      </c>
      <c r="J412" s="49">
        <v>0</v>
      </c>
      <c r="K412" s="72">
        <v>0</v>
      </c>
      <c r="L412" s="72">
        <v>0</v>
      </c>
      <c r="M412" s="49">
        <f t="shared" si="93"/>
        <v>0</v>
      </c>
      <c r="N412" s="49" t="s">
        <v>154</v>
      </c>
    </row>
    <row r="413" spans="1:14">
      <c r="A413" s="47">
        <v>46077</v>
      </c>
      <c r="B413" s="48">
        <v>46077</v>
      </c>
      <c r="C413" s="49">
        <v>0</v>
      </c>
      <c r="D413" s="49">
        <v>0</v>
      </c>
      <c r="E413" s="49">
        <v>0</v>
      </c>
      <c r="F413" s="49">
        <v>0</v>
      </c>
      <c r="G413" s="49"/>
      <c r="H413" s="49" t="str">
        <f>IFERROR(VLOOKUP(G413,[2]Basic_Data!$E$2:$I$9,5,0),"")</f>
        <v/>
      </c>
      <c r="I413" s="49">
        <v>0</v>
      </c>
      <c r="J413" s="49">
        <v>0</v>
      </c>
      <c r="K413" s="72">
        <v>0</v>
      </c>
      <c r="L413" s="72">
        <v>0</v>
      </c>
      <c r="M413" s="49">
        <f t="shared" si="93"/>
        <v>0</v>
      </c>
      <c r="N413" s="49" t="s">
        <v>154</v>
      </c>
    </row>
    <row r="414" spans="1:14">
      <c r="A414" s="47">
        <v>46078</v>
      </c>
      <c r="B414" s="48">
        <v>46078</v>
      </c>
      <c r="C414" s="49">
        <v>0</v>
      </c>
      <c r="D414" s="49">
        <v>0</v>
      </c>
      <c r="E414" s="49">
        <v>0</v>
      </c>
      <c r="F414" s="49">
        <v>0</v>
      </c>
      <c r="G414" s="49"/>
      <c r="H414" s="49" t="str">
        <f>IFERROR(VLOOKUP(G414,[2]Basic_Data!$E$2:$I$9,5,0),"")</f>
        <v/>
      </c>
      <c r="I414" s="49">
        <v>0</v>
      </c>
      <c r="J414" s="49">
        <v>0</v>
      </c>
      <c r="K414" s="72">
        <v>0</v>
      </c>
      <c r="L414" s="72">
        <v>0</v>
      </c>
      <c r="M414" s="49">
        <f t="shared" si="93"/>
        <v>0</v>
      </c>
      <c r="N414" s="49" t="s">
        <v>154</v>
      </c>
    </row>
    <row r="415" spans="1:14">
      <c r="A415" s="47">
        <v>46079</v>
      </c>
      <c r="B415" s="48">
        <v>46079</v>
      </c>
      <c r="C415" s="49">
        <v>0</v>
      </c>
      <c r="D415" s="49">
        <v>0</v>
      </c>
      <c r="E415" s="49">
        <v>0</v>
      </c>
      <c r="F415" s="49">
        <v>0</v>
      </c>
      <c r="G415" s="49"/>
      <c r="H415" s="49" t="str">
        <f>IFERROR(VLOOKUP(G415,[2]Basic_Data!$E$2:$I$9,5,0),"")</f>
        <v/>
      </c>
      <c r="I415" s="49">
        <v>0</v>
      </c>
      <c r="J415" s="49">
        <v>0</v>
      </c>
      <c r="K415" s="72">
        <v>0</v>
      </c>
      <c r="L415" s="72">
        <v>0</v>
      </c>
      <c r="M415" s="49">
        <f t="shared" si="93"/>
        <v>0</v>
      </c>
      <c r="N415" s="49" t="s">
        <v>154</v>
      </c>
    </row>
    <row r="416" spans="1:14">
      <c r="A416" s="47">
        <v>46080</v>
      </c>
      <c r="B416" s="48">
        <v>46080</v>
      </c>
      <c r="C416" s="49">
        <v>1</v>
      </c>
      <c r="D416" s="49">
        <v>3000</v>
      </c>
      <c r="E416" s="49"/>
      <c r="F416" s="49">
        <v>2</v>
      </c>
      <c r="G416" s="49" t="s">
        <v>41</v>
      </c>
      <c r="H416" s="49">
        <f>IFERROR(VLOOKUP(G416,[2]Basic_Data!$E$2:$I$9,5,0),"")</f>
        <v>8</v>
      </c>
      <c r="I416" s="49">
        <f>IFERROR(VLOOKUP($G416,[2]Basic_Data!$E$2:$H$10,4,0),"")</f>
        <v>644</v>
      </c>
      <c r="J416" s="49"/>
      <c r="K416" s="50" t="str">
        <f>IFERROR(VLOOKUP($B416-1,[2]Inverter_PR!$B:$I,[2]Module_Cleaning!H363,0),"")</f>
        <v/>
      </c>
      <c r="L416" s="50" t="str">
        <f>IFERROR(VLOOKUP($B416+1,[2]Inverter_PR!$B:$I,[2]Module_Cleaning!H363,0),"")</f>
        <v/>
      </c>
      <c r="M416" s="49">
        <f t="shared" si="93"/>
        <v>644</v>
      </c>
      <c r="N416" s="49" t="s">
        <v>153</v>
      </c>
    </row>
    <row r="417" spans="1:14">
      <c r="A417" s="47">
        <v>46081</v>
      </c>
      <c r="B417" s="48">
        <v>46081</v>
      </c>
      <c r="C417" s="49">
        <v>3</v>
      </c>
      <c r="D417" s="49">
        <v>9000</v>
      </c>
      <c r="E417" s="49"/>
      <c r="F417" s="49">
        <v>2</v>
      </c>
      <c r="G417" s="49" t="s">
        <v>39</v>
      </c>
      <c r="H417" s="49">
        <f>IFERROR(VLOOKUP(G417,[2]Basic_Data!$E$2:$I$9,5,0),"")</f>
        <v>6</v>
      </c>
      <c r="I417" s="49">
        <f>IFERROR(VLOOKUP($G417,[2]Basic_Data!$E$2:$H$10,4,0),"")</f>
        <v>644</v>
      </c>
      <c r="J417" s="49"/>
      <c r="K417" s="50" t="str">
        <f>IFERROR(VLOOKUP($B417-1,[2]Inverter_PR!$B:$I,[2]Module_Cleaning!H364,0),"")</f>
        <v/>
      </c>
      <c r="L417" s="50" t="str">
        <f>IFERROR(VLOOKUP($B417+1,[2]Inverter_PR!$B:$I,[2]Module_Cleaning!H364,0),"")</f>
        <v/>
      </c>
      <c r="M417" s="49">
        <f t="shared" si="93"/>
        <v>644</v>
      </c>
      <c r="N417" s="49" t="s">
        <v>153</v>
      </c>
    </row>
    <row r="418" spans="1:14">
      <c r="A418" s="47"/>
      <c r="B418" s="48"/>
      <c r="C418" s="49"/>
      <c r="D418" s="49"/>
      <c r="E418" s="49"/>
      <c r="F418" s="49">
        <v>2</v>
      </c>
      <c r="G418" s="49" t="s">
        <v>38</v>
      </c>
      <c r="H418" s="49"/>
      <c r="I418" s="49"/>
      <c r="J418" s="49"/>
      <c r="K418" s="50"/>
      <c r="L418" s="50"/>
      <c r="M418" s="49"/>
      <c r="N418" s="49" t="s">
        <v>153</v>
      </c>
    </row>
    <row r="419" spans="1:14">
      <c r="A419" s="47"/>
      <c r="B419" s="48"/>
      <c r="C419" s="49"/>
      <c r="D419" s="49"/>
      <c r="E419" s="49"/>
      <c r="F419" s="49">
        <v>2</v>
      </c>
      <c r="G419" s="49" t="s">
        <v>36</v>
      </c>
      <c r="H419" s="49"/>
      <c r="I419" s="49"/>
      <c r="J419" s="49"/>
      <c r="K419" s="50"/>
      <c r="L419" s="50"/>
      <c r="M419" s="49"/>
      <c r="N419" s="49" t="s">
        <v>153</v>
      </c>
    </row>
    <row r="420" spans="1:14">
      <c r="A420" s="47"/>
      <c r="B420" s="48"/>
      <c r="C420" s="49"/>
      <c r="D420" s="49"/>
      <c r="E420" s="49"/>
      <c r="F420" s="49">
        <v>2</v>
      </c>
      <c r="G420" s="49" t="s">
        <v>41</v>
      </c>
      <c r="H420" s="49"/>
      <c r="I420" s="49"/>
      <c r="J420" s="49"/>
      <c r="K420" s="50"/>
      <c r="L420" s="50"/>
      <c r="M420" s="49"/>
      <c r="N420" s="49" t="s">
        <v>153</v>
      </c>
    </row>
    <row r="421" ht="12.95" customHeight="1" spans="1:14">
      <c r="A421" s="47">
        <v>46082</v>
      </c>
      <c r="B421" s="48">
        <v>46082</v>
      </c>
      <c r="C421" s="49">
        <v>3</v>
      </c>
      <c r="D421" s="49">
        <v>9000</v>
      </c>
      <c r="E421" s="49"/>
      <c r="F421" s="49">
        <v>2</v>
      </c>
      <c r="G421" s="49" t="s">
        <v>35</v>
      </c>
      <c r="H421" s="49">
        <f>IFERROR(VLOOKUP(G421,[2]Basic_Data!$E$2:$I$9,5,0),"")</f>
        <v>2</v>
      </c>
      <c r="I421" s="49">
        <f>IFERROR(VLOOKUP($G421,[2]Basic_Data!$E$2:$H$10,4,0),"")</f>
        <v>616</v>
      </c>
      <c r="J421" s="49"/>
      <c r="K421" s="50" t="str">
        <f>IFERROR(VLOOKUP($B421-1,[2]Inverter_PR!$B:$I,[2]Module_Cleaning!H365,0),"")</f>
        <v/>
      </c>
      <c r="L421" s="50" t="str">
        <f>IFERROR(VLOOKUP($B421+1,[2]Inverter_PR!$B:$I,[2]Module_Cleaning!H365,0),"")</f>
        <v/>
      </c>
      <c r="M421" s="49">
        <f>IFERROR(I421-J421,"")</f>
        <v>616</v>
      </c>
      <c r="N421" s="49" t="s">
        <v>153</v>
      </c>
    </row>
    <row r="422" ht="12.95" customHeight="1" spans="1:14">
      <c r="A422" s="47"/>
      <c r="B422" s="48"/>
      <c r="C422" s="49"/>
      <c r="D422" s="49"/>
      <c r="E422" s="49"/>
      <c r="F422" s="49">
        <v>2</v>
      </c>
      <c r="G422" s="49" t="s">
        <v>37</v>
      </c>
      <c r="H422" s="49"/>
      <c r="I422" s="49"/>
      <c r="J422" s="49"/>
      <c r="K422" s="50"/>
      <c r="L422" s="50"/>
      <c r="M422" s="49"/>
      <c r="N422" s="49" t="s">
        <v>153</v>
      </c>
    </row>
    <row r="423" ht="12.95" customHeight="1" spans="1:14">
      <c r="A423" s="47"/>
      <c r="B423" s="48"/>
      <c r="C423" s="49"/>
      <c r="D423" s="49"/>
      <c r="E423" s="49"/>
      <c r="F423" s="49">
        <v>2</v>
      </c>
      <c r="G423" s="49" t="s">
        <v>40</v>
      </c>
      <c r="H423" s="49"/>
      <c r="I423" s="49"/>
      <c r="J423" s="49"/>
      <c r="K423" s="50"/>
      <c r="L423" s="50"/>
      <c r="M423" s="49"/>
      <c r="N423" s="49" t="s">
        <v>153</v>
      </c>
    </row>
    <row r="424" ht="12.95" customHeight="1" spans="1:14">
      <c r="A424" s="47"/>
      <c r="B424" s="48"/>
      <c r="C424" s="49"/>
      <c r="D424" s="49"/>
      <c r="E424" s="49"/>
      <c r="F424" s="49">
        <v>2</v>
      </c>
      <c r="G424" s="49" t="s">
        <v>41</v>
      </c>
      <c r="H424" s="49"/>
      <c r="I424" s="49"/>
      <c r="J424" s="49"/>
      <c r="K424" s="50"/>
      <c r="L424" s="50"/>
      <c r="M424" s="49"/>
      <c r="N424" s="49" t="s">
        <v>153</v>
      </c>
    </row>
    <row r="425" ht="12.95" customHeight="1" spans="1:14">
      <c r="A425" s="47"/>
      <c r="B425" s="48"/>
      <c r="C425" s="49"/>
      <c r="D425" s="49"/>
      <c r="E425" s="49"/>
      <c r="F425" s="49">
        <v>2</v>
      </c>
      <c r="G425" s="49" t="s">
        <v>39</v>
      </c>
      <c r="H425" s="49"/>
      <c r="I425" s="49"/>
      <c r="J425" s="49"/>
      <c r="K425" s="50"/>
      <c r="L425" s="50"/>
      <c r="M425" s="49"/>
      <c r="N425" s="49" t="s">
        <v>153</v>
      </c>
    </row>
    <row r="426" spans="1:14">
      <c r="A426" s="47">
        <v>46083</v>
      </c>
      <c r="B426" s="48">
        <v>46083</v>
      </c>
      <c r="C426" s="49">
        <v>3</v>
      </c>
      <c r="D426" s="49">
        <v>9000</v>
      </c>
      <c r="E426" s="49"/>
      <c r="F426" s="49">
        <v>2</v>
      </c>
      <c r="G426" s="49" t="s">
        <v>36</v>
      </c>
      <c r="H426" s="49">
        <f>IFERROR(VLOOKUP(G426,[2]Basic_Data!$E$2:$I$9,5,0),"")</f>
        <v>3</v>
      </c>
      <c r="I426" s="49">
        <f>IFERROR(VLOOKUP($G426,[2]Basic_Data!$E$2:$H$10,4,0),"")</f>
        <v>616</v>
      </c>
      <c r="J426" s="49"/>
      <c r="K426" s="50" t="str">
        <f>IFERROR(VLOOKUP($B426-1,[2]Inverter_PR!$B:$I,[2]Module_Cleaning!H366,0),"")</f>
        <v/>
      </c>
      <c r="L426" s="50" t="str">
        <f>IFERROR(VLOOKUP($B426+1,[2]Inverter_PR!$B:$I,[2]Module_Cleaning!H366,0),"")</f>
        <v/>
      </c>
      <c r="M426" s="49">
        <f>IFERROR(I426-J426,"")</f>
        <v>616</v>
      </c>
      <c r="N426" s="49" t="s">
        <v>153</v>
      </c>
    </row>
    <row r="427" spans="1:14">
      <c r="A427" s="47"/>
      <c r="B427" s="48"/>
      <c r="C427" s="49"/>
      <c r="D427" s="49"/>
      <c r="E427" s="49"/>
      <c r="F427" s="49">
        <v>2</v>
      </c>
      <c r="G427" s="49" t="s">
        <v>38</v>
      </c>
      <c r="H427" s="49"/>
      <c r="I427" s="49"/>
      <c r="J427" s="49"/>
      <c r="K427" s="50"/>
      <c r="L427" s="50"/>
      <c r="M427" s="49"/>
      <c r="N427" s="49" t="s">
        <v>153</v>
      </c>
    </row>
    <row r="428" spans="1:14">
      <c r="A428" s="47"/>
      <c r="B428" s="48"/>
      <c r="C428" s="49"/>
      <c r="D428" s="49"/>
      <c r="E428" s="49"/>
      <c r="F428" s="49">
        <v>2</v>
      </c>
      <c r="G428" s="49" t="s">
        <v>40</v>
      </c>
      <c r="H428" s="49"/>
      <c r="I428" s="49"/>
      <c r="J428" s="49"/>
      <c r="K428" s="50"/>
      <c r="L428" s="50"/>
      <c r="M428" s="49"/>
      <c r="N428" s="49" t="s">
        <v>153</v>
      </c>
    </row>
    <row r="429" spans="1:14">
      <c r="A429" s="47"/>
      <c r="B429" s="48"/>
      <c r="C429" s="49"/>
      <c r="D429" s="49"/>
      <c r="E429" s="49"/>
      <c r="F429" s="49">
        <v>2</v>
      </c>
      <c r="G429" s="49" t="s">
        <v>35</v>
      </c>
      <c r="H429" s="49"/>
      <c r="I429" s="49"/>
      <c r="J429" s="49"/>
      <c r="K429" s="50"/>
      <c r="L429" s="50"/>
      <c r="M429" s="49"/>
      <c r="N429" s="49" t="s">
        <v>153</v>
      </c>
    </row>
    <row r="430" spans="1:14">
      <c r="A430" s="47"/>
      <c r="B430" s="48"/>
      <c r="C430" s="49"/>
      <c r="D430" s="49"/>
      <c r="E430" s="49"/>
      <c r="F430" s="49">
        <v>2</v>
      </c>
      <c r="G430" s="49" t="s">
        <v>37</v>
      </c>
      <c r="H430" s="49"/>
      <c r="I430" s="49"/>
      <c r="J430" s="49"/>
      <c r="K430" s="50"/>
      <c r="L430" s="50"/>
      <c r="M430" s="49"/>
      <c r="N430" s="49" t="s">
        <v>153</v>
      </c>
    </row>
    <row r="431" spans="1:14">
      <c r="A431" s="47">
        <v>46084</v>
      </c>
      <c r="B431" s="48">
        <v>46084</v>
      </c>
      <c r="C431" s="49">
        <v>0</v>
      </c>
      <c r="D431" s="49">
        <v>0</v>
      </c>
      <c r="E431" s="49">
        <v>0</v>
      </c>
      <c r="F431" s="49">
        <v>0</v>
      </c>
      <c r="G431" s="49"/>
      <c r="H431" s="49" t="str">
        <f>IFERROR(VLOOKUP(G431,[2]Basic_Data!$E$2:$I$9,5,0),"")</f>
        <v/>
      </c>
      <c r="I431" s="49">
        <v>0</v>
      </c>
      <c r="J431" s="49">
        <v>0</v>
      </c>
      <c r="K431" s="72">
        <v>0</v>
      </c>
      <c r="L431" s="72">
        <v>0</v>
      </c>
      <c r="M431" s="49">
        <f t="shared" ref="M431:M455" si="94">IFERROR(I431-J431,"")</f>
        <v>0</v>
      </c>
      <c r="N431" s="49" t="s">
        <v>154</v>
      </c>
    </row>
    <row r="432" spans="1:14">
      <c r="A432" s="47">
        <v>46085</v>
      </c>
      <c r="B432" s="48">
        <v>46085</v>
      </c>
      <c r="C432" s="49">
        <v>0</v>
      </c>
      <c r="D432" s="49">
        <v>0</v>
      </c>
      <c r="E432" s="49">
        <v>0</v>
      </c>
      <c r="F432" s="49">
        <v>0</v>
      </c>
      <c r="G432" s="49"/>
      <c r="H432" s="49" t="str">
        <f>IFERROR(VLOOKUP(G432,[2]Basic_Data!$E$2:$I$9,5,0),"")</f>
        <v/>
      </c>
      <c r="I432" s="49">
        <v>0</v>
      </c>
      <c r="J432" s="49">
        <v>0</v>
      </c>
      <c r="K432" s="72">
        <v>0</v>
      </c>
      <c r="L432" s="72">
        <v>0</v>
      </c>
      <c r="M432" s="49">
        <f t="shared" si="94"/>
        <v>0</v>
      </c>
      <c r="N432" s="49" t="s">
        <v>154</v>
      </c>
    </row>
    <row r="433" spans="1:14">
      <c r="A433" s="47">
        <v>46086</v>
      </c>
      <c r="B433" s="48">
        <v>46086</v>
      </c>
      <c r="C433" s="49">
        <v>0</v>
      </c>
      <c r="D433" s="49">
        <v>0</v>
      </c>
      <c r="E433" s="49">
        <v>0</v>
      </c>
      <c r="F433" s="49">
        <v>0</v>
      </c>
      <c r="G433" s="49"/>
      <c r="H433" s="49" t="str">
        <f>IFERROR(VLOOKUP(G433,[2]Basic_Data!$E$2:$I$9,5,0),"")</f>
        <v/>
      </c>
      <c r="I433" s="49">
        <v>0</v>
      </c>
      <c r="J433" s="49">
        <v>0</v>
      </c>
      <c r="K433" s="72">
        <v>0</v>
      </c>
      <c r="L433" s="72">
        <v>0</v>
      </c>
      <c r="M433" s="49">
        <f t="shared" si="94"/>
        <v>0</v>
      </c>
      <c r="N433" s="49" t="s">
        <v>154</v>
      </c>
    </row>
    <row r="434" spans="1:14">
      <c r="A434" s="47">
        <v>46087</v>
      </c>
      <c r="B434" s="48">
        <v>46087</v>
      </c>
      <c r="C434" s="49">
        <v>0</v>
      </c>
      <c r="D434" s="49">
        <v>0</v>
      </c>
      <c r="E434" s="49">
        <v>0</v>
      </c>
      <c r="F434" s="49">
        <v>0</v>
      </c>
      <c r="G434" s="49"/>
      <c r="H434" s="49" t="str">
        <f>IFERROR(VLOOKUP(G434,[2]Basic_Data!$E$2:$I$9,5,0),"")</f>
        <v/>
      </c>
      <c r="I434" s="49">
        <v>0</v>
      </c>
      <c r="J434" s="49">
        <v>0</v>
      </c>
      <c r="K434" s="72">
        <v>0</v>
      </c>
      <c r="L434" s="72">
        <v>0</v>
      </c>
      <c r="M434" s="49">
        <f t="shared" si="94"/>
        <v>0</v>
      </c>
      <c r="N434" s="49" t="s">
        <v>154</v>
      </c>
    </row>
    <row r="435" spans="1:14">
      <c r="A435" s="47">
        <v>46088</v>
      </c>
      <c r="B435" s="48">
        <v>46088</v>
      </c>
      <c r="C435" s="49">
        <v>0</v>
      </c>
      <c r="D435" s="49">
        <v>0</v>
      </c>
      <c r="E435" s="49">
        <v>0</v>
      </c>
      <c r="F435" s="49">
        <v>0</v>
      </c>
      <c r="G435" s="49"/>
      <c r="H435" s="49" t="str">
        <f>IFERROR(VLOOKUP(G435,[2]Basic_Data!$E$2:$I$9,5,0),"")</f>
        <v/>
      </c>
      <c r="I435" s="49">
        <v>0</v>
      </c>
      <c r="J435" s="49">
        <v>0</v>
      </c>
      <c r="K435" s="72">
        <v>0</v>
      </c>
      <c r="L435" s="72">
        <v>0</v>
      </c>
      <c r="M435" s="49">
        <f t="shared" si="94"/>
        <v>0</v>
      </c>
      <c r="N435" s="49" t="s">
        <v>154</v>
      </c>
    </row>
    <row r="436" spans="1:14">
      <c r="A436" s="47">
        <v>46089</v>
      </c>
      <c r="B436" s="48">
        <v>46089</v>
      </c>
      <c r="C436" s="49">
        <v>0</v>
      </c>
      <c r="D436" s="49">
        <v>0</v>
      </c>
      <c r="E436" s="49">
        <v>0</v>
      </c>
      <c r="F436" s="49">
        <v>0</v>
      </c>
      <c r="G436" s="49"/>
      <c r="H436" s="49" t="str">
        <f>IFERROR(VLOOKUP(G436,[2]Basic_Data!$E$2:$I$9,5,0),"")</f>
        <v/>
      </c>
      <c r="I436" s="49">
        <v>0</v>
      </c>
      <c r="J436" s="49">
        <v>0</v>
      </c>
      <c r="K436" s="72">
        <v>0</v>
      </c>
      <c r="L436" s="72">
        <v>0</v>
      </c>
      <c r="M436" s="49">
        <f t="shared" si="94"/>
        <v>0</v>
      </c>
      <c r="N436" s="49" t="s">
        <v>154</v>
      </c>
    </row>
    <row r="437" spans="1:14">
      <c r="A437" s="47">
        <v>46090</v>
      </c>
      <c r="B437" s="48">
        <v>46090</v>
      </c>
      <c r="C437" s="49">
        <v>0</v>
      </c>
      <c r="D437" s="49">
        <v>0</v>
      </c>
      <c r="E437" s="49">
        <v>0</v>
      </c>
      <c r="F437" s="49">
        <v>0</v>
      </c>
      <c r="G437" s="49"/>
      <c r="H437" s="49" t="str">
        <f>IFERROR(VLOOKUP(G437,[2]Basic_Data!$E$2:$I$9,5,0),"")</f>
        <v/>
      </c>
      <c r="I437" s="49">
        <v>0</v>
      </c>
      <c r="J437" s="49">
        <v>0</v>
      </c>
      <c r="K437" s="72">
        <v>0</v>
      </c>
      <c r="L437" s="72">
        <v>0</v>
      </c>
      <c r="M437" s="49">
        <f t="shared" si="94"/>
        <v>0</v>
      </c>
      <c r="N437" s="49" t="s">
        <v>154</v>
      </c>
    </row>
    <row r="438" spans="1:14">
      <c r="A438" s="47">
        <v>46091</v>
      </c>
      <c r="B438" s="48">
        <v>46091</v>
      </c>
      <c r="C438" s="49">
        <v>0</v>
      </c>
      <c r="D438" s="49">
        <v>0</v>
      </c>
      <c r="E438" s="49">
        <v>0</v>
      </c>
      <c r="F438" s="49">
        <v>0</v>
      </c>
      <c r="G438" s="49"/>
      <c r="H438" s="49" t="str">
        <f>IFERROR(VLOOKUP(G438,[2]Basic_Data!$E$2:$I$9,5,0),"")</f>
        <v/>
      </c>
      <c r="I438" s="49">
        <v>0</v>
      </c>
      <c r="J438" s="49">
        <v>0</v>
      </c>
      <c r="K438" s="72">
        <v>0</v>
      </c>
      <c r="L438" s="72">
        <v>0</v>
      </c>
      <c r="M438" s="49">
        <f t="shared" si="94"/>
        <v>0</v>
      </c>
      <c r="N438" s="49" t="s">
        <v>154</v>
      </c>
    </row>
    <row r="439" spans="1:14">
      <c r="A439" s="47">
        <v>46092</v>
      </c>
      <c r="B439" s="48">
        <v>46092</v>
      </c>
      <c r="C439" s="49">
        <v>0</v>
      </c>
      <c r="D439" s="49">
        <v>0</v>
      </c>
      <c r="E439" s="49">
        <v>0</v>
      </c>
      <c r="F439" s="49">
        <v>0</v>
      </c>
      <c r="G439" s="49"/>
      <c r="H439" s="49" t="str">
        <f>IFERROR(VLOOKUP(G439,[2]Basic_Data!$E$2:$I$9,5,0),"")</f>
        <v/>
      </c>
      <c r="I439" s="49">
        <v>0</v>
      </c>
      <c r="J439" s="49">
        <v>0</v>
      </c>
      <c r="K439" s="72">
        <v>0</v>
      </c>
      <c r="L439" s="72">
        <v>0</v>
      </c>
      <c r="M439" s="49">
        <f t="shared" si="94"/>
        <v>0</v>
      </c>
      <c r="N439" s="49" t="s">
        <v>154</v>
      </c>
    </row>
    <row r="440" spans="1:14">
      <c r="A440" s="47">
        <v>46093</v>
      </c>
      <c r="B440" s="48">
        <v>46093</v>
      </c>
      <c r="C440" s="49">
        <v>0</v>
      </c>
      <c r="D440" s="49">
        <v>0</v>
      </c>
      <c r="E440" s="49">
        <v>0</v>
      </c>
      <c r="F440" s="49">
        <v>0</v>
      </c>
      <c r="G440" s="49"/>
      <c r="H440" s="49" t="str">
        <f>IFERROR(VLOOKUP(G440,[2]Basic_Data!$E$2:$I$9,5,0),"")</f>
        <v/>
      </c>
      <c r="I440" s="49">
        <v>0</v>
      </c>
      <c r="J440" s="49">
        <v>0</v>
      </c>
      <c r="K440" s="72">
        <v>0</v>
      </c>
      <c r="L440" s="72">
        <v>0</v>
      </c>
      <c r="M440" s="49">
        <f t="shared" si="94"/>
        <v>0</v>
      </c>
      <c r="N440" s="49" t="s">
        <v>154</v>
      </c>
    </row>
    <row r="441" spans="1:14">
      <c r="A441" s="47">
        <v>46094</v>
      </c>
      <c r="B441" s="48">
        <v>46094</v>
      </c>
      <c r="C441" s="49">
        <v>0</v>
      </c>
      <c r="D441" s="49">
        <v>0</v>
      </c>
      <c r="E441" s="49">
        <v>0</v>
      </c>
      <c r="F441" s="49">
        <v>0</v>
      </c>
      <c r="G441" s="49"/>
      <c r="H441" s="49" t="str">
        <f>IFERROR(VLOOKUP(G441,[2]Basic_Data!$E$2:$I$9,5,0),"")</f>
        <v/>
      </c>
      <c r="I441" s="49">
        <v>0</v>
      </c>
      <c r="J441" s="49">
        <v>0</v>
      </c>
      <c r="K441" s="72">
        <v>0</v>
      </c>
      <c r="L441" s="72">
        <v>0</v>
      </c>
      <c r="M441" s="49">
        <f t="shared" si="94"/>
        <v>0</v>
      </c>
      <c r="N441" s="49" t="s">
        <v>154</v>
      </c>
    </row>
    <row r="442" spans="1:14">
      <c r="A442" s="47">
        <v>46095</v>
      </c>
      <c r="B442" s="48">
        <v>46095</v>
      </c>
      <c r="C442" s="49">
        <v>0</v>
      </c>
      <c r="D442" s="49">
        <v>0</v>
      </c>
      <c r="E442" s="49">
        <v>0</v>
      </c>
      <c r="F442" s="49">
        <v>0</v>
      </c>
      <c r="G442" s="49"/>
      <c r="H442" s="49" t="str">
        <f>IFERROR(VLOOKUP(G442,[2]Basic_Data!$E$2:$I$9,5,0),"")</f>
        <v/>
      </c>
      <c r="I442" s="49">
        <v>0</v>
      </c>
      <c r="J442" s="49">
        <v>0</v>
      </c>
      <c r="K442" s="72">
        <v>0</v>
      </c>
      <c r="L442" s="72">
        <v>0</v>
      </c>
      <c r="M442" s="49">
        <f t="shared" si="94"/>
        <v>0</v>
      </c>
      <c r="N442" s="49" t="s">
        <v>154</v>
      </c>
    </row>
    <row r="443" spans="1:14">
      <c r="A443" s="47">
        <v>46096</v>
      </c>
      <c r="B443" s="48">
        <v>46096</v>
      </c>
      <c r="C443" s="49">
        <v>0</v>
      </c>
      <c r="D443" s="49">
        <v>0</v>
      </c>
      <c r="E443" s="49">
        <v>0</v>
      </c>
      <c r="F443" s="49">
        <v>0</v>
      </c>
      <c r="G443" s="49"/>
      <c r="H443" s="49" t="str">
        <f>IFERROR(VLOOKUP(G443,[2]Basic_Data!$E$2:$I$9,5,0),"")</f>
        <v/>
      </c>
      <c r="I443" s="49">
        <v>0</v>
      </c>
      <c r="J443" s="49">
        <v>0</v>
      </c>
      <c r="K443" s="72">
        <v>0</v>
      </c>
      <c r="L443" s="72">
        <v>0</v>
      </c>
      <c r="M443" s="49">
        <f t="shared" si="94"/>
        <v>0</v>
      </c>
      <c r="N443" s="49" t="s">
        <v>154</v>
      </c>
    </row>
    <row r="444" spans="1:14">
      <c r="A444" s="47">
        <v>46097</v>
      </c>
      <c r="B444" s="48">
        <v>46097</v>
      </c>
      <c r="C444" s="49">
        <v>0</v>
      </c>
      <c r="D444" s="49">
        <v>0</v>
      </c>
      <c r="E444" s="49">
        <v>0</v>
      </c>
      <c r="F444" s="49">
        <v>0</v>
      </c>
      <c r="G444" s="49"/>
      <c r="H444" s="49" t="str">
        <f>IFERROR(VLOOKUP(G444,[2]Basic_Data!$E$2:$I$9,5,0),"")</f>
        <v/>
      </c>
      <c r="I444" s="49">
        <v>0</v>
      </c>
      <c r="J444" s="49">
        <v>0</v>
      </c>
      <c r="K444" s="72">
        <v>0</v>
      </c>
      <c r="L444" s="72">
        <v>0</v>
      </c>
      <c r="M444" s="49">
        <f t="shared" si="94"/>
        <v>0</v>
      </c>
      <c r="N444" s="49" t="s">
        <v>154</v>
      </c>
    </row>
    <row r="445" spans="1:14">
      <c r="A445" s="47">
        <v>46098</v>
      </c>
      <c r="B445" s="48">
        <v>46098</v>
      </c>
      <c r="C445" s="49">
        <v>0</v>
      </c>
      <c r="D445" s="49">
        <v>0</v>
      </c>
      <c r="E445" s="49">
        <v>0</v>
      </c>
      <c r="F445" s="49">
        <v>0</v>
      </c>
      <c r="G445" s="49"/>
      <c r="H445" s="49" t="str">
        <f>IFERROR(VLOOKUP(G445,[2]Basic_Data!$E$2:$I$9,5,0),"")</f>
        <v/>
      </c>
      <c r="I445" s="49">
        <v>0</v>
      </c>
      <c r="J445" s="49">
        <v>0</v>
      </c>
      <c r="K445" s="72">
        <v>0</v>
      </c>
      <c r="L445" s="72">
        <v>0</v>
      </c>
      <c r="M445" s="49">
        <f t="shared" si="94"/>
        <v>0</v>
      </c>
      <c r="N445" s="49" t="s">
        <v>154</v>
      </c>
    </row>
    <row r="446" spans="1:14">
      <c r="A446" s="47">
        <v>46099</v>
      </c>
      <c r="B446" s="48">
        <v>46099</v>
      </c>
      <c r="C446" s="49">
        <v>0</v>
      </c>
      <c r="D446" s="49">
        <v>0</v>
      </c>
      <c r="E446" s="49">
        <v>0</v>
      </c>
      <c r="F446" s="49">
        <v>0</v>
      </c>
      <c r="G446" s="49"/>
      <c r="H446" s="49" t="str">
        <f>IFERROR(VLOOKUP(G446,[2]Basic_Data!$E$2:$I$9,5,0),"")</f>
        <v/>
      </c>
      <c r="I446" s="49">
        <v>0</v>
      </c>
      <c r="J446" s="49">
        <v>0</v>
      </c>
      <c r="K446" s="72">
        <v>0</v>
      </c>
      <c r="L446" s="72">
        <v>0</v>
      </c>
      <c r="M446" s="49">
        <f t="shared" si="94"/>
        <v>0</v>
      </c>
      <c r="N446" s="49" t="s">
        <v>154</v>
      </c>
    </row>
    <row r="447" spans="1:14">
      <c r="A447" s="47">
        <v>46100</v>
      </c>
      <c r="B447" s="48">
        <v>46100</v>
      </c>
      <c r="C447" s="49">
        <v>1</v>
      </c>
      <c r="D447" s="49">
        <v>3000</v>
      </c>
      <c r="E447" s="49">
        <v>0</v>
      </c>
      <c r="F447" s="49">
        <v>1</v>
      </c>
      <c r="G447" s="49" t="s">
        <v>41</v>
      </c>
      <c r="H447" s="49">
        <f>IFERROR(VLOOKUP(G447,[2]Basic_Data!$E$2:$I$9,5,0),"")</f>
        <v>8</v>
      </c>
      <c r="I447" s="49">
        <v>616</v>
      </c>
      <c r="J447" s="49">
        <v>616</v>
      </c>
      <c r="K447" s="72">
        <v>0</v>
      </c>
      <c r="L447" s="72">
        <v>0</v>
      </c>
      <c r="M447" s="49">
        <f t="shared" si="94"/>
        <v>0</v>
      </c>
      <c r="N447" s="49" t="s">
        <v>153</v>
      </c>
    </row>
    <row r="448" spans="1:14">
      <c r="A448" s="47"/>
      <c r="B448" s="48"/>
      <c r="C448" s="49"/>
      <c r="D448" s="49"/>
      <c r="E448" s="49">
        <v>0</v>
      </c>
      <c r="F448" s="49">
        <v>1</v>
      </c>
      <c r="G448" s="49" t="s">
        <v>39</v>
      </c>
      <c r="H448" s="49"/>
      <c r="I448" s="49">
        <v>588</v>
      </c>
      <c r="J448" s="49">
        <v>588</v>
      </c>
      <c r="K448" s="72"/>
      <c r="L448" s="72"/>
      <c r="M448" s="49">
        <f t="shared" si="94"/>
        <v>0</v>
      </c>
      <c r="N448" s="49" t="s">
        <v>153</v>
      </c>
    </row>
    <row r="449" spans="1:14">
      <c r="A449" s="47">
        <v>46101</v>
      </c>
      <c r="B449" s="48">
        <v>46101</v>
      </c>
      <c r="C449" s="49">
        <v>4</v>
      </c>
      <c r="D449" s="49">
        <v>12000</v>
      </c>
      <c r="E449" s="49">
        <v>0</v>
      </c>
      <c r="F449" s="49">
        <v>1</v>
      </c>
      <c r="G449" s="49" t="s">
        <v>41</v>
      </c>
      <c r="H449" s="49">
        <f>IFERROR(VLOOKUP(G449,[2]Basic_Data!$E$2:$I$9,5,0),"")</f>
        <v>8</v>
      </c>
      <c r="I449" s="49">
        <v>588</v>
      </c>
      <c r="J449" s="49">
        <v>588</v>
      </c>
      <c r="K449" s="50" t="str">
        <f>IFERROR(VLOOKUP($B449-1,[2]Inverter_PR!$B:$I,[2]Module_Cleaning!H384,0),"")</f>
        <v/>
      </c>
      <c r="L449" s="50" t="str">
        <f>IFERROR(VLOOKUP($B449+1,[2]Inverter_PR!$B:$I,[2]Module_Cleaning!H384,0),"")</f>
        <v/>
      </c>
      <c r="M449" s="49">
        <f t="shared" si="94"/>
        <v>0</v>
      </c>
      <c r="N449" s="49" t="s">
        <v>153</v>
      </c>
    </row>
    <row r="450" spans="1:14">
      <c r="A450" s="47"/>
      <c r="B450" s="48"/>
      <c r="C450" s="49"/>
      <c r="D450" s="49"/>
      <c r="E450" s="49"/>
      <c r="F450" s="49">
        <v>1</v>
      </c>
      <c r="G450" s="49" t="s">
        <v>38</v>
      </c>
      <c r="H450" s="49"/>
      <c r="I450" s="49">
        <v>588</v>
      </c>
      <c r="J450" s="49">
        <v>588</v>
      </c>
      <c r="K450" s="50"/>
      <c r="L450" s="50"/>
      <c r="M450" s="49">
        <f t="shared" si="94"/>
        <v>0</v>
      </c>
      <c r="N450" s="49" t="s">
        <v>153</v>
      </c>
    </row>
    <row r="451" spans="1:14">
      <c r="A451" s="47"/>
      <c r="B451" s="48"/>
      <c r="C451" s="49"/>
      <c r="D451" s="49"/>
      <c r="E451" s="49"/>
      <c r="F451" s="49">
        <v>1</v>
      </c>
      <c r="G451" s="49" t="s">
        <v>36</v>
      </c>
      <c r="H451" s="49"/>
      <c r="I451" s="49">
        <v>588</v>
      </c>
      <c r="J451" s="49">
        <v>588</v>
      </c>
      <c r="K451" s="50"/>
      <c r="L451" s="50"/>
      <c r="M451" s="49">
        <f t="shared" si="94"/>
        <v>0</v>
      </c>
      <c r="N451" s="49" t="s">
        <v>153</v>
      </c>
    </row>
    <row r="452" spans="1:14">
      <c r="A452" s="47"/>
      <c r="B452" s="48"/>
      <c r="C452" s="49"/>
      <c r="D452" s="49"/>
      <c r="E452" s="49"/>
      <c r="F452" s="49">
        <v>1</v>
      </c>
      <c r="G452" s="49" t="s">
        <v>40</v>
      </c>
      <c r="H452" s="49"/>
      <c r="I452" s="49">
        <v>588</v>
      </c>
      <c r="J452" s="49">
        <v>588</v>
      </c>
      <c r="K452" s="50"/>
      <c r="L452" s="50"/>
      <c r="M452" s="49">
        <f t="shared" si="94"/>
        <v>0</v>
      </c>
      <c r="N452" s="49" t="s">
        <v>153</v>
      </c>
    </row>
    <row r="453" spans="1:14">
      <c r="A453" s="47"/>
      <c r="B453" s="48"/>
      <c r="C453" s="49"/>
      <c r="D453" s="49"/>
      <c r="E453" s="49"/>
      <c r="F453" s="49">
        <v>1</v>
      </c>
      <c r="G453" s="49" t="s">
        <v>35</v>
      </c>
      <c r="H453" s="49"/>
      <c r="I453" s="49">
        <v>588</v>
      </c>
      <c r="J453" s="49">
        <v>588</v>
      </c>
      <c r="K453" s="50"/>
      <c r="L453" s="50"/>
      <c r="M453" s="49">
        <f t="shared" si="94"/>
        <v>0</v>
      </c>
      <c r="N453" s="49" t="s">
        <v>153</v>
      </c>
    </row>
    <row r="454" spans="1:14">
      <c r="A454" s="47"/>
      <c r="B454" s="48"/>
      <c r="C454" s="49"/>
      <c r="D454" s="49"/>
      <c r="E454" s="49"/>
      <c r="F454" s="49">
        <v>1</v>
      </c>
      <c r="G454" s="49" t="s">
        <v>37</v>
      </c>
      <c r="H454" s="49"/>
      <c r="I454" s="49">
        <v>588</v>
      </c>
      <c r="J454" s="49">
        <v>588</v>
      </c>
      <c r="K454" s="50"/>
      <c r="L454" s="50"/>
      <c r="M454" s="49">
        <f t="shared" si="94"/>
        <v>0</v>
      </c>
      <c r="N454" s="49" t="s">
        <v>153</v>
      </c>
    </row>
    <row r="455" spans="1:14">
      <c r="A455" s="47">
        <v>46102</v>
      </c>
      <c r="B455" s="48">
        <v>46102</v>
      </c>
      <c r="C455" s="49">
        <v>4</v>
      </c>
      <c r="D455" s="49">
        <v>9000</v>
      </c>
      <c r="E455" s="49"/>
      <c r="F455" s="49">
        <v>1</v>
      </c>
      <c r="G455" s="49" t="s">
        <v>41</v>
      </c>
      <c r="H455" s="49">
        <f>IFERROR(VLOOKUP(G455,[2]Basic_Data!$E$2:$I$9,5,0),"")</f>
        <v>8</v>
      </c>
      <c r="I455" s="49">
        <v>588</v>
      </c>
      <c r="J455" s="49">
        <v>588</v>
      </c>
      <c r="K455" s="50" t="str">
        <f>IFERROR(VLOOKUP($B455-1,[2]Inverter_PR!$B:$I,[2]Module_Cleaning!H385,0),"")</f>
        <v/>
      </c>
      <c r="L455" s="50" t="str">
        <f>IFERROR(VLOOKUP($B455+1,[2]Inverter_PR!$B:$I,[2]Module_Cleaning!H385,0),"")</f>
        <v/>
      </c>
      <c r="M455" s="49">
        <f t="shared" si="94"/>
        <v>0</v>
      </c>
      <c r="N455" s="49" t="s">
        <v>153</v>
      </c>
    </row>
    <row r="456" spans="1:14">
      <c r="A456" s="47"/>
      <c r="B456" s="48"/>
      <c r="C456" s="49"/>
      <c r="D456" s="49"/>
      <c r="E456" s="49"/>
      <c r="F456" s="49">
        <v>1</v>
      </c>
      <c r="G456" s="49" t="s">
        <v>38</v>
      </c>
      <c r="H456" s="49"/>
      <c r="I456" s="49">
        <v>588</v>
      </c>
      <c r="J456" s="49">
        <v>588</v>
      </c>
      <c r="K456" s="50"/>
      <c r="L456" s="50"/>
      <c r="M456" s="49">
        <v>0</v>
      </c>
      <c r="N456" s="49" t="s">
        <v>153</v>
      </c>
    </row>
    <row r="457" spans="1:14">
      <c r="A457" s="47"/>
      <c r="B457" s="48"/>
      <c r="C457" s="49"/>
      <c r="D457" s="49"/>
      <c r="E457" s="49"/>
      <c r="F457" s="49">
        <v>1</v>
      </c>
      <c r="G457" s="49" t="s">
        <v>36</v>
      </c>
      <c r="H457" s="49"/>
      <c r="I457" s="49">
        <v>588</v>
      </c>
      <c r="J457" s="49">
        <v>588</v>
      </c>
      <c r="K457" s="50"/>
      <c r="L457" s="50"/>
      <c r="M457" s="49">
        <v>0</v>
      </c>
      <c r="N457" s="49" t="s">
        <v>153</v>
      </c>
    </row>
    <row r="458" spans="1:14">
      <c r="A458" s="47"/>
      <c r="B458" s="48"/>
      <c r="C458" s="49"/>
      <c r="D458" s="49"/>
      <c r="E458" s="49"/>
      <c r="F458" s="49">
        <v>1</v>
      </c>
      <c r="G458" s="49" t="s">
        <v>40</v>
      </c>
      <c r="H458" s="49"/>
      <c r="I458" s="49">
        <v>588</v>
      </c>
      <c r="J458" s="49">
        <v>588</v>
      </c>
      <c r="K458" s="50"/>
      <c r="L458" s="50"/>
      <c r="M458" s="49">
        <v>0</v>
      </c>
      <c r="N458" s="49" t="s">
        <v>153</v>
      </c>
    </row>
    <row r="459" spans="1:14">
      <c r="A459" s="47">
        <v>46103</v>
      </c>
      <c r="B459" s="48">
        <v>46103</v>
      </c>
      <c r="C459" s="49">
        <v>2</v>
      </c>
      <c r="D459" s="49">
        <v>6000</v>
      </c>
      <c r="E459" s="49"/>
      <c r="F459" s="49">
        <v>1</v>
      </c>
      <c r="G459" s="49" t="s">
        <v>37</v>
      </c>
      <c r="H459" s="49">
        <f>IFERROR(VLOOKUP(G459,[2]Basic_Data!$E$2:$I$9,5,0),"")</f>
        <v>4</v>
      </c>
      <c r="I459" s="49">
        <v>588</v>
      </c>
      <c r="J459" s="49">
        <v>588</v>
      </c>
      <c r="K459" s="50" t="str">
        <f>IFERROR(VLOOKUP($B459-1,[2]Inverter_PR!$B:$I,[2]Module_Cleaning!H386,0),"")</f>
        <v/>
      </c>
      <c r="L459" s="50" t="str">
        <f>IFERROR(VLOOKUP($B459+1,[2]Inverter_PR!$B:$I,[2]Module_Cleaning!H386,0),"")</f>
        <v/>
      </c>
      <c r="M459" s="49">
        <f>IFERROR(I459-J459,"")</f>
        <v>0</v>
      </c>
      <c r="N459" s="49" t="s">
        <v>153</v>
      </c>
    </row>
    <row r="460" spans="1:14">
      <c r="A460" s="47"/>
      <c r="B460" s="48"/>
      <c r="C460" s="49"/>
      <c r="D460" s="49"/>
      <c r="E460" s="49"/>
      <c r="F460" s="49">
        <v>1</v>
      </c>
      <c r="G460" s="49" t="s">
        <v>39</v>
      </c>
      <c r="H460" s="49"/>
      <c r="I460" s="49">
        <v>588</v>
      </c>
      <c r="J460" s="49">
        <v>588</v>
      </c>
      <c r="K460" s="50"/>
      <c r="L460" s="50"/>
      <c r="M460" s="49">
        <f>IFERROR(I460-J460,"")</f>
        <v>0</v>
      </c>
      <c r="N460" s="49" t="s">
        <v>153</v>
      </c>
    </row>
    <row r="461" spans="1:14">
      <c r="A461" s="47"/>
      <c r="B461" s="48"/>
      <c r="C461" s="49"/>
      <c r="D461" s="49"/>
      <c r="E461" s="49"/>
      <c r="F461" s="49">
        <v>1</v>
      </c>
      <c r="G461" s="49" t="s">
        <v>35</v>
      </c>
      <c r="H461" s="49"/>
      <c r="I461" s="49">
        <v>588</v>
      </c>
      <c r="J461" s="49">
        <v>588</v>
      </c>
      <c r="K461" s="50"/>
      <c r="L461" s="50"/>
      <c r="M461" s="49">
        <f>IFERROR(I461-J461,"")</f>
        <v>0</v>
      </c>
      <c r="N461" s="49" t="s">
        <v>153</v>
      </c>
    </row>
    <row r="462" spans="1:14">
      <c r="A462" s="47">
        <v>46104</v>
      </c>
      <c r="B462" s="48">
        <v>46104</v>
      </c>
      <c r="C462" s="49">
        <v>0</v>
      </c>
      <c r="D462" s="49">
        <v>0</v>
      </c>
      <c r="E462" s="49">
        <v>0</v>
      </c>
      <c r="F462" s="49">
        <v>0</v>
      </c>
      <c r="G462" s="49">
        <v>0</v>
      </c>
      <c r="H462" s="49">
        <v>0</v>
      </c>
      <c r="I462" s="49">
        <v>0</v>
      </c>
      <c r="J462" s="49">
        <v>0</v>
      </c>
      <c r="K462" s="72">
        <v>0</v>
      </c>
      <c r="L462" s="72">
        <v>0</v>
      </c>
      <c r="M462" s="49">
        <v>0</v>
      </c>
      <c r="N462" s="49" t="s">
        <v>154</v>
      </c>
    </row>
    <row r="463" spans="1:14">
      <c r="A463" s="47">
        <v>46105</v>
      </c>
      <c r="B463" s="48">
        <v>46105</v>
      </c>
      <c r="C463" s="49">
        <v>3</v>
      </c>
      <c r="D463" s="49">
        <v>8000</v>
      </c>
      <c r="E463" s="49"/>
      <c r="F463" s="49">
        <v>2</v>
      </c>
      <c r="G463" s="49" t="s">
        <v>41</v>
      </c>
      <c r="H463" s="49">
        <f>IFERROR(VLOOKUP(G463,[2]Basic_Data!$E$2:$I$9,5,0),"")</f>
        <v>8</v>
      </c>
      <c r="I463" s="49">
        <v>616</v>
      </c>
      <c r="J463" s="49">
        <v>616</v>
      </c>
      <c r="K463" s="50" t="str">
        <f>IFERROR(VLOOKUP($B463-1,[2]Inverter_PR!$B:$I,[2]Module_Cleaning!H388,0),"")</f>
        <v/>
      </c>
      <c r="L463" s="50" t="str">
        <f>IFERROR(VLOOKUP($B463+1,[2]Inverter_PR!$B:$I,[2]Module_Cleaning!H388,0),"")</f>
        <v/>
      </c>
      <c r="M463" s="49">
        <f>IFERROR(I463-J463,"")</f>
        <v>0</v>
      </c>
      <c r="N463" s="49" t="s">
        <v>153</v>
      </c>
    </row>
    <row r="464" spans="1:14">
      <c r="A464" s="47"/>
      <c r="B464" s="48"/>
      <c r="C464" s="49"/>
      <c r="D464" s="49"/>
      <c r="E464" s="49"/>
      <c r="F464" s="49">
        <v>2</v>
      </c>
      <c r="G464" s="49" t="s">
        <v>39</v>
      </c>
      <c r="H464" s="49"/>
      <c r="I464" s="49"/>
      <c r="J464" s="49"/>
      <c r="K464" s="50"/>
      <c r="L464" s="50"/>
      <c r="M464" s="49"/>
      <c r="N464" s="49" t="s">
        <v>153</v>
      </c>
    </row>
    <row r="465" spans="1:14">
      <c r="A465" s="47"/>
      <c r="B465" s="48"/>
      <c r="C465" s="49"/>
      <c r="D465" s="49"/>
      <c r="E465" s="49"/>
      <c r="F465" s="49">
        <v>2</v>
      </c>
      <c r="G465" s="49" t="s">
        <v>41</v>
      </c>
      <c r="H465" s="49"/>
      <c r="I465" s="49"/>
      <c r="J465" s="49"/>
      <c r="K465" s="50"/>
      <c r="L465" s="50"/>
      <c r="M465" s="49"/>
      <c r="N465" s="49" t="s">
        <v>153</v>
      </c>
    </row>
    <row r="466" spans="1:14">
      <c r="A466" s="47"/>
      <c r="B466" s="48"/>
      <c r="C466" s="49"/>
      <c r="D466" s="49"/>
      <c r="E466" s="49"/>
      <c r="F466" s="49">
        <v>2</v>
      </c>
      <c r="G466" s="49" t="s">
        <v>38</v>
      </c>
      <c r="H466" s="49"/>
      <c r="I466" s="49"/>
      <c r="J466" s="49"/>
      <c r="K466" s="50"/>
      <c r="L466" s="50"/>
      <c r="M466" s="49"/>
      <c r="N466" s="49" t="s">
        <v>153</v>
      </c>
    </row>
    <row r="467" spans="1:14">
      <c r="A467" s="47"/>
      <c r="B467" s="48"/>
      <c r="C467" s="49"/>
      <c r="D467" s="49"/>
      <c r="E467" s="49"/>
      <c r="F467" s="49">
        <v>2</v>
      </c>
      <c r="G467" s="49" t="s">
        <v>36</v>
      </c>
      <c r="H467" s="49"/>
      <c r="I467" s="49"/>
      <c r="J467" s="49"/>
      <c r="K467" s="50"/>
      <c r="L467" s="50"/>
      <c r="M467" s="49"/>
      <c r="N467" s="49" t="s">
        <v>153</v>
      </c>
    </row>
    <row r="468" spans="1:14">
      <c r="A468" s="47">
        <v>46106</v>
      </c>
      <c r="B468" s="48">
        <v>46106</v>
      </c>
      <c r="C468" s="49">
        <v>4</v>
      </c>
      <c r="D468" s="49">
        <v>9000</v>
      </c>
      <c r="E468" s="49"/>
      <c r="F468" s="49"/>
      <c r="G468" s="49" t="s">
        <v>40</v>
      </c>
      <c r="H468" s="49">
        <f>IFERROR(VLOOKUP(G468,[2]Basic_Data!$E$2:$I$9,5,0),"")</f>
        <v>7</v>
      </c>
      <c r="I468" s="49">
        <v>588</v>
      </c>
      <c r="J468" s="49">
        <v>588</v>
      </c>
      <c r="K468" s="50" t="str">
        <f>IFERROR(VLOOKUP($B468-1,[2]Inverter_PR!$B:$I,[2]Module_Cleaning!H389,0),"")</f>
        <v/>
      </c>
      <c r="L468" s="50" t="str">
        <f>IFERROR(VLOOKUP($B468+1,[2]Inverter_PR!$B:$I,[2]Module_Cleaning!H389,0),"")</f>
        <v/>
      </c>
      <c r="M468" s="49">
        <f>IFERROR(I468-J468,"")</f>
        <v>0</v>
      </c>
      <c r="N468" s="49" t="s">
        <v>153</v>
      </c>
    </row>
    <row r="469" spans="1:14">
      <c r="A469" s="47"/>
      <c r="B469" s="48"/>
      <c r="C469" s="49"/>
      <c r="D469" s="49"/>
      <c r="E469" s="49"/>
      <c r="F469" s="49"/>
      <c r="G469" s="49" t="s">
        <v>35</v>
      </c>
      <c r="H469" s="49"/>
      <c r="I469" s="49"/>
      <c r="J469" s="49"/>
      <c r="K469" s="50"/>
      <c r="L469" s="50"/>
      <c r="M469" s="49"/>
      <c r="N469" s="49" t="s">
        <v>153</v>
      </c>
    </row>
    <row r="470" spans="1:14">
      <c r="A470" s="47"/>
      <c r="B470" s="48"/>
      <c r="C470" s="49"/>
      <c r="D470" s="49"/>
      <c r="E470" s="49"/>
      <c r="F470" s="49"/>
      <c r="G470" s="49" t="s">
        <v>37</v>
      </c>
      <c r="H470" s="49"/>
      <c r="I470" s="49"/>
      <c r="J470" s="49"/>
      <c r="K470" s="50"/>
      <c r="L470" s="50"/>
      <c r="M470" s="49"/>
      <c r="N470" s="49" t="s">
        <v>153</v>
      </c>
    </row>
    <row r="471" spans="1:14">
      <c r="A471" s="47"/>
      <c r="B471" s="48"/>
      <c r="C471" s="49"/>
      <c r="D471" s="49"/>
      <c r="E471" s="49"/>
      <c r="F471" s="49"/>
      <c r="G471" s="49" t="s">
        <v>41</v>
      </c>
      <c r="H471" s="49"/>
      <c r="I471" s="49"/>
      <c r="J471" s="49"/>
      <c r="K471" s="50"/>
      <c r="L471" s="50"/>
      <c r="M471" s="49"/>
      <c r="N471" s="49" t="s">
        <v>153</v>
      </c>
    </row>
    <row r="472" spans="1:14">
      <c r="A472" s="47">
        <v>46107</v>
      </c>
      <c r="B472" s="48">
        <v>46107</v>
      </c>
      <c r="C472" s="49">
        <v>4</v>
      </c>
      <c r="D472" s="49">
        <v>9000</v>
      </c>
      <c r="E472" s="49"/>
      <c r="F472" s="49"/>
      <c r="G472" s="49" t="s">
        <v>38</v>
      </c>
      <c r="H472" s="49">
        <f>IFERROR(VLOOKUP(G472,[2]Basic_Data!$E$2:$I$9,5,0),"")</f>
        <v>5</v>
      </c>
      <c r="I472" s="49">
        <v>588</v>
      </c>
      <c r="J472" s="49">
        <v>588</v>
      </c>
      <c r="K472" s="50" t="str">
        <f>IFERROR(VLOOKUP($B472-1,[2]Inverter_PR!$B:$I,[2]Module_Cleaning!H390,0),"")</f>
        <v/>
      </c>
      <c r="L472" s="50" t="str">
        <f>IFERROR(VLOOKUP($B472+1,[2]Inverter_PR!$B:$I,[2]Module_Cleaning!H390,0),"")</f>
        <v/>
      </c>
      <c r="M472" s="49">
        <f>IFERROR(I472-J472,"")</f>
        <v>0</v>
      </c>
      <c r="N472" s="49" t="s">
        <v>153</v>
      </c>
    </row>
    <row r="473" spans="1:14">
      <c r="A473" s="47"/>
      <c r="B473" s="48"/>
      <c r="C473" s="49"/>
      <c r="D473" s="49"/>
      <c r="E473" s="49"/>
      <c r="F473" s="49"/>
      <c r="G473" s="49" t="s">
        <v>36</v>
      </c>
      <c r="H473" s="49"/>
      <c r="I473" s="49"/>
      <c r="J473" s="49"/>
      <c r="K473" s="50"/>
      <c r="L473" s="50"/>
      <c r="M473" s="49"/>
      <c r="N473" s="49" t="s">
        <v>153</v>
      </c>
    </row>
    <row r="474" spans="1:14">
      <c r="A474" s="47"/>
      <c r="B474" s="48"/>
      <c r="C474" s="49"/>
      <c r="D474" s="49"/>
      <c r="E474" s="49"/>
      <c r="F474" s="49"/>
      <c r="G474" s="49" t="s">
        <v>40</v>
      </c>
      <c r="H474" s="49"/>
      <c r="I474" s="49"/>
      <c r="J474" s="49"/>
      <c r="K474" s="50"/>
      <c r="L474" s="50"/>
      <c r="M474" s="49"/>
      <c r="N474" s="49" t="s">
        <v>153</v>
      </c>
    </row>
    <row r="475" spans="1:14">
      <c r="A475" s="47"/>
      <c r="B475" s="48"/>
      <c r="C475" s="49"/>
      <c r="D475" s="49"/>
      <c r="E475" s="49"/>
      <c r="F475" s="49"/>
      <c r="G475" s="49" t="s">
        <v>37</v>
      </c>
      <c r="H475" s="49"/>
      <c r="I475" s="49"/>
      <c r="J475" s="49"/>
      <c r="K475" s="50"/>
      <c r="L475" s="50"/>
      <c r="M475" s="49"/>
      <c r="N475" s="49" t="s">
        <v>153</v>
      </c>
    </row>
    <row r="476" spans="1:14">
      <c r="A476" s="47"/>
      <c r="B476" s="48"/>
      <c r="C476" s="49"/>
      <c r="D476" s="49"/>
      <c r="E476" s="49"/>
      <c r="F476" s="49"/>
      <c r="G476" s="49" t="s">
        <v>39</v>
      </c>
      <c r="H476" s="49"/>
      <c r="I476" s="49"/>
      <c r="J476" s="49"/>
      <c r="K476" s="50"/>
      <c r="L476" s="50"/>
      <c r="M476" s="49"/>
      <c r="N476" s="49" t="s">
        <v>153</v>
      </c>
    </row>
    <row r="477" spans="1:14">
      <c r="A477" s="47"/>
      <c r="B477" s="48"/>
      <c r="C477" s="49"/>
      <c r="D477" s="49"/>
      <c r="E477" s="49"/>
      <c r="F477" s="49"/>
      <c r="G477" s="49" t="s">
        <v>35</v>
      </c>
      <c r="H477" s="49"/>
      <c r="I477" s="49"/>
      <c r="J477" s="49"/>
      <c r="K477" s="50"/>
      <c r="L477" s="50"/>
      <c r="M477" s="49"/>
      <c r="N477" s="49" t="s">
        <v>153</v>
      </c>
    </row>
    <row r="478" spans="1:14">
      <c r="A478" s="47">
        <v>46108</v>
      </c>
      <c r="B478" s="48">
        <v>46108</v>
      </c>
      <c r="C478" s="49">
        <v>0</v>
      </c>
      <c r="D478" s="49">
        <v>0</v>
      </c>
      <c r="E478" s="49">
        <v>0</v>
      </c>
      <c r="F478" s="49">
        <v>0</v>
      </c>
      <c r="G478" s="49">
        <v>0</v>
      </c>
      <c r="H478" s="49" t="str">
        <f>IFERROR(VLOOKUP(G478,[2]Basic_Data!$E$2:$I$9,5,0),"")</f>
        <v/>
      </c>
      <c r="I478" s="49">
        <v>0</v>
      </c>
      <c r="J478" s="49">
        <v>0</v>
      </c>
      <c r="K478" s="72">
        <v>0</v>
      </c>
      <c r="L478" s="72">
        <v>0</v>
      </c>
      <c r="M478" s="49">
        <v>0</v>
      </c>
      <c r="N478" s="49" t="s">
        <v>154</v>
      </c>
    </row>
    <row r="479" spans="1:14">
      <c r="A479" s="47">
        <v>46109</v>
      </c>
      <c r="B479" s="48">
        <v>46109</v>
      </c>
      <c r="C479" s="49">
        <v>0</v>
      </c>
      <c r="D479" s="49"/>
      <c r="E479" s="49">
        <v>0</v>
      </c>
      <c r="F479" s="49">
        <v>1</v>
      </c>
      <c r="G479" s="49" t="s">
        <v>35</v>
      </c>
      <c r="H479" s="49">
        <f>IFERROR(VLOOKUP(G479,[2]Basic_Data!$E$2:$I$9,5,0),"")</f>
        <v>2</v>
      </c>
      <c r="I479" s="49">
        <v>588</v>
      </c>
      <c r="J479" s="49">
        <v>588</v>
      </c>
      <c r="K479" s="50" t="str">
        <f>IFERROR(VLOOKUP($B479-1,[2]Inverter_PR!$B:$I,[2]Module_Cleaning!H392,0),"")</f>
        <v/>
      </c>
      <c r="L479" s="50" t="str">
        <f>IFERROR(VLOOKUP($B479+1,[2]Inverter_PR!$B:$I,[2]Module_Cleaning!H392,0),"")</f>
        <v/>
      </c>
      <c r="M479" s="49">
        <f>IFERROR(I479-J479,"")</f>
        <v>0</v>
      </c>
      <c r="N479" s="49" t="s">
        <v>156</v>
      </c>
    </row>
    <row r="480" spans="1:14">
      <c r="A480" s="47"/>
      <c r="B480" s="48"/>
      <c r="C480" s="49"/>
      <c r="D480" s="49"/>
      <c r="E480" s="49"/>
      <c r="F480" s="49">
        <v>1</v>
      </c>
      <c r="G480" s="49" t="s">
        <v>37</v>
      </c>
      <c r="H480" s="49"/>
      <c r="I480" s="49">
        <v>588</v>
      </c>
      <c r="J480" s="49"/>
      <c r="K480" s="50"/>
      <c r="L480" s="50"/>
      <c r="M480" s="49"/>
      <c r="N480" s="49" t="s">
        <v>156</v>
      </c>
    </row>
    <row r="481" spans="1:14">
      <c r="A481" s="47">
        <v>46110</v>
      </c>
      <c r="B481" s="48">
        <v>46110</v>
      </c>
      <c r="C481" s="49">
        <v>0</v>
      </c>
      <c r="D481" s="49">
        <v>0</v>
      </c>
      <c r="E481" s="49">
        <v>0</v>
      </c>
      <c r="F481" s="49">
        <v>1</v>
      </c>
      <c r="G481" s="49" t="s">
        <v>40</v>
      </c>
      <c r="H481" s="49">
        <f>IFERROR(VLOOKUP(G481,[2]Basic_Data!$E$2:$I$9,5,0),"")</f>
        <v>7</v>
      </c>
      <c r="I481" s="49">
        <v>588</v>
      </c>
      <c r="J481" s="49">
        <v>588</v>
      </c>
      <c r="K481" s="50" t="str">
        <f>IFERROR(VLOOKUP($B481-1,[2]Inverter_PR!$B:$I,[2]Module_Cleaning!H393,0),"")</f>
        <v/>
      </c>
      <c r="L481" s="50" t="str">
        <f>IFERROR(VLOOKUP($B481+1,[2]Inverter_PR!$B:$I,[2]Module_Cleaning!H393,0),"")</f>
        <v/>
      </c>
      <c r="M481" s="49">
        <f>IFERROR(I481-J481,"")</f>
        <v>0</v>
      </c>
      <c r="N481" s="49" t="s">
        <v>156</v>
      </c>
    </row>
    <row r="482" spans="1:14">
      <c r="A482" s="47"/>
      <c r="B482" s="48"/>
      <c r="C482" s="49"/>
      <c r="D482" s="49"/>
      <c r="E482" s="49"/>
      <c r="F482" s="49">
        <v>1</v>
      </c>
      <c r="G482" s="49" t="s">
        <v>36</v>
      </c>
      <c r="H482" s="49"/>
      <c r="I482" s="49"/>
      <c r="J482" s="49"/>
      <c r="K482" s="50"/>
      <c r="L482" s="50"/>
      <c r="M482" s="49">
        <v>0</v>
      </c>
      <c r="N482" s="49" t="s">
        <v>156</v>
      </c>
    </row>
    <row r="483" spans="1:14">
      <c r="A483" s="47">
        <v>46111</v>
      </c>
      <c r="B483" s="48">
        <v>46111</v>
      </c>
      <c r="C483" s="49">
        <v>0</v>
      </c>
      <c r="D483" s="49">
        <v>0</v>
      </c>
      <c r="E483" s="49">
        <v>0</v>
      </c>
      <c r="F483" s="49">
        <v>0</v>
      </c>
      <c r="G483" s="49">
        <v>0</v>
      </c>
      <c r="H483" s="49" t="str">
        <f>IFERROR(VLOOKUP(G483,[2]Basic_Data!$E$2:$I$9,5,0),"")</f>
        <v/>
      </c>
      <c r="I483" s="49">
        <v>0</v>
      </c>
      <c r="J483" s="49">
        <v>0</v>
      </c>
      <c r="K483" s="50" t="str">
        <f>IFERROR(VLOOKUP($B483-1,[2]Inverter_PR!$B:$I,[2]Module_Cleaning!H394,0),"")</f>
        <v/>
      </c>
      <c r="L483" s="50" t="str">
        <f>IFERROR(VLOOKUP($B483+1,[2]Inverter_PR!$B:$I,[2]Module_Cleaning!H394,0),"")</f>
        <v/>
      </c>
      <c r="M483" s="49">
        <f>IFERROR(I483-J483,"")</f>
        <v>0</v>
      </c>
      <c r="N483" s="49" t="s">
        <v>154</v>
      </c>
    </row>
    <row r="484" spans="1:14">
      <c r="A484" s="47">
        <v>46112</v>
      </c>
      <c r="B484" s="48">
        <v>46112</v>
      </c>
      <c r="C484" s="49">
        <v>0</v>
      </c>
      <c r="D484" s="49">
        <v>0</v>
      </c>
      <c r="E484" s="49">
        <v>0</v>
      </c>
      <c r="F484" s="49">
        <v>0</v>
      </c>
      <c r="G484" s="49">
        <v>0</v>
      </c>
      <c r="H484" s="49" t="str">
        <f>IFERROR(VLOOKUP(G484,[2]Basic_Data!$E$2:$I$9,5,0),"")</f>
        <v/>
      </c>
      <c r="I484" s="49">
        <v>0</v>
      </c>
      <c r="J484" s="49">
        <v>0</v>
      </c>
      <c r="K484" s="50" t="str">
        <f>IFERROR(VLOOKUP($B484-1,[2]Inverter_PR!$B:$I,[2]Module_Cleaning!H395,0),"")</f>
        <v/>
      </c>
      <c r="L484" s="50" t="str">
        <f>IFERROR(VLOOKUP($B484+1,[2]Inverter_PR!$B:$I,[2]Module_Cleaning!H395,0),"")</f>
        <v/>
      </c>
      <c r="M484" s="49">
        <f>IFERROR(I484-J484,"")</f>
        <v>0</v>
      </c>
      <c r="N484" s="49" t="s">
        <v>154</v>
      </c>
    </row>
    <row r="485" customHeight="1" spans="1:14">
      <c r="B485" s="48">
        <v>46113</v>
      </c>
      <c r="C485" s="49">
        <v>0</v>
      </c>
      <c r="D485" s="49">
        <v>0</v>
      </c>
      <c r="E485" s="49">
        <v>0</v>
      </c>
      <c r="F485" s="49">
        <v>0</v>
      </c>
      <c r="G485" s="49">
        <v>0</v>
      </c>
      <c r="H485" s="49" t="str">
        <f>IFERROR(VLOOKUP(G485,[2]Basic_Data!$E$2:$I$9,5,0),"")</f>
        <v/>
      </c>
      <c r="I485" s="49">
        <v>0</v>
      </c>
      <c r="J485" s="49">
        <v>0</v>
      </c>
      <c r="K485" s="50" t="str">
        <f>IFERROR(VLOOKUP($B485-1,[2]Inverter_PR!$B:$I,[2]Module_Cleaning!H396,0),"")</f>
        <v/>
      </c>
      <c r="L485" s="50" t="str">
        <f>IFERROR(VLOOKUP($B485+1,[2]Inverter_PR!$B:$I,[2]Module_Cleaning!H396,0),"")</f>
        <v/>
      </c>
      <c r="M485" s="49">
        <f>IFERROR(I485-J485,"")</f>
        <v>0</v>
      </c>
      <c r="N485" s="49" t="s">
        <v>154</v>
      </c>
    </row>
    <row r="486" customHeight="1" spans="1:14">
      <c r="B486" s="48">
        <v>46114</v>
      </c>
      <c r="C486" s="49">
        <v>0</v>
      </c>
      <c r="D486" s="49">
        <v>0</v>
      </c>
      <c r="E486" s="49">
        <v>0</v>
      </c>
      <c r="F486" s="49">
        <v>0</v>
      </c>
      <c r="G486" s="49">
        <v>0</v>
      </c>
      <c r="H486" s="49" t="str">
        <f>IFERROR(VLOOKUP(G486,[2]Basic_Data!$E$2:$I$9,5,0),"")</f>
        <v/>
      </c>
      <c r="I486" s="49">
        <v>0</v>
      </c>
      <c r="J486" s="49">
        <v>0</v>
      </c>
      <c r="K486" s="50" t="str">
        <f>IFERROR(VLOOKUP($B486-1,[2]Inverter_PR!$B:$I,[2]Module_Cleaning!H397,0),"")</f>
        <v/>
      </c>
      <c r="L486" s="50" t="str">
        <f>IFERROR(VLOOKUP($B486+1,[2]Inverter_PR!$B:$I,[2]Module_Cleaning!H397,0),"")</f>
        <v/>
      </c>
      <c r="M486" s="49">
        <f>IFERROR(I486-J486,"")</f>
        <v>0</v>
      </c>
      <c r="N486" s="49" t="s">
        <v>154</v>
      </c>
    </row>
    <row r="487" customHeight="1" spans="1:14">
      <c r="B487" s="48">
        <v>46115</v>
      </c>
      <c r="C487" s="49">
        <v>5</v>
      </c>
      <c r="D487" s="49">
        <v>10000</v>
      </c>
      <c r="E487" s="49">
        <v>0</v>
      </c>
      <c r="F487" s="49">
        <v>1</v>
      </c>
      <c r="G487" s="49" t="s">
        <v>41</v>
      </c>
      <c r="H487" s="49"/>
      <c r="I487" s="49">
        <v>616</v>
      </c>
      <c r="J487" s="49">
        <v>616</v>
      </c>
      <c r="K487" s="50"/>
      <c r="L487" s="50"/>
      <c r="M487" s="49">
        <f t="shared" ref="M487:M494" si="95">IFERROR(I487-J487,"")</f>
        <v>0</v>
      </c>
      <c r="N487" s="49" t="s">
        <v>153</v>
      </c>
    </row>
    <row r="488" customHeight="1" spans="1:14">
      <c r="B488" s="48"/>
      <c r="C488" s="49"/>
      <c r="D488" s="49"/>
      <c r="E488" s="49"/>
      <c r="F488" s="49">
        <v>1</v>
      </c>
      <c r="G488" s="49" t="s">
        <v>39</v>
      </c>
      <c r="H488" s="49"/>
      <c r="I488" s="49">
        <v>588</v>
      </c>
      <c r="J488" s="49">
        <v>588</v>
      </c>
      <c r="K488" s="50"/>
      <c r="L488" s="50"/>
      <c r="M488" s="49">
        <f t="shared" si="95"/>
        <v>0</v>
      </c>
      <c r="N488" s="49" t="s">
        <v>153</v>
      </c>
    </row>
    <row r="489" customHeight="1" spans="1:14">
      <c r="B489" s="48"/>
      <c r="C489" s="49"/>
      <c r="D489" s="49"/>
      <c r="E489" s="49"/>
      <c r="F489" s="49">
        <v>1</v>
      </c>
      <c r="G489" s="49" t="s">
        <v>41</v>
      </c>
      <c r="H489" s="49"/>
      <c r="I489" s="49">
        <v>588</v>
      </c>
      <c r="J489" s="49">
        <v>588</v>
      </c>
      <c r="K489" s="50"/>
      <c r="L489" s="50"/>
      <c r="M489" s="49">
        <f t="shared" si="95"/>
        <v>0</v>
      </c>
      <c r="N489" s="49" t="s">
        <v>153</v>
      </c>
    </row>
    <row r="490" customHeight="1" spans="1:14">
      <c r="B490" s="48"/>
      <c r="C490" s="49"/>
      <c r="D490" s="49"/>
      <c r="E490" s="49"/>
      <c r="F490" s="49">
        <v>1</v>
      </c>
      <c r="G490" s="49" t="s">
        <v>38</v>
      </c>
      <c r="H490" s="49"/>
      <c r="I490" s="49">
        <v>588</v>
      </c>
      <c r="J490" s="49">
        <v>588</v>
      </c>
      <c r="K490" s="50"/>
      <c r="L490" s="50"/>
      <c r="M490" s="49">
        <f t="shared" si="95"/>
        <v>0</v>
      </c>
      <c r="N490" s="49" t="s">
        <v>153</v>
      </c>
    </row>
    <row r="491" customHeight="1" spans="1:14">
      <c r="B491" s="48"/>
      <c r="C491" s="49"/>
      <c r="D491" s="49"/>
      <c r="E491" s="49"/>
      <c r="F491" s="49">
        <v>1</v>
      </c>
      <c r="G491" s="49" t="s">
        <v>36</v>
      </c>
      <c r="H491" s="49"/>
      <c r="I491" s="49">
        <v>588</v>
      </c>
      <c r="J491" s="49">
        <v>588</v>
      </c>
      <c r="K491" s="50"/>
      <c r="L491" s="50"/>
      <c r="M491" s="49">
        <f t="shared" si="95"/>
        <v>0</v>
      </c>
      <c r="N491" s="49" t="s">
        <v>153</v>
      </c>
    </row>
    <row r="492" customHeight="1" spans="1:14">
      <c r="B492" s="48"/>
      <c r="C492" s="49"/>
      <c r="D492" s="49"/>
      <c r="E492" s="49"/>
      <c r="F492" s="49">
        <v>1</v>
      </c>
      <c r="G492" s="49" t="s">
        <v>40</v>
      </c>
      <c r="H492" s="49"/>
      <c r="I492" s="49">
        <v>588</v>
      </c>
      <c r="J492" s="49">
        <v>588</v>
      </c>
      <c r="K492" s="50"/>
      <c r="L492" s="50"/>
      <c r="M492" s="49">
        <f t="shared" si="95"/>
        <v>0</v>
      </c>
      <c r="N492" s="49" t="s">
        <v>153</v>
      </c>
    </row>
    <row r="493" customHeight="1" spans="1:14">
      <c r="B493" s="48"/>
      <c r="C493" s="49"/>
      <c r="D493" s="49"/>
      <c r="E493" s="49"/>
      <c r="F493" s="49">
        <v>1</v>
      </c>
      <c r="G493" s="49" t="s">
        <v>35</v>
      </c>
      <c r="H493" s="49"/>
      <c r="I493" s="49">
        <v>588</v>
      </c>
      <c r="J493" s="49">
        <v>588</v>
      </c>
      <c r="K493" s="50"/>
      <c r="L493" s="50"/>
      <c r="M493" s="49">
        <f t="shared" si="95"/>
        <v>0</v>
      </c>
      <c r="N493" s="49" t="s">
        <v>153</v>
      </c>
    </row>
    <row r="494" customHeight="1" spans="1:14">
      <c r="B494" s="48"/>
      <c r="C494" s="49"/>
      <c r="D494" s="49"/>
      <c r="E494" s="49"/>
      <c r="F494" s="49">
        <v>1</v>
      </c>
      <c r="G494" s="49" t="s">
        <v>37</v>
      </c>
      <c r="H494" s="49"/>
      <c r="I494" s="49">
        <v>588</v>
      </c>
      <c r="J494" s="49">
        <v>588</v>
      </c>
      <c r="K494" s="50"/>
      <c r="L494" s="50"/>
      <c r="M494" s="49">
        <f t="shared" si="95"/>
        <v>0</v>
      </c>
      <c r="N494" s="49" t="s">
        <v>153</v>
      </c>
    </row>
    <row r="495" customHeight="1" spans="1:14">
      <c r="B495" s="48">
        <v>46116</v>
      </c>
      <c r="C495" s="49">
        <v>4</v>
      </c>
      <c r="D495" s="49">
        <v>9000</v>
      </c>
      <c r="E495" s="49"/>
      <c r="F495" s="49">
        <v>1</v>
      </c>
      <c r="G495" s="49" t="s">
        <v>41</v>
      </c>
      <c r="H495" s="49"/>
      <c r="I495" s="49">
        <v>588</v>
      </c>
      <c r="J495" s="49">
        <v>588</v>
      </c>
      <c r="K495" s="50"/>
      <c r="L495" s="50"/>
      <c r="M495" s="49">
        <f t="shared" ref="M495:M501" si="96">IFERROR(I495-J495,"")</f>
        <v>0</v>
      </c>
      <c r="N495" s="49" t="s">
        <v>153</v>
      </c>
    </row>
    <row r="496" customHeight="1" spans="1:14">
      <c r="B496" s="48"/>
      <c r="C496" s="49"/>
      <c r="D496" s="49"/>
      <c r="E496" s="49"/>
      <c r="F496" s="49">
        <v>1</v>
      </c>
      <c r="G496" s="49" t="s">
        <v>38</v>
      </c>
      <c r="H496" s="49"/>
      <c r="I496" s="49">
        <v>588</v>
      </c>
      <c r="J496" s="49">
        <v>588</v>
      </c>
      <c r="K496" s="50"/>
      <c r="L496" s="50"/>
      <c r="M496" s="49">
        <f t="shared" si="96"/>
        <v>0</v>
      </c>
      <c r="N496" s="49" t="s">
        <v>153</v>
      </c>
    </row>
    <row r="497" customHeight="1" spans="2:14">
      <c r="B497" s="48"/>
      <c r="C497" s="49"/>
      <c r="D497" s="49"/>
      <c r="E497" s="49"/>
      <c r="F497" s="49">
        <v>1</v>
      </c>
      <c r="G497" s="49" t="s">
        <v>36</v>
      </c>
      <c r="H497" s="49"/>
      <c r="I497" s="49">
        <v>588</v>
      </c>
      <c r="J497" s="49">
        <v>588</v>
      </c>
      <c r="K497" s="50"/>
      <c r="L497" s="50"/>
      <c r="M497" s="49">
        <f t="shared" si="96"/>
        <v>0</v>
      </c>
      <c r="N497" s="49" t="s">
        <v>153</v>
      </c>
    </row>
    <row r="498" customHeight="1" spans="2:14">
      <c r="B498" s="48"/>
      <c r="C498" s="49"/>
      <c r="D498" s="49"/>
      <c r="E498" s="49"/>
      <c r="F498" s="49">
        <v>1</v>
      </c>
      <c r="G498" s="49" t="s">
        <v>40</v>
      </c>
      <c r="H498" s="49"/>
      <c r="I498" s="49">
        <v>588</v>
      </c>
      <c r="J498" s="49">
        <v>588</v>
      </c>
      <c r="K498" s="50"/>
      <c r="L498" s="50"/>
      <c r="M498" s="49">
        <f t="shared" si="96"/>
        <v>0</v>
      </c>
      <c r="N498" s="49" t="s">
        <v>153</v>
      </c>
    </row>
    <row r="499" customHeight="1" spans="2:14">
      <c r="B499" s="48"/>
      <c r="C499" s="49"/>
      <c r="D499" s="49"/>
      <c r="E499" s="49"/>
      <c r="F499" s="49">
        <v>1</v>
      </c>
      <c r="G499" s="49" t="s">
        <v>37</v>
      </c>
      <c r="H499" s="49"/>
      <c r="I499" s="49">
        <v>588</v>
      </c>
      <c r="J499" s="49">
        <v>588</v>
      </c>
      <c r="K499" s="50"/>
      <c r="L499" s="50"/>
      <c r="M499" s="49">
        <f t="shared" si="96"/>
        <v>0</v>
      </c>
      <c r="N499" s="49" t="s">
        <v>153</v>
      </c>
    </row>
    <row r="500" customHeight="1" spans="2:14">
      <c r="B500" s="48"/>
      <c r="C500" s="49"/>
      <c r="D500" s="49"/>
      <c r="E500" s="49"/>
      <c r="F500" s="49">
        <v>1</v>
      </c>
      <c r="G500" s="49" t="s">
        <v>39</v>
      </c>
      <c r="H500" s="49"/>
      <c r="I500" s="49">
        <v>588</v>
      </c>
      <c r="J500" s="49">
        <v>588</v>
      </c>
      <c r="K500" s="50"/>
      <c r="L500" s="50"/>
      <c r="M500" s="49">
        <f t="shared" si="96"/>
        <v>0</v>
      </c>
      <c r="N500" s="49" t="s">
        <v>153</v>
      </c>
    </row>
    <row r="501" customHeight="1" spans="2:14">
      <c r="B501" s="48"/>
      <c r="C501" s="49"/>
      <c r="D501" s="49"/>
      <c r="E501" s="49"/>
      <c r="F501" s="49">
        <v>1</v>
      </c>
      <c r="G501" s="49" t="s">
        <v>35</v>
      </c>
      <c r="H501" s="49"/>
      <c r="I501" s="49">
        <v>588</v>
      </c>
      <c r="J501" s="49">
        <v>588</v>
      </c>
      <c r="K501" s="50"/>
      <c r="L501" s="50"/>
      <c r="M501" s="49">
        <f t="shared" si="96"/>
        <v>0</v>
      </c>
      <c r="N501" s="49" t="s">
        <v>153</v>
      </c>
    </row>
    <row r="502" customHeight="1" spans="2:14">
      <c r="B502" s="48">
        <v>46117</v>
      </c>
      <c r="C502" s="49">
        <v>0</v>
      </c>
      <c r="D502" s="49">
        <v>0</v>
      </c>
      <c r="E502" s="49">
        <v>0</v>
      </c>
      <c r="F502" s="49">
        <v>0</v>
      </c>
      <c r="G502" s="49">
        <v>0</v>
      </c>
      <c r="H502" s="49" t="str">
        <f>IFERROR(VLOOKUP(G502,[2]Basic_Data!$E$2:$I$9,5,0),"")</f>
        <v/>
      </c>
      <c r="I502" s="49">
        <v>0</v>
      </c>
      <c r="J502" s="49">
        <v>0</v>
      </c>
      <c r="K502" s="72">
        <v>0</v>
      </c>
      <c r="L502" s="72">
        <v>0</v>
      </c>
      <c r="M502" s="49">
        <v>0</v>
      </c>
      <c r="N502" s="49" t="s">
        <v>154</v>
      </c>
    </row>
    <row r="503" customHeight="1" spans="2:14">
      <c r="B503" s="48">
        <v>46118</v>
      </c>
      <c r="C503" s="49">
        <v>0</v>
      </c>
      <c r="D503" s="49">
        <v>0</v>
      </c>
      <c r="E503" s="49">
        <v>0</v>
      </c>
      <c r="F503" s="49">
        <v>0</v>
      </c>
      <c r="G503" s="49">
        <v>0</v>
      </c>
      <c r="H503" s="49" t="str">
        <f>IFERROR(VLOOKUP(G503,[2]Basic_Data!$E$2:$I$9,5,0),"")</f>
        <v/>
      </c>
      <c r="I503" s="49">
        <v>0</v>
      </c>
      <c r="J503" s="49">
        <v>0</v>
      </c>
      <c r="K503" s="72">
        <v>0</v>
      </c>
      <c r="L503" s="72">
        <v>0</v>
      </c>
      <c r="M503" s="49">
        <v>0</v>
      </c>
      <c r="N503" s="49" t="s">
        <v>154</v>
      </c>
    </row>
    <row r="504" customHeight="1" spans="2:14">
      <c r="B504" s="48">
        <v>46119</v>
      </c>
      <c r="C504" s="49">
        <v>0</v>
      </c>
      <c r="D504" s="49">
        <v>0</v>
      </c>
      <c r="E504" s="49">
        <v>0</v>
      </c>
      <c r="F504" s="49">
        <v>0</v>
      </c>
      <c r="G504" s="49">
        <v>0</v>
      </c>
      <c r="H504" s="49" t="str">
        <f>IFERROR(VLOOKUP(G504,[2]Basic_Data!$E$2:$I$9,5,0),"")</f>
        <v/>
      </c>
      <c r="I504" s="49">
        <v>0</v>
      </c>
      <c r="J504" s="49">
        <v>0</v>
      </c>
      <c r="K504" s="72">
        <v>0</v>
      </c>
      <c r="L504" s="72">
        <v>0</v>
      </c>
      <c r="M504" s="49">
        <v>0</v>
      </c>
      <c r="N504" s="49" t="s">
        <v>154</v>
      </c>
    </row>
    <row r="505" customHeight="1" spans="2:14">
      <c r="B505" s="48">
        <v>46120</v>
      </c>
      <c r="C505" s="49">
        <v>0</v>
      </c>
      <c r="D505" s="49">
        <v>0</v>
      </c>
      <c r="E505" s="49">
        <v>0</v>
      </c>
      <c r="F505" s="49">
        <v>0</v>
      </c>
      <c r="G505" s="49">
        <v>0</v>
      </c>
      <c r="H505" s="49" t="str">
        <f>IFERROR(VLOOKUP(G505,[2]Basic_Data!$E$2:$I$9,5,0),"")</f>
        <v/>
      </c>
      <c r="I505" s="49">
        <v>0</v>
      </c>
      <c r="J505" s="49">
        <v>0</v>
      </c>
      <c r="K505" s="72">
        <v>0</v>
      </c>
      <c r="L505" s="72">
        <v>0</v>
      </c>
      <c r="M505" s="49">
        <v>0</v>
      </c>
      <c r="N505" s="49" t="s">
        <v>154</v>
      </c>
    </row>
    <row r="506" customHeight="1" spans="2:14">
      <c r="B506" s="48">
        <v>46121</v>
      </c>
      <c r="C506" s="49">
        <v>0</v>
      </c>
      <c r="D506" s="49">
        <v>0</v>
      </c>
      <c r="E506" s="49">
        <v>0</v>
      </c>
      <c r="F506" s="49">
        <v>0</v>
      </c>
      <c r="G506" s="49">
        <v>0</v>
      </c>
      <c r="H506" s="49" t="str">
        <f>IFERROR(VLOOKUP(G506,[2]Basic_Data!$E$2:$I$9,5,0),"")</f>
        <v/>
      </c>
      <c r="I506" s="49">
        <v>0</v>
      </c>
      <c r="J506" s="49">
        <v>0</v>
      </c>
      <c r="K506" s="72">
        <v>0</v>
      </c>
      <c r="L506" s="72">
        <v>0</v>
      </c>
      <c r="M506" s="49">
        <v>0</v>
      </c>
      <c r="N506" s="49" t="s">
        <v>154</v>
      </c>
    </row>
    <row r="507" customHeight="1" spans="2:14">
      <c r="B507" s="48">
        <v>46122</v>
      </c>
      <c r="C507" s="49">
        <v>0</v>
      </c>
      <c r="D507" s="49">
        <v>0</v>
      </c>
      <c r="E507" s="49">
        <v>0</v>
      </c>
      <c r="F507" s="49">
        <v>0</v>
      </c>
      <c r="G507" s="49">
        <v>0</v>
      </c>
      <c r="H507" s="49" t="str">
        <f>IFERROR(VLOOKUP(G507,[2]Basic_Data!$E$2:$I$9,5,0),"")</f>
        <v/>
      </c>
      <c r="I507" s="49">
        <v>0</v>
      </c>
      <c r="J507" s="49">
        <v>0</v>
      </c>
      <c r="K507" s="72">
        <v>0</v>
      </c>
      <c r="L507" s="72">
        <v>0</v>
      </c>
      <c r="M507" s="49">
        <v>0</v>
      </c>
      <c r="N507" s="49" t="s">
        <v>154</v>
      </c>
    </row>
    <row r="508" customHeight="1" spans="2:14">
      <c r="B508" s="48">
        <v>46123</v>
      </c>
      <c r="C508" s="49">
        <v>0</v>
      </c>
      <c r="D508" s="49">
        <v>0</v>
      </c>
      <c r="E508" s="49">
        <v>0</v>
      </c>
      <c r="F508" s="49">
        <v>0</v>
      </c>
      <c r="G508" s="49">
        <v>0</v>
      </c>
      <c r="H508" s="49" t="str">
        <f>IFERROR(VLOOKUP(G508,[2]Basic_Data!$E$2:$I$9,5,0),"")</f>
        <v/>
      </c>
      <c r="I508" s="49">
        <v>0</v>
      </c>
      <c r="J508" s="49">
        <v>0</v>
      </c>
      <c r="K508" s="72">
        <v>0</v>
      </c>
      <c r="L508" s="72">
        <v>0</v>
      </c>
      <c r="M508" s="49">
        <v>0</v>
      </c>
      <c r="N508" s="49" t="s">
        <v>154</v>
      </c>
    </row>
    <row r="509" customHeight="1" spans="2:14">
      <c r="B509" s="48">
        <v>46124</v>
      </c>
      <c r="C509" s="49">
        <v>0</v>
      </c>
      <c r="D509" s="49">
        <v>0</v>
      </c>
      <c r="E509" s="49">
        <v>0</v>
      </c>
      <c r="F509" s="49">
        <v>0</v>
      </c>
      <c r="G509" s="49">
        <v>0</v>
      </c>
      <c r="H509" s="49" t="str">
        <f>IFERROR(VLOOKUP(G509,[2]Basic_Data!$E$2:$I$9,5,0),"")</f>
        <v/>
      </c>
      <c r="I509" s="49">
        <v>0</v>
      </c>
      <c r="J509" s="49">
        <v>0</v>
      </c>
      <c r="K509" s="72">
        <v>0</v>
      </c>
      <c r="L509" s="72">
        <v>0</v>
      </c>
      <c r="M509" s="49">
        <v>0</v>
      </c>
      <c r="N509" s="49" t="s">
        <v>154</v>
      </c>
    </row>
    <row r="510" customHeight="1" spans="2:14">
      <c r="B510" s="48">
        <v>46125</v>
      </c>
      <c r="C510" s="49">
        <v>0</v>
      </c>
      <c r="D510" s="49">
        <v>0</v>
      </c>
      <c r="E510" s="49">
        <v>0</v>
      </c>
      <c r="F510" s="49">
        <v>0</v>
      </c>
      <c r="G510" s="49">
        <v>0</v>
      </c>
      <c r="H510" s="49" t="str">
        <f>IFERROR(VLOOKUP(G510,[2]Basic_Data!$E$2:$I$9,5,0),"")</f>
        <v/>
      </c>
      <c r="I510" s="49">
        <v>0</v>
      </c>
      <c r="J510" s="49">
        <v>0</v>
      </c>
      <c r="K510" s="72">
        <v>0</v>
      </c>
      <c r="L510" s="72">
        <v>0</v>
      </c>
      <c r="M510" s="49">
        <v>0</v>
      </c>
      <c r="N510" s="49" t="s">
        <v>154</v>
      </c>
    </row>
    <row r="511" customHeight="1" spans="2:14">
      <c r="B511" s="48">
        <v>46126</v>
      </c>
      <c r="C511" s="49">
        <v>0</v>
      </c>
      <c r="D511" s="49">
        <v>0</v>
      </c>
      <c r="E511" s="49">
        <v>0</v>
      </c>
      <c r="F511" s="49">
        <v>0</v>
      </c>
      <c r="G511" s="49">
        <v>0</v>
      </c>
      <c r="H511" s="49" t="str">
        <f>IFERROR(VLOOKUP(G511,[2]Basic_Data!$E$2:$I$9,5,0),"")</f>
        <v/>
      </c>
      <c r="I511" s="49">
        <v>0</v>
      </c>
      <c r="J511" s="49">
        <v>0</v>
      </c>
      <c r="K511" s="72">
        <v>0</v>
      </c>
      <c r="L511" s="72">
        <v>0</v>
      </c>
      <c r="M511" s="49">
        <v>0</v>
      </c>
      <c r="N511" s="49" t="s">
        <v>154</v>
      </c>
    </row>
    <row r="512" customHeight="1" spans="2:14">
      <c r="B512" s="48">
        <v>46127</v>
      </c>
      <c r="C512" s="49">
        <v>0</v>
      </c>
      <c r="D512" s="49">
        <v>0</v>
      </c>
      <c r="E512" s="49">
        <v>0</v>
      </c>
      <c r="F512" s="49">
        <v>0</v>
      </c>
      <c r="G512" s="49">
        <v>0</v>
      </c>
      <c r="H512" s="49" t="str">
        <f>IFERROR(VLOOKUP(G512,[2]Basic_Data!$E$2:$I$9,5,0),"")</f>
        <v/>
      </c>
      <c r="I512" s="49">
        <v>0</v>
      </c>
      <c r="J512" s="49">
        <v>0</v>
      </c>
      <c r="K512" s="72">
        <v>0</v>
      </c>
      <c r="L512" s="72">
        <v>0</v>
      </c>
      <c r="M512" s="49">
        <v>0</v>
      </c>
      <c r="N512" s="49" t="s">
        <v>154</v>
      </c>
    </row>
    <row r="513" customHeight="1" spans="2:14">
      <c r="B513" s="48">
        <v>46128</v>
      </c>
      <c r="C513" s="49">
        <v>0</v>
      </c>
      <c r="D513" s="49">
        <v>0</v>
      </c>
      <c r="E513" s="49">
        <v>0</v>
      </c>
      <c r="F513" s="49">
        <v>0</v>
      </c>
      <c r="G513" s="49">
        <v>0</v>
      </c>
      <c r="H513" s="49" t="str">
        <f>IFERROR(VLOOKUP(G513,[2]Basic_Data!$E$2:$I$9,5,0),"")</f>
        <v/>
      </c>
      <c r="I513" s="49">
        <v>0</v>
      </c>
      <c r="J513" s="49">
        <v>0</v>
      </c>
      <c r="K513" s="72">
        <v>0</v>
      </c>
      <c r="L513" s="72">
        <v>0</v>
      </c>
      <c r="M513" s="49">
        <v>0</v>
      </c>
      <c r="N513" s="49" t="s">
        <v>154</v>
      </c>
    </row>
    <row r="514" customHeight="1" spans="2:14">
      <c r="B514" s="48">
        <v>46129</v>
      </c>
      <c r="C514" s="49">
        <v>0</v>
      </c>
      <c r="D514" s="49">
        <v>0</v>
      </c>
      <c r="E514" s="49">
        <v>0</v>
      </c>
      <c r="F514" s="49">
        <v>0</v>
      </c>
      <c r="G514" s="49">
        <v>0</v>
      </c>
      <c r="H514" s="49" t="str">
        <f>IFERROR(VLOOKUP(G514,[2]Basic_Data!$E$2:$I$9,5,0),"")</f>
        <v/>
      </c>
      <c r="I514" s="49">
        <v>0</v>
      </c>
      <c r="J514" s="49">
        <v>0</v>
      </c>
      <c r="K514" s="72">
        <v>0</v>
      </c>
      <c r="L514" s="72">
        <v>0</v>
      </c>
      <c r="M514" s="49">
        <v>0</v>
      </c>
      <c r="N514" s="49" t="s">
        <v>154</v>
      </c>
    </row>
    <row r="515" customHeight="1" spans="2:14">
      <c r="B515" s="48">
        <v>46130</v>
      </c>
      <c r="C515" s="49">
        <v>5</v>
      </c>
      <c r="D515" s="49">
        <v>12000</v>
      </c>
      <c r="E515" s="49">
        <v>0</v>
      </c>
      <c r="F515" s="49">
        <v>2</v>
      </c>
      <c r="G515" s="49" t="s">
        <v>41</v>
      </c>
      <c r="H515" s="49"/>
      <c r="I515" s="49">
        <v>616</v>
      </c>
      <c r="J515" s="49">
        <v>616</v>
      </c>
      <c r="K515" s="72">
        <v>0</v>
      </c>
      <c r="L515" s="72">
        <v>0</v>
      </c>
      <c r="M515" s="49">
        <v>0</v>
      </c>
      <c r="N515" s="49" t="s">
        <v>153</v>
      </c>
    </row>
    <row r="516" customHeight="1" spans="2:14">
      <c r="B516" s="48"/>
      <c r="C516" s="49"/>
      <c r="D516" s="49"/>
      <c r="E516" s="49"/>
      <c r="F516" s="49"/>
      <c r="G516" s="49" t="s">
        <v>39</v>
      </c>
      <c r="H516" s="49"/>
      <c r="I516" s="49">
        <v>588</v>
      </c>
      <c r="J516" s="49">
        <v>588</v>
      </c>
      <c r="K516" s="72">
        <v>0</v>
      </c>
      <c r="L516" s="72">
        <v>0</v>
      </c>
      <c r="M516" s="49">
        <v>0</v>
      </c>
      <c r="N516" s="49" t="s">
        <v>153</v>
      </c>
    </row>
    <row r="517" customHeight="1" spans="2:14">
      <c r="B517" s="48"/>
      <c r="C517" s="49"/>
      <c r="D517" s="49"/>
      <c r="E517" s="49"/>
      <c r="F517" s="49"/>
      <c r="G517" s="49" t="s">
        <v>41</v>
      </c>
      <c r="H517" s="49"/>
      <c r="I517" s="49">
        <v>588</v>
      </c>
      <c r="J517" s="49">
        <v>588</v>
      </c>
      <c r="K517" s="72">
        <v>0</v>
      </c>
      <c r="L517" s="72">
        <v>0</v>
      </c>
      <c r="M517" s="49">
        <v>0</v>
      </c>
      <c r="N517" s="49" t="s">
        <v>153</v>
      </c>
    </row>
    <row r="518" customHeight="1" spans="2:14">
      <c r="B518" s="48"/>
      <c r="C518" s="49"/>
      <c r="D518" s="49"/>
      <c r="E518" s="49"/>
      <c r="F518" s="49"/>
      <c r="G518" s="49" t="s">
        <v>38</v>
      </c>
      <c r="H518" s="49"/>
      <c r="I518" s="49">
        <v>588</v>
      </c>
      <c r="J518" s="49">
        <v>588</v>
      </c>
      <c r="K518" s="72">
        <v>0</v>
      </c>
      <c r="L518" s="72">
        <v>0</v>
      </c>
      <c r="M518" s="49">
        <v>0</v>
      </c>
      <c r="N518" s="49" t="s">
        <v>153</v>
      </c>
    </row>
    <row r="519" customHeight="1" spans="2:14">
      <c r="B519" s="48"/>
      <c r="C519" s="49"/>
      <c r="D519" s="49"/>
      <c r="E519" s="49"/>
      <c r="F519" s="49"/>
      <c r="G519" s="49" t="s">
        <v>36</v>
      </c>
      <c r="H519" s="49"/>
      <c r="I519" s="49">
        <v>588</v>
      </c>
      <c r="J519" s="49">
        <v>588</v>
      </c>
      <c r="K519" s="72">
        <v>0</v>
      </c>
      <c r="L519" s="72">
        <v>0</v>
      </c>
      <c r="M519" s="49">
        <v>0</v>
      </c>
      <c r="N519" s="49" t="s">
        <v>153</v>
      </c>
    </row>
    <row r="520" customHeight="1" spans="2:14">
      <c r="B520" s="48"/>
      <c r="C520" s="49"/>
      <c r="D520" s="49"/>
      <c r="E520" s="49"/>
      <c r="F520" s="49"/>
      <c r="G520" s="49" t="s">
        <v>40</v>
      </c>
      <c r="H520" s="49"/>
      <c r="I520" s="49">
        <v>588</v>
      </c>
      <c r="J520" s="49">
        <v>588</v>
      </c>
      <c r="K520" s="72">
        <v>0</v>
      </c>
      <c r="L520" s="72">
        <v>0</v>
      </c>
      <c r="M520" s="49">
        <v>0</v>
      </c>
      <c r="N520" s="49" t="s">
        <v>153</v>
      </c>
    </row>
    <row r="521" customHeight="1" spans="2:14">
      <c r="B521" s="48">
        <v>46131</v>
      </c>
      <c r="C521" s="49">
        <v>4</v>
      </c>
      <c r="D521" s="49">
        <v>9000</v>
      </c>
      <c r="E521" s="49"/>
      <c r="F521" s="49">
        <v>2</v>
      </c>
      <c r="G521" s="49" t="s">
        <v>39</v>
      </c>
      <c r="H521" s="49"/>
      <c r="I521" s="49">
        <v>588</v>
      </c>
      <c r="J521" s="49">
        <v>588</v>
      </c>
      <c r="K521" s="72">
        <v>0</v>
      </c>
      <c r="L521" s="72">
        <v>0</v>
      </c>
      <c r="M521" s="49">
        <v>0</v>
      </c>
      <c r="N521" s="49" t="s">
        <v>153</v>
      </c>
    </row>
    <row r="522" customHeight="1" spans="2:14">
      <c r="B522" s="48"/>
      <c r="C522" s="49"/>
      <c r="D522" s="49"/>
      <c r="E522" s="49"/>
      <c r="F522" s="49">
        <v>2</v>
      </c>
      <c r="G522" s="49" t="s">
        <v>41</v>
      </c>
      <c r="H522" s="49"/>
      <c r="I522" s="49">
        <v>588</v>
      </c>
      <c r="J522" s="49">
        <v>588</v>
      </c>
      <c r="K522" s="72">
        <v>0</v>
      </c>
      <c r="L522" s="72">
        <v>0</v>
      </c>
      <c r="M522" s="49">
        <v>0</v>
      </c>
      <c r="N522" s="49" t="s">
        <v>153</v>
      </c>
    </row>
    <row r="523" customHeight="1" spans="2:14">
      <c r="B523" s="48"/>
      <c r="C523" s="49"/>
      <c r="D523" s="49"/>
      <c r="E523" s="49"/>
      <c r="F523" s="49">
        <v>2</v>
      </c>
      <c r="G523" s="49" t="s">
        <v>36</v>
      </c>
      <c r="H523" s="49"/>
      <c r="I523" s="49">
        <v>588</v>
      </c>
      <c r="J523" s="49">
        <v>588</v>
      </c>
      <c r="K523" s="72">
        <v>0</v>
      </c>
      <c r="L523" s="72">
        <v>0</v>
      </c>
      <c r="M523" s="49">
        <v>0</v>
      </c>
      <c r="N523" s="49" t="s">
        <v>153</v>
      </c>
    </row>
    <row r="524" customHeight="1" spans="2:14">
      <c r="B524" s="48">
        <v>46132</v>
      </c>
      <c r="C524" s="49">
        <v>5</v>
      </c>
      <c r="D524" s="49">
        <v>8000</v>
      </c>
      <c r="E524" s="49"/>
      <c r="F524" s="49">
        <v>2</v>
      </c>
      <c r="G524" s="49" t="s">
        <v>38</v>
      </c>
      <c r="H524" s="49"/>
      <c r="I524" s="49">
        <v>588</v>
      </c>
      <c r="J524" s="49">
        <v>588</v>
      </c>
      <c r="K524" s="72">
        <v>0</v>
      </c>
      <c r="L524" s="72">
        <v>0</v>
      </c>
      <c r="M524" s="49">
        <v>0</v>
      </c>
      <c r="N524" s="49" t="s">
        <v>153</v>
      </c>
    </row>
    <row r="525" customHeight="1" spans="2:14">
      <c r="B525" s="48"/>
      <c r="C525" s="49"/>
      <c r="D525" s="49"/>
      <c r="E525" s="49"/>
      <c r="F525" s="49">
        <v>2</v>
      </c>
      <c r="G525" s="49" t="s">
        <v>36</v>
      </c>
      <c r="H525" s="49"/>
      <c r="I525" s="49">
        <v>588</v>
      </c>
      <c r="J525" s="49">
        <v>588</v>
      </c>
      <c r="K525" s="72">
        <v>0</v>
      </c>
      <c r="L525" s="72">
        <v>0</v>
      </c>
      <c r="M525" s="49">
        <v>0</v>
      </c>
      <c r="N525" s="49" t="s">
        <v>153</v>
      </c>
    </row>
    <row r="526" customHeight="1" spans="2:14">
      <c r="B526" s="48"/>
      <c r="C526" s="49"/>
      <c r="D526" s="49"/>
      <c r="E526" s="49"/>
      <c r="F526" s="49">
        <v>2</v>
      </c>
      <c r="G526" s="49" t="s">
        <v>40</v>
      </c>
      <c r="H526" s="49"/>
      <c r="I526" s="49">
        <v>588</v>
      </c>
      <c r="J526" s="49">
        <v>588</v>
      </c>
      <c r="K526" s="72">
        <v>0</v>
      </c>
      <c r="L526" s="72">
        <v>0</v>
      </c>
      <c r="M526" s="49">
        <v>0</v>
      </c>
      <c r="N526" s="49" t="s">
        <v>153</v>
      </c>
    </row>
    <row r="527" customHeight="1" spans="2:14">
      <c r="B527" s="48"/>
      <c r="C527" s="49"/>
      <c r="D527" s="49"/>
      <c r="E527" s="49"/>
      <c r="F527" s="49">
        <v>2</v>
      </c>
      <c r="G527" s="49" t="s">
        <v>37</v>
      </c>
      <c r="H527" s="49"/>
      <c r="I527" s="49">
        <v>588</v>
      </c>
      <c r="J527" s="49">
        <v>588</v>
      </c>
      <c r="K527" s="72">
        <v>0</v>
      </c>
      <c r="L527" s="72">
        <v>0</v>
      </c>
      <c r="M527" s="49">
        <v>0</v>
      </c>
      <c r="N527" s="49" t="s">
        <v>153</v>
      </c>
    </row>
    <row r="528" customHeight="1" spans="2:14">
      <c r="B528" s="48"/>
      <c r="C528" s="49"/>
      <c r="D528" s="49"/>
      <c r="E528" s="49"/>
      <c r="F528" s="49">
        <v>2</v>
      </c>
      <c r="G528" s="49" t="s">
        <v>39</v>
      </c>
      <c r="H528" s="49"/>
      <c r="I528" s="49">
        <v>588</v>
      </c>
      <c r="J528" s="49">
        <v>588</v>
      </c>
      <c r="K528" s="72">
        <v>0</v>
      </c>
      <c r="L528" s="72">
        <v>0</v>
      </c>
      <c r="M528" s="49">
        <v>0</v>
      </c>
      <c r="N528" s="49" t="s">
        <v>153</v>
      </c>
    </row>
    <row r="529" customHeight="1" spans="2:14">
      <c r="B529" s="48"/>
      <c r="C529" s="49"/>
      <c r="D529" s="49"/>
      <c r="E529" s="49"/>
      <c r="F529" s="49">
        <v>2</v>
      </c>
      <c r="G529" s="49" t="s">
        <v>35</v>
      </c>
      <c r="H529" s="49"/>
      <c r="I529" s="49">
        <v>588</v>
      </c>
      <c r="J529" s="49">
        <v>588</v>
      </c>
      <c r="K529" s="72">
        <v>0</v>
      </c>
      <c r="L529" s="72">
        <v>0</v>
      </c>
      <c r="M529" s="49">
        <v>0</v>
      </c>
      <c r="N529" s="49" t="s">
        <v>153</v>
      </c>
    </row>
    <row r="530" customHeight="1" spans="2:14">
      <c r="B530" s="48">
        <v>46133</v>
      </c>
      <c r="C530" s="49">
        <v>0</v>
      </c>
      <c r="D530" s="49">
        <v>0</v>
      </c>
      <c r="E530" s="49">
        <v>0</v>
      </c>
      <c r="F530" s="49">
        <v>0</v>
      </c>
      <c r="G530" s="49"/>
      <c r="H530" s="49"/>
      <c r="I530" s="49">
        <v>0</v>
      </c>
      <c r="J530" s="49">
        <v>0</v>
      </c>
      <c r="K530" s="49">
        <v>0</v>
      </c>
      <c r="L530" s="49">
        <v>0</v>
      </c>
      <c r="M530" s="49">
        <v>0</v>
      </c>
      <c r="N530" s="49" t="s">
        <v>154</v>
      </c>
    </row>
    <row r="531" customHeight="1" spans="2:14">
      <c r="B531" s="48">
        <v>46134</v>
      </c>
      <c r="C531" s="49">
        <v>0</v>
      </c>
      <c r="D531" s="49">
        <v>0</v>
      </c>
      <c r="E531" s="49">
        <v>0</v>
      </c>
      <c r="F531" s="49">
        <v>0</v>
      </c>
      <c r="G531" s="49"/>
      <c r="H531" s="49"/>
      <c r="I531" s="49">
        <v>0</v>
      </c>
      <c r="J531" s="49">
        <v>0</v>
      </c>
      <c r="K531" s="49">
        <v>0</v>
      </c>
      <c r="L531" s="49">
        <v>0</v>
      </c>
      <c r="M531" s="49">
        <v>0</v>
      </c>
      <c r="N531" s="49" t="s">
        <v>154</v>
      </c>
    </row>
    <row r="532" customHeight="1" spans="2:14">
      <c r="B532" s="48">
        <v>46135</v>
      </c>
      <c r="C532" s="49">
        <v>0</v>
      </c>
      <c r="D532" s="49">
        <v>0</v>
      </c>
      <c r="E532" s="49">
        <v>0</v>
      </c>
      <c r="F532" s="49">
        <v>0</v>
      </c>
      <c r="G532" s="49"/>
      <c r="H532" s="49"/>
      <c r="I532" s="49">
        <v>0</v>
      </c>
      <c r="J532" s="49">
        <v>0</v>
      </c>
      <c r="K532" s="49">
        <v>0</v>
      </c>
      <c r="L532" s="49">
        <v>0</v>
      </c>
      <c r="M532" s="49">
        <v>0</v>
      </c>
      <c r="N532" s="49" t="s">
        <v>154</v>
      </c>
    </row>
    <row r="533" customHeight="1" spans="2:14">
      <c r="B533" s="48">
        <v>46136</v>
      </c>
      <c r="C533" s="49">
        <v>0</v>
      </c>
      <c r="D533" s="49">
        <v>0</v>
      </c>
      <c r="E533" s="49">
        <v>0</v>
      </c>
      <c r="F533" s="49">
        <v>0</v>
      </c>
      <c r="G533" s="49"/>
      <c r="H533" s="49"/>
      <c r="I533" s="49">
        <v>0</v>
      </c>
      <c r="J533" s="49">
        <v>0</v>
      </c>
      <c r="K533" s="49">
        <v>0</v>
      </c>
      <c r="L533" s="49">
        <v>0</v>
      </c>
      <c r="M533" s="49">
        <v>0</v>
      </c>
      <c r="N533" s="49" t="s">
        <v>154</v>
      </c>
    </row>
    <row r="534" customHeight="1" spans="2:14">
      <c r="B534" s="48">
        <v>46137</v>
      </c>
      <c r="C534" s="49">
        <v>0</v>
      </c>
      <c r="D534" s="49">
        <v>0</v>
      </c>
      <c r="E534" s="49">
        <v>0</v>
      </c>
      <c r="F534" s="49">
        <v>0</v>
      </c>
      <c r="G534" s="49"/>
      <c r="H534" s="49"/>
      <c r="I534" s="49">
        <v>0</v>
      </c>
      <c r="J534" s="49">
        <v>0</v>
      </c>
      <c r="K534" s="49">
        <v>0</v>
      </c>
      <c r="L534" s="49">
        <v>0</v>
      </c>
      <c r="M534" s="49">
        <v>0</v>
      </c>
      <c r="N534" s="49" t="s">
        <v>154</v>
      </c>
    </row>
    <row r="535" customHeight="1" spans="2:14">
      <c r="B535" s="48">
        <v>46138</v>
      </c>
      <c r="C535" s="49">
        <v>0</v>
      </c>
      <c r="D535" s="49">
        <v>0</v>
      </c>
      <c r="E535" s="49">
        <v>0</v>
      </c>
      <c r="F535" s="49">
        <v>0</v>
      </c>
      <c r="G535" s="49"/>
      <c r="H535" s="49"/>
      <c r="I535" s="49">
        <v>0</v>
      </c>
      <c r="J535" s="49">
        <v>0</v>
      </c>
      <c r="K535" s="49">
        <v>0</v>
      </c>
      <c r="L535" s="49">
        <v>0</v>
      </c>
      <c r="M535" s="49">
        <v>0</v>
      </c>
      <c r="N535" s="49" t="s">
        <v>154</v>
      </c>
    </row>
    <row r="536" customHeight="1" spans="2:14">
      <c r="B536" s="48">
        <v>46139</v>
      </c>
      <c r="C536" s="49">
        <v>0</v>
      </c>
      <c r="D536" s="49">
        <v>0</v>
      </c>
      <c r="E536" s="49">
        <v>0</v>
      </c>
      <c r="F536" s="49">
        <v>1</v>
      </c>
      <c r="G536" s="49" t="s">
        <v>35</v>
      </c>
      <c r="H536" s="49"/>
      <c r="I536" s="49">
        <v>588</v>
      </c>
      <c r="J536" s="49">
        <v>588</v>
      </c>
      <c r="K536" s="49">
        <v>0</v>
      </c>
      <c r="L536" s="49">
        <v>0</v>
      </c>
      <c r="M536" s="49">
        <v>0</v>
      </c>
      <c r="N536" s="49" t="s">
        <v>156</v>
      </c>
    </row>
    <row r="537" customHeight="1" spans="2:14">
      <c r="B537" s="48"/>
      <c r="C537" s="49"/>
      <c r="D537" s="49"/>
      <c r="E537" s="49"/>
      <c r="F537" s="49">
        <v>1</v>
      </c>
      <c r="G537" s="49" t="s">
        <v>37</v>
      </c>
      <c r="H537" s="49"/>
      <c r="I537" s="49">
        <v>588</v>
      </c>
      <c r="J537" s="49">
        <v>588</v>
      </c>
      <c r="K537" s="49">
        <v>0</v>
      </c>
      <c r="L537" s="49">
        <v>0</v>
      </c>
      <c r="M537" s="49">
        <v>0</v>
      </c>
      <c r="N537" s="49" t="s">
        <v>156</v>
      </c>
    </row>
    <row r="538" customHeight="1" spans="2:14">
      <c r="B538" s="48">
        <v>46140</v>
      </c>
      <c r="C538" s="49">
        <v>0</v>
      </c>
      <c r="D538" s="49">
        <v>0</v>
      </c>
      <c r="E538" s="49">
        <v>0</v>
      </c>
      <c r="F538" s="49">
        <v>0</v>
      </c>
      <c r="G538" s="49"/>
      <c r="H538" s="49">
        <v>0</v>
      </c>
      <c r="I538" s="49">
        <v>0</v>
      </c>
      <c r="J538" s="49">
        <v>0</v>
      </c>
      <c r="K538" s="50">
        <v>0</v>
      </c>
      <c r="L538" s="50">
        <v>0</v>
      </c>
      <c r="M538" s="49">
        <v>0</v>
      </c>
      <c r="N538" s="49" t="s">
        <v>154</v>
      </c>
    </row>
    <row r="539" customHeight="1" spans="2:14">
      <c r="B539" s="48">
        <v>46141</v>
      </c>
      <c r="C539" s="49"/>
      <c r="D539" s="49"/>
      <c r="E539" s="49"/>
      <c r="F539" s="49">
        <v>1</v>
      </c>
      <c r="G539" s="49" t="s">
        <v>40</v>
      </c>
      <c r="H539" s="49"/>
      <c r="I539" s="49">
        <v>588</v>
      </c>
      <c r="J539" s="49">
        <v>588</v>
      </c>
      <c r="K539" s="50">
        <v>0</v>
      </c>
      <c r="L539" s="50">
        <v>0</v>
      </c>
      <c r="M539" s="49">
        <v>0</v>
      </c>
      <c r="N539" s="49" t="s">
        <v>156</v>
      </c>
    </row>
    <row r="540" customHeight="1" spans="2:14">
      <c r="B540" s="48">
        <v>46142</v>
      </c>
      <c r="C540" s="49">
        <v>0</v>
      </c>
      <c r="D540" s="49">
        <v>0</v>
      </c>
      <c r="E540" s="49">
        <v>0</v>
      </c>
      <c r="F540" s="49">
        <v>1</v>
      </c>
      <c r="G540" s="49" t="s">
        <v>36</v>
      </c>
      <c r="H540" s="49"/>
      <c r="I540" s="49">
        <v>588</v>
      </c>
      <c r="J540" s="49">
        <v>588</v>
      </c>
      <c r="K540" s="50">
        <v>0</v>
      </c>
      <c r="L540" s="50">
        <v>0</v>
      </c>
      <c r="M540" s="49">
        <v>0</v>
      </c>
      <c r="N540" s="49" t="s">
        <v>156</v>
      </c>
    </row>
    <row r="541" customHeight="1" spans="2:14">
      <c r="B541" s="48">
        <v>46143</v>
      </c>
      <c r="C541" s="49"/>
      <c r="D541" s="49"/>
      <c r="E541" s="49"/>
      <c r="F541" s="49">
        <v>1</v>
      </c>
      <c r="G541" s="49" t="s">
        <v>38</v>
      </c>
      <c r="H541" s="49"/>
      <c r="I541" s="49">
        <v>588</v>
      </c>
      <c r="J541" s="49">
        <v>588</v>
      </c>
      <c r="K541" s="50">
        <v>0</v>
      </c>
      <c r="L541" s="50">
        <v>0</v>
      </c>
      <c r="M541" s="49">
        <v>0</v>
      </c>
      <c r="N541" s="49" t="s">
        <v>156</v>
      </c>
    </row>
    <row r="542" customHeight="1" spans="2:14">
      <c r="B542" s="48">
        <v>46144</v>
      </c>
      <c r="C542" s="49">
        <v>0</v>
      </c>
      <c r="D542" s="49">
        <v>0</v>
      </c>
      <c r="E542" s="49">
        <v>0</v>
      </c>
      <c r="F542" s="49">
        <v>1</v>
      </c>
      <c r="G542" s="49" t="s">
        <v>39</v>
      </c>
      <c r="H542" s="49"/>
      <c r="I542" s="49">
        <v>589</v>
      </c>
      <c r="J542" s="49">
        <v>588</v>
      </c>
      <c r="K542" s="50">
        <v>0</v>
      </c>
      <c r="L542" s="50">
        <v>0</v>
      </c>
      <c r="M542" s="49">
        <v>0</v>
      </c>
      <c r="N542" s="49" t="s">
        <v>156</v>
      </c>
    </row>
    <row r="543" customHeight="1" spans="2:14">
      <c r="B543" s="48"/>
      <c r="C543" s="49"/>
      <c r="D543" s="49"/>
      <c r="E543" s="49"/>
      <c r="F543" s="49">
        <v>1</v>
      </c>
      <c r="G543" s="49" t="s">
        <v>41</v>
      </c>
      <c r="H543" s="49"/>
      <c r="I543" s="49">
        <v>590</v>
      </c>
      <c r="J543" s="49">
        <v>588</v>
      </c>
      <c r="K543" s="50">
        <v>0</v>
      </c>
      <c r="L543" s="50">
        <v>0</v>
      </c>
      <c r="M543" s="49">
        <v>0</v>
      </c>
      <c r="N543" s="49" t="s">
        <v>156</v>
      </c>
    </row>
    <row r="544" customHeight="1" spans="2:14">
      <c r="B544" s="48"/>
      <c r="C544" s="49"/>
      <c r="D544" s="49"/>
      <c r="E544" s="49"/>
      <c r="F544" s="49">
        <v>1</v>
      </c>
      <c r="G544" s="49" t="s">
        <v>41</v>
      </c>
      <c r="H544" s="49"/>
      <c r="I544" s="49">
        <v>591</v>
      </c>
      <c r="J544" s="49">
        <v>588</v>
      </c>
      <c r="K544" s="50">
        <v>0</v>
      </c>
      <c r="L544" s="50">
        <v>0</v>
      </c>
      <c r="M544" s="49">
        <v>0</v>
      </c>
      <c r="N544" s="49" t="s">
        <v>156</v>
      </c>
    </row>
    <row r="545" customHeight="1" spans="2:14">
      <c r="B545" s="48">
        <v>46145</v>
      </c>
      <c r="C545" s="49">
        <v>3</v>
      </c>
      <c r="D545" s="49">
        <v>9000</v>
      </c>
      <c r="E545" s="49"/>
      <c r="F545" s="49">
        <v>1</v>
      </c>
      <c r="G545" s="49" t="s">
        <v>35</v>
      </c>
      <c r="H545" s="49"/>
      <c r="I545" s="49">
        <v>588</v>
      </c>
      <c r="J545" s="49">
        <v>588</v>
      </c>
      <c r="K545" s="50">
        <v>0</v>
      </c>
      <c r="L545" s="50">
        <v>0</v>
      </c>
      <c r="M545" s="49">
        <v>0</v>
      </c>
      <c r="N545" s="49" t="s">
        <v>159</v>
      </c>
    </row>
    <row r="546" customHeight="1" spans="2:14">
      <c r="B546" s="48"/>
      <c r="C546" s="49"/>
      <c r="D546" s="49"/>
      <c r="E546" s="49"/>
      <c r="F546" s="49">
        <v>1</v>
      </c>
      <c r="G546" s="49" t="s">
        <v>37</v>
      </c>
      <c r="H546" s="49"/>
      <c r="I546" s="49">
        <v>588</v>
      </c>
      <c r="J546" s="49">
        <v>588</v>
      </c>
      <c r="K546" s="50">
        <v>0</v>
      </c>
      <c r="L546" s="50">
        <v>0</v>
      </c>
      <c r="M546" s="49">
        <v>0</v>
      </c>
      <c r="N546" s="49" t="s">
        <v>159</v>
      </c>
    </row>
    <row r="547" customHeight="1" spans="2:14">
      <c r="B547" s="48"/>
      <c r="C547" s="49"/>
      <c r="D547" s="49"/>
      <c r="E547" s="49"/>
      <c r="F547" s="49">
        <v>1</v>
      </c>
      <c r="G547" s="49" t="s">
        <v>40</v>
      </c>
      <c r="H547" s="49"/>
      <c r="I547" s="49">
        <v>588</v>
      </c>
      <c r="J547" s="49">
        <v>588</v>
      </c>
      <c r="K547" s="50">
        <v>0</v>
      </c>
      <c r="L547" s="50">
        <v>0</v>
      </c>
      <c r="M547" s="49">
        <v>0</v>
      </c>
      <c r="N547" s="49" t="s">
        <v>159</v>
      </c>
    </row>
    <row r="548" customHeight="1" spans="2:14">
      <c r="B548" s="48"/>
      <c r="C548" s="49"/>
      <c r="D548" s="49"/>
      <c r="E548" s="49"/>
      <c r="F548" s="49">
        <v>1</v>
      </c>
      <c r="G548" s="49" t="s">
        <v>41</v>
      </c>
      <c r="H548" s="49"/>
      <c r="I548" s="49">
        <v>588</v>
      </c>
      <c r="J548" s="49">
        <v>588</v>
      </c>
      <c r="K548" s="50">
        <v>0</v>
      </c>
      <c r="L548" s="50">
        <v>0</v>
      </c>
      <c r="M548" s="49">
        <v>0</v>
      </c>
      <c r="N548" s="49" t="s">
        <v>159</v>
      </c>
    </row>
    <row r="549" customHeight="1" spans="2:14">
      <c r="B549" s="48"/>
      <c r="C549" s="49"/>
      <c r="D549" s="49"/>
      <c r="E549" s="49"/>
      <c r="F549" s="49">
        <v>1</v>
      </c>
      <c r="G549" s="49" t="s">
        <v>36</v>
      </c>
      <c r="H549" s="49"/>
      <c r="I549" s="49">
        <v>588</v>
      </c>
      <c r="J549" s="49">
        <v>588</v>
      </c>
      <c r="K549" s="50">
        <v>0</v>
      </c>
      <c r="L549" s="50">
        <v>0</v>
      </c>
      <c r="M549" s="49">
        <v>0</v>
      </c>
      <c r="N549" s="49" t="s">
        <v>159</v>
      </c>
    </row>
    <row r="550" customHeight="1" spans="2:14">
      <c r="B550" s="48"/>
      <c r="C550" s="49"/>
      <c r="D550" s="49"/>
      <c r="E550" s="49"/>
      <c r="F550" s="49">
        <v>1</v>
      </c>
      <c r="G550" s="49" t="s">
        <v>38</v>
      </c>
      <c r="H550" s="49"/>
      <c r="I550" s="49">
        <v>588</v>
      </c>
      <c r="J550" s="49">
        <v>588</v>
      </c>
      <c r="K550" s="50">
        <v>0</v>
      </c>
      <c r="L550" s="50">
        <v>0</v>
      </c>
      <c r="M550" s="49">
        <v>0</v>
      </c>
      <c r="N550" s="49" t="s">
        <v>159</v>
      </c>
    </row>
    <row r="551" customHeight="1" spans="2:14">
      <c r="B551" s="48">
        <v>46146</v>
      </c>
      <c r="C551" s="49">
        <v>3</v>
      </c>
      <c r="D551" s="49">
        <v>9000</v>
      </c>
      <c r="E551" s="49"/>
      <c r="F551" s="49">
        <v>1</v>
      </c>
      <c r="G551" s="49" t="s">
        <v>41</v>
      </c>
      <c r="H551" s="49"/>
      <c r="I551" s="49">
        <v>616</v>
      </c>
      <c r="J551" s="49">
        <v>616</v>
      </c>
      <c r="K551" s="50">
        <v>0</v>
      </c>
      <c r="L551" s="50">
        <v>0</v>
      </c>
      <c r="M551" s="49">
        <v>0</v>
      </c>
      <c r="N551" s="49" t="s">
        <v>159</v>
      </c>
    </row>
    <row r="552" customHeight="1" spans="2:14">
      <c r="B552" s="48"/>
      <c r="C552" s="49"/>
      <c r="D552" s="49"/>
      <c r="E552" s="49"/>
      <c r="F552" s="49">
        <v>1</v>
      </c>
      <c r="G552" s="49" t="s">
        <v>39</v>
      </c>
      <c r="H552" s="49"/>
      <c r="I552" s="49">
        <v>588</v>
      </c>
      <c r="J552" s="49">
        <v>588</v>
      </c>
      <c r="K552" s="50">
        <v>0</v>
      </c>
      <c r="L552" s="50">
        <v>0</v>
      </c>
      <c r="M552" s="49">
        <v>0</v>
      </c>
      <c r="N552" s="49" t="s">
        <v>159</v>
      </c>
    </row>
    <row r="553" customHeight="1" spans="2:14">
      <c r="B553" s="48"/>
      <c r="C553" s="49"/>
      <c r="D553" s="49"/>
      <c r="E553" s="49"/>
      <c r="F553" s="49">
        <v>1</v>
      </c>
      <c r="G553" s="49" t="s">
        <v>41</v>
      </c>
      <c r="H553" s="49"/>
      <c r="I553" s="49">
        <v>588</v>
      </c>
      <c r="J553" s="49">
        <v>588</v>
      </c>
      <c r="K553" s="50">
        <v>0</v>
      </c>
      <c r="L553" s="50">
        <v>0</v>
      </c>
      <c r="M553" s="49">
        <v>0</v>
      </c>
      <c r="N553" s="49" t="s">
        <v>159</v>
      </c>
    </row>
    <row r="554" customHeight="1" spans="2:14">
      <c r="B554" s="48"/>
      <c r="C554" s="49"/>
      <c r="D554" s="49"/>
      <c r="E554" s="49"/>
      <c r="F554" s="49">
        <v>1</v>
      </c>
      <c r="G554" s="49" t="s">
        <v>39</v>
      </c>
      <c r="H554" s="49"/>
      <c r="I554" s="49">
        <v>588</v>
      </c>
      <c r="J554" s="49">
        <v>588</v>
      </c>
      <c r="K554" s="50">
        <v>0</v>
      </c>
      <c r="L554" s="50">
        <v>0</v>
      </c>
      <c r="M554" s="49">
        <v>0</v>
      </c>
      <c r="N554" s="49" t="s">
        <v>159</v>
      </c>
    </row>
    <row r="555" customHeight="1" spans="2:14">
      <c r="B555" s="48"/>
      <c r="C555" s="49"/>
      <c r="D555" s="49"/>
      <c r="E555" s="49"/>
      <c r="F555" s="49">
        <v>1</v>
      </c>
      <c r="G555" s="49" t="s">
        <v>36</v>
      </c>
      <c r="H555" s="49"/>
      <c r="I555" s="49">
        <v>588</v>
      </c>
      <c r="J555" s="49">
        <v>588</v>
      </c>
      <c r="K555" s="50">
        <v>0</v>
      </c>
      <c r="L555" s="50">
        <v>0</v>
      </c>
      <c r="M555" s="49">
        <v>0</v>
      </c>
      <c r="N555" s="49" t="s">
        <v>159</v>
      </c>
    </row>
    <row r="556" customHeight="1" spans="2:14">
      <c r="B556" s="48">
        <v>46147</v>
      </c>
      <c r="C556" s="49">
        <v>2</v>
      </c>
      <c r="D556" s="49">
        <v>6000</v>
      </c>
      <c r="E556" s="49"/>
      <c r="F556" s="49">
        <v>1</v>
      </c>
      <c r="G556" s="49" t="s">
        <v>38</v>
      </c>
      <c r="H556" s="49"/>
      <c r="I556" s="49">
        <v>588</v>
      </c>
      <c r="J556" s="49">
        <v>588</v>
      </c>
      <c r="K556" s="50">
        <v>0</v>
      </c>
      <c r="L556" s="50">
        <v>0</v>
      </c>
      <c r="M556" s="49">
        <v>0</v>
      </c>
      <c r="N556" s="49" t="s">
        <v>159</v>
      </c>
    </row>
    <row r="557" customHeight="1" spans="2:14">
      <c r="B557" s="48"/>
      <c r="C557" s="49"/>
      <c r="D557" s="49"/>
      <c r="E557" s="49"/>
      <c r="F557" s="49">
        <v>1</v>
      </c>
      <c r="G557" s="49" t="s">
        <v>35</v>
      </c>
      <c r="H557" s="49"/>
      <c r="I557" s="49">
        <v>588</v>
      </c>
      <c r="J557" s="49">
        <v>588</v>
      </c>
      <c r="K557" s="50">
        <v>0</v>
      </c>
      <c r="L557" s="50">
        <v>0</v>
      </c>
      <c r="M557" s="49">
        <v>0</v>
      </c>
      <c r="N557" s="49" t="s">
        <v>159</v>
      </c>
    </row>
    <row r="558" customHeight="1" spans="2:14">
      <c r="B558" s="48"/>
      <c r="C558" s="49"/>
      <c r="D558" s="49"/>
      <c r="E558" s="49"/>
      <c r="F558" s="49">
        <v>1</v>
      </c>
      <c r="G558" s="49" t="s">
        <v>37</v>
      </c>
      <c r="H558" s="49"/>
      <c r="I558" s="49">
        <v>588</v>
      </c>
      <c r="J558" s="49">
        <v>588</v>
      </c>
      <c r="K558" s="50">
        <v>0</v>
      </c>
      <c r="L558" s="50">
        <v>0</v>
      </c>
      <c r="M558" s="49">
        <v>0</v>
      </c>
      <c r="N558" s="49" t="s">
        <v>159</v>
      </c>
    </row>
    <row r="559" customHeight="1" spans="2:14">
      <c r="B559" s="48"/>
      <c r="C559" s="49"/>
      <c r="D559" s="49"/>
      <c r="E559" s="49"/>
      <c r="F559" s="49">
        <v>1</v>
      </c>
      <c r="G559" s="49" t="s">
        <v>40</v>
      </c>
      <c r="H559" s="49"/>
      <c r="I559" s="49">
        <v>588</v>
      </c>
      <c r="J559" s="49">
        <v>588</v>
      </c>
      <c r="K559" s="50">
        <v>0</v>
      </c>
      <c r="L559" s="50">
        <v>0</v>
      </c>
      <c r="M559" s="49">
        <v>0</v>
      </c>
      <c r="N559" s="49" t="s">
        <v>159</v>
      </c>
    </row>
    <row r="560" customHeight="1" spans="2:14">
      <c r="B560" s="48">
        <v>46148</v>
      </c>
      <c r="C560" s="49">
        <v>0</v>
      </c>
      <c r="D560" s="49">
        <v>0</v>
      </c>
      <c r="E560" s="49">
        <v>0</v>
      </c>
      <c r="F560" s="49">
        <v>1</v>
      </c>
      <c r="G560" s="49" t="s">
        <v>41</v>
      </c>
      <c r="H560" s="49"/>
      <c r="I560" s="49">
        <v>588</v>
      </c>
      <c r="J560" s="49">
        <v>588</v>
      </c>
      <c r="K560" s="72">
        <v>0</v>
      </c>
      <c r="L560" s="50">
        <v>0</v>
      </c>
      <c r="M560" s="49">
        <v>0</v>
      </c>
      <c r="N560" s="49" t="s">
        <v>156</v>
      </c>
    </row>
    <row r="561" customHeight="1" spans="2:14">
      <c r="B561" s="48"/>
      <c r="C561" s="49"/>
      <c r="D561" s="49"/>
      <c r="E561" s="49"/>
      <c r="F561" s="49">
        <v>1</v>
      </c>
      <c r="G561" s="49" t="s">
        <v>36</v>
      </c>
      <c r="H561" s="49"/>
      <c r="I561" s="49">
        <v>588</v>
      </c>
      <c r="J561" s="49">
        <v>588</v>
      </c>
      <c r="K561" s="72">
        <v>0</v>
      </c>
      <c r="L561" s="50">
        <v>0</v>
      </c>
      <c r="M561" s="49">
        <v>0</v>
      </c>
      <c r="N561" s="49" t="s">
        <v>156</v>
      </c>
    </row>
    <row r="562" customHeight="1" spans="2:14">
      <c r="B562" s="48"/>
      <c r="C562" s="49"/>
      <c r="D562" s="49"/>
      <c r="E562" s="49"/>
      <c r="F562" s="49">
        <v>1</v>
      </c>
      <c r="G562" s="49" t="s">
        <v>38</v>
      </c>
      <c r="H562" s="49"/>
      <c r="I562" s="49">
        <v>588</v>
      </c>
      <c r="J562" s="49">
        <v>588</v>
      </c>
      <c r="K562" s="72">
        <v>0</v>
      </c>
      <c r="L562" s="50">
        <v>0</v>
      </c>
      <c r="M562" s="49">
        <v>0</v>
      </c>
      <c r="N562" s="49" t="s">
        <v>156</v>
      </c>
    </row>
    <row r="563" customHeight="1" spans="2:14">
      <c r="B563" s="48"/>
      <c r="C563" s="49"/>
      <c r="D563" s="49"/>
      <c r="E563" s="49"/>
      <c r="F563" s="49">
        <v>1</v>
      </c>
      <c r="G563" s="49" t="s">
        <v>39</v>
      </c>
      <c r="H563" s="49"/>
      <c r="I563" s="49">
        <v>588</v>
      </c>
      <c r="J563" s="49">
        <v>588</v>
      </c>
      <c r="K563" s="72">
        <v>0</v>
      </c>
      <c r="L563" s="50">
        <v>0</v>
      </c>
      <c r="M563" s="49">
        <v>0</v>
      </c>
      <c r="N563" s="49" t="s">
        <v>156</v>
      </c>
    </row>
    <row r="564" customHeight="1" spans="2:14">
      <c r="B564" s="48">
        <v>46149</v>
      </c>
      <c r="C564" s="49">
        <v>0</v>
      </c>
      <c r="D564" s="49">
        <v>0</v>
      </c>
      <c r="E564" s="49">
        <v>0</v>
      </c>
      <c r="F564" s="49">
        <v>1</v>
      </c>
      <c r="G564" s="49" t="s">
        <v>35</v>
      </c>
      <c r="H564" s="49"/>
      <c r="I564" s="49">
        <v>588</v>
      </c>
      <c r="J564" s="49">
        <v>588</v>
      </c>
      <c r="K564" s="72">
        <v>0</v>
      </c>
      <c r="L564" s="50">
        <v>0</v>
      </c>
      <c r="M564" s="49">
        <v>0</v>
      </c>
      <c r="N564" s="49" t="s">
        <v>156</v>
      </c>
    </row>
    <row r="565" customHeight="1" spans="2:14">
      <c r="B565" s="48"/>
      <c r="C565" s="49"/>
      <c r="D565" s="49"/>
      <c r="E565" s="49"/>
      <c r="F565" s="49">
        <v>1</v>
      </c>
      <c r="G565" s="49" t="s">
        <v>37</v>
      </c>
      <c r="H565" s="49"/>
      <c r="I565" s="49">
        <v>588</v>
      </c>
      <c r="J565" s="49">
        <v>588</v>
      </c>
      <c r="K565" s="72">
        <v>0</v>
      </c>
      <c r="L565" s="50">
        <v>0</v>
      </c>
      <c r="M565" s="49">
        <v>0</v>
      </c>
      <c r="N565" s="49" t="s">
        <v>156</v>
      </c>
    </row>
    <row r="566" customHeight="1" spans="2:14">
      <c r="B566" s="48"/>
      <c r="C566" s="49"/>
      <c r="D566" s="49"/>
      <c r="E566" s="49"/>
      <c r="F566" s="49">
        <v>1</v>
      </c>
      <c r="G566" s="49" t="s">
        <v>40</v>
      </c>
      <c r="H566" s="49"/>
      <c r="I566" s="49">
        <v>588</v>
      </c>
      <c r="J566" s="49">
        <v>588</v>
      </c>
      <c r="K566" s="72">
        <v>0</v>
      </c>
      <c r="L566" s="50">
        <v>0</v>
      </c>
      <c r="M566" s="49">
        <v>0</v>
      </c>
      <c r="N566" s="49" t="s">
        <v>156</v>
      </c>
    </row>
    <row r="567" customHeight="1" spans="2:14">
      <c r="B567" s="48">
        <v>46150</v>
      </c>
      <c r="C567" s="49">
        <v>0</v>
      </c>
      <c r="D567" s="49">
        <v>0</v>
      </c>
      <c r="E567" s="49">
        <v>0</v>
      </c>
      <c r="F567" s="49">
        <v>0</v>
      </c>
      <c r="G567" s="49">
        <v>0</v>
      </c>
      <c r="H567" s="49"/>
      <c r="I567" s="49">
        <v>0</v>
      </c>
      <c r="J567" s="49">
        <v>0</v>
      </c>
      <c r="K567" s="50">
        <v>0</v>
      </c>
      <c r="L567" s="50">
        <v>0</v>
      </c>
      <c r="M567" s="49">
        <v>0</v>
      </c>
      <c r="N567" s="49" t="s">
        <v>154</v>
      </c>
    </row>
    <row r="568" customHeight="1" spans="2:14">
      <c r="B568" s="48">
        <v>46151</v>
      </c>
      <c r="C568" s="49">
        <v>0</v>
      </c>
      <c r="D568" s="49">
        <v>0</v>
      </c>
      <c r="E568" s="49">
        <v>0</v>
      </c>
      <c r="F568" s="49">
        <v>0</v>
      </c>
      <c r="G568" s="49">
        <v>0</v>
      </c>
      <c r="H568" s="49"/>
      <c r="I568" s="49">
        <v>0</v>
      </c>
      <c r="J568" s="49">
        <v>0</v>
      </c>
      <c r="K568" s="50">
        <v>0</v>
      </c>
      <c r="L568" s="72">
        <v>0</v>
      </c>
      <c r="M568" s="49">
        <v>0</v>
      </c>
      <c r="N568" s="49" t="s">
        <v>154</v>
      </c>
    </row>
    <row r="569" customHeight="1" spans="2:14">
      <c r="B569" s="48">
        <v>46152</v>
      </c>
      <c r="C569" s="49">
        <v>0</v>
      </c>
      <c r="D569" s="49">
        <v>0</v>
      </c>
      <c r="E569" s="49">
        <v>0</v>
      </c>
      <c r="F569" s="49">
        <v>0</v>
      </c>
      <c r="G569" s="49">
        <v>0</v>
      </c>
      <c r="H569" s="49"/>
      <c r="I569" s="49">
        <v>0</v>
      </c>
      <c r="J569" s="49">
        <v>0</v>
      </c>
      <c r="K569" s="72">
        <v>0</v>
      </c>
      <c r="L569" s="72">
        <v>0</v>
      </c>
      <c r="M569" s="49">
        <v>0</v>
      </c>
      <c r="N569" s="49" t="s">
        <v>154</v>
      </c>
    </row>
    <row r="570" customHeight="1" spans="2:14">
      <c r="B570" s="48">
        <v>46153</v>
      </c>
      <c r="C570" s="49">
        <v>0</v>
      </c>
      <c r="D570" s="49">
        <v>0</v>
      </c>
      <c r="E570" s="49">
        <v>0</v>
      </c>
      <c r="F570" s="49">
        <v>0</v>
      </c>
      <c r="G570" s="49">
        <v>0</v>
      </c>
      <c r="H570" s="49"/>
      <c r="I570" s="49">
        <v>0</v>
      </c>
      <c r="J570" s="49">
        <v>0</v>
      </c>
      <c r="K570" s="72">
        <v>0</v>
      </c>
      <c r="L570" s="72">
        <v>0</v>
      </c>
      <c r="M570" s="49">
        <v>0</v>
      </c>
      <c r="N570" s="49" t="s">
        <v>154</v>
      </c>
    </row>
    <row r="571" customHeight="1" spans="2:14">
      <c r="B571" s="48">
        <v>46154</v>
      </c>
      <c r="C571" s="49">
        <v>0</v>
      </c>
      <c r="D571" s="49">
        <v>0</v>
      </c>
      <c r="E571" s="49">
        <v>0</v>
      </c>
      <c r="F571" s="49">
        <v>0</v>
      </c>
      <c r="G571" s="49">
        <v>0</v>
      </c>
      <c r="H571" s="49"/>
      <c r="I571" s="49">
        <v>0</v>
      </c>
      <c r="J571" s="49">
        <v>0</v>
      </c>
      <c r="K571" s="72">
        <v>0</v>
      </c>
      <c r="L571" s="72">
        <v>0</v>
      </c>
      <c r="M571" s="49">
        <v>0</v>
      </c>
      <c r="N571" s="49" t="s">
        <v>154</v>
      </c>
    </row>
    <row r="572" customHeight="1" spans="2:14">
      <c r="B572" s="48">
        <v>46155</v>
      </c>
      <c r="C572" s="49">
        <v>0</v>
      </c>
      <c r="D572" s="49">
        <v>0</v>
      </c>
      <c r="E572" s="49">
        <v>0</v>
      </c>
      <c r="F572" s="49">
        <v>0</v>
      </c>
      <c r="G572" s="49">
        <v>0</v>
      </c>
      <c r="H572" s="49"/>
      <c r="I572" s="49">
        <v>0</v>
      </c>
      <c r="J572" s="49">
        <v>0</v>
      </c>
      <c r="K572" s="72">
        <v>0</v>
      </c>
      <c r="L572" s="72">
        <v>0</v>
      </c>
      <c r="M572" s="49">
        <v>0</v>
      </c>
      <c r="N572" s="49" t="s">
        <v>154</v>
      </c>
    </row>
    <row r="573" customHeight="1" spans="2:14">
      <c r="B573" s="48">
        <v>46156</v>
      </c>
      <c r="C573" s="49">
        <v>0</v>
      </c>
      <c r="D573" s="49">
        <v>0</v>
      </c>
      <c r="E573" s="49">
        <v>0</v>
      </c>
      <c r="F573" s="49">
        <v>0</v>
      </c>
      <c r="G573" s="49">
        <v>0</v>
      </c>
      <c r="H573" s="49"/>
      <c r="I573" s="49">
        <v>0</v>
      </c>
      <c r="J573" s="49">
        <v>0</v>
      </c>
      <c r="K573" s="72">
        <v>0</v>
      </c>
      <c r="L573" s="72">
        <v>0</v>
      </c>
      <c r="M573" s="49">
        <v>0</v>
      </c>
      <c r="N573" s="49" t="s">
        <v>154</v>
      </c>
    </row>
    <row r="574" customHeight="1" spans="2:14">
      <c r="B574" s="48">
        <v>46157</v>
      </c>
      <c r="C574" s="49">
        <v>0</v>
      </c>
      <c r="D574" s="49">
        <v>0</v>
      </c>
      <c r="E574" s="49">
        <v>0</v>
      </c>
      <c r="F574" s="49">
        <v>0</v>
      </c>
      <c r="G574" s="49">
        <v>0</v>
      </c>
      <c r="H574" s="49"/>
      <c r="I574" s="49">
        <v>0</v>
      </c>
      <c r="J574" s="49">
        <v>0</v>
      </c>
      <c r="K574" s="72">
        <v>0</v>
      </c>
      <c r="L574" s="72">
        <v>0</v>
      </c>
      <c r="M574" s="49">
        <v>0</v>
      </c>
      <c r="N574" s="49" t="s">
        <v>154</v>
      </c>
    </row>
    <row r="575" customHeight="1" spans="2:14">
      <c r="B575" s="48">
        <v>46158</v>
      </c>
      <c r="C575" s="49">
        <v>0</v>
      </c>
      <c r="D575" s="49">
        <v>0</v>
      </c>
      <c r="E575" s="49">
        <v>0</v>
      </c>
      <c r="F575" s="49">
        <v>0</v>
      </c>
      <c r="G575" s="49">
        <v>0</v>
      </c>
      <c r="H575" s="49"/>
      <c r="I575" s="49">
        <v>0</v>
      </c>
      <c r="J575" s="49">
        <v>0</v>
      </c>
      <c r="K575" s="72">
        <v>0</v>
      </c>
      <c r="L575" s="72">
        <v>0</v>
      </c>
      <c r="M575" s="49">
        <v>0</v>
      </c>
      <c r="N575" s="49" t="s">
        <v>154</v>
      </c>
    </row>
    <row r="576" customHeight="1" spans="2:14">
      <c r="B576" s="48">
        <v>46159</v>
      </c>
      <c r="C576" s="49">
        <v>0</v>
      </c>
      <c r="D576" s="49">
        <v>0</v>
      </c>
      <c r="E576" s="49">
        <v>0</v>
      </c>
      <c r="F576" s="49">
        <v>0</v>
      </c>
      <c r="G576" s="49">
        <v>0</v>
      </c>
      <c r="H576" s="49"/>
      <c r="I576" s="49">
        <v>0</v>
      </c>
      <c r="J576" s="49">
        <v>0</v>
      </c>
      <c r="K576" s="72">
        <v>0</v>
      </c>
      <c r="L576" s="72">
        <v>0</v>
      </c>
      <c r="M576" s="49">
        <v>0</v>
      </c>
      <c r="N576" s="49" t="s">
        <v>154</v>
      </c>
    </row>
    <row r="577" customHeight="1" spans="2:14">
      <c r="B577" s="48">
        <v>46160</v>
      </c>
      <c r="C577" s="49">
        <v>0</v>
      </c>
      <c r="D577" s="49">
        <v>0</v>
      </c>
      <c r="E577" s="49">
        <v>0</v>
      </c>
      <c r="F577" s="49">
        <v>0</v>
      </c>
      <c r="G577" s="49">
        <v>0</v>
      </c>
      <c r="H577" s="49"/>
      <c r="I577" s="49">
        <v>0</v>
      </c>
      <c r="J577" s="49">
        <v>0</v>
      </c>
      <c r="K577" s="72">
        <v>0</v>
      </c>
      <c r="L577" s="72">
        <v>0</v>
      </c>
      <c r="M577" s="49">
        <v>0</v>
      </c>
      <c r="N577" s="49" t="s">
        <v>154</v>
      </c>
    </row>
    <row r="578" customHeight="1" spans="2:14">
      <c r="B578" s="48">
        <v>46161</v>
      </c>
      <c r="C578" s="49">
        <v>0</v>
      </c>
      <c r="D578" s="49">
        <v>0</v>
      </c>
      <c r="E578" s="49">
        <v>0</v>
      </c>
      <c r="F578" s="49">
        <v>0</v>
      </c>
      <c r="G578" s="49">
        <v>0</v>
      </c>
      <c r="H578" s="49"/>
      <c r="I578" s="49">
        <v>0</v>
      </c>
      <c r="J578" s="49">
        <v>0</v>
      </c>
      <c r="K578" s="72">
        <v>0</v>
      </c>
      <c r="L578" s="72">
        <v>0</v>
      </c>
      <c r="M578" s="49">
        <v>0</v>
      </c>
      <c r="N578" s="49" t="s">
        <v>154</v>
      </c>
    </row>
    <row r="579" customHeight="1" spans="2:14">
      <c r="B579" s="48">
        <v>46162</v>
      </c>
      <c r="C579" s="49">
        <v>0</v>
      </c>
      <c r="D579" s="49">
        <v>0</v>
      </c>
      <c r="E579" s="49">
        <v>0</v>
      </c>
      <c r="F579" s="49">
        <v>0</v>
      </c>
      <c r="G579" s="49">
        <v>0</v>
      </c>
      <c r="H579" s="49"/>
      <c r="I579" s="49">
        <v>0</v>
      </c>
      <c r="J579" s="49">
        <v>0</v>
      </c>
      <c r="K579" s="72">
        <v>0</v>
      </c>
      <c r="L579" s="72">
        <v>0</v>
      </c>
      <c r="M579" s="49">
        <v>0</v>
      </c>
      <c r="N579" s="49" t="s">
        <v>154</v>
      </c>
    </row>
    <row r="580" customHeight="1" spans="2:14">
      <c r="B580" s="48">
        <v>46163</v>
      </c>
      <c r="C580" s="49">
        <v>0</v>
      </c>
      <c r="D580" s="49">
        <v>0</v>
      </c>
      <c r="E580" s="49">
        <v>0</v>
      </c>
      <c r="F580" s="49">
        <v>0</v>
      </c>
      <c r="G580" s="49">
        <v>0</v>
      </c>
      <c r="H580" s="49"/>
      <c r="I580" s="49">
        <v>0</v>
      </c>
      <c r="J580" s="49">
        <v>0</v>
      </c>
      <c r="K580" s="72">
        <v>0</v>
      </c>
      <c r="L580" s="72">
        <v>0</v>
      </c>
      <c r="M580" s="49">
        <v>0</v>
      </c>
      <c r="N580" s="49" t="s">
        <v>154</v>
      </c>
    </row>
    <row r="581" customHeight="1" spans="2:14">
      <c r="B581" s="48">
        <v>46164</v>
      </c>
      <c r="C581" s="49">
        <v>0</v>
      </c>
      <c r="D581" s="49">
        <v>0</v>
      </c>
      <c r="E581" s="49">
        <v>0</v>
      </c>
      <c r="F581" s="49">
        <v>0</v>
      </c>
      <c r="G581" s="49">
        <v>0</v>
      </c>
      <c r="H581" s="49"/>
      <c r="I581" s="49">
        <v>0</v>
      </c>
      <c r="J581" s="49">
        <v>0</v>
      </c>
      <c r="K581" s="72">
        <v>0</v>
      </c>
      <c r="L581" s="72">
        <v>0</v>
      </c>
      <c r="M581" s="49">
        <v>0</v>
      </c>
      <c r="N581" s="49" t="s">
        <v>154</v>
      </c>
    </row>
    <row r="582" customHeight="1" spans="2:14">
      <c r="B582" s="48">
        <v>46165</v>
      </c>
      <c r="C582" s="49">
        <v>0</v>
      </c>
      <c r="D582" s="49">
        <v>0</v>
      </c>
      <c r="E582" s="49">
        <v>0</v>
      </c>
      <c r="F582" s="49">
        <v>0</v>
      </c>
      <c r="G582" s="49">
        <v>0</v>
      </c>
      <c r="H582" s="49"/>
      <c r="I582" s="49">
        <v>0</v>
      </c>
      <c r="J582" s="49">
        <v>0</v>
      </c>
      <c r="K582" s="72">
        <v>0</v>
      </c>
      <c r="L582" s="72">
        <v>0</v>
      </c>
      <c r="M582" s="49">
        <v>0</v>
      </c>
      <c r="N582" s="49" t="s">
        <v>154</v>
      </c>
    </row>
    <row r="583" customHeight="1" spans="2:14">
      <c r="B583" s="48">
        <v>46166</v>
      </c>
      <c r="C583" s="49">
        <v>0</v>
      </c>
      <c r="D583" s="49">
        <v>0</v>
      </c>
      <c r="E583" s="49">
        <v>0</v>
      </c>
      <c r="F583" s="49">
        <v>0</v>
      </c>
      <c r="G583" s="49">
        <v>0</v>
      </c>
      <c r="H583" s="49"/>
      <c r="I583" s="49">
        <v>0</v>
      </c>
      <c r="J583" s="49">
        <v>0</v>
      </c>
      <c r="K583" s="72">
        <v>0</v>
      </c>
      <c r="L583" s="72">
        <v>0</v>
      </c>
      <c r="M583" s="49">
        <v>0</v>
      </c>
      <c r="N583" s="49" t="s">
        <v>154</v>
      </c>
    </row>
    <row r="584" customHeight="1" spans="2:14">
      <c r="B584" s="48">
        <v>46167</v>
      </c>
      <c r="C584" s="49">
        <v>0</v>
      </c>
      <c r="D584" s="49">
        <v>0</v>
      </c>
      <c r="E584" s="49">
        <v>0</v>
      </c>
      <c r="F584" s="49">
        <v>0</v>
      </c>
      <c r="G584" s="49">
        <v>0</v>
      </c>
      <c r="H584" s="49"/>
      <c r="I584" s="49">
        <v>0</v>
      </c>
      <c r="J584" s="49">
        <v>0</v>
      </c>
      <c r="K584" s="72">
        <v>0</v>
      </c>
      <c r="L584" s="72">
        <v>0</v>
      </c>
      <c r="M584" s="49">
        <v>0</v>
      </c>
      <c r="N584" s="49" t="s">
        <v>154</v>
      </c>
    </row>
    <row r="585" customHeight="1" spans="2:14">
      <c r="B585" s="48">
        <v>46168</v>
      </c>
      <c r="C585" s="49">
        <v>0</v>
      </c>
      <c r="D585" s="49">
        <v>0</v>
      </c>
      <c r="E585" s="49">
        <v>0</v>
      </c>
      <c r="F585" s="49">
        <v>0</v>
      </c>
      <c r="G585" s="49">
        <v>0</v>
      </c>
      <c r="H585" s="49"/>
      <c r="I585" s="49">
        <v>0</v>
      </c>
      <c r="J585" s="49">
        <v>0</v>
      </c>
      <c r="K585" s="72">
        <v>0</v>
      </c>
      <c r="L585" s="72">
        <v>0</v>
      </c>
      <c r="M585" s="49">
        <v>0</v>
      </c>
      <c r="N585" s="49" t="s">
        <v>154</v>
      </c>
    </row>
    <row r="586" customHeight="1" spans="2:14">
      <c r="B586" s="48">
        <v>46169</v>
      </c>
      <c r="C586" s="49">
        <v>0</v>
      </c>
      <c r="D586" s="49">
        <v>0</v>
      </c>
      <c r="E586" s="49">
        <v>0</v>
      </c>
      <c r="F586" s="49">
        <v>0</v>
      </c>
      <c r="G586" s="49">
        <v>0</v>
      </c>
      <c r="H586" s="49"/>
      <c r="I586" s="49">
        <v>0</v>
      </c>
      <c r="J586" s="49">
        <v>0</v>
      </c>
      <c r="K586" s="72">
        <v>0</v>
      </c>
      <c r="L586" s="72">
        <v>0</v>
      </c>
      <c r="M586" s="49">
        <v>0</v>
      </c>
      <c r="N586" s="49" t="s">
        <v>154</v>
      </c>
    </row>
    <row r="587" customHeight="1" spans="2:14">
      <c r="B587" s="48">
        <v>46170</v>
      </c>
      <c r="C587" s="49">
        <v>0</v>
      </c>
      <c r="D587" s="49">
        <v>0</v>
      </c>
      <c r="E587" s="49">
        <v>0</v>
      </c>
      <c r="F587" s="49">
        <v>0</v>
      </c>
      <c r="G587" s="49">
        <v>0</v>
      </c>
      <c r="H587" s="49"/>
      <c r="I587" s="49">
        <v>0</v>
      </c>
      <c r="J587" s="49">
        <v>0</v>
      </c>
      <c r="K587" s="72">
        <v>0</v>
      </c>
      <c r="L587" s="72">
        <v>0</v>
      </c>
      <c r="M587" s="49">
        <v>0</v>
      </c>
      <c r="N587" s="49" t="s">
        <v>154</v>
      </c>
    </row>
    <row r="588" ht="13" customHeight="1" spans="2:14">
      <c r="B588" s="48">
        <v>46171</v>
      </c>
      <c r="C588" s="49">
        <v>0</v>
      </c>
      <c r="D588" s="49">
        <v>0</v>
      </c>
      <c r="E588" s="49">
        <v>0</v>
      </c>
      <c r="F588" s="49">
        <v>1</v>
      </c>
      <c r="G588" s="49">
        <v>1</v>
      </c>
      <c r="H588" s="49"/>
      <c r="I588" s="49">
        <v>588</v>
      </c>
      <c r="J588" s="49">
        <v>588</v>
      </c>
      <c r="K588" s="72">
        <v>0</v>
      </c>
      <c r="L588" s="72">
        <v>0</v>
      </c>
      <c r="M588" s="49">
        <v>0</v>
      </c>
      <c r="N588" s="49" t="s">
        <v>156</v>
      </c>
    </row>
    <row r="589" ht="13" customHeight="1" spans="2:14">
      <c r="B589" s="48"/>
      <c r="C589" s="49"/>
      <c r="D589" s="49"/>
      <c r="E589" s="49"/>
      <c r="F589" s="49">
        <v>1</v>
      </c>
      <c r="G589" s="49">
        <v>3</v>
      </c>
      <c r="H589" s="49"/>
      <c r="I589" s="49">
        <v>588</v>
      </c>
      <c r="J589" s="49">
        <v>588</v>
      </c>
      <c r="K589" s="72">
        <v>0</v>
      </c>
      <c r="L589" s="72">
        <v>0</v>
      </c>
      <c r="M589" s="49">
        <v>0</v>
      </c>
      <c r="N589" s="49" t="s">
        <v>156</v>
      </c>
    </row>
    <row r="590" ht="13" customHeight="1" spans="2:14">
      <c r="B590" s="48"/>
      <c r="C590" s="49"/>
      <c r="D590" s="49"/>
      <c r="E590" s="49"/>
      <c r="F590" s="49">
        <v>1</v>
      </c>
      <c r="G590" s="49">
        <v>6</v>
      </c>
      <c r="H590" s="49"/>
      <c r="I590" s="49">
        <v>588</v>
      </c>
      <c r="J590" s="49">
        <v>588</v>
      </c>
      <c r="K590" s="72">
        <v>0</v>
      </c>
      <c r="L590" s="72">
        <v>0</v>
      </c>
      <c r="M590" s="49">
        <v>0</v>
      </c>
      <c r="N590" s="49" t="s">
        <v>156</v>
      </c>
    </row>
    <row r="591" customHeight="1" spans="2:14">
      <c r="B591" s="48">
        <v>46172</v>
      </c>
      <c r="C591" s="49">
        <v>0</v>
      </c>
      <c r="D591" s="49">
        <v>0</v>
      </c>
      <c r="E591" s="49">
        <v>0</v>
      </c>
      <c r="F591" s="49">
        <v>1</v>
      </c>
      <c r="G591" s="49">
        <v>2</v>
      </c>
      <c r="H591" s="49"/>
      <c r="I591" s="49">
        <v>588</v>
      </c>
      <c r="J591" s="49">
        <v>588</v>
      </c>
      <c r="K591" s="72">
        <v>0</v>
      </c>
      <c r="L591" s="72">
        <v>0</v>
      </c>
      <c r="M591" s="49">
        <v>0</v>
      </c>
      <c r="N591" s="49" t="s">
        <v>156</v>
      </c>
    </row>
    <row r="592" customHeight="1" spans="2:14">
      <c r="B592" s="48"/>
      <c r="C592" s="49"/>
      <c r="D592" s="49"/>
      <c r="E592" s="49"/>
      <c r="F592" s="49">
        <v>1</v>
      </c>
      <c r="G592" s="49">
        <v>4</v>
      </c>
      <c r="H592" s="49"/>
      <c r="I592" s="49">
        <v>588</v>
      </c>
      <c r="J592" s="49">
        <v>588</v>
      </c>
      <c r="K592" s="72">
        <v>0</v>
      </c>
      <c r="L592" s="72">
        <v>0</v>
      </c>
      <c r="M592" s="49">
        <v>0</v>
      </c>
      <c r="N592" s="49" t="s">
        <v>156</v>
      </c>
    </row>
    <row r="593" customHeight="1" spans="2:14">
      <c r="B593" s="48"/>
      <c r="C593" s="49"/>
      <c r="D593" s="49"/>
      <c r="E593" s="49"/>
      <c r="F593" s="49">
        <v>1</v>
      </c>
      <c r="G593" s="49">
        <v>7</v>
      </c>
      <c r="H593" s="49"/>
      <c r="I593" s="49">
        <v>588</v>
      </c>
      <c r="J593" s="49">
        <v>588</v>
      </c>
      <c r="K593" s="72">
        <v>0</v>
      </c>
      <c r="L593" s="72">
        <v>0</v>
      </c>
      <c r="M593" s="49">
        <v>0</v>
      </c>
      <c r="N593" s="49" t="s">
        <v>156</v>
      </c>
    </row>
    <row r="594" customHeight="1" spans="2:14">
      <c r="B594" s="48">
        <v>46173</v>
      </c>
      <c r="C594" s="49">
        <v>0</v>
      </c>
      <c r="D594" s="49">
        <v>0</v>
      </c>
      <c r="E594" s="49">
        <v>0</v>
      </c>
      <c r="F594" s="49">
        <v>1</v>
      </c>
      <c r="G594" s="49">
        <v>5</v>
      </c>
      <c r="H594" s="49"/>
      <c r="I594" s="49">
        <v>588</v>
      </c>
      <c r="J594" s="49">
        <v>588</v>
      </c>
      <c r="K594" s="72">
        <v>0</v>
      </c>
      <c r="L594" s="72">
        <v>0</v>
      </c>
      <c r="M594" s="49">
        <v>0</v>
      </c>
      <c r="N594" s="49" t="s">
        <v>156</v>
      </c>
    </row>
    <row r="595" customHeight="1" spans="2:14">
      <c r="B595" s="48"/>
      <c r="C595" s="49"/>
      <c r="D595" s="49"/>
      <c r="E595" s="49"/>
      <c r="F595" s="49"/>
      <c r="G595" s="49">
        <v>8</v>
      </c>
      <c r="H595" s="49"/>
      <c r="I595" s="49">
        <v>616</v>
      </c>
      <c r="J595" s="49">
        <v>616</v>
      </c>
      <c r="K595" s="72">
        <v>0</v>
      </c>
      <c r="L595" s="72">
        <v>0</v>
      </c>
      <c r="M595" s="49">
        <v>0</v>
      </c>
      <c r="N595" s="49" t="s">
        <v>156</v>
      </c>
    </row>
    <row r="596" customHeight="1" spans="2:14">
      <c r="B596" s="48">
        <v>46174</v>
      </c>
      <c r="C596" s="49">
        <v>17</v>
      </c>
      <c r="D596" s="49">
        <v>6000</v>
      </c>
      <c r="E596" s="49">
        <v>0</v>
      </c>
      <c r="F596" s="49">
        <v>1</v>
      </c>
      <c r="G596" s="49">
        <v>8</v>
      </c>
      <c r="H596" s="49"/>
      <c r="I596" s="49">
        <v>616</v>
      </c>
      <c r="J596" s="49">
        <v>616</v>
      </c>
      <c r="K596" s="72">
        <v>0</v>
      </c>
      <c r="L596" s="72">
        <v>0</v>
      </c>
      <c r="M596" s="49">
        <v>0</v>
      </c>
      <c r="N596" s="49" t="s">
        <v>153</v>
      </c>
    </row>
    <row r="597" customHeight="1" spans="2:14">
      <c r="B597" s="48"/>
      <c r="C597" s="49"/>
      <c r="D597" s="49"/>
      <c r="E597" s="49"/>
      <c r="F597" s="49">
        <v>1</v>
      </c>
      <c r="G597" s="49">
        <v>7</v>
      </c>
      <c r="H597" s="49"/>
      <c r="I597" s="49">
        <v>588</v>
      </c>
      <c r="J597" s="49">
        <v>588</v>
      </c>
      <c r="K597" s="72">
        <v>0</v>
      </c>
      <c r="L597" s="72">
        <v>0</v>
      </c>
      <c r="M597" s="49">
        <v>0</v>
      </c>
      <c r="N597" s="49" t="s">
        <v>153</v>
      </c>
    </row>
    <row r="598" customHeight="1" spans="2:14">
      <c r="B598" s="48"/>
      <c r="C598" s="49"/>
      <c r="D598" s="49"/>
      <c r="E598" s="49"/>
      <c r="F598" s="49">
        <v>1</v>
      </c>
      <c r="G598" s="49">
        <v>6</v>
      </c>
      <c r="H598" s="49"/>
      <c r="I598" s="49">
        <v>588</v>
      </c>
      <c r="J598" s="49">
        <v>588</v>
      </c>
      <c r="K598" s="72">
        <v>0</v>
      </c>
      <c r="L598" s="72">
        <v>0</v>
      </c>
      <c r="M598" s="49">
        <v>0</v>
      </c>
      <c r="N598" s="49" t="s">
        <v>153</v>
      </c>
    </row>
    <row r="599" customHeight="1" spans="2:14">
      <c r="B599" s="48"/>
      <c r="C599" s="49"/>
      <c r="D599" s="49"/>
      <c r="E599" s="49"/>
      <c r="F599" s="49">
        <v>1</v>
      </c>
      <c r="G599" s="49">
        <v>5</v>
      </c>
      <c r="H599" s="49"/>
      <c r="I599" s="49">
        <v>588</v>
      </c>
      <c r="J599" s="49">
        <v>588</v>
      </c>
      <c r="K599" s="72">
        <v>0</v>
      </c>
      <c r="L599" s="72">
        <v>0</v>
      </c>
      <c r="M599" s="49">
        <v>0</v>
      </c>
      <c r="N599" s="49" t="s">
        <v>153</v>
      </c>
    </row>
    <row r="600" customHeight="1" spans="2:14">
      <c r="B600" s="48"/>
      <c r="C600" s="49"/>
      <c r="D600" s="49"/>
      <c r="E600" s="49"/>
      <c r="F600" s="49">
        <v>1</v>
      </c>
      <c r="G600" s="49">
        <v>4</v>
      </c>
      <c r="H600" s="49"/>
      <c r="I600" s="49">
        <v>588</v>
      </c>
      <c r="J600" s="49">
        <v>588</v>
      </c>
      <c r="K600" s="72">
        <v>0</v>
      </c>
      <c r="L600" s="72">
        <v>0</v>
      </c>
      <c r="M600" s="49">
        <v>0</v>
      </c>
      <c r="N600" s="49" t="s">
        <v>153</v>
      </c>
    </row>
    <row r="601" customHeight="1" spans="2:14">
      <c r="B601" s="48"/>
      <c r="C601" s="49"/>
      <c r="D601" s="49"/>
      <c r="E601" s="49"/>
      <c r="F601" s="49">
        <v>1</v>
      </c>
      <c r="G601" s="49">
        <v>3</v>
      </c>
      <c r="H601" s="49"/>
      <c r="I601" s="49">
        <v>588</v>
      </c>
      <c r="J601" s="49">
        <v>588</v>
      </c>
      <c r="K601" s="72">
        <v>0</v>
      </c>
      <c r="L601" s="72">
        <v>0</v>
      </c>
      <c r="M601" s="49">
        <v>0</v>
      </c>
      <c r="N601" s="49" t="s">
        <v>153</v>
      </c>
    </row>
    <row r="602" customHeight="1" spans="2:14">
      <c r="B602" s="48"/>
      <c r="C602" s="49"/>
      <c r="D602" s="49"/>
      <c r="E602" s="49"/>
      <c r="F602" s="49">
        <v>1</v>
      </c>
      <c r="G602" s="49">
        <v>2</v>
      </c>
      <c r="H602" s="49"/>
      <c r="I602" s="49">
        <v>588</v>
      </c>
      <c r="J602" s="49">
        <v>588</v>
      </c>
      <c r="K602" s="72">
        <v>0</v>
      </c>
      <c r="L602" s="72">
        <v>0</v>
      </c>
      <c r="M602" s="49">
        <v>0</v>
      </c>
      <c r="N602" s="49" t="s">
        <v>153</v>
      </c>
    </row>
    <row r="603" customHeight="1" spans="2:14">
      <c r="B603" s="48"/>
      <c r="C603" s="49"/>
      <c r="D603" s="49"/>
      <c r="E603" s="49"/>
      <c r="F603" s="49">
        <v>1</v>
      </c>
      <c r="G603" s="49">
        <v>1</v>
      </c>
      <c r="H603" s="49"/>
      <c r="I603" s="49">
        <v>588</v>
      </c>
      <c r="J603" s="49">
        <v>588</v>
      </c>
      <c r="K603" s="72">
        <v>0</v>
      </c>
      <c r="L603" s="72">
        <v>0</v>
      </c>
      <c r="M603" s="49">
        <v>0</v>
      </c>
      <c r="N603" s="49" t="s">
        <v>153</v>
      </c>
    </row>
    <row r="604" customHeight="1" spans="2:14">
      <c r="B604" s="48">
        <v>46175</v>
      </c>
      <c r="C604" s="49">
        <v>0</v>
      </c>
      <c r="D604" s="49">
        <v>0</v>
      </c>
      <c r="E604" s="49">
        <v>0</v>
      </c>
      <c r="F604" s="49">
        <v>0</v>
      </c>
      <c r="G604" s="49">
        <v>0</v>
      </c>
      <c r="H604" s="49"/>
      <c r="I604" s="49">
        <v>0</v>
      </c>
      <c r="J604" s="49">
        <v>0</v>
      </c>
      <c r="K604" s="72">
        <v>0</v>
      </c>
      <c r="L604" s="72">
        <v>0</v>
      </c>
      <c r="M604" s="49">
        <v>0</v>
      </c>
      <c r="N604" s="49" t="s">
        <v>157</v>
      </c>
    </row>
    <row r="605" customHeight="1" spans="2:14">
      <c r="B605" s="48">
        <v>46176</v>
      </c>
      <c r="C605" s="49">
        <v>17</v>
      </c>
      <c r="D605" s="49">
        <v>6000</v>
      </c>
      <c r="E605" s="49">
        <v>0</v>
      </c>
      <c r="F605" s="49">
        <v>1</v>
      </c>
      <c r="G605" s="49">
        <v>7</v>
      </c>
      <c r="H605" s="49"/>
      <c r="I605" s="49">
        <v>588</v>
      </c>
      <c r="J605" s="49">
        <v>588</v>
      </c>
      <c r="K605" s="72">
        <v>0</v>
      </c>
      <c r="L605" s="72">
        <v>0</v>
      </c>
      <c r="M605" s="49">
        <v>0</v>
      </c>
      <c r="N605" s="49" t="s">
        <v>153</v>
      </c>
    </row>
    <row r="606" customHeight="1" spans="2:14">
      <c r="B606" s="48"/>
      <c r="C606" s="49"/>
      <c r="D606" s="49"/>
      <c r="E606" s="49"/>
      <c r="F606" s="49"/>
      <c r="G606" s="49">
        <v>5</v>
      </c>
      <c r="H606" s="49"/>
      <c r="I606" s="49">
        <v>588</v>
      </c>
      <c r="J606" s="49">
        <v>588</v>
      </c>
      <c r="K606" s="72">
        <v>0</v>
      </c>
      <c r="L606" s="72">
        <v>0</v>
      </c>
      <c r="M606" s="49">
        <v>0</v>
      </c>
      <c r="N606" s="49" t="s">
        <v>153</v>
      </c>
    </row>
    <row r="607" customHeight="1" spans="2:14">
      <c r="B607" s="48"/>
      <c r="C607" s="49"/>
      <c r="D607" s="49"/>
      <c r="E607" s="49"/>
      <c r="F607" s="49"/>
      <c r="G607" s="49">
        <v>2</v>
      </c>
      <c r="H607" s="49"/>
      <c r="I607" s="49">
        <v>588</v>
      </c>
      <c r="J607" s="49">
        <v>588</v>
      </c>
      <c r="K607" s="72">
        <v>0</v>
      </c>
      <c r="L607" s="72">
        <v>0</v>
      </c>
      <c r="M607" s="49">
        <v>0</v>
      </c>
      <c r="N607" s="49" t="s">
        <v>153</v>
      </c>
    </row>
    <row r="608" customHeight="1" spans="2:14">
      <c r="B608" s="48"/>
      <c r="C608" s="49"/>
      <c r="D608" s="49"/>
      <c r="E608" s="49"/>
      <c r="F608" s="49"/>
      <c r="G608" s="49">
        <v>6</v>
      </c>
      <c r="H608" s="49"/>
      <c r="I608" s="49">
        <v>588</v>
      </c>
      <c r="J608" s="49">
        <v>588</v>
      </c>
      <c r="K608" s="72">
        <v>0</v>
      </c>
      <c r="L608" s="72">
        <v>0</v>
      </c>
      <c r="M608" s="49">
        <v>0</v>
      </c>
      <c r="N608" s="49" t="s">
        <v>153</v>
      </c>
    </row>
    <row r="609" customHeight="1" spans="2:14">
      <c r="B609" s="48"/>
      <c r="C609" s="49"/>
      <c r="D609" s="49"/>
      <c r="E609" s="49"/>
      <c r="F609" s="49"/>
      <c r="G609" s="49">
        <v>4</v>
      </c>
      <c r="H609" s="49"/>
      <c r="I609" s="49">
        <v>588</v>
      </c>
      <c r="J609" s="49">
        <v>588</v>
      </c>
      <c r="K609" s="72">
        <v>0</v>
      </c>
      <c r="L609" s="72">
        <v>0</v>
      </c>
      <c r="M609" s="49">
        <v>0</v>
      </c>
      <c r="N609" s="49" t="s">
        <v>153</v>
      </c>
    </row>
    <row r="610" customHeight="1" spans="2:14">
      <c r="B610" s="48"/>
      <c r="C610" s="49"/>
      <c r="D610" s="49"/>
      <c r="E610" s="49"/>
      <c r="F610" s="49"/>
      <c r="G610" s="49">
        <v>1</v>
      </c>
      <c r="H610" s="49"/>
      <c r="I610" s="49">
        <v>588</v>
      </c>
      <c r="J610" s="49">
        <v>588</v>
      </c>
      <c r="K610" s="72">
        <v>0</v>
      </c>
      <c r="L610" s="72">
        <v>0</v>
      </c>
      <c r="M610" s="49">
        <v>0</v>
      </c>
      <c r="N610" s="49" t="s">
        <v>153</v>
      </c>
    </row>
    <row r="611" customHeight="1" spans="2:14">
      <c r="B611" s="48"/>
      <c r="C611" s="49"/>
      <c r="D611" s="49"/>
      <c r="E611" s="49"/>
      <c r="F611" s="49"/>
      <c r="G611" s="49">
        <v>3</v>
      </c>
      <c r="H611" s="49"/>
      <c r="I611" s="49">
        <v>588</v>
      </c>
      <c r="J611" s="49">
        <v>588</v>
      </c>
      <c r="K611" s="72">
        <v>0</v>
      </c>
      <c r="L611" s="72">
        <v>0</v>
      </c>
      <c r="M611" s="49">
        <v>0</v>
      </c>
      <c r="N611" s="49" t="s">
        <v>153</v>
      </c>
    </row>
    <row r="612" customHeight="1" spans="2:14">
      <c r="B612" s="48">
        <v>46177</v>
      </c>
      <c r="C612" s="49">
        <v>0</v>
      </c>
      <c r="D612" s="49">
        <v>0</v>
      </c>
      <c r="E612" s="49">
        <v>0</v>
      </c>
      <c r="F612" s="49">
        <v>0</v>
      </c>
      <c r="G612" s="49">
        <v>0</v>
      </c>
      <c r="H612" s="49"/>
      <c r="I612" s="49">
        <v>0</v>
      </c>
      <c r="J612" s="49">
        <v>0</v>
      </c>
      <c r="K612" s="72">
        <v>0</v>
      </c>
      <c r="L612" s="72">
        <v>0</v>
      </c>
      <c r="M612" s="49">
        <v>0</v>
      </c>
      <c r="N612" s="49"/>
    </row>
    <row r="613" customHeight="1" spans="2:14">
      <c r="B613" s="48">
        <v>46178</v>
      </c>
      <c r="C613" s="49">
        <v>0</v>
      </c>
      <c r="D613" s="49">
        <v>0</v>
      </c>
      <c r="E613" s="49">
        <v>0</v>
      </c>
      <c r="F613" s="49">
        <v>0</v>
      </c>
      <c r="G613" s="49">
        <v>0</v>
      </c>
      <c r="H613" s="49"/>
      <c r="I613" s="49">
        <v>0</v>
      </c>
      <c r="J613" s="49">
        <v>0</v>
      </c>
      <c r="K613" s="72">
        <v>0</v>
      </c>
      <c r="L613" s="72">
        <v>0</v>
      </c>
      <c r="M613" s="49">
        <v>0</v>
      </c>
      <c r="N613" s="49"/>
    </row>
    <row r="614" customHeight="1" spans="2:14">
      <c r="B614" s="48">
        <v>46179</v>
      </c>
      <c r="C614" s="49">
        <v>0</v>
      </c>
      <c r="D614" s="49">
        <v>0</v>
      </c>
      <c r="E614" s="49">
        <v>0</v>
      </c>
      <c r="F614" s="49">
        <v>0</v>
      </c>
      <c r="G614" s="49">
        <v>0</v>
      </c>
      <c r="H614" s="49"/>
      <c r="I614" s="49">
        <v>0</v>
      </c>
      <c r="J614" s="49">
        <v>0</v>
      </c>
      <c r="K614" s="72">
        <v>0</v>
      </c>
      <c r="L614" s="72">
        <v>0</v>
      </c>
      <c r="M614" s="49">
        <v>0</v>
      </c>
      <c r="N614" s="49"/>
    </row>
    <row r="615" customHeight="1" spans="2:14">
      <c r="B615" s="48">
        <v>46180</v>
      </c>
      <c r="C615" s="49">
        <v>0</v>
      </c>
      <c r="D615" s="49">
        <v>0</v>
      </c>
      <c r="E615" s="49">
        <v>0</v>
      </c>
      <c r="F615" s="49">
        <v>0</v>
      </c>
      <c r="G615" s="49">
        <v>0</v>
      </c>
      <c r="H615" s="49"/>
      <c r="I615" s="49">
        <v>0</v>
      </c>
      <c r="J615" s="49">
        <v>0</v>
      </c>
      <c r="K615" s="72">
        <v>0</v>
      </c>
      <c r="L615" s="72">
        <v>0</v>
      </c>
      <c r="M615" s="49">
        <v>0</v>
      </c>
      <c r="N615" s="49"/>
    </row>
    <row r="616" customHeight="1" spans="2:14">
      <c r="B616" s="48">
        <v>46181</v>
      </c>
      <c r="C616" s="49">
        <v>0</v>
      </c>
      <c r="D616" s="49">
        <v>0</v>
      </c>
      <c r="E616" s="49">
        <v>0</v>
      </c>
      <c r="F616" s="49">
        <v>0</v>
      </c>
      <c r="G616" s="49">
        <v>0</v>
      </c>
      <c r="H616" s="49"/>
      <c r="I616" s="49">
        <v>0</v>
      </c>
      <c r="J616" s="49">
        <v>0</v>
      </c>
      <c r="K616" s="72">
        <v>0</v>
      </c>
      <c r="L616" s="72">
        <v>0</v>
      </c>
      <c r="M616" s="49">
        <v>0</v>
      </c>
      <c r="N616" s="49"/>
    </row>
    <row r="617" customHeight="1" spans="2:14">
      <c r="B617" s="48">
        <v>46182</v>
      </c>
      <c r="C617" s="49">
        <v>0</v>
      </c>
      <c r="D617" s="49">
        <v>0</v>
      </c>
      <c r="E617" s="49">
        <v>0</v>
      </c>
      <c r="F617" s="49">
        <v>0</v>
      </c>
      <c r="G617" s="49">
        <v>0</v>
      </c>
      <c r="H617" s="49"/>
      <c r="I617" s="49">
        <v>0</v>
      </c>
      <c r="J617" s="49">
        <v>0</v>
      </c>
      <c r="K617" s="72">
        <v>0</v>
      </c>
      <c r="L617" s="72">
        <v>0</v>
      </c>
      <c r="M617" s="49">
        <v>0</v>
      </c>
      <c r="N617" s="49"/>
    </row>
    <row r="618" customHeight="1" spans="2:14">
      <c r="B618" s="48">
        <v>46183</v>
      </c>
      <c r="C618" s="49">
        <v>0</v>
      </c>
      <c r="D618" s="49">
        <v>0</v>
      </c>
      <c r="E618" s="49">
        <v>0</v>
      </c>
      <c r="F618" s="49">
        <v>0</v>
      </c>
      <c r="G618" s="49">
        <v>0</v>
      </c>
      <c r="H618" s="49"/>
      <c r="I618" s="49">
        <v>0</v>
      </c>
      <c r="J618" s="49">
        <v>0</v>
      </c>
      <c r="K618" s="72">
        <v>0</v>
      </c>
      <c r="L618" s="72">
        <v>0</v>
      </c>
      <c r="M618" s="49">
        <v>0</v>
      </c>
      <c r="N618" s="49"/>
    </row>
    <row r="619" customHeight="1" spans="2:14">
      <c r="B619" s="48">
        <v>46184</v>
      </c>
      <c r="C619" s="49">
        <v>0</v>
      </c>
      <c r="D619" s="49">
        <v>0</v>
      </c>
      <c r="E619" s="49">
        <v>0</v>
      </c>
      <c r="F619" s="49">
        <v>0</v>
      </c>
      <c r="G619" s="49">
        <v>0</v>
      </c>
      <c r="H619" s="49"/>
      <c r="I619" s="49">
        <v>0</v>
      </c>
      <c r="J619" s="49">
        <v>0</v>
      </c>
      <c r="K619" s="72">
        <v>0</v>
      </c>
      <c r="L619" s="72">
        <v>0</v>
      </c>
      <c r="M619" s="49">
        <v>0</v>
      </c>
      <c r="N619" s="49"/>
    </row>
    <row r="620" customHeight="1" spans="2:14">
      <c r="B620" s="48">
        <v>46185</v>
      </c>
      <c r="C620" s="49">
        <v>0</v>
      </c>
      <c r="D620" s="49">
        <v>0</v>
      </c>
      <c r="E620" s="49">
        <v>0</v>
      </c>
      <c r="F620" s="49">
        <v>0</v>
      </c>
      <c r="G620" s="49">
        <v>0</v>
      </c>
      <c r="H620" s="49"/>
      <c r="I620" s="49">
        <v>0</v>
      </c>
      <c r="J620" s="49">
        <v>0</v>
      </c>
      <c r="K620" s="72">
        <v>0</v>
      </c>
      <c r="L620" s="72">
        <v>0</v>
      </c>
      <c r="M620" s="49">
        <v>0</v>
      </c>
      <c r="N620" s="49"/>
    </row>
    <row r="621" customHeight="1" spans="2:14">
      <c r="B621" s="48">
        <v>46186</v>
      </c>
      <c r="C621" s="49">
        <v>0</v>
      </c>
      <c r="D621" s="49">
        <v>0</v>
      </c>
      <c r="E621" s="49">
        <v>0</v>
      </c>
      <c r="F621" s="49">
        <v>0</v>
      </c>
      <c r="G621" s="49">
        <v>0</v>
      </c>
      <c r="H621" s="49"/>
      <c r="I621" s="49">
        <v>0</v>
      </c>
      <c r="J621" s="49">
        <v>0</v>
      </c>
      <c r="K621" s="72">
        <v>0</v>
      </c>
      <c r="L621" s="72">
        <v>0</v>
      </c>
      <c r="M621" s="49">
        <v>0</v>
      </c>
      <c r="N621" s="49"/>
    </row>
    <row r="622" customHeight="1" spans="2:14">
      <c r="B622" s="48">
        <v>46187</v>
      </c>
      <c r="C622" s="49">
        <v>0</v>
      </c>
      <c r="D622" s="49">
        <v>0</v>
      </c>
      <c r="E622" s="49">
        <v>0</v>
      </c>
      <c r="F622" s="49">
        <v>0</v>
      </c>
      <c r="G622" s="49">
        <v>0</v>
      </c>
      <c r="H622" s="49"/>
      <c r="I622" s="49">
        <v>0</v>
      </c>
      <c r="J622" s="49">
        <v>0</v>
      </c>
      <c r="K622" s="72">
        <v>0</v>
      </c>
      <c r="L622" s="72">
        <v>0</v>
      </c>
      <c r="M622" s="49">
        <v>0</v>
      </c>
      <c r="N622" s="49"/>
    </row>
    <row r="623" customHeight="1" spans="2:14">
      <c r="B623" s="48">
        <v>46188</v>
      </c>
      <c r="C623" s="49">
        <v>0</v>
      </c>
      <c r="D623" s="49">
        <v>0</v>
      </c>
      <c r="E623" s="49">
        <v>0</v>
      </c>
      <c r="F623" s="49">
        <v>0</v>
      </c>
      <c r="G623" s="49">
        <v>0</v>
      </c>
      <c r="H623" s="49"/>
      <c r="I623" s="49">
        <v>0</v>
      </c>
      <c r="J623" s="49">
        <v>0</v>
      </c>
      <c r="K623" s="72">
        <v>0</v>
      </c>
      <c r="L623" s="72">
        <v>0</v>
      </c>
      <c r="M623" s="49">
        <v>0</v>
      </c>
      <c r="N623" s="49"/>
    </row>
  </sheetData>
  <autoFilter xmlns:etc="http://www.wps.cn/officeDocument/2017/etCustomData" ref="B393:B487" etc:filterBottomFollowUsedRange="0">
    <extLst/>
  </autoFilter>
  <mergeCells count="14">
    <mergeCell ref="C2:E2"/>
    <mergeCell ref="A19:A23"/>
    <mergeCell ref="A24:A25"/>
    <mergeCell ref="B19:B23"/>
    <mergeCell ref="B24:B25"/>
    <mergeCell ref="C19:C23"/>
    <mergeCell ref="C24:C25"/>
    <mergeCell ref="D19:D23"/>
    <mergeCell ref="D24:D25"/>
    <mergeCell ref="E19:E23"/>
    <mergeCell ref="E24:E25"/>
    <mergeCell ref="F19:F23"/>
    <mergeCell ref="F24:F25"/>
    <mergeCell ref="N18:N23"/>
  </mergeCells>
  <dataValidations count="1">
    <dataValidation type="list" allowBlank="1" showInputMessage="1" showErrorMessage="1" sqref="G462 G538 G4:G382 G402:G415 G483:G486 G567:G596 G597:G603 G604:G605 G606:G611 G612:G623">
      <formula1>[2]Basic_Data!#REF!</formula1>
    </dataValidation>
  </dataValidations>
  <pageMargins left="0.7" right="0.7" top="0.75" bottom="0.75" header="0" footer="0"/>
  <pageSetup paperSize="1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20"/>
  <sheetViews>
    <sheetView workbookViewId="0">
      <selection activeCell="A1" sqref="A1"/>
    </sheetView>
  </sheetViews>
  <sheetFormatPr defaultColWidth="14.375" defaultRowHeight="15" customHeight="1"/>
  <cols>
    <col min="1" max="11" width="16.25" customWidth="1"/>
  </cols>
  <sheetData>
    <row r="1" ht="14.25" customHeight="1" spans="1:11">
      <c r="A1" s="39" t="s">
        <v>141</v>
      </c>
      <c r="B1" s="39" t="s">
        <v>1</v>
      </c>
      <c r="C1" s="39" t="s">
        <v>55</v>
      </c>
      <c r="D1" s="39" t="s">
        <v>54</v>
      </c>
      <c r="E1" s="39" t="s">
        <v>160</v>
      </c>
      <c r="F1" s="39" t="s">
        <v>161</v>
      </c>
      <c r="G1" s="39" t="s">
        <v>162</v>
      </c>
      <c r="H1" s="39" t="s">
        <v>163</v>
      </c>
      <c r="I1" s="39" t="s">
        <v>164</v>
      </c>
      <c r="J1" s="39" t="s">
        <v>165</v>
      </c>
      <c r="K1" s="39" t="s">
        <v>166</v>
      </c>
    </row>
    <row r="2" ht="14.25" customHeight="1" spans="1:11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</row>
    <row r="3" ht="14.25" customHeight="1" spans="1:11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</row>
    <row r="4" ht="14.25" customHeight="1" spans="1:11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</row>
    <row r="5" ht="14.25" customHeight="1" spans="1:11">
      <c r="A5" s="39"/>
      <c r="B5" s="39"/>
      <c r="C5" s="39"/>
      <c r="D5" s="39"/>
      <c r="E5" s="39"/>
      <c r="F5" s="39"/>
      <c r="G5" s="39"/>
      <c r="H5" s="39"/>
      <c r="I5" s="39"/>
      <c r="J5" s="39"/>
      <c r="K5" s="39"/>
    </row>
    <row r="6" ht="14.25" customHeight="1" spans="1:11">
      <c r="A6" s="39"/>
      <c r="B6" s="39"/>
      <c r="C6" s="39"/>
      <c r="D6" s="39"/>
      <c r="E6" s="39"/>
      <c r="F6" s="39"/>
      <c r="G6" s="39"/>
      <c r="H6" s="39"/>
      <c r="I6" s="39"/>
      <c r="J6" s="39"/>
      <c r="K6" s="39"/>
    </row>
    <row r="7" ht="14.25" customHeight="1" spans="1:11">
      <c r="A7" s="39"/>
      <c r="B7" s="39"/>
      <c r="C7" s="39"/>
      <c r="D7" s="39"/>
      <c r="E7" s="39"/>
      <c r="F7" s="39"/>
      <c r="G7" s="39"/>
      <c r="H7" s="39"/>
      <c r="I7" s="39"/>
      <c r="J7" s="39"/>
      <c r="K7" s="39"/>
    </row>
    <row r="8" ht="14.25" customHeight="1" spans="1:11">
      <c r="A8" s="39"/>
      <c r="B8" s="39"/>
      <c r="C8" s="39"/>
      <c r="D8" s="39"/>
      <c r="E8" s="39"/>
      <c r="F8" s="39"/>
      <c r="G8" s="39"/>
      <c r="H8" s="39"/>
      <c r="I8" s="39"/>
      <c r="J8" s="39"/>
      <c r="K8" s="39"/>
    </row>
    <row r="9" ht="14.25" customHeight="1" spans="1:11">
      <c r="A9" s="39"/>
      <c r="B9" s="39"/>
      <c r="C9" s="39"/>
      <c r="D9" s="39"/>
      <c r="E9" s="39"/>
      <c r="F9" s="39"/>
      <c r="G9" s="39"/>
      <c r="H9" s="39"/>
      <c r="I9" s="39"/>
      <c r="J9" s="39"/>
      <c r="K9" s="39"/>
    </row>
    <row r="10" ht="14.25" customHeight="1" spans="1:11">
      <c r="A10" s="39"/>
      <c r="B10" s="39"/>
      <c r="C10" s="39"/>
      <c r="D10" s="39"/>
      <c r="E10" s="39"/>
      <c r="F10" s="39"/>
      <c r="G10" s="39"/>
      <c r="H10" s="39"/>
      <c r="I10" s="39"/>
      <c r="J10" s="39"/>
      <c r="K10" s="39"/>
    </row>
    <row r="11" ht="14.25" customHeight="1" spans="1:11">
      <c r="A11" s="39"/>
      <c r="B11" s="39"/>
      <c r="C11" s="39"/>
      <c r="D11" s="39"/>
      <c r="E11" s="39"/>
      <c r="F11" s="39"/>
      <c r="G11" s="39"/>
      <c r="H11" s="39"/>
      <c r="I11" s="39"/>
      <c r="J11" s="39"/>
      <c r="K11" s="39"/>
    </row>
    <row r="12" ht="14.25" customHeight="1" spans="1:11">
      <c r="A12" s="39"/>
      <c r="B12" s="39"/>
      <c r="C12" s="39"/>
      <c r="D12" s="39"/>
      <c r="E12" s="39"/>
      <c r="F12" s="39"/>
      <c r="G12" s="39"/>
      <c r="H12" s="39"/>
      <c r="I12" s="39"/>
      <c r="J12" s="39"/>
      <c r="K12" s="39"/>
    </row>
    <row r="13" ht="14.25" customHeight="1" spans="1:11">
      <c r="A13" s="39"/>
      <c r="B13" s="39"/>
      <c r="C13" s="39"/>
      <c r="D13" s="39"/>
      <c r="E13" s="39"/>
      <c r="F13" s="39"/>
      <c r="G13" s="39"/>
      <c r="H13" s="39"/>
      <c r="I13" s="39"/>
      <c r="J13" s="39"/>
      <c r="K13" s="39"/>
    </row>
    <row r="14" ht="14.25" customHeight="1" spans="1:11">
      <c r="A14" s="39"/>
      <c r="B14" s="39"/>
      <c r="C14" s="39"/>
      <c r="D14" s="39"/>
      <c r="E14" s="39"/>
      <c r="F14" s="39"/>
      <c r="G14" s="39"/>
      <c r="H14" s="39"/>
      <c r="I14" s="39"/>
      <c r="J14" s="39"/>
      <c r="K14" s="39"/>
    </row>
    <row r="15" ht="14.25" customHeight="1" spans="1:11">
      <c r="A15" s="39"/>
      <c r="B15" s="39"/>
      <c r="C15" s="39"/>
      <c r="D15" s="39"/>
      <c r="E15" s="39"/>
      <c r="F15" s="39"/>
      <c r="G15" s="39"/>
      <c r="H15" s="39"/>
      <c r="I15" s="39"/>
      <c r="J15" s="39"/>
      <c r="K15" s="39"/>
    </row>
    <row r="16" ht="14.25" customHeight="1" spans="1:11">
      <c r="A16" s="39"/>
      <c r="B16" s="39"/>
      <c r="C16" s="39"/>
      <c r="D16" s="39"/>
      <c r="E16" s="39"/>
      <c r="F16" s="39"/>
      <c r="G16" s="39"/>
      <c r="H16" s="39"/>
      <c r="I16" s="39"/>
      <c r="J16" s="39"/>
      <c r="K16" s="39"/>
    </row>
    <row r="17" ht="14.25" customHeight="1" spans="1:11">
      <c r="A17" s="39"/>
      <c r="B17" s="39"/>
      <c r="C17" s="39"/>
      <c r="D17" s="39"/>
      <c r="E17" s="39"/>
      <c r="F17" s="39"/>
      <c r="G17" s="39"/>
      <c r="H17" s="39"/>
      <c r="I17" s="39"/>
      <c r="J17" s="39"/>
      <c r="K17" s="39"/>
    </row>
    <row r="18" ht="14.25" customHeight="1" spans="1:11">
      <c r="A18" s="39"/>
      <c r="B18" s="39"/>
      <c r="C18" s="39"/>
      <c r="D18" s="39"/>
      <c r="E18" s="39"/>
      <c r="F18" s="39"/>
      <c r="G18" s="39"/>
      <c r="H18" s="39"/>
      <c r="I18" s="39"/>
      <c r="J18" s="39"/>
      <c r="K18" s="39"/>
    </row>
    <row r="19" ht="14.25" customHeight="1" spans="1:11">
      <c r="A19" s="39"/>
      <c r="B19" s="39"/>
      <c r="C19" s="39"/>
      <c r="D19" s="39"/>
      <c r="E19" s="39"/>
      <c r="F19" s="39"/>
      <c r="G19" s="39"/>
      <c r="H19" s="39"/>
      <c r="I19" s="39"/>
      <c r="J19" s="39"/>
      <c r="K19" s="39"/>
    </row>
    <row r="20" ht="14.25" customHeight="1" spans="1:11">
      <c r="A20" s="39"/>
      <c r="B20" s="39"/>
      <c r="C20" s="39"/>
      <c r="D20" s="39"/>
      <c r="E20" s="39"/>
      <c r="F20" s="39"/>
      <c r="G20" s="39"/>
      <c r="H20" s="39"/>
      <c r="I20" s="39"/>
      <c r="J20" s="39"/>
      <c r="K20" s="39"/>
    </row>
    <row r="21" ht="14.25" customHeight="1" spans="1:11">
      <c r="A21" s="39"/>
      <c r="B21" s="39"/>
      <c r="C21" s="39"/>
      <c r="D21" s="39"/>
      <c r="E21" s="39"/>
      <c r="F21" s="39"/>
      <c r="G21" s="39"/>
      <c r="H21" s="39"/>
      <c r="I21" s="39"/>
      <c r="J21" s="39"/>
      <c r="K21" s="39"/>
    </row>
    <row r="22" ht="14.25" customHeight="1" spans="1:11">
      <c r="A22" s="39"/>
      <c r="B22" s="39"/>
      <c r="C22" s="39"/>
      <c r="D22" s="39"/>
      <c r="E22" s="39"/>
      <c r="F22" s="39"/>
      <c r="G22" s="39"/>
      <c r="H22" s="39"/>
      <c r="I22" s="39"/>
      <c r="J22" s="39"/>
      <c r="K22" s="39"/>
    </row>
    <row r="23" ht="14.25" customHeight="1" spans="1:11">
      <c r="A23" s="39"/>
      <c r="B23" s="39"/>
      <c r="C23" s="39"/>
      <c r="D23" s="39"/>
      <c r="E23" s="39"/>
      <c r="F23" s="39"/>
      <c r="G23" s="39"/>
      <c r="H23" s="39"/>
      <c r="I23" s="39"/>
      <c r="J23" s="39"/>
      <c r="K23" s="39"/>
    </row>
    <row r="24" ht="14.25" customHeight="1" spans="1:11">
      <c r="A24" s="39"/>
      <c r="B24" s="39"/>
      <c r="C24" s="39"/>
      <c r="D24" s="39"/>
      <c r="E24" s="39"/>
      <c r="F24" s="39"/>
      <c r="G24" s="39"/>
      <c r="H24" s="39"/>
      <c r="I24" s="39"/>
      <c r="J24" s="39"/>
      <c r="K24" s="39"/>
    </row>
    <row r="25" ht="14.25" customHeight="1" spans="1:11">
      <c r="A25" s="39"/>
      <c r="B25" s="39"/>
      <c r="C25" s="39"/>
      <c r="D25" s="39"/>
      <c r="E25" s="39"/>
      <c r="F25" s="39"/>
      <c r="G25" s="39"/>
      <c r="H25" s="39"/>
      <c r="I25" s="39"/>
      <c r="J25" s="39"/>
      <c r="K25" s="39"/>
    </row>
    <row r="26" ht="14.25" customHeight="1" spans="1:11">
      <c r="A26" s="39"/>
      <c r="B26" s="39"/>
      <c r="C26" s="39"/>
      <c r="D26" s="39"/>
      <c r="E26" s="39"/>
      <c r="F26" s="39"/>
      <c r="G26" s="39"/>
      <c r="H26" s="39"/>
      <c r="I26" s="39"/>
      <c r="J26" s="39"/>
      <c r="K26" s="39"/>
    </row>
    <row r="27" ht="14.25" customHeight="1" spans="1:11">
      <c r="A27" s="39"/>
      <c r="B27" s="39"/>
      <c r="C27" s="39"/>
      <c r="D27" s="39"/>
      <c r="E27" s="39"/>
      <c r="F27" s="39"/>
      <c r="G27" s="39"/>
      <c r="H27" s="39"/>
      <c r="I27" s="39"/>
      <c r="J27" s="39"/>
      <c r="K27" s="39"/>
    </row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</sheetData>
  <pageMargins left="0.7" right="0.7" top="0.75" bottom="0.75" header="0" footer="0"/>
  <pageSetup paperSize="1" orientation="landscape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17"/>
  <sheetViews>
    <sheetView workbookViewId="0">
      <selection activeCell="L19" sqref="L19"/>
    </sheetView>
  </sheetViews>
  <sheetFormatPr defaultColWidth="14.375" defaultRowHeight="15" customHeight="1"/>
  <cols>
    <col min="1" max="1" width="11.625" customWidth="1"/>
    <col min="2" max="2" width="23.25" customWidth="1"/>
    <col min="3" max="3" width="11.25" customWidth="1"/>
    <col min="4" max="4" width="16.125" customWidth="1"/>
    <col min="5" max="5" width="16" customWidth="1"/>
    <col min="6" max="6" width="16.25" customWidth="1"/>
    <col min="7" max="7" width="11.875" customWidth="1"/>
    <col min="8" max="8" width="15.125" customWidth="1"/>
    <col min="9" max="9" width="15.875" customWidth="1"/>
    <col min="10" max="10" width="23.625" customWidth="1"/>
    <col min="11" max="11" width="17.625" customWidth="1"/>
    <col min="12" max="12" width="36" customWidth="1"/>
    <col min="13" max="13" width="5.375" customWidth="1"/>
    <col min="14" max="14" width="8.25" customWidth="1"/>
    <col min="15" max="15" width="35.75" customWidth="1"/>
  </cols>
  <sheetData>
    <row r="1" ht="14.25" customHeight="1" spans="1:15">
      <c r="A1" s="29" t="s">
        <v>167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30"/>
      <c r="N1" s="30"/>
      <c r="O1" s="30"/>
    </row>
    <row r="2" ht="14.25" customHeight="1" spans="1:15">
      <c r="A2" s="31" t="s">
        <v>2</v>
      </c>
      <c r="B2" s="31" t="s">
        <v>1</v>
      </c>
      <c r="C2" s="31" t="s">
        <v>168</v>
      </c>
      <c r="D2" s="31" t="s">
        <v>169</v>
      </c>
      <c r="E2" s="31" t="s">
        <v>170</v>
      </c>
      <c r="F2" s="31" t="s">
        <v>171</v>
      </c>
      <c r="G2" s="32" t="s">
        <v>172</v>
      </c>
      <c r="H2" s="31" t="s">
        <v>173</v>
      </c>
      <c r="I2" s="31" t="s">
        <v>174</v>
      </c>
      <c r="J2" s="31" t="s">
        <v>175</v>
      </c>
      <c r="K2" s="31" t="s">
        <v>176</v>
      </c>
      <c r="L2" s="31" t="s">
        <v>177</v>
      </c>
    </row>
    <row r="3" ht="14.25" customHeight="1" spans="1:15">
      <c r="A3" s="33">
        <v>45833</v>
      </c>
      <c r="B3" s="34">
        <v>45827</v>
      </c>
      <c r="C3" s="17">
        <v>1</v>
      </c>
      <c r="D3" s="27">
        <v>0.486111111111111</v>
      </c>
      <c r="E3" s="27">
        <v>0.520833333333333</v>
      </c>
      <c r="F3" s="27">
        <f>E3-D3</f>
        <v>0.034722222222222</v>
      </c>
      <c r="G3" s="35">
        <v>4</v>
      </c>
      <c r="H3" s="17"/>
      <c r="I3" s="17" t="s">
        <v>178</v>
      </c>
      <c r="J3" s="17" t="s">
        <v>179</v>
      </c>
      <c r="K3" s="17" t="s">
        <v>180</v>
      </c>
      <c r="L3" s="17"/>
    </row>
    <row r="4" ht="14.25" customHeight="1" spans="1:15">
      <c r="A4" s="33">
        <v>45833</v>
      </c>
      <c r="B4" s="34">
        <v>45828</v>
      </c>
      <c r="C4" s="17">
        <v>1</v>
      </c>
      <c r="D4" s="27">
        <v>0.4875</v>
      </c>
      <c r="E4" s="27">
        <v>0.517361111111111</v>
      </c>
      <c r="F4" s="27">
        <f>E4-D4</f>
        <v>0.0298611111111111</v>
      </c>
      <c r="G4" s="35">
        <v>4</v>
      </c>
      <c r="H4" s="17"/>
      <c r="I4" s="17" t="s">
        <v>181</v>
      </c>
      <c r="J4" s="17" t="s">
        <v>179</v>
      </c>
      <c r="K4" s="17" t="s">
        <v>180</v>
      </c>
      <c r="L4" s="17"/>
    </row>
    <row r="5" ht="14.25" customHeight="1" spans="1:15">
      <c r="A5" s="33">
        <v>45833</v>
      </c>
      <c r="B5" s="34">
        <v>45828</v>
      </c>
      <c r="C5" s="17">
        <v>1</v>
      </c>
      <c r="D5" s="27">
        <v>0.555555555555556</v>
      </c>
      <c r="E5" s="27">
        <v>0.583333333333333</v>
      </c>
      <c r="F5" s="27">
        <f>E5-D5</f>
        <v>0.027777777777777</v>
      </c>
      <c r="G5" s="35">
        <v>4</v>
      </c>
      <c r="H5" s="17"/>
      <c r="I5" s="17" t="s">
        <v>181</v>
      </c>
      <c r="J5" s="17" t="s">
        <v>179</v>
      </c>
      <c r="K5" s="17" t="s">
        <v>180</v>
      </c>
      <c r="L5" s="17" t="s">
        <v>182</v>
      </c>
    </row>
    <row r="6" ht="14.25" customHeight="1" spans="1:15">
      <c r="A6" s="33">
        <v>45863</v>
      </c>
      <c r="B6" s="34" t="s">
        <v>183</v>
      </c>
      <c r="C6" s="17">
        <v>1</v>
      </c>
      <c r="D6" s="27">
        <v>0.486111111111111</v>
      </c>
      <c r="E6" s="27">
        <v>0.527777777777778</v>
      </c>
      <c r="F6" s="27">
        <f t="shared" ref="F6:F16" si="0">E6-D6</f>
        <v>0.041666666666667</v>
      </c>
      <c r="G6" s="35">
        <v>4</v>
      </c>
      <c r="H6" s="17"/>
      <c r="I6" s="17" t="s">
        <v>181</v>
      </c>
      <c r="J6" s="17" t="s">
        <v>184</v>
      </c>
      <c r="K6" s="17" t="s">
        <v>185</v>
      </c>
      <c r="L6" s="17" t="s">
        <v>186</v>
      </c>
    </row>
    <row r="7" ht="14.25" customHeight="1" spans="1:15">
      <c r="A7" s="33">
        <v>45863</v>
      </c>
      <c r="B7" s="34" t="s">
        <v>187</v>
      </c>
      <c r="C7" s="17">
        <v>1</v>
      </c>
      <c r="D7" s="27">
        <v>0.540277777777778</v>
      </c>
      <c r="E7" s="27">
        <v>0.583333333333333</v>
      </c>
      <c r="F7" s="27">
        <f t="shared" si="0"/>
        <v>0.0430555555555551</v>
      </c>
      <c r="G7" s="35">
        <v>4</v>
      </c>
      <c r="H7" s="17"/>
      <c r="I7" s="17" t="s">
        <v>181</v>
      </c>
      <c r="J7" s="17" t="s">
        <v>179</v>
      </c>
      <c r="K7" s="17"/>
      <c r="L7" s="17"/>
    </row>
    <row r="8" ht="14.25" customHeight="1" spans="1:15">
      <c r="A8" s="33">
        <v>45863</v>
      </c>
      <c r="B8" s="34">
        <v>45856</v>
      </c>
      <c r="C8" s="17">
        <v>1</v>
      </c>
      <c r="D8" s="27">
        <v>0.493055555555556</v>
      </c>
      <c r="E8" s="27">
        <v>0.538194444444444</v>
      </c>
      <c r="F8" s="27">
        <f t="shared" si="0"/>
        <v>0.045138888888888</v>
      </c>
      <c r="G8" s="35">
        <v>4</v>
      </c>
      <c r="H8" s="17"/>
      <c r="I8" s="17" t="s">
        <v>181</v>
      </c>
      <c r="J8" s="17" t="s">
        <v>179</v>
      </c>
      <c r="K8" s="17"/>
      <c r="L8" s="17"/>
    </row>
    <row r="9" ht="14.25" customHeight="1" spans="1:15">
      <c r="A9" s="33">
        <v>45863</v>
      </c>
      <c r="B9" s="34">
        <v>45862</v>
      </c>
      <c r="C9" s="17">
        <v>1</v>
      </c>
      <c r="D9" s="27">
        <v>0.458333333333333</v>
      </c>
      <c r="E9" s="27">
        <v>0.513888888888889</v>
      </c>
      <c r="F9" s="27">
        <f t="shared" si="0"/>
        <v>0.055555555555556</v>
      </c>
      <c r="G9" s="35">
        <v>4</v>
      </c>
      <c r="H9" s="17"/>
      <c r="I9" s="17" t="s">
        <v>181</v>
      </c>
      <c r="J9" s="17" t="s">
        <v>179</v>
      </c>
      <c r="K9" s="17"/>
      <c r="L9" s="17"/>
    </row>
    <row r="10" ht="14.25" customHeight="1" spans="1:15">
      <c r="A10" s="33">
        <v>45863</v>
      </c>
      <c r="B10" s="34">
        <v>45868</v>
      </c>
      <c r="C10" s="17">
        <v>1</v>
      </c>
      <c r="D10" s="27">
        <v>0.520833333333333</v>
      </c>
      <c r="E10" s="27">
        <v>0.684027777777778</v>
      </c>
      <c r="F10" s="27">
        <f t="shared" si="0"/>
        <v>0.163194444444445</v>
      </c>
      <c r="G10" s="35">
        <v>4</v>
      </c>
      <c r="H10" s="17" t="s">
        <v>188</v>
      </c>
      <c r="I10" s="17" t="s">
        <v>181</v>
      </c>
      <c r="J10" s="17" t="s">
        <v>189</v>
      </c>
      <c r="K10" s="17" t="s">
        <v>190</v>
      </c>
      <c r="L10" s="17"/>
    </row>
    <row r="11" ht="14.25" customHeight="1" spans="1:15">
      <c r="A11" s="33">
        <v>45872</v>
      </c>
      <c r="B11" s="34">
        <v>45872</v>
      </c>
      <c r="C11" s="17">
        <v>1</v>
      </c>
      <c r="D11" s="27">
        <v>0.708333333333333</v>
      </c>
      <c r="E11" s="27">
        <v>0.729166666666667</v>
      </c>
      <c r="F11" s="27">
        <f t="shared" si="0"/>
        <v>0.0208333333333339</v>
      </c>
      <c r="G11" s="17">
        <v>4</v>
      </c>
      <c r="H11" s="17"/>
      <c r="I11" s="17" t="s">
        <v>191</v>
      </c>
      <c r="J11" s="17" t="s">
        <v>192</v>
      </c>
      <c r="K11" s="17"/>
      <c r="L11" s="17"/>
    </row>
    <row r="12" ht="14.25" customHeight="1" spans="1:15">
      <c r="A12" s="33">
        <v>45876</v>
      </c>
      <c r="B12" s="34">
        <v>45876</v>
      </c>
      <c r="C12" s="17">
        <v>1</v>
      </c>
      <c r="D12" s="27">
        <v>0.504166666666667</v>
      </c>
      <c r="E12" s="27">
        <v>0.635416666666667</v>
      </c>
      <c r="F12" s="27">
        <f t="shared" si="0"/>
        <v>0.13125</v>
      </c>
      <c r="G12" s="17">
        <v>4</v>
      </c>
      <c r="H12" s="17" t="s">
        <v>193</v>
      </c>
      <c r="I12" s="17" t="s">
        <v>191</v>
      </c>
      <c r="J12" s="17"/>
      <c r="K12" s="17" t="s">
        <v>190</v>
      </c>
      <c r="L12" s="17"/>
    </row>
    <row r="13" ht="14.25" customHeight="1" spans="1:15">
      <c r="A13" s="33">
        <v>45878</v>
      </c>
      <c r="B13" s="34">
        <v>45878</v>
      </c>
      <c r="C13" s="17">
        <v>1</v>
      </c>
      <c r="D13" s="27">
        <v>0.291666666666667</v>
      </c>
      <c r="E13" s="27">
        <v>0.347222222222222</v>
      </c>
      <c r="F13" s="27">
        <f t="shared" si="0"/>
        <v>0.055555555555555</v>
      </c>
      <c r="G13" s="17">
        <v>4</v>
      </c>
      <c r="H13" s="17"/>
      <c r="I13" s="17" t="s">
        <v>194</v>
      </c>
      <c r="J13" s="17" t="s">
        <v>192</v>
      </c>
      <c r="K13" s="17"/>
      <c r="L13" s="17"/>
    </row>
    <row r="14" ht="14.25" customHeight="1" spans="1:15">
      <c r="A14" s="33">
        <v>228</v>
      </c>
      <c r="B14" s="34" t="s">
        <v>195</v>
      </c>
      <c r="C14" s="17">
        <v>1</v>
      </c>
      <c r="D14" s="27">
        <v>0.4375</v>
      </c>
      <c r="E14" s="27">
        <v>0.5625</v>
      </c>
      <c r="F14" s="27">
        <f t="shared" si="0"/>
        <v>0.125</v>
      </c>
      <c r="G14" s="17">
        <v>4</v>
      </c>
      <c r="H14" s="17" t="s">
        <v>196</v>
      </c>
      <c r="I14" s="17" t="s">
        <v>194</v>
      </c>
      <c r="J14" s="17" t="s">
        <v>197</v>
      </c>
      <c r="K14" s="17"/>
      <c r="L14" s="17" t="s">
        <v>182</v>
      </c>
    </row>
    <row r="15" ht="14.25" customHeight="1" spans="1:15">
      <c r="A15" s="33">
        <v>45929</v>
      </c>
      <c r="B15" s="25" t="s">
        <v>198</v>
      </c>
      <c r="C15" s="17">
        <v>1</v>
      </c>
      <c r="D15" s="27">
        <v>0.291666666666667</v>
      </c>
      <c r="E15" s="27">
        <v>0.368055555555556</v>
      </c>
      <c r="F15" s="27">
        <f t="shared" si="0"/>
        <v>0.076388888888889</v>
      </c>
      <c r="G15" s="17">
        <v>4</v>
      </c>
      <c r="H15" s="17"/>
      <c r="I15" s="17"/>
      <c r="J15" s="17"/>
      <c r="K15" s="17"/>
      <c r="L15" s="17" t="s">
        <v>199</v>
      </c>
    </row>
    <row r="16" ht="14.25" customHeight="1" spans="1:15">
      <c r="A16" s="33">
        <v>45932</v>
      </c>
      <c r="B16" s="36">
        <v>45698</v>
      </c>
      <c r="C16" s="17">
        <v>1</v>
      </c>
      <c r="D16" s="27">
        <v>0.625</v>
      </c>
      <c r="E16" s="27">
        <v>0.791666666666667</v>
      </c>
      <c r="F16" s="27">
        <f t="shared" si="0"/>
        <v>0.166666666666667</v>
      </c>
      <c r="G16" s="17">
        <v>4</v>
      </c>
      <c r="H16" s="17"/>
      <c r="I16" s="17"/>
      <c r="J16" s="17"/>
      <c r="K16" s="17"/>
      <c r="L16" s="17" t="s">
        <v>200</v>
      </c>
    </row>
    <row r="17" ht="14.25" customHeight="1" spans="1:12">
      <c r="A17" s="33">
        <v>45964</v>
      </c>
      <c r="B17" s="36">
        <v>45964</v>
      </c>
      <c r="C17" s="17">
        <v>1</v>
      </c>
      <c r="D17" s="27">
        <v>0.465277777777778</v>
      </c>
      <c r="E17" s="27">
        <v>0.482638888888889</v>
      </c>
      <c r="F17" s="27">
        <f t="shared" ref="F17:F18" si="1">E17-D17</f>
        <v>0.017361111111111</v>
      </c>
      <c r="G17" s="17">
        <v>4</v>
      </c>
      <c r="H17" s="17"/>
      <c r="I17" s="17"/>
      <c r="J17" s="17"/>
      <c r="K17" s="17"/>
      <c r="L17" s="17" t="s">
        <v>201</v>
      </c>
    </row>
    <row r="18" ht="14.25" customHeight="1" spans="1:12">
      <c r="A18" s="33">
        <v>45976</v>
      </c>
      <c r="B18" s="36" t="s">
        <v>202</v>
      </c>
      <c r="C18" s="37">
        <v>1</v>
      </c>
      <c r="D18" s="27">
        <v>0.291666666666667</v>
      </c>
      <c r="E18" s="27">
        <v>0.514583333333333</v>
      </c>
      <c r="F18" s="38">
        <f t="shared" si="1"/>
        <v>0.222916666666666</v>
      </c>
      <c r="G18" s="37">
        <v>4</v>
      </c>
      <c r="H18" s="17" t="s">
        <v>203</v>
      </c>
      <c r="I18" s="17"/>
      <c r="J18" s="17" t="s">
        <v>204</v>
      </c>
      <c r="K18" s="17"/>
      <c r="L18" s="17"/>
    </row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</sheetData>
  <mergeCells count="1">
    <mergeCell ref="A1:L1"/>
  </mergeCells>
  <pageMargins left="0.7" right="0.7" top="0.75" bottom="0.75" header="0" footer="0"/>
  <pageSetup paperSize="1" orientation="landscape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20"/>
  <sheetViews>
    <sheetView topLeftCell="C1" workbookViewId="0">
      <selection activeCell="M31" sqref="M31"/>
    </sheetView>
  </sheetViews>
  <sheetFormatPr defaultColWidth="14.375" defaultRowHeight="15" customHeight="1"/>
  <cols>
    <col min="1" max="1" width="16.75" customWidth="1"/>
    <col min="2" max="2" width="15.875" customWidth="1"/>
    <col min="3" max="3" width="20" customWidth="1"/>
    <col min="4" max="4" width="16.125" customWidth="1"/>
    <col min="5" max="5" width="16" customWidth="1"/>
    <col min="6" max="6" width="15" customWidth="1"/>
    <col min="7" max="7" width="8.25" customWidth="1"/>
    <col min="8" max="8" width="8.375" customWidth="1"/>
    <col min="9" max="10" width="8.75" customWidth="1"/>
    <col min="11" max="11" width="8.125" customWidth="1"/>
    <col min="12" max="12" width="8.25" customWidth="1"/>
    <col min="13" max="13" width="58.375" customWidth="1"/>
  </cols>
  <sheetData>
    <row r="1" ht="14.25" customHeight="1" spans="1:16">
      <c r="A1" s="16" t="s">
        <v>205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7"/>
      <c r="N1" s="17"/>
      <c r="O1" s="17"/>
      <c r="P1" s="17"/>
    </row>
    <row r="2" ht="14.25" customHeight="1" spans="1:16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7"/>
      <c r="N2" s="17"/>
      <c r="O2" s="17"/>
      <c r="P2" s="17"/>
    </row>
    <row r="3" ht="14.25" customHeight="1" spans="1:16">
      <c r="A3" s="19" t="s">
        <v>2</v>
      </c>
      <c r="B3" s="19" t="s">
        <v>1</v>
      </c>
      <c r="C3" s="19" t="s">
        <v>206</v>
      </c>
      <c r="D3" s="19" t="s">
        <v>169</v>
      </c>
      <c r="E3" s="19" t="s">
        <v>170</v>
      </c>
      <c r="F3" s="19" t="s">
        <v>171</v>
      </c>
      <c r="G3" s="20" t="s">
        <v>207</v>
      </c>
      <c r="H3" s="20" t="s">
        <v>208</v>
      </c>
      <c r="I3" s="20" t="s">
        <v>172</v>
      </c>
      <c r="J3" s="20" t="s">
        <v>209</v>
      </c>
      <c r="K3" s="20" t="s">
        <v>210</v>
      </c>
      <c r="L3" s="19" t="s">
        <v>211</v>
      </c>
      <c r="M3" s="17"/>
      <c r="N3" s="17"/>
      <c r="O3" s="17"/>
      <c r="P3" s="17"/>
    </row>
    <row r="4" ht="14.25" customHeight="1" spans="1:16">
      <c r="A4" s="21">
        <v>45833</v>
      </c>
      <c r="B4" s="22" t="s">
        <v>212</v>
      </c>
      <c r="C4" s="22">
        <v>1</v>
      </c>
      <c r="D4" s="23">
        <v>0.291666666666667</v>
      </c>
      <c r="E4" s="23">
        <v>0.458333333333333</v>
      </c>
      <c r="F4" s="23">
        <v>0.166666666666667</v>
      </c>
      <c r="G4" s="22"/>
      <c r="H4" s="22"/>
      <c r="I4" s="22"/>
      <c r="J4" s="22"/>
      <c r="K4" s="22"/>
      <c r="L4" s="22"/>
      <c r="M4" s="17"/>
      <c r="N4" s="17"/>
      <c r="O4" s="17"/>
      <c r="P4" s="17"/>
    </row>
    <row r="5" ht="14.25" customHeight="1" spans="1:16">
      <c r="A5" s="21">
        <v>45833</v>
      </c>
      <c r="B5" s="22" t="s">
        <v>212</v>
      </c>
      <c r="C5" s="22"/>
      <c r="D5" s="23">
        <v>0.479166666666667</v>
      </c>
      <c r="E5" s="23">
        <v>0.579861111111111</v>
      </c>
      <c r="F5" s="23">
        <f t="shared" ref="F5:F16" si="0">E5-D5</f>
        <v>0.100694444444444</v>
      </c>
      <c r="G5" s="22"/>
      <c r="H5" s="22"/>
      <c r="I5" s="22"/>
      <c r="J5" s="22"/>
      <c r="K5" s="22"/>
      <c r="L5" s="22"/>
      <c r="M5" s="17"/>
      <c r="N5" s="17"/>
      <c r="O5" s="17"/>
      <c r="P5" s="17"/>
    </row>
    <row r="6" ht="14.25" customHeight="1" spans="1:16">
      <c r="A6" s="21">
        <v>45955</v>
      </c>
      <c r="B6" s="22" t="s">
        <v>213</v>
      </c>
      <c r="C6" s="22">
        <v>1</v>
      </c>
      <c r="D6" s="23">
        <v>0.5625</v>
      </c>
      <c r="E6" s="23">
        <v>0.582638888888889</v>
      </c>
      <c r="F6" s="23">
        <f t="shared" si="0"/>
        <v>0.020138888888889</v>
      </c>
      <c r="G6" s="22"/>
      <c r="H6" s="22"/>
      <c r="I6" s="22"/>
      <c r="J6" s="22"/>
      <c r="K6" s="22"/>
      <c r="L6" s="22"/>
      <c r="M6" s="17"/>
      <c r="N6" s="17"/>
      <c r="O6" s="17"/>
      <c r="P6" s="17"/>
    </row>
    <row r="7" ht="14.25" customHeight="1" spans="1:16">
      <c r="A7" s="24">
        <v>45964</v>
      </c>
      <c r="B7" s="24">
        <v>45964</v>
      </c>
      <c r="C7" s="22">
        <v>1</v>
      </c>
      <c r="D7" s="23">
        <v>0.465277777777778</v>
      </c>
      <c r="E7" s="23">
        <v>0.482638888888889</v>
      </c>
      <c r="F7" s="23">
        <f t="shared" si="0"/>
        <v>0.017361111111111</v>
      </c>
      <c r="G7" s="22"/>
      <c r="H7" s="22"/>
      <c r="I7" s="22"/>
      <c r="J7" s="22"/>
      <c r="K7" s="22"/>
      <c r="L7" s="22"/>
      <c r="M7" s="17" t="s">
        <v>214</v>
      </c>
      <c r="N7" s="17"/>
      <c r="O7" s="17"/>
      <c r="P7" s="17"/>
    </row>
    <row r="8" ht="14.25" customHeight="1" spans="1:16">
      <c r="A8" s="21">
        <v>45986</v>
      </c>
      <c r="B8" s="24">
        <v>45982</v>
      </c>
      <c r="C8" s="22">
        <v>1</v>
      </c>
      <c r="D8" s="23">
        <v>0.40625</v>
      </c>
      <c r="E8" s="23">
        <v>0.427083333333333</v>
      </c>
      <c r="F8" s="23">
        <f t="shared" si="0"/>
        <v>0.020833333333333</v>
      </c>
      <c r="G8" s="22"/>
      <c r="H8" s="22"/>
      <c r="I8" s="22"/>
      <c r="J8" s="22"/>
      <c r="K8" s="22"/>
      <c r="L8" s="22"/>
      <c r="M8" s="25" t="s">
        <v>215</v>
      </c>
      <c r="N8" s="25"/>
      <c r="O8" s="25"/>
      <c r="P8" s="25"/>
    </row>
    <row r="9" ht="14.25" customHeight="1" spans="1:16">
      <c r="A9" s="21">
        <v>45986</v>
      </c>
      <c r="B9" s="22" t="s">
        <v>216</v>
      </c>
      <c r="C9" s="22">
        <v>1</v>
      </c>
      <c r="D9" s="23">
        <v>0.494444444444444</v>
      </c>
      <c r="E9" s="23">
        <v>0.500694444444444</v>
      </c>
      <c r="F9" s="23">
        <f t="shared" si="0"/>
        <v>0.00624999999999998</v>
      </c>
      <c r="G9" s="22"/>
      <c r="H9" s="22"/>
      <c r="I9" s="22"/>
      <c r="J9" s="22"/>
      <c r="K9" s="22"/>
      <c r="L9" s="22"/>
      <c r="M9" s="17" t="s">
        <v>217</v>
      </c>
      <c r="N9" s="17"/>
      <c r="O9" s="17"/>
      <c r="P9" s="17"/>
    </row>
    <row r="10" ht="14.25" customHeight="1" spans="1:16">
      <c r="A10" s="21">
        <v>46016</v>
      </c>
      <c r="B10" s="24">
        <v>46008</v>
      </c>
      <c r="C10" s="22">
        <v>1</v>
      </c>
      <c r="D10" s="23">
        <v>0.3125</v>
      </c>
      <c r="E10" s="23">
        <v>0.353472222222222</v>
      </c>
      <c r="F10" s="23">
        <f t="shared" si="0"/>
        <v>0.040972222222222</v>
      </c>
      <c r="G10" s="22"/>
      <c r="H10" s="22"/>
      <c r="I10" s="22"/>
      <c r="J10" s="22"/>
      <c r="K10" s="22"/>
      <c r="L10" s="22"/>
      <c r="M10" s="17" t="s">
        <v>218</v>
      </c>
      <c r="N10" s="17"/>
      <c r="O10" s="17"/>
      <c r="P10" s="17"/>
    </row>
    <row r="11" ht="14.25" customHeight="1" spans="1:16">
      <c r="A11" s="21">
        <v>46026</v>
      </c>
      <c r="B11" s="24">
        <v>46026</v>
      </c>
      <c r="C11" s="22">
        <v>1</v>
      </c>
      <c r="D11" s="23">
        <v>0.604166666666667</v>
      </c>
      <c r="E11" s="23">
        <v>0.608333333333333</v>
      </c>
      <c r="F11" s="23">
        <f t="shared" si="0"/>
        <v>0.00416666666666599</v>
      </c>
      <c r="G11" s="22"/>
      <c r="H11" s="22"/>
      <c r="I11" s="22"/>
      <c r="J11" s="22"/>
      <c r="K11" s="22"/>
      <c r="L11" s="22"/>
      <c r="M11" s="17" t="s">
        <v>219</v>
      </c>
      <c r="N11" s="17"/>
      <c r="O11" s="17"/>
      <c r="P11" s="17"/>
    </row>
    <row r="12" ht="14.25" customHeight="1" spans="1:16">
      <c r="A12" s="24">
        <v>46028</v>
      </c>
      <c r="B12" s="24">
        <v>46029</v>
      </c>
      <c r="C12" s="22">
        <v>1</v>
      </c>
      <c r="D12" s="23">
        <v>0.522916666666667</v>
      </c>
      <c r="E12" s="23">
        <v>0.525</v>
      </c>
      <c r="F12" s="23">
        <f t="shared" si="0"/>
        <v>0.00208333333333299</v>
      </c>
      <c r="G12" s="22"/>
      <c r="H12" s="22"/>
      <c r="I12" s="22"/>
      <c r="J12" s="22"/>
      <c r="K12" s="22"/>
      <c r="L12" s="22"/>
      <c r="M12" s="17" t="s">
        <v>220</v>
      </c>
      <c r="N12" s="17"/>
      <c r="O12" s="17"/>
      <c r="P12" s="17"/>
    </row>
    <row r="13" ht="14.25" customHeight="1" spans="1:16">
      <c r="A13" s="24">
        <v>46029</v>
      </c>
      <c r="B13" s="24">
        <v>46030</v>
      </c>
      <c r="C13" s="22">
        <v>1</v>
      </c>
      <c r="D13" s="23">
        <v>0.698611111111111</v>
      </c>
      <c r="E13" s="23">
        <v>0.699305555555556</v>
      </c>
      <c r="F13" s="23">
        <f t="shared" si="0"/>
        <v>0.000694444444444997</v>
      </c>
      <c r="G13" s="22"/>
      <c r="H13" s="22"/>
      <c r="I13" s="22"/>
      <c r="J13" s="22"/>
      <c r="K13" s="22"/>
      <c r="L13" s="22"/>
      <c r="M13" s="17"/>
      <c r="N13" s="17"/>
      <c r="O13" s="17"/>
      <c r="P13" s="17"/>
    </row>
    <row r="14" ht="14.25" customHeight="1" spans="1:16">
      <c r="A14" s="22" t="s">
        <v>221</v>
      </c>
      <c r="B14" s="22" t="s">
        <v>221</v>
      </c>
      <c r="C14" s="22">
        <v>1</v>
      </c>
      <c r="D14" s="23">
        <v>0.4125</v>
      </c>
      <c r="E14" s="23">
        <v>0.415277777777778</v>
      </c>
      <c r="F14" s="23">
        <f t="shared" si="0"/>
        <v>0.00277777777777805</v>
      </c>
      <c r="G14" s="22"/>
      <c r="H14" s="22"/>
      <c r="I14" s="22"/>
      <c r="J14" s="22"/>
      <c r="K14" s="22"/>
      <c r="L14" s="22"/>
      <c r="M14" s="17" t="s">
        <v>222</v>
      </c>
      <c r="N14" s="17"/>
      <c r="O14" s="17"/>
      <c r="P14" s="17"/>
    </row>
    <row r="15" ht="14.25" customHeight="1" spans="1:16">
      <c r="A15" s="22" t="s">
        <v>221</v>
      </c>
      <c r="B15" s="22" t="s">
        <v>221</v>
      </c>
      <c r="C15" s="22">
        <v>1</v>
      </c>
      <c r="D15" s="23">
        <v>0.668055555555556</v>
      </c>
      <c r="E15" s="23">
        <v>0.671527777777778</v>
      </c>
      <c r="F15" s="23">
        <f t="shared" si="0"/>
        <v>0.00347222222222199</v>
      </c>
      <c r="G15" s="22"/>
      <c r="H15" s="22"/>
      <c r="I15" s="22"/>
      <c r="J15" s="22"/>
      <c r="K15" s="22"/>
      <c r="L15" s="22"/>
      <c r="M15" s="17" t="s">
        <v>222</v>
      </c>
      <c r="N15" s="17"/>
      <c r="O15" s="17"/>
      <c r="P15" s="17"/>
    </row>
    <row r="16" ht="14.25" customHeight="1" spans="1:16">
      <c r="A16" s="22" t="s">
        <v>223</v>
      </c>
      <c r="B16" s="22" t="s">
        <v>223</v>
      </c>
      <c r="C16" s="22">
        <v>1</v>
      </c>
      <c r="D16" s="23">
        <v>0.497222222222222</v>
      </c>
      <c r="E16" s="23">
        <v>0.500694444444444</v>
      </c>
      <c r="F16" s="23">
        <f t="shared" si="0"/>
        <v>0.00347222222222199</v>
      </c>
      <c r="G16" s="22"/>
      <c r="H16" s="22"/>
      <c r="I16" s="22"/>
      <c r="J16" s="22"/>
      <c r="K16" s="22"/>
      <c r="L16" s="22"/>
      <c r="M16" s="17" t="s">
        <v>224</v>
      </c>
      <c r="N16" s="17"/>
      <c r="O16" s="17"/>
      <c r="P16" s="17"/>
    </row>
    <row r="17" ht="14.25" customHeight="1" spans="1:16">
      <c r="A17" s="24">
        <v>46069</v>
      </c>
      <c r="B17" s="24">
        <v>46069</v>
      </c>
      <c r="C17" s="22">
        <v>1</v>
      </c>
      <c r="D17" s="23">
        <v>0.526388888888889</v>
      </c>
      <c r="E17" s="23">
        <v>0.533333333333333</v>
      </c>
      <c r="F17" s="23">
        <f t="shared" ref="F17:F30" si="1">E17-D17</f>
        <v>0.00694444444444398</v>
      </c>
      <c r="G17" s="22"/>
      <c r="H17" s="22"/>
      <c r="I17" s="22"/>
      <c r="J17" s="22"/>
      <c r="K17" s="22"/>
      <c r="L17" s="22"/>
      <c r="M17" s="17" t="s">
        <v>224</v>
      </c>
      <c r="N17" s="17"/>
      <c r="O17" s="17"/>
      <c r="P17" s="17"/>
    </row>
    <row r="18" ht="14.25" customHeight="1" spans="1:16">
      <c r="A18" s="24">
        <v>46071</v>
      </c>
      <c r="B18" s="24">
        <v>46071</v>
      </c>
      <c r="C18" s="22">
        <v>1</v>
      </c>
      <c r="D18" s="23">
        <v>0.551388888888889</v>
      </c>
      <c r="E18" s="23">
        <v>0.554166666666667</v>
      </c>
      <c r="F18" s="23">
        <f t="shared" si="1"/>
        <v>0.00277777777777799</v>
      </c>
      <c r="G18" s="22"/>
      <c r="H18" s="22"/>
      <c r="I18" s="22"/>
      <c r="J18" s="22"/>
      <c r="K18" s="22"/>
      <c r="L18" s="22"/>
      <c r="M18" s="17" t="s">
        <v>224</v>
      </c>
      <c r="N18" s="17"/>
      <c r="O18" s="17"/>
      <c r="P18" s="17"/>
    </row>
    <row r="19" ht="14.25" customHeight="1" spans="1:16">
      <c r="A19" s="24">
        <v>46075</v>
      </c>
      <c r="B19" s="24">
        <v>46075</v>
      </c>
      <c r="C19" s="22">
        <v>1</v>
      </c>
      <c r="D19" s="22">
        <v>12.27</v>
      </c>
      <c r="E19" s="22">
        <v>12.31</v>
      </c>
      <c r="F19" s="23">
        <f t="shared" si="1"/>
        <v>0.0400000000000009</v>
      </c>
      <c r="G19" s="22"/>
      <c r="H19" s="22"/>
      <c r="I19" s="22"/>
      <c r="J19" s="22"/>
      <c r="K19" s="22"/>
      <c r="L19" s="22"/>
      <c r="M19" s="17" t="s">
        <v>224</v>
      </c>
      <c r="N19" s="17"/>
      <c r="O19" s="17"/>
      <c r="P19" s="17"/>
    </row>
    <row r="20" ht="14.25" customHeight="1" spans="1:16">
      <c r="A20" s="24">
        <v>46076</v>
      </c>
      <c r="B20" s="24">
        <v>46076</v>
      </c>
      <c r="C20" s="22">
        <v>1</v>
      </c>
      <c r="D20" s="23">
        <v>0.445833333333333</v>
      </c>
      <c r="E20" s="23">
        <v>0.506944444444444</v>
      </c>
      <c r="F20" s="23">
        <f t="shared" si="1"/>
        <v>0.0611111111111109</v>
      </c>
      <c r="G20" s="22"/>
      <c r="H20" s="22"/>
      <c r="I20" s="22"/>
      <c r="J20" s="22"/>
      <c r="K20" s="22"/>
      <c r="L20" s="22"/>
      <c r="M20" s="17" t="s">
        <v>225</v>
      </c>
      <c r="N20" s="17"/>
      <c r="O20" s="17"/>
      <c r="P20" s="17"/>
    </row>
    <row r="21" ht="14.25" customHeight="1" spans="1:16">
      <c r="A21" s="24">
        <v>46079</v>
      </c>
      <c r="B21" s="24">
        <v>46079</v>
      </c>
      <c r="C21" s="22">
        <v>1</v>
      </c>
      <c r="D21" s="23">
        <v>0.490972222222222</v>
      </c>
      <c r="E21" s="23">
        <v>0.611111111111111</v>
      </c>
      <c r="F21" s="23">
        <f t="shared" si="1"/>
        <v>0.120138888888889</v>
      </c>
      <c r="G21" s="22"/>
      <c r="H21" s="22"/>
      <c r="I21" s="22"/>
      <c r="J21" s="22"/>
      <c r="K21" s="22"/>
      <c r="L21" s="22"/>
      <c r="M21" s="17" t="s">
        <v>226</v>
      </c>
      <c r="N21" s="17"/>
      <c r="O21" s="17"/>
      <c r="P21" s="17"/>
    </row>
    <row r="22" ht="14.25" customHeight="1" spans="1:16">
      <c r="A22" s="26">
        <v>46081</v>
      </c>
      <c r="B22" s="26">
        <v>46081</v>
      </c>
      <c r="C22" s="17">
        <v>1</v>
      </c>
      <c r="D22" s="27">
        <v>0.396527777777778</v>
      </c>
      <c r="E22" s="27">
        <v>0.65625</v>
      </c>
      <c r="F22" s="23">
        <f t="shared" si="1"/>
        <v>0.259722222222222</v>
      </c>
      <c r="G22" s="17"/>
      <c r="H22" s="17"/>
      <c r="I22" s="17"/>
      <c r="J22" s="17"/>
      <c r="K22" s="17"/>
      <c r="L22" s="17"/>
      <c r="M22" s="17" t="s">
        <v>227</v>
      </c>
      <c r="N22" s="17"/>
      <c r="O22" s="17"/>
      <c r="P22" s="17"/>
    </row>
    <row r="23" ht="14.25" customHeight="1" spans="1:16">
      <c r="A23" s="26">
        <v>46084</v>
      </c>
      <c r="B23" s="26">
        <v>46084</v>
      </c>
      <c r="C23" s="17">
        <v>1</v>
      </c>
      <c r="D23" s="27">
        <v>0.470833333333333</v>
      </c>
      <c r="E23" s="27">
        <v>0.538888888888889</v>
      </c>
      <c r="F23" s="23">
        <f t="shared" si="1"/>
        <v>0.068055555555556</v>
      </c>
      <c r="G23" s="17"/>
      <c r="H23" s="17"/>
      <c r="I23" s="17"/>
      <c r="J23" s="17"/>
      <c r="K23" s="17"/>
      <c r="L23" s="17"/>
      <c r="M23" s="17" t="s">
        <v>228</v>
      </c>
      <c r="N23" s="17"/>
      <c r="O23" s="17"/>
      <c r="P23" s="17"/>
    </row>
    <row r="24" ht="14.25" customHeight="1" spans="1:16">
      <c r="A24" s="26">
        <v>46085</v>
      </c>
      <c r="B24" s="26">
        <v>46085</v>
      </c>
      <c r="C24" s="17">
        <v>1</v>
      </c>
      <c r="D24" s="27">
        <v>0.511111111111111</v>
      </c>
      <c r="E24" s="27">
        <v>0.656944444444444</v>
      </c>
      <c r="F24" s="23">
        <f t="shared" si="1"/>
        <v>0.145833333333333</v>
      </c>
      <c r="G24" s="17"/>
      <c r="H24" s="17"/>
      <c r="I24" s="17"/>
      <c r="J24" s="17"/>
      <c r="K24" s="17"/>
      <c r="L24" s="17"/>
      <c r="M24" s="17" t="s">
        <v>229</v>
      </c>
      <c r="N24" s="17"/>
      <c r="O24" s="17"/>
      <c r="P24" s="17"/>
    </row>
    <row r="25" ht="14.25" customHeight="1" spans="1:16">
      <c r="A25" s="26">
        <v>46088</v>
      </c>
      <c r="B25" s="26">
        <v>46088</v>
      </c>
      <c r="C25" s="17">
        <v>1</v>
      </c>
      <c r="D25" s="27">
        <v>0.488888888888889</v>
      </c>
      <c r="E25" s="27">
        <v>0.5625</v>
      </c>
      <c r="F25" s="23">
        <f t="shared" si="1"/>
        <v>0.073611111111111</v>
      </c>
      <c r="G25" s="17"/>
      <c r="H25" s="17"/>
      <c r="I25" s="17"/>
      <c r="J25" s="17"/>
      <c r="K25" s="17"/>
      <c r="L25" s="17"/>
      <c r="M25" s="17" t="s">
        <v>225</v>
      </c>
      <c r="N25" s="17"/>
      <c r="O25" s="17"/>
      <c r="P25" s="17"/>
    </row>
    <row r="26" ht="14.25" customHeight="1" spans="1:16">
      <c r="A26" s="26">
        <v>46106</v>
      </c>
      <c r="B26" s="26">
        <v>46106</v>
      </c>
      <c r="C26" s="17">
        <v>1</v>
      </c>
      <c r="D26" s="27">
        <v>0.371527777777778</v>
      </c>
      <c r="E26" s="27">
        <v>0.427083333333333</v>
      </c>
      <c r="F26" s="23">
        <f t="shared" si="1"/>
        <v>0.055555555555555</v>
      </c>
      <c r="G26" s="17"/>
      <c r="H26" s="17"/>
      <c r="I26" s="17"/>
      <c r="J26" s="17"/>
      <c r="K26" s="17"/>
      <c r="L26" s="17"/>
      <c r="M26" s="17" t="s">
        <v>230</v>
      </c>
      <c r="N26" s="17"/>
      <c r="O26" s="17"/>
      <c r="P26" s="17"/>
    </row>
    <row r="27" ht="14.25" customHeight="1" spans="1:16">
      <c r="A27" s="26">
        <v>46123</v>
      </c>
      <c r="B27" s="26">
        <v>46123</v>
      </c>
      <c r="C27" s="17">
        <v>1</v>
      </c>
      <c r="D27" s="27">
        <v>0.679166666666667</v>
      </c>
      <c r="E27" s="27">
        <v>0.682638888888889</v>
      </c>
      <c r="F27" s="23">
        <f t="shared" si="1"/>
        <v>0.00347222222222199</v>
      </c>
      <c r="G27" s="17"/>
      <c r="H27" s="17"/>
      <c r="I27" s="17"/>
      <c r="J27" s="17"/>
      <c r="K27" s="17"/>
      <c r="L27" s="17"/>
      <c r="M27" s="17" t="s">
        <v>224</v>
      </c>
      <c r="N27" s="17"/>
      <c r="O27" s="17"/>
      <c r="P27" s="17"/>
    </row>
    <row r="28" ht="14.25" customHeight="1" spans="1:16">
      <c r="A28" s="26">
        <v>46163</v>
      </c>
      <c r="B28" s="26">
        <v>46163</v>
      </c>
      <c r="C28" s="17">
        <v>1</v>
      </c>
      <c r="D28" s="28">
        <v>0.291666666666667</v>
      </c>
      <c r="E28" s="28">
        <v>0.614583333333333</v>
      </c>
      <c r="F28" s="23">
        <f t="shared" si="1"/>
        <v>0.322916666666667</v>
      </c>
      <c r="G28" s="17"/>
      <c r="H28" s="17"/>
      <c r="I28" s="17"/>
      <c r="J28" s="17"/>
      <c r="K28" s="17"/>
      <c r="L28" s="17"/>
      <c r="M28" s="25" t="s">
        <v>231</v>
      </c>
      <c r="N28" s="25"/>
      <c r="O28" s="25"/>
      <c r="P28" s="17"/>
    </row>
    <row r="29" ht="14.25" customHeight="1" spans="1:16">
      <c r="A29" s="26">
        <v>46167</v>
      </c>
      <c r="B29" s="26">
        <v>46167</v>
      </c>
      <c r="C29" s="17">
        <v>1</v>
      </c>
      <c r="D29" s="28">
        <v>0.474305555555556</v>
      </c>
      <c r="E29" s="28">
        <v>0.579861111111111</v>
      </c>
      <c r="F29" s="23">
        <f t="shared" si="1"/>
        <v>0.105555555555556</v>
      </c>
      <c r="G29" s="17"/>
      <c r="H29" s="17"/>
      <c r="I29" s="17"/>
      <c r="J29" s="17"/>
      <c r="K29" s="17"/>
      <c r="L29" s="17"/>
      <c r="M29" s="25" t="s">
        <v>232</v>
      </c>
      <c r="N29" s="25"/>
      <c r="O29" s="25"/>
      <c r="P29" s="17"/>
    </row>
    <row r="30" ht="14.25" customHeight="1" spans="1:16">
      <c r="A30" s="26">
        <v>46172</v>
      </c>
      <c r="B30" s="26">
        <v>46172</v>
      </c>
      <c r="C30" s="17">
        <v>1</v>
      </c>
      <c r="D30" s="28">
        <v>0.491666666666667</v>
      </c>
      <c r="E30" s="28">
        <v>0.591666666666667</v>
      </c>
      <c r="F30" s="23">
        <f t="shared" si="1"/>
        <v>0.1</v>
      </c>
      <c r="G30" s="17"/>
      <c r="H30" s="17"/>
      <c r="I30" s="17"/>
      <c r="J30" s="17"/>
      <c r="K30" s="17"/>
      <c r="L30" s="17"/>
      <c r="M30" s="25" t="s">
        <v>233</v>
      </c>
      <c r="N30" s="25"/>
      <c r="O30" s="25"/>
      <c r="P30" s="17"/>
    </row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</sheetData>
  <mergeCells count="4">
    <mergeCell ref="M8:P8"/>
    <mergeCell ref="M28:O28"/>
    <mergeCell ref="M29:O29"/>
    <mergeCell ref="M30:O30"/>
  </mergeCells>
  <pageMargins left="0.7" right="0.7" top="0.75" bottom="0.75" header="0" footer="0"/>
  <pageSetup paperSize="1" orientation="landscape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S369"/>
  <sheetViews>
    <sheetView workbookViewId="0">
      <pane ySplit="1" topLeftCell="A334" activePane="bottomLeft" state="frozen"/>
      <selection/>
      <selection pane="bottomLeft" activeCell="T347" sqref="T347"/>
    </sheetView>
  </sheetViews>
  <sheetFormatPr defaultColWidth="9" defaultRowHeight="14.25"/>
  <cols>
    <col min="1" max="1" width="9.375" customWidth="1"/>
    <col min="5" max="5" width="10" customWidth="1"/>
    <col min="16" max="16" width="12.625" customWidth="1"/>
    <col min="19" max="19" width="30.75" customWidth="1"/>
  </cols>
  <sheetData>
    <row r="1" ht="38.25" spans="1:18">
      <c r="A1" s="2" t="s">
        <v>1</v>
      </c>
      <c r="B1" s="2" t="s">
        <v>234</v>
      </c>
      <c r="C1" s="2" t="s">
        <v>235</v>
      </c>
      <c r="D1" s="2" t="s">
        <v>236</v>
      </c>
      <c r="E1" s="2" t="s">
        <v>237</v>
      </c>
      <c r="F1" s="2" t="s">
        <v>238</v>
      </c>
      <c r="G1" s="2" t="s">
        <v>239</v>
      </c>
      <c r="H1" s="2" t="s">
        <v>240</v>
      </c>
      <c r="I1" s="2" t="s">
        <v>241</v>
      </c>
      <c r="J1" s="2" t="s">
        <v>242</v>
      </c>
      <c r="K1" s="2" t="s">
        <v>243</v>
      </c>
      <c r="L1" s="2" t="s">
        <v>244</v>
      </c>
      <c r="M1" s="2" t="s">
        <v>245</v>
      </c>
      <c r="N1" s="2" t="s">
        <v>246</v>
      </c>
      <c r="O1" s="2" t="s">
        <v>247</v>
      </c>
      <c r="P1" s="2" t="s">
        <v>248</v>
      </c>
      <c r="Q1" s="2" t="s">
        <v>249</v>
      </c>
      <c r="R1" s="2" t="s">
        <v>250</v>
      </c>
    </row>
    <row r="2" spans="1:18">
      <c r="A2" s="14">
        <v>45839</v>
      </c>
      <c r="B2" s="4">
        <f>Data_Entry!X94</f>
        <v>15900</v>
      </c>
      <c r="C2" s="4">
        <v>0</v>
      </c>
      <c r="D2" s="5">
        <f>Data_Entry!AD94</f>
        <v>0</v>
      </c>
      <c r="E2" s="6">
        <f t="shared" ref="E2:E67" si="0">B2/(24*J2)</f>
        <v>0.160606060606061</v>
      </c>
      <c r="F2" s="7">
        <v>0</v>
      </c>
      <c r="G2" s="7">
        <v>0</v>
      </c>
      <c r="H2" s="8">
        <f t="shared" ref="H2:H67" si="1">(G2-F2)*24*60</f>
        <v>0</v>
      </c>
      <c r="I2" s="8">
        <f t="shared" ref="I2:I67" si="2">H2/60</f>
        <v>0</v>
      </c>
      <c r="J2" s="9">
        <v>4125</v>
      </c>
      <c r="K2" s="10">
        <v>0</v>
      </c>
      <c r="L2" s="9">
        <f t="shared" ref="L2:L67" si="3">J2*12</f>
        <v>49500</v>
      </c>
      <c r="M2" s="8">
        <f t="shared" ref="M2:M67" si="4">K2*I2</f>
        <v>0</v>
      </c>
      <c r="N2" s="11">
        <f t="shared" ref="N2:N67" si="5">(L2-M2)/L2</f>
        <v>1</v>
      </c>
      <c r="O2" s="12">
        <f t="shared" ref="O2:O67" si="6">E2/N2</f>
        <v>0.160606060606061</v>
      </c>
      <c r="P2" s="12"/>
      <c r="Q2" s="9">
        <f t="shared" ref="Q2:Q67" si="7">O2*J2*24</f>
        <v>15900</v>
      </c>
      <c r="R2" s="13">
        <f t="shared" ref="R2:R67" si="8">Q2-B2</f>
        <v>0</v>
      </c>
    </row>
    <row r="3" spans="1:18">
      <c r="A3" s="14">
        <v>45840</v>
      </c>
      <c r="B3" s="4">
        <f>Data_Entry!X95</f>
        <v>12000</v>
      </c>
      <c r="C3" s="4">
        <v>0</v>
      </c>
      <c r="D3" s="5">
        <f>Data_Entry!AD95</f>
        <v>0</v>
      </c>
      <c r="E3" s="6">
        <f t="shared" si="0"/>
        <v>0.121212121212121</v>
      </c>
      <c r="F3" s="7">
        <v>0</v>
      </c>
      <c r="G3" s="7">
        <v>0</v>
      </c>
      <c r="H3" s="8">
        <f t="shared" si="1"/>
        <v>0</v>
      </c>
      <c r="I3" s="8">
        <f t="shared" si="2"/>
        <v>0</v>
      </c>
      <c r="J3" s="9">
        <v>4125</v>
      </c>
      <c r="K3" s="10">
        <v>0</v>
      </c>
      <c r="L3" s="9">
        <f t="shared" si="3"/>
        <v>49500</v>
      </c>
      <c r="M3" s="8">
        <f t="shared" si="4"/>
        <v>0</v>
      </c>
      <c r="N3" s="11">
        <f t="shared" si="5"/>
        <v>1</v>
      </c>
      <c r="O3" s="12">
        <f t="shared" si="6"/>
        <v>0.121212121212121</v>
      </c>
      <c r="P3" s="12"/>
      <c r="Q3" s="9">
        <f t="shared" si="7"/>
        <v>12000</v>
      </c>
      <c r="R3" s="13">
        <f t="shared" si="8"/>
        <v>0</v>
      </c>
    </row>
    <row r="4" spans="1:18">
      <c r="A4" s="14">
        <v>45841</v>
      </c>
      <c r="B4" s="4">
        <f>Data_Entry!X96</f>
        <v>5150.00000000001</v>
      </c>
      <c r="C4" s="4">
        <v>0</v>
      </c>
      <c r="D4" s="5">
        <f>Data_Entry!AD96</f>
        <v>0</v>
      </c>
      <c r="E4" s="6">
        <f t="shared" si="0"/>
        <v>0.0520202020202021</v>
      </c>
      <c r="F4" s="7">
        <v>0.0416666666666667</v>
      </c>
      <c r="G4" s="7">
        <v>0.0416666666666667</v>
      </c>
      <c r="H4" s="8">
        <f t="shared" si="1"/>
        <v>0</v>
      </c>
      <c r="I4" s="8">
        <f t="shared" si="2"/>
        <v>0</v>
      </c>
      <c r="J4" s="9">
        <v>4125</v>
      </c>
      <c r="K4" s="10">
        <v>0</v>
      </c>
      <c r="L4" s="9">
        <f t="shared" si="3"/>
        <v>49500</v>
      </c>
      <c r="M4" s="8">
        <f t="shared" si="4"/>
        <v>0</v>
      </c>
      <c r="N4" s="11">
        <f t="shared" si="5"/>
        <v>1</v>
      </c>
      <c r="O4" s="12">
        <f t="shared" si="6"/>
        <v>0.0520202020202021</v>
      </c>
      <c r="P4" s="12"/>
      <c r="Q4" s="9">
        <f t="shared" si="7"/>
        <v>5150.00000000001</v>
      </c>
      <c r="R4" s="13">
        <f t="shared" si="8"/>
        <v>0</v>
      </c>
    </row>
    <row r="5" spans="1:18">
      <c r="A5" s="14">
        <v>45842</v>
      </c>
      <c r="B5" s="4">
        <f>Data_Entry!X97</f>
        <v>9900.00000000002</v>
      </c>
      <c r="C5" s="4">
        <v>0</v>
      </c>
      <c r="D5" s="5">
        <f>Data_Entry!AD97</f>
        <v>0</v>
      </c>
      <c r="E5" s="6">
        <f t="shared" si="0"/>
        <v>0.1</v>
      </c>
      <c r="F5" s="7">
        <v>0.0833333333333333</v>
      </c>
      <c r="G5" s="7">
        <v>0.0833333333333333</v>
      </c>
      <c r="H5" s="8">
        <f t="shared" si="1"/>
        <v>0</v>
      </c>
      <c r="I5" s="8">
        <f t="shared" si="2"/>
        <v>0</v>
      </c>
      <c r="J5" s="9">
        <v>4125</v>
      </c>
      <c r="K5" s="10">
        <v>0</v>
      </c>
      <c r="L5" s="9">
        <f t="shared" si="3"/>
        <v>49500</v>
      </c>
      <c r="M5" s="8">
        <f t="shared" si="4"/>
        <v>0</v>
      </c>
      <c r="N5" s="11">
        <f t="shared" si="5"/>
        <v>1</v>
      </c>
      <c r="O5" s="12">
        <f t="shared" si="6"/>
        <v>0.1</v>
      </c>
      <c r="P5" s="12"/>
      <c r="Q5" s="9">
        <f t="shared" si="7"/>
        <v>9900.00000000002</v>
      </c>
      <c r="R5" s="13">
        <f t="shared" si="8"/>
        <v>0</v>
      </c>
    </row>
    <row r="6" spans="1:18">
      <c r="A6" s="14">
        <v>45843</v>
      </c>
      <c r="B6" s="4">
        <f>Data_Entry!X98</f>
        <v>9450</v>
      </c>
      <c r="C6" s="4">
        <v>0</v>
      </c>
      <c r="D6" s="5">
        <f>Data_Entry!AD98</f>
        <v>0</v>
      </c>
      <c r="E6" s="6">
        <f t="shared" si="0"/>
        <v>0.0954545454545455</v>
      </c>
      <c r="F6" s="7">
        <v>0.416666666666667</v>
      </c>
      <c r="G6" s="7">
        <v>0.489583333333333</v>
      </c>
      <c r="H6" s="8">
        <f t="shared" si="1"/>
        <v>104.999999999999</v>
      </c>
      <c r="I6" s="8">
        <f t="shared" si="2"/>
        <v>1.74999999999998</v>
      </c>
      <c r="J6" s="9">
        <v>4125</v>
      </c>
      <c r="K6" s="10">
        <v>0</v>
      </c>
      <c r="L6" s="9">
        <f t="shared" si="3"/>
        <v>49500</v>
      </c>
      <c r="M6" s="8">
        <f t="shared" si="4"/>
        <v>0</v>
      </c>
      <c r="N6" s="11">
        <f t="shared" si="5"/>
        <v>1</v>
      </c>
      <c r="O6" s="12">
        <f t="shared" si="6"/>
        <v>0.0954545454545455</v>
      </c>
      <c r="P6" s="15"/>
      <c r="Q6" s="9">
        <f t="shared" si="7"/>
        <v>9450</v>
      </c>
      <c r="R6" s="13">
        <f t="shared" si="8"/>
        <v>0</v>
      </c>
    </row>
    <row r="7" spans="1:18">
      <c r="A7" s="14">
        <v>45844</v>
      </c>
      <c r="B7" s="4">
        <f>Data_Entry!X99</f>
        <v>13800</v>
      </c>
      <c r="C7" s="4">
        <v>0</v>
      </c>
      <c r="D7" s="5">
        <f>Data_Entry!AD99</f>
        <v>0</v>
      </c>
      <c r="E7" s="6">
        <f t="shared" si="0"/>
        <v>0.139393939393939</v>
      </c>
      <c r="F7" s="7">
        <v>0</v>
      </c>
      <c r="G7" s="7">
        <v>0</v>
      </c>
      <c r="H7" s="8">
        <f t="shared" si="1"/>
        <v>0</v>
      </c>
      <c r="I7" s="8">
        <f t="shared" si="2"/>
        <v>0</v>
      </c>
      <c r="J7" s="9">
        <v>4125</v>
      </c>
      <c r="K7" s="10">
        <v>0</v>
      </c>
      <c r="L7" s="9">
        <f t="shared" si="3"/>
        <v>49500</v>
      </c>
      <c r="M7" s="8">
        <f t="shared" si="4"/>
        <v>0</v>
      </c>
      <c r="N7" s="11">
        <f t="shared" si="5"/>
        <v>1</v>
      </c>
      <c r="O7" s="12">
        <f t="shared" si="6"/>
        <v>0.139393939393939</v>
      </c>
      <c r="P7" s="12"/>
      <c r="Q7" s="9">
        <f t="shared" si="7"/>
        <v>13800</v>
      </c>
      <c r="R7" s="13">
        <f t="shared" si="8"/>
        <v>0</v>
      </c>
    </row>
    <row r="8" spans="1:18">
      <c r="A8" s="14">
        <v>45845</v>
      </c>
      <c r="B8" s="4">
        <f>Data_Entry!X100</f>
        <v>9300</v>
      </c>
      <c r="C8" s="4">
        <v>0</v>
      </c>
      <c r="D8" s="5">
        <f>Data_Entry!AD100</f>
        <v>0</v>
      </c>
      <c r="E8" s="6">
        <f t="shared" si="0"/>
        <v>0.0939393939393939</v>
      </c>
      <c r="F8" s="7">
        <v>0</v>
      </c>
      <c r="G8" s="7">
        <v>0</v>
      </c>
      <c r="H8" s="8">
        <f t="shared" si="1"/>
        <v>0</v>
      </c>
      <c r="I8" s="8">
        <f t="shared" si="2"/>
        <v>0</v>
      </c>
      <c r="J8" s="9">
        <v>4125</v>
      </c>
      <c r="K8" s="10">
        <v>0</v>
      </c>
      <c r="L8" s="9">
        <f t="shared" si="3"/>
        <v>49500</v>
      </c>
      <c r="M8" s="8">
        <f t="shared" si="4"/>
        <v>0</v>
      </c>
      <c r="N8" s="11">
        <f t="shared" si="5"/>
        <v>1</v>
      </c>
      <c r="O8" s="12">
        <f t="shared" si="6"/>
        <v>0.0939393939393939</v>
      </c>
      <c r="P8" s="12"/>
      <c r="Q8" s="9">
        <f t="shared" si="7"/>
        <v>9300</v>
      </c>
      <c r="R8" s="13">
        <f t="shared" si="8"/>
        <v>0</v>
      </c>
    </row>
    <row r="9" spans="1:18">
      <c r="A9" s="14">
        <v>45846</v>
      </c>
      <c r="B9" s="4">
        <f>Data_Entry!X101</f>
        <v>15550</v>
      </c>
      <c r="C9" s="4">
        <v>0</v>
      </c>
      <c r="D9" s="5">
        <f>Data_Entry!AD101</f>
        <v>0</v>
      </c>
      <c r="E9" s="6">
        <f t="shared" si="0"/>
        <v>0.157070707070707</v>
      </c>
      <c r="F9" s="7">
        <v>0</v>
      </c>
      <c r="G9" s="7">
        <v>0</v>
      </c>
      <c r="H9" s="8">
        <f t="shared" si="1"/>
        <v>0</v>
      </c>
      <c r="I9" s="8">
        <f t="shared" si="2"/>
        <v>0</v>
      </c>
      <c r="J9" s="9">
        <v>4125</v>
      </c>
      <c r="K9" s="10">
        <v>0</v>
      </c>
      <c r="L9" s="9">
        <f t="shared" si="3"/>
        <v>49500</v>
      </c>
      <c r="M9" s="8">
        <f t="shared" si="4"/>
        <v>0</v>
      </c>
      <c r="N9" s="11">
        <f t="shared" si="5"/>
        <v>1</v>
      </c>
      <c r="O9" s="12">
        <f t="shared" si="6"/>
        <v>0.157070707070707</v>
      </c>
      <c r="P9" s="12"/>
      <c r="Q9" s="9">
        <f t="shared" si="7"/>
        <v>15550</v>
      </c>
      <c r="R9" s="13">
        <f t="shared" si="8"/>
        <v>0</v>
      </c>
    </row>
    <row r="10" spans="1:18">
      <c r="A10" s="14">
        <v>45847</v>
      </c>
      <c r="B10" s="4">
        <f>Data_Entry!X102</f>
        <v>21950</v>
      </c>
      <c r="C10" s="4">
        <v>0</v>
      </c>
      <c r="D10" s="5">
        <f>Data_Entry!AD102</f>
        <v>0</v>
      </c>
      <c r="E10" s="6">
        <f t="shared" si="0"/>
        <v>0.221717171717172</v>
      </c>
      <c r="F10" s="7">
        <v>0</v>
      </c>
      <c r="G10" s="7">
        <v>0</v>
      </c>
      <c r="H10" s="8">
        <f t="shared" si="1"/>
        <v>0</v>
      </c>
      <c r="I10" s="8">
        <f t="shared" si="2"/>
        <v>0</v>
      </c>
      <c r="J10" s="9">
        <v>4125</v>
      </c>
      <c r="K10" s="10">
        <v>0</v>
      </c>
      <c r="L10" s="9">
        <f t="shared" si="3"/>
        <v>49500</v>
      </c>
      <c r="M10" s="8">
        <f t="shared" si="4"/>
        <v>0</v>
      </c>
      <c r="N10" s="11">
        <f t="shared" si="5"/>
        <v>1</v>
      </c>
      <c r="O10" s="12">
        <f t="shared" si="6"/>
        <v>0.221717171717172</v>
      </c>
      <c r="P10" s="12"/>
      <c r="Q10" s="9">
        <f t="shared" si="7"/>
        <v>21950</v>
      </c>
      <c r="R10" s="13">
        <f t="shared" si="8"/>
        <v>0</v>
      </c>
    </row>
    <row r="11" spans="1:18">
      <c r="A11" s="14">
        <v>45848</v>
      </c>
      <c r="B11" s="4">
        <f>Data_Entry!X103</f>
        <v>13400</v>
      </c>
      <c r="C11" s="4">
        <v>0</v>
      </c>
      <c r="D11" s="5">
        <f>Data_Entry!AD103</f>
        <v>0</v>
      </c>
      <c r="E11" s="6">
        <f t="shared" si="0"/>
        <v>0.135353535353536</v>
      </c>
      <c r="F11" s="7">
        <v>0</v>
      </c>
      <c r="G11" s="7">
        <v>0</v>
      </c>
      <c r="H11" s="8">
        <f t="shared" si="1"/>
        <v>0</v>
      </c>
      <c r="I11" s="8">
        <f t="shared" si="2"/>
        <v>0</v>
      </c>
      <c r="J11" s="9">
        <v>4125</v>
      </c>
      <c r="K11" s="10">
        <v>0</v>
      </c>
      <c r="L11" s="9">
        <f t="shared" si="3"/>
        <v>49500</v>
      </c>
      <c r="M11" s="8">
        <f t="shared" si="4"/>
        <v>0</v>
      </c>
      <c r="N11" s="11">
        <f t="shared" si="5"/>
        <v>1</v>
      </c>
      <c r="O11" s="12">
        <f t="shared" si="6"/>
        <v>0.135353535353536</v>
      </c>
      <c r="P11" s="12"/>
      <c r="Q11" s="9">
        <f t="shared" si="7"/>
        <v>13400</v>
      </c>
      <c r="R11" s="13">
        <f t="shared" si="8"/>
        <v>0</v>
      </c>
    </row>
    <row r="12" spans="1:18">
      <c r="A12" s="14">
        <v>45849</v>
      </c>
      <c r="B12" s="4">
        <f>Data_Entry!X104</f>
        <v>11600</v>
      </c>
      <c r="C12" s="4">
        <v>0</v>
      </c>
      <c r="D12" s="5">
        <f>Data_Entry!AD104</f>
        <v>0</v>
      </c>
      <c r="E12" s="6">
        <f t="shared" si="0"/>
        <v>0.117171717171717</v>
      </c>
      <c r="F12" s="7">
        <v>0</v>
      </c>
      <c r="G12" s="7">
        <v>0</v>
      </c>
      <c r="H12" s="8">
        <f t="shared" si="1"/>
        <v>0</v>
      </c>
      <c r="I12" s="8">
        <f t="shared" si="2"/>
        <v>0</v>
      </c>
      <c r="J12" s="9">
        <v>4125</v>
      </c>
      <c r="K12" s="10">
        <v>0</v>
      </c>
      <c r="L12" s="9">
        <f t="shared" si="3"/>
        <v>49500</v>
      </c>
      <c r="M12" s="8">
        <f t="shared" si="4"/>
        <v>0</v>
      </c>
      <c r="N12" s="11">
        <f t="shared" si="5"/>
        <v>1</v>
      </c>
      <c r="O12" s="12">
        <f t="shared" si="6"/>
        <v>0.117171717171717</v>
      </c>
      <c r="P12" s="12"/>
      <c r="Q12" s="9">
        <f t="shared" si="7"/>
        <v>11600</v>
      </c>
      <c r="R12" s="13">
        <f t="shared" si="8"/>
        <v>0</v>
      </c>
    </row>
    <row r="13" spans="1:18">
      <c r="A13" s="14">
        <v>45850</v>
      </c>
      <c r="B13" s="4">
        <f>Data_Entry!X105</f>
        <v>19350</v>
      </c>
      <c r="C13" s="4">
        <v>0</v>
      </c>
      <c r="D13" s="5">
        <f>Data_Entry!AD105</f>
        <v>0</v>
      </c>
      <c r="E13" s="6">
        <f t="shared" si="0"/>
        <v>0.195454545454546</v>
      </c>
      <c r="F13" s="7">
        <v>0</v>
      </c>
      <c r="G13" s="7">
        <v>0</v>
      </c>
      <c r="H13" s="8">
        <f t="shared" si="1"/>
        <v>0</v>
      </c>
      <c r="I13" s="8">
        <f t="shared" si="2"/>
        <v>0</v>
      </c>
      <c r="J13" s="9">
        <v>4125</v>
      </c>
      <c r="K13" s="10">
        <v>0</v>
      </c>
      <c r="L13" s="9">
        <f t="shared" si="3"/>
        <v>49500</v>
      </c>
      <c r="M13" s="8">
        <f t="shared" si="4"/>
        <v>0</v>
      </c>
      <c r="N13" s="11">
        <f t="shared" si="5"/>
        <v>1</v>
      </c>
      <c r="O13" s="12">
        <f t="shared" si="6"/>
        <v>0.195454545454546</v>
      </c>
      <c r="P13" s="12"/>
      <c r="Q13" s="9">
        <f t="shared" si="7"/>
        <v>19350</v>
      </c>
      <c r="R13" s="13">
        <f t="shared" si="8"/>
        <v>0</v>
      </c>
    </row>
    <row r="14" spans="1:18">
      <c r="A14" s="14">
        <v>45851</v>
      </c>
      <c r="B14" s="4">
        <f>Data_Entry!X106</f>
        <v>16800</v>
      </c>
      <c r="C14" s="4">
        <v>15</v>
      </c>
      <c r="D14" s="5">
        <f>Data_Entry!AD106</f>
        <v>0</v>
      </c>
      <c r="E14" s="6">
        <f t="shared" si="0"/>
        <v>0.16969696969697</v>
      </c>
      <c r="F14" s="7">
        <v>0.465277777777778</v>
      </c>
      <c r="G14" s="7">
        <v>0.576388888888889</v>
      </c>
      <c r="H14" s="8">
        <f t="shared" si="1"/>
        <v>160</v>
      </c>
      <c r="I14" s="8">
        <f t="shared" si="2"/>
        <v>2.66666666666666</v>
      </c>
      <c r="J14" s="9">
        <v>4125</v>
      </c>
      <c r="K14" s="10">
        <v>0</v>
      </c>
      <c r="L14" s="9">
        <f t="shared" si="3"/>
        <v>49500</v>
      </c>
      <c r="M14" s="8">
        <f t="shared" si="4"/>
        <v>0</v>
      </c>
      <c r="N14" s="11">
        <f t="shared" si="5"/>
        <v>1</v>
      </c>
      <c r="O14" s="12">
        <f t="shared" si="6"/>
        <v>0.16969696969697</v>
      </c>
      <c r="P14" s="12"/>
      <c r="Q14" s="9">
        <f t="shared" si="7"/>
        <v>16800</v>
      </c>
      <c r="R14" s="13">
        <f t="shared" si="8"/>
        <v>0</v>
      </c>
    </row>
    <row r="15" spans="1:18">
      <c r="A15" s="14">
        <v>45852</v>
      </c>
      <c r="B15" s="4">
        <f>Data_Entry!X107</f>
        <v>21500</v>
      </c>
      <c r="C15" s="4">
        <v>0</v>
      </c>
      <c r="D15" s="5">
        <f>Data_Entry!AD107</f>
        <v>3.44</v>
      </c>
      <c r="E15" s="6">
        <f t="shared" si="0"/>
        <v>0.217171717171717</v>
      </c>
      <c r="F15" s="7">
        <v>0</v>
      </c>
      <c r="G15" s="7">
        <v>0</v>
      </c>
      <c r="H15" s="8">
        <f t="shared" si="1"/>
        <v>0</v>
      </c>
      <c r="I15" s="8">
        <f t="shared" si="2"/>
        <v>0</v>
      </c>
      <c r="J15" s="9">
        <v>4125</v>
      </c>
      <c r="K15" s="10">
        <v>0</v>
      </c>
      <c r="L15" s="9">
        <f t="shared" si="3"/>
        <v>49500</v>
      </c>
      <c r="M15" s="8">
        <f t="shared" si="4"/>
        <v>0</v>
      </c>
      <c r="N15" s="11">
        <f t="shared" si="5"/>
        <v>1</v>
      </c>
      <c r="O15" s="12">
        <f t="shared" si="6"/>
        <v>0.217171717171717</v>
      </c>
      <c r="P15" s="12"/>
      <c r="Q15" s="9">
        <f t="shared" si="7"/>
        <v>21500</v>
      </c>
      <c r="R15" s="13">
        <f t="shared" si="8"/>
        <v>0</v>
      </c>
    </row>
    <row r="16" spans="1:18">
      <c r="A16" s="14">
        <v>45853</v>
      </c>
      <c r="B16" s="4">
        <f>Data_Entry!X108</f>
        <v>14000</v>
      </c>
      <c r="C16" s="4">
        <v>7</v>
      </c>
      <c r="D16" s="5">
        <f>Data_Entry!AD108</f>
        <v>0</v>
      </c>
      <c r="E16" s="6">
        <f t="shared" si="0"/>
        <v>0.141414141414141</v>
      </c>
      <c r="F16" s="7">
        <v>0.486111111111111</v>
      </c>
      <c r="G16" s="7">
        <v>0.527777777777778</v>
      </c>
      <c r="H16" s="8">
        <v>125</v>
      </c>
      <c r="I16" s="8">
        <f t="shared" si="2"/>
        <v>2.08333333333333</v>
      </c>
      <c r="J16" s="9">
        <v>4125</v>
      </c>
      <c r="K16" s="10">
        <v>4822.16</v>
      </c>
      <c r="L16" s="9">
        <f t="shared" si="3"/>
        <v>49500</v>
      </c>
      <c r="M16" s="8">
        <f t="shared" si="4"/>
        <v>10046.1666666667</v>
      </c>
      <c r="N16" s="11">
        <f t="shared" si="5"/>
        <v>0.797047138047138</v>
      </c>
      <c r="O16" s="12">
        <f t="shared" si="6"/>
        <v>0.17742255716597</v>
      </c>
      <c r="P16" s="12"/>
      <c r="Q16" s="9">
        <f t="shared" si="7"/>
        <v>17564.8331594311</v>
      </c>
      <c r="R16" s="13">
        <f t="shared" si="8"/>
        <v>3564.83315943107</v>
      </c>
    </row>
    <row r="17" spans="1:18">
      <c r="A17" s="14">
        <v>45854</v>
      </c>
      <c r="B17" s="4">
        <f>Data_Entry!X109</f>
        <v>23950</v>
      </c>
      <c r="C17" s="4">
        <v>0</v>
      </c>
      <c r="D17" s="5">
        <f>Data_Entry!AD109</f>
        <v>4.4</v>
      </c>
      <c r="E17" s="6">
        <f t="shared" si="0"/>
        <v>0.241919191919192</v>
      </c>
      <c r="F17" s="7">
        <v>0</v>
      </c>
      <c r="G17" s="7">
        <v>0</v>
      </c>
      <c r="H17" s="8">
        <f t="shared" si="1"/>
        <v>0</v>
      </c>
      <c r="I17" s="8">
        <f t="shared" si="2"/>
        <v>0</v>
      </c>
      <c r="J17" s="9">
        <v>4125</v>
      </c>
      <c r="K17" s="10">
        <v>0</v>
      </c>
      <c r="L17" s="9">
        <f t="shared" si="3"/>
        <v>49500</v>
      </c>
      <c r="M17" s="8">
        <f t="shared" si="4"/>
        <v>0</v>
      </c>
      <c r="N17" s="11">
        <f t="shared" si="5"/>
        <v>1</v>
      </c>
      <c r="O17" s="12">
        <f t="shared" si="6"/>
        <v>0.241919191919192</v>
      </c>
      <c r="P17" s="12"/>
      <c r="Q17" s="9">
        <f t="shared" si="7"/>
        <v>23950</v>
      </c>
      <c r="R17" s="13">
        <f t="shared" si="8"/>
        <v>0</v>
      </c>
    </row>
    <row r="18" spans="1:18">
      <c r="A18" s="14">
        <v>45855</v>
      </c>
      <c r="B18" s="4">
        <f>Data_Entry!X110</f>
        <v>21900</v>
      </c>
      <c r="C18" s="4">
        <v>0</v>
      </c>
      <c r="D18" s="5">
        <f>Data_Entry!AD110</f>
        <v>3.46</v>
      </c>
      <c r="E18" s="6">
        <f t="shared" si="0"/>
        <v>0.221212121212121</v>
      </c>
      <c r="F18" s="7">
        <v>0</v>
      </c>
      <c r="G18" s="7">
        <v>0</v>
      </c>
      <c r="H18" s="8">
        <f t="shared" si="1"/>
        <v>0</v>
      </c>
      <c r="I18" s="8">
        <f t="shared" si="2"/>
        <v>0</v>
      </c>
      <c r="J18" s="9">
        <v>4125</v>
      </c>
      <c r="K18" s="10">
        <v>0</v>
      </c>
      <c r="L18" s="9">
        <f t="shared" si="3"/>
        <v>49500</v>
      </c>
      <c r="M18" s="8">
        <f t="shared" si="4"/>
        <v>0</v>
      </c>
      <c r="N18" s="11">
        <f t="shared" si="5"/>
        <v>1</v>
      </c>
      <c r="O18" s="12">
        <f t="shared" si="6"/>
        <v>0.221212121212121</v>
      </c>
      <c r="P18" s="12"/>
      <c r="Q18" s="9">
        <f t="shared" si="7"/>
        <v>21900</v>
      </c>
      <c r="R18" s="13">
        <f t="shared" si="8"/>
        <v>0</v>
      </c>
    </row>
    <row r="19" spans="1:18">
      <c r="A19" s="14">
        <v>45856</v>
      </c>
      <c r="B19" s="4">
        <f>Data_Entry!X111</f>
        <v>18750</v>
      </c>
      <c r="C19" s="4">
        <v>15</v>
      </c>
      <c r="D19" s="5">
        <f>Data_Entry!AD111</f>
        <v>3.13</v>
      </c>
      <c r="E19" s="6">
        <f t="shared" si="0"/>
        <v>0.189393939393939</v>
      </c>
      <c r="F19" s="7">
        <f>'Plant_Down_Time Details'!D8</f>
        <v>0.493055555555556</v>
      </c>
      <c r="G19" s="7">
        <f>'Plant_Down_Time Details'!E8</f>
        <v>0.538194444444444</v>
      </c>
      <c r="H19" s="8">
        <f t="shared" si="1"/>
        <v>64.9999999999986</v>
      </c>
      <c r="I19" s="8">
        <f t="shared" si="2"/>
        <v>1.08333333333331</v>
      </c>
      <c r="J19" s="9">
        <v>4125</v>
      </c>
      <c r="K19" s="10">
        <v>4822.16</v>
      </c>
      <c r="L19" s="9">
        <f t="shared" si="3"/>
        <v>49500</v>
      </c>
      <c r="M19" s="8">
        <f t="shared" si="4"/>
        <v>5224.00666666656</v>
      </c>
      <c r="N19" s="11">
        <f t="shared" si="5"/>
        <v>0.894464511784514</v>
      </c>
      <c r="O19" s="12">
        <f t="shared" si="6"/>
        <v>0.211740026461292</v>
      </c>
      <c r="P19" s="12"/>
      <c r="Q19" s="9">
        <f t="shared" si="7"/>
        <v>20962.2626196679</v>
      </c>
      <c r="R19" s="13">
        <f t="shared" si="8"/>
        <v>2212.26261966788</v>
      </c>
    </row>
    <row r="20" spans="1:18">
      <c r="A20" s="14">
        <v>45857</v>
      </c>
      <c r="B20" s="4">
        <f>Data_Entry!X112</f>
        <v>13050</v>
      </c>
      <c r="C20" s="4">
        <v>0</v>
      </c>
      <c r="D20" s="5">
        <f>Data_Entry!AD112</f>
        <v>1.9</v>
      </c>
      <c r="E20" s="6">
        <f t="shared" si="0"/>
        <v>0.131818181818182</v>
      </c>
      <c r="F20" s="7">
        <v>0</v>
      </c>
      <c r="G20" s="7">
        <v>0</v>
      </c>
      <c r="H20" s="8">
        <f t="shared" si="1"/>
        <v>0</v>
      </c>
      <c r="I20" s="8">
        <f t="shared" si="2"/>
        <v>0</v>
      </c>
      <c r="J20" s="9">
        <v>4125</v>
      </c>
      <c r="K20" s="10">
        <v>0</v>
      </c>
      <c r="L20" s="9">
        <f t="shared" si="3"/>
        <v>49500</v>
      </c>
      <c r="M20" s="8">
        <f t="shared" si="4"/>
        <v>0</v>
      </c>
      <c r="N20" s="11">
        <f t="shared" si="5"/>
        <v>1</v>
      </c>
      <c r="O20" s="12">
        <f t="shared" si="6"/>
        <v>0.131818181818182</v>
      </c>
      <c r="P20" s="12"/>
      <c r="Q20" s="9">
        <f t="shared" si="7"/>
        <v>13050</v>
      </c>
      <c r="R20" s="13">
        <f t="shared" si="8"/>
        <v>0</v>
      </c>
    </row>
    <row r="21" spans="1:18">
      <c r="A21" s="14">
        <v>45858</v>
      </c>
      <c r="B21" s="4">
        <f>Data_Entry!X113</f>
        <v>12400</v>
      </c>
      <c r="C21" s="4">
        <v>0</v>
      </c>
      <c r="D21" s="5">
        <f>Data_Entry!AD113</f>
        <v>1.81</v>
      </c>
      <c r="E21" s="6">
        <f t="shared" si="0"/>
        <v>0.125252525252525</v>
      </c>
      <c r="F21" s="7">
        <v>0</v>
      </c>
      <c r="G21" s="7">
        <v>0</v>
      </c>
      <c r="H21" s="8">
        <f t="shared" si="1"/>
        <v>0</v>
      </c>
      <c r="I21" s="8">
        <f t="shared" si="2"/>
        <v>0</v>
      </c>
      <c r="J21" s="9">
        <v>4125</v>
      </c>
      <c r="K21" s="10">
        <v>0</v>
      </c>
      <c r="L21" s="9">
        <f t="shared" si="3"/>
        <v>49500</v>
      </c>
      <c r="M21" s="8">
        <f t="shared" si="4"/>
        <v>0</v>
      </c>
      <c r="N21" s="11">
        <f t="shared" si="5"/>
        <v>1</v>
      </c>
      <c r="O21" s="12">
        <f t="shared" si="6"/>
        <v>0.125252525252525</v>
      </c>
      <c r="P21" s="12"/>
      <c r="Q21" s="9">
        <f t="shared" si="7"/>
        <v>12400</v>
      </c>
      <c r="R21" s="13">
        <f t="shared" si="8"/>
        <v>0</v>
      </c>
    </row>
    <row r="22" spans="1:18">
      <c r="A22" s="14">
        <v>45859</v>
      </c>
      <c r="B22" s="4">
        <f>Data_Entry!X114</f>
        <v>15000</v>
      </c>
      <c r="C22" s="4">
        <v>0</v>
      </c>
      <c r="D22" s="5">
        <f>Data_Entry!AD114</f>
        <v>2.13</v>
      </c>
      <c r="E22" s="6">
        <f t="shared" si="0"/>
        <v>0.151515151515152</v>
      </c>
      <c r="F22" s="7">
        <v>0</v>
      </c>
      <c r="G22" s="7">
        <v>0</v>
      </c>
      <c r="H22" s="8">
        <f t="shared" si="1"/>
        <v>0</v>
      </c>
      <c r="I22" s="8">
        <f t="shared" si="2"/>
        <v>0</v>
      </c>
      <c r="J22" s="9">
        <v>4125</v>
      </c>
      <c r="K22" s="10">
        <v>0</v>
      </c>
      <c r="L22" s="9">
        <f t="shared" si="3"/>
        <v>49500</v>
      </c>
      <c r="M22" s="8">
        <f t="shared" si="4"/>
        <v>0</v>
      </c>
      <c r="N22" s="11">
        <f t="shared" si="5"/>
        <v>1</v>
      </c>
      <c r="O22" s="12">
        <f t="shared" si="6"/>
        <v>0.151515151515152</v>
      </c>
      <c r="P22" s="12"/>
      <c r="Q22" s="9">
        <f t="shared" si="7"/>
        <v>15000</v>
      </c>
      <c r="R22" s="13">
        <f t="shared" si="8"/>
        <v>0</v>
      </c>
    </row>
    <row r="23" spans="1:18">
      <c r="A23" s="14">
        <v>45860</v>
      </c>
      <c r="B23" s="4">
        <f>Data_Entry!X115</f>
        <v>13800</v>
      </c>
      <c r="C23" s="4">
        <v>0</v>
      </c>
      <c r="D23" s="5">
        <f>Data_Entry!AD115</f>
        <v>2.01</v>
      </c>
      <c r="E23" s="6">
        <f t="shared" si="0"/>
        <v>0.139393939393939</v>
      </c>
      <c r="F23" s="7">
        <v>0</v>
      </c>
      <c r="G23" s="7">
        <v>0</v>
      </c>
      <c r="H23" s="8">
        <f t="shared" si="1"/>
        <v>0</v>
      </c>
      <c r="I23" s="8">
        <f t="shared" si="2"/>
        <v>0</v>
      </c>
      <c r="J23" s="9">
        <v>4125</v>
      </c>
      <c r="K23" s="10">
        <v>0</v>
      </c>
      <c r="L23" s="9">
        <f t="shared" si="3"/>
        <v>49500</v>
      </c>
      <c r="M23" s="8">
        <f t="shared" si="4"/>
        <v>0</v>
      </c>
      <c r="N23" s="11">
        <f t="shared" si="5"/>
        <v>1</v>
      </c>
      <c r="O23" s="12">
        <f t="shared" si="6"/>
        <v>0.139393939393939</v>
      </c>
      <c r="P23" s="12"/>
      <c r="Q23" s="9">
        <f t="shared" si="7"/>
        <v>13800</v>
      </c>
      <c r="R23" s="13">
        <f t="shared" si="8"/>
        <v>0</v>
      </c>
    </row>
    <row r="24" spans="1:18">
      <c r="A24" s="14">
        <v>45861</v>
      </c>
      <c r="B24" s="4">
        <f>Data_Entry!X116</f>
        <v>18550</v>
      </c>
      <c r="C24" s="4">
        <v>0</v>
      </c>
      <c r="D24" s="5">
        <f>Data_Entry!AD116</f>
        <v>2.89</v>
      </c>
      <c r="E24" s="6">
        <f t="shared" si="0"/>
        <v>0.187373737373738</v>
      </c>
      <c r="F24" s="7">
        <v>0</v>
      </c>
      <c r="G24" s="7">
        <v>0</v>
      </c>
      <c r="H24" s="8">
        <f t="shared" si="1"/>
        <v>0</v>
      </c>
      <c r="I24" s="8">
        <f t="shared" si="2"/>
        <v>0</v>
      </c>
      <c r="J24" s="9">
        <v>4125</v>
      </c>
      <c r="K24" s="10">
        <v>0</v>
      </c>
      <c r="L24" s="9">
        <f t="shared" si="3"/>
        <v>49500</v>
      </c>
      <c r="M24" s="8">
        <f t="shared" si="4"/>
        <v>0</v>
      </c>
      <c r="N24" s="11">
        <f t="shared" si="5"/>
        <v>1</v>
      </c>
      <c r="O24" s="12">
        <f t="shared" si="6"/>
        <v>0.187373737373738</v>
      </c>
      <c r="P24" s="12"/>
      <c r="Q24" s="9">
        <f t="shared" si="7"/>
        <v>18550</v>
      </c>
      <c r="R24" s="13">
        <f t="shared" si="8"/>
        <v>0</v>
      </c>
    </row>
    <row r="25" spans="1:18">
      <c r="A25" s="14">
        <v>45862</v>
      </c>
      <c r="B25" s="4">
        <f>Data_Entry!X117</f>
        <v>15000</v>
      </c>
      <c r="C25" s="4">
        <v>0</v>
      </c>
      <c r="D25" s="5">
        <f>Data_Entry!AD117</f>
        <v>2.28</v>
      </c>
      <c r="E25" s="6">
        <f t="shared" si="0"/>
        <v>0.151515151515152</v>
      </c>
      <c r="F25" s="7">
        <v>0</v>
      </c>
      <c r="G25" s="7">
        <v>0</v>
      </c>
      <c r="H25" s="8">
        <f t="shared" si="1"/>
        <v>0</v>
      </c>
      <c r="I25" s="8">
        <f t="shared" si="2"/>
        <v>0</v>
      </c>
      <c r="J25" s="9">
        <v>4125</v>
      </c>
      <c r="K25" s="10">
        <v>0</v>
      </c>
      <c r="L25" s="9">
        <f t="shared" si="3"/>
        <v>49500</v>
      </c>
      <c r="M25" s="8">
        <f t="shared" si="4"/>
        <v>0</v>
      </c>
      <c r="N25" s="11">
        <f t="shared" si="5"/>
        <v>1</v>
      </c>
      <c r="O25" s="12">
        <f t="shared" si="6"/>
        <v>0.151515151515152</v>
      </c>
      <c r="P25" s="12"/>
      <c r="Q25" s="9">
        <f t="shared" si="7"/>
        <v>15000</v>
      </c>
      <c r="R25" s="13">
        <f t="shared" si="8"/>
        <v>0</v>
      </c>
    </row>
    <row r="26" spans="1:18">
      <c r="A26" s="14">
        <v>45863</v>
      </c>
      <c r="B26" s="4">
        <f>Data_Entry!X118</f>
        <v>15250</v>
      </c>
      <c r="C26" s="4">
        <v>15</v>
      </c>
      <c r="D26" s="5">
        <f>Data_Entry!AD118</f>
        <v>2.52</v>
      </c>
      <c r="E26" s="6">
        <f t="shared" si="0"/>
        <v>0.154040404040404</v>
      </c>
      <c r="F26" s="7">
        <v>0.458333333333333</v>
      </c>
      <c r="G26" s="7">
        <v>0.513888888888889</v>
      </c>
      <c r="H26" s="8">
        <f t="shared" si="1"/>
        <v>80.0000000000006</v>
      </c>
      <c r="I26" s="8">
        <f t="shared" si="2"/>
        <v>1.33333333333334</v>
      </c>
      <c r="J26" s="9">
        <v>4125</v>
      </c>
      <c r="K26" s="10">
        <v>4822.16</v>
      </c>
      <c r="L26" s="9">
        <f t="shared" si="3"/>
        <v>49500</v>
      </c>
      <c r="M26" s="8">
        <f t="shared" si="4"/>
        <v>6429.54666666671</v>
      </c>
      <c r="N26" s="11">
        <f t="shared" si="5"/>
        <v>0.870110168350167</v>
      </c>
      <c r="O26" s="12">
        <f t="shared" si="6"/>
        <v>0.177035517620123</v>
      </c>
      <c r="P26" s="12"/>
      <c r="Q26" s="9">
        <f t="shared" si="7"/>
        <v>17526.5162443921</v>
      </c>
      <c r="R26" s="13">
        <f t="shared" si="8"/>
        <v>2276.51624439215</v>
      </c>
    </row>
    <row r="27" spans="1:18">
      <c r="A27" s="14">
        <v>45864</v>
      </c>
      <c r="B27" s="4">
        <f>Data_Entry!X119</f>
        <v>12700</v>
      </c>
      <c r="C27" s="4">
        <v>0</v>
      </c>
      <c r="D27" s="5">
        <f>Data_Entry!AD119</f>
        <v>1.79</v>
      </c>
      <c r="E27" s="6">
        <f t="shared" si="0"/>
        <v>0.128282828282829</v>
      </c>
      <c r="F27" s="7">
        <v>0</v>
      </c>
      <c r="G27" s="7">
        <v>0</v>
      </c>
      <c r="H27" s="8">
        <f t="shared" si="1"/>
        <v>0</v>
      </c>
      <c r="I27" s="8">
        <f t="shared" si="2"/>
        <v>0</v>
      </c>
      <c r="J27" s="9">
        <v>4125</v>
      </c>
      <c r="K27" s="10">
        <v>0</v>
      </c>
      <c r="L27" s="9">
        <f t="shared" si="3"/>
        <v>49500</v>
      </c>
      <c r="M27" s="8">
        <f t="shared" si="4"/>
        <v>0</v>
      </c>
      <c r="N27" s="11">
        <f t="shared" si="5"/>
        <v>1</v>
      </c>
      <c r="O27" s="12">
        <f t="shared" si="6"/>
        <v>0.128282828282829</v>
      </c>
      <c r="P27" s="12"/>
      <c r="Q27" s="9">
        <f t="shared" si="7"/>
        <v>12700</v>
      </c>
      <c r="R27" s="13">
        <f t="shared" si="8"/>
        <v>0</v>
      </c>
    </row>
    <row r="28" spans="1:18">
      <c r="A28" s="14">
        <v>45865</v>
      </c>
      <c r="B28" s="4">
        <f>Data_Entry!X120</f>
        <v>7749.99999999991</v>
      </c>
      <c r="C28" s="4">
        <v>0</v>
      </c>
      <c r="D28" s="5">
        <f>Data_Entry!AD120</f>
        <v>1.09</v>
      </c>
      <c r="E28" s="6">
        <f t="shared" si="0"/>
        <v>0.0782828282828274</v>
      </c>
      <c r="F28" s="7">
        <v>0</v>
      </c>
      <c r="G28" s="7">
        <v>0</v>
      </c>
      <c r="H28" s="8">
        <f t="shared" si="1"/>
        <v>0</v>
      </c>
      <c r="I28" s="8">
        <f t="shared" si="2"/>
        <v>0</v>
      </c>
      <c r="J28" s="9">
        <v>4125</v>
      </c>
      <c r="K28" s="10">
        <v>0</v>
      </c>
      <c r="L28" s="9">
        <f t="shared" si="3"/>
        <v>49500</v>
      </c>
      <c r="M28" s="8">
        <f t="shared" si="4"/>
        <v>0</v>
      </c>
      <c r="N28" s="11">
        <f t="shared" si="5"/>
        <v>1</v>
      </c>
      <c r="O28" s="12">
        <f t="shared" si="6"/>
        <v>0.0782828282828274</v>
      </c>
      <c r="P28" s="12"/>
      <c r="Q28" s="9">
        <f t="shared" si="7"/>
        <v>7749.99999999991</v>
      </c>
      <c r="R28" s="13">
        <f t="shared" si="8"/>
        <v>0</v>
      </c>
    </row>
    <row r="29" spans="1:18">
      <c r="A29" s="14">
        <v>45866</v>
      </c>
      <c r="B29" s="4">
        <f>Data_Entry!X121</f>
        <v>9300.00000000007</v>
      </c>
      <c r="C29" s="4">
        <v>0</v>
      </c>
      <c r="D29" s="5">
        <f>Data_Entry!AD121</f>
        <v>1.39</v>
      </c>
      <c r="E29" s="6">
        <f t="shared" si="0"/>
        <v>0.0939393939393946</v>
      </c>
      <c r="F29" s="7">
        <v>0</v>
      </c>
      <c r="G29" s="7">
        <v>0</v>
      </c>
      <c r="H29" s="8">
        <f t="shared" si="1"/>
        <v>0</v>
      </c>
      <c r="I29" s="8">
        <f t="shared" si="2"/>
        <v>0</v>
      </c>
      <c r="J29" s="9">
        <v>4125</v>
      </c>
      <c r="K29" s="10">
        <v>0</v>
      </c>
      <c r="L29" s="9">
        <f t="shared" si="3"/>
        <v>49500</v>
      </c>
      <c r="M29" s="8">
        <f t="shared" si="4"/>
        <v>0</v>
      </c>
      <c r="N29" s="11">
        <f t="shared" si="5"/>
        <v>1</v>
      </c>
      <c r="O29" s="12">
        <f t="shared" si="6"/>
        <v>0.0939393939393946</v>
      </c>
      <c r="P29" s="12"/>
      <c r="Q29" s="9">
        <f t="shared" si="7"/>
        <v>9300.00000000007</v>
      </c>
      <c r="R29" s="13">
        <f t="shared" si="8"/>
        <v>0</v>
      </c>
    </row>
    <row r="30" spans="1:18">
      <c r="A30" s="14">
        <v>45867</v>
      </c>
      <c r="B30" s="4">
        <f>Data_Entry!X122</f>
        <v>8250.00000000003</v>
      </c>
      <c r="C30" s="4">
        <v>0</v>
      </c>
      <c r="D30" s="5">
        <f>Data_Entry!AD122</f>
        <v>1.13</v>
      </c>
      <c r="E30" s="6">
        <f t="shared" si="0"/>
        <v>0.0833333333333336</v>
      </c>
      <c r="F30" s="7">
        <v>0</v>
      </c>
      <c r="G30" s="7">
        <v>0</v>
      </c>
      <c r="H30" s="8">
        <f t="shared" si="1"/>
        <v>0</v>
      </c>
      <c r="I30" s="8">
        <f t="shared" si="2"/>
        <v>0</v>
      </c>
      <c r="J30" s="9">
        <v>4125</v>
      </c>
      <c r="K30" s="10">
        <v>0</v>
      </c>
      <c r="L30" s="9">
        <f t="shared" si="3"/>
        <v>49500</v>
      </c>
      <c r="M30" s="8">
        <f t="shared" si="4"/>
        <v>0</v>
      </c>
      <c r="N30" s="11">
        <f t="shared" si="5"/>
        <v>1</v>
      </c>
      <c r="O30" s="12">
        <f t="shared" si="6"/>
        <v>0.0833333333333336</v>
      </c>
      <c r="P30" s="12"/>
      <c r="Q30" s="9">
        <f t="shared" si="7"/>
        <v>8250.00000000003</v>
      </c>
      <c r="R30" s="13">
        <f t="shared" si="8"/>
        <v>0</v>
      </c>
    </row>
    <row r="31" spans="1:18">
      <c r="A31" s="14">
        <v>45868</v>
      </c>
      <c r="B31" s="4">
        <f>Data_Entry!X123</f>
        <v>5999.99999999994</v>
      </c>
      <c r="C31" s="4">
        <v>0</v>
      </c>
      <c r="D31" s="5">
        <f>Data_Entry!AD123</f>
        <v>0.94</v>
      </c>
      <c r="E31" s="6">
        <f t="shared" si="0"/>
        <v>0.06060606060606</v>
      </c>
      <c r="F31" s="7">
        <v>0.520833333333333</v>
      </c>
      <c r="G31" s="7">
        <v>0.684027777777778</v>
      </c>
      <c r="H31" s="8">
        <f t="shared" si="1"/>
        <v>235.000000000001</v>
      </c>
      <c r="I31" s="8">
        <f t="shared" si="2"/>
        <v>3.91666666666668</v>
      </c>
      <c r="J31" s="9">
        <v>4125</v>
      </c>
      <c r="K31" s="10">
        <v>4822.16</v>
      </c>
      <c r="L31" s="9">
        <f t="shared" si="3"/>
        <v>49500</v>
      </c>
      <c r="M31" s="8">
        <f t="shared" si="4"/>
        <v>18886.7933333334</v>
      </c>
      <c r="N31" s="11">
        <f t="shared" si="5"/>
        <v>0.618448619528618</v>
      </c>
      <c r="O31" s="12">
        <f t="shared" si="6"/>
        <v>0.0979969211545075</v>
      </c>
      <c r="P31" s="12"/>
      <c r="Q31" s="9">
        <f t="shared" si="7"/>
        <v>9701.69519429625</v>
      </c>
      <c r="R31" s="13">
        <f t="shared" si="8"/>
        <v>3701.6951942963</v>
      </c>
    </row>
    <row r="32" spans="1:18">
      <c r="A32" s="14">
        <v>45869</v>
      </c>
      <c r="B32" s="4">
        <f>Data_Entry!X124</f>
        <v>11950.0000000001</v>
      </c>
      <c r="C32" s="4">
        <v>0</v>
      </c>
      <c r="D32" s="5">
        <f>Data_Entry!AD124</f>
        <v>1.81</v>
      </c>
      <c r="E32" s="6">
        <f t="shared" si="0"/>
        <v>0.120707070707071</v>
      </c>
      <c r="F32" s="7">
        <v>0</v>
      </c>
      <c r="G32" s="7">
        <v>0</v>
      </c>
      <c r="H32" s="8">
        <f t="shared" si="1"/>
        <v>0</v>
      </c>
      <c r="I32" s="8">
        <f t="shared" si="2"/>
        <v>0</v>
      </c>
      <c r="J32" s="9">
        <v>4125</v>
      </c>
      <c r="K32" s="10">
        <v>0</v>
      </c>
      <c r="L32" s="9">
        <f t="shared" si="3"/>
        <v>49500</v>
      </c>
      <c r="M32" s="8">
        <f t="shared" si="4"/>
        <v>0</v>
      </c>
      <c r="N32" s="11">
        <f t="shared" si="5"/>
        <v>1</v>
      </c>
      <c r="O32" s="12">
        <f t="shared" si="6"/>
        <v>0.120707070707071</v>
      </c>
      <c r="P32" s="12"/>
      <c r="Q32" s="9">
        <f t="shared" si="7"/>
        <v>11950.0000000001</v>
      </c>
      <c r="R32" s="13">
        <f t="shared" si="8"/>
        <v>0</v>
      </c>
    </row>
    <row r="33" spans="1:18">
      <c r="A33" s="14"/>
      <c r="B33" s="4"/>
      <c r="C33" s="4"/>
      <c r="D33" s="5"/>
      <c r="E33" s="6"/>
      <c r="F33" s="7"/>
      <c r="G33" s="7"/>
      <c r="H33" s="8"/>
      <c r="I33" s="8"/>
      <c r="J33" s="9"/>
      <c r="K33" s="10"/>
      <c r="L33" s="9"/>
      <c r="M33" s="8"/>
      <c r="N33" s="11"/>
      <c r="O33" s="12"/>
      <c r="P33" s="12"/>
      <c r="Q33" s="9"/>
      <c r="R33" s="13"/>
    </row>
    <row r="34" spans="1:18">
      <c r="A34" s="14">
        <v>45870</v>
      </c>
      <c r="B34" s="4">
        <f>Data_Entry!X125</f>
        <v>13750</v>
      </c>
      <c r="C34" s="4">
        <v>0</v>
      </c>
      <c r="D34" s="5">
        <f>Data_Entry!AD125</f>
        <v>1.29</v>
      </c>
      <c r="E34" s="6">
        <f t="shared" si="0"/>
        <v>0.138888888888889</v>
      </c>
      <c r="F34" s="7">
        <v>0</v>
      </c>
      <c r="G34" s="7">
        <v>0</v>
      </c>
      <c r="H34" s="8">
        <f t="shared" si="1"/>
        <v>0</v>
      </c>
      <c r="I34" s="8">
        <f t="shared" si="2"/>
        <v>0</v>
      </c>
      <c r="J34" s="9">
        <v>4125</v>
      </c>
      <c r="K34" s="10">
        <v>0</v>
      </c>
      <c r="L34" s="9">
        <f t="shared" si="3"/>
        <v>49500</v>
      </c>
      <c r="M34" s="8">
        <f t="shared" si="4"/>
        <v>0</v>
      </c>
      <c r="N34" s="11">
        <f t="shared" si="5"/>
        <v>1</v>
      </c>
      <c r="O34" s="12">
        <f t="shared" si="6"/>
        <v>0.138888888888889</v>
      </c>
      <c r="P34" s="12"/>
      <c r="Q34" s="9">
        <f t="shared" si="7"/>
        <v>13750</v>
      </c>
      <c r="R34" s="13">
        <f t="shared" si="8"/>
        <v>0</v>
      </c>
    </row>
    <row r="35" spans="1:18">
      <c r="A35" s="14">
        <v>45871</v>
      </c>
      <c r="B35" s="4">
        <f>Data_Entry!X126</f>
        <v>15699.9999999999</v>
      </c>
      <c r="C35" s="4">
        <v>0</v>
      </c>
      <c r="D35" s="5">
        <f>Data_Entry!AD126</f>
        <v>0.56</v>
      </c>
      <c r="E35" s="6">
        <f t="shared" si="0"/>
        <v>0.158585858585858</v>
      </c>
      <c r="F35" s="7">
        <v>0</v>
      </c>
      <c r="G35" s="7">
        <v>0</v>
      </c>
      <c r="H35" s="8">
        <f t="shared" si="1"/>
        <v>0</v>
      </c>
      <c r="I35" s="8">
        <f t="shared" si="2"/>
        <v>0</v>
      </c>
      <c r="J35" s="9">
        <v>4125</v>
      </c>
      <c r="K35" s="10">
        <v>0</v>
      </c>
      <c r="L35" s="9">
        <f t="shared" si="3"/>
        <v>49500</v>
      </c>
      <c r="M35" s="8">
        <f t="shared" si="4"/>
        <v>0</v>
      </c>
      <c r="N35" s="11">
        <f t="shared" si="5"/>
        <v>1</v>
      </c>
      <c r="O35" s="12">
        <f t="shared" si="6"/>
        <v>0.158585858585858</v>
      </c>
      <c r="P35" s="12"/>
      <c r="Q35" s="9">
        <f t="shared" si="7"/>
        <v>15699.9999999999</v>
      </c>
      <c r="R35" s="13">
        <f t="shared" si="8"/>
        <v>0</v>
      </c>
    </row>
    <row r="36" spans="1:18">
      <c r="A36" s="14">
        <v>45872</v>
      </c>
      <c r="B36" s="4">
        <f>Data_Entry!X127</f>
        <v>11600</v>
      </c>
      <c r="C36" s="4">
        <v>15</v>
      </c>
      <c r="D36" s="5">
        <f>Data_Entry!AD127</f>
        <v>0.45</v>
      </c>
      <c r="E36" s="6">
        <f t="shared" si="0"/>
        <v>0.117171717171717</v>
      </c>
      <c r="F36" s="7">
        <v>0.708333333333333</v>
      </c>
      <c r="G36" s="7">
        <v>0.729166666666667</v>
      </c>
      <c r="H36" s="8">
        <f t="shared" si="1"/>
        <v>30.0000000000009</v>
      </c>
      <c r="I36" s="8">
        <f t="shared" si="2"/>
        <v>0.500000000000014</v>
      </c>
      <c r="J36" s="9">
        <v>4125</v>
      </c>
      <c r="K36" s="10">
        <v>4822.16</v>
      </c>
      <c r="L36" s="9">
        <f t="shared" si="3"/>
        <v>49500</v>
      </c>
      <c r="M36" s="8">
        <f t="shared" si="4"/>
        <v>2411.08000000007</v>
      </c>
      <c r="N36" s="11">
        <f t="shared" si="5"/>
        <v>0.951291313131312</v>
      </c>
      <c r="O36" s="12">
        <f t="shared" si="6"/>
        <v>0.123171225842512</v>
      </c>
      <c r="P36" s="12"/>
      <c r="Q36" s="9">
        <f t="shared" si="7"/>
        <v>12193.9513584087</v>
      </c>
      <c r="R36" s="13">
        <f t="shared" si="8"/>
        <v>593.951358408744</v>
      </c>
    </row>
    <row r="37" spans="1:18">
      <c r="A37" s="14">
        <v>45873</v>
      </c>
      <c r="B37" s="4">
        <f>Data_Entry!X128</f>
        <v>15300</v>
      </c>
      <c r="C37" s="4">
        <v>0</v>
      </c>
      <c r="D37" s="5">
        <f>Data_Entry!AD128</f>
        <v>0.54</v>
      </c>
      <c r="E37" s="6">
        <f t="shared" si="0"/>
        <v>0.154545454545455</v>
      </c>
      <c r="F37" s="7">
        <v>0</v>
      </c>
      <c r="G37" s="7">
        <v>0</v>
      </c>
      <c r="H37" s="8">
        <f t="shared" si="1"/>
        <v>0</v>
      </c>
      <c r="I37" s="8">
        <f t="shared" si="2"/>
        <v>0</v>
      </c>
      <c r="J37" s="9">
        <v>4125</v>
      </c>
      <c r="K37" s="10">
        <v>0</v>
      </c>
      <c r="L37" s="9">
        <f t="shared" si="3"/>
        <v>49500</v>
      </c>
      <c r="M37" s="8">
        <f t="shared" si="4"/>
        <v>0</v>
      </c>
      <c r="N37" s="11">
        <f t="shared" si="5"/>
        <v>1</v>
      </c>
      <c r="O37" s="12">
        <f t="shared" si="6"/>
        <v>0.154545454545455</v>
      </c>
      <c r="P37" s="12"/>
      <c r="Q37" s="9">
        <f t="shared" si="7"/>
        <v>15300</v>
      </c>
      <c r="R37" s="13">
        <f t="shared" si="8"/>
        <v>0</v>
      </c>
    </row>
    <row r="38" spans="1:18">
      <c r="A38" s="14">
        <v>45874</v>
      </c>
      <c r="B38" s="4">
        <f>Data_Entry!X129</f>
        <v>18300</v>
      </c>
      <c r="C38" s="4">
        <v>0</v>
      </c>
      <c r="D38" s="5">
        <f>Data_Entry!AD129</f>
        <v>0.76</v>
      </c>
      <c r="E38" s="6">
        <f t="shared" si="0"/>
        <v>0.184848484848485</v>
      </c>
      <c r="F38" s="7">
        <v>0</v>
      </c>
      <c r="G38" s="7">
        <v>0</v>
      </c>
      <c r="H38" s="8">
        <f t="shared" si="1"/>
        <v>0</v>
      </c>
      <c r="I38" s="8">
        <f t="shared" si="2"/>
        <v>0</v>
      </c>
      <c r="J38" s="9">
        <v>4125</v>
      </c>
      <c r="K38" s="10">
        <v>0</v>
      </c>
      <c r="L38" s="9">
        <f t="shared" si="3"/>
        <v>49500</v>
      </c>
      <c r="M38" s="8">
        <f t="shared" si="4"/>
        <v>0</v>
      </c>
      <c r="N38" s="11">
        <f t="shared" si="5"/>
        <v>1</v>
      </c>
      <c r="O38" s="12">
        <f t="shared" si="6"/>
        <v>0.184848484848485</v>
      </c>
      <c r="P38" s="12"/>
      <c r="Q38" s="9">
        <f t="shared" si="7"/>
        <v>18300</v>
      </c>
      <c r="R38" s="13">
        <f t="shared" si="8"/>
        <v>0</v>
      </c>
    </row>
    <row r="39" spans="1:18">
      <c r="A39" s="14">
        <v>45875</v>
      </c>
      <c r="B39" s="4">
        <f>Data_Entry!X130</f>
        <v>16100</v>
      </c>
      <c r="C39" s="4">
        <v>0</v>
      </c>
      <c r="D39" s="5">
        <f>Data_Entry!AD130</f>
        <v>0.66</v>
      </c>
      <c r="E39" s="6">
        <f t="shared" si="0"/>
        <v>0.162626262626263</v>
      </c>
      <c r="F39" s="7">
        <v>0</v>
      </c>
      <c r="G39" s="7">
        <v>0</v>
      </c>
      <c r="H39" s="8">
        <f t="shared" si="1"/>
        <v>0</v>
      </c>
      <c r="I39" s="8">
        <f t="shared" si="2"/>
        <v>0</v>
      </c>
      <c r="J39" s="9">
        <v>4125</v>
      </c>
      <c r="K39" s="10">
        <v>0</v>
      </c>
      <c r="L39" s="9">
        <f t="shared" si="3"/>
        <v>49500</v>
      </c>
      <c r="M39" s="8">
        <f t="shared" si="4"/>
        <v>0</v>
      </c>
      <c r="N39" s="11">
        <f t="shared" si="5"/>
        <v>1</v>
      </c>
      <c r="O39" s="12">
        <f t="shared" si="6"/>
        <v>0.162626262626263</v>
      </c>
      <c r="P39" s="12"/>
      <c r="Q39" s="9">
        <f t="shared" si="7"/>
        <v>16100</v>
      </c>
      <c r="R39" s="13">
        <f t="shared" si="8"/>
        <v>0</v>
      </c>
    </row>
    <row r="40" spans="1:18">
      <c r="A40" s="14">
        <v>45876</v>
      </c>
      <c r="B40" s="4">
        <f>Data_Entry!X131</f>
        <v>13450</v>
      </c>
      <c r="C40" s="4">
        <v>15</v>
      </c>
      <c r="D40" s="5">
        <f>Data_Entry!AD131</f>
        <v>0.51</v>
      </c>
      <c r="E40" s="6">
        <f t="shared" si="0"/>
        <v>0.135858585858586</v>
      </c>
      <c r="F40" s="7">
        <v>0.504166666666667</v>
      </c>
      <c r="G40" s="7">
        <v>0.635416666666667</v>
      </c>
      <c r="H40" s="8">
        <f t="shared" si="1"/>
        <v>189</v>
      </c>
      <c r="I40" s="8">
        <f t="shared" si="2"/>
        <v>3.15</v>
      </c>
      <c r="J40" s="9">
        <v>4125</v>
      </c>
      <c r="K40" s="10">
        <v>4822.16</v>
      </c>
      <c r="L40" s="9">
        <f t="shared" si="3"/>
        <v>49500</v>
      </c>
      <c r="M40" s="8">
        <f t="shared" si="4"/>
        <v>15189.804</v>
      </c>
      <c r="N40" s="11">
        <f t="shared" si="5"/>
        <v>0.693135272727273</v>
      </c>
      <c r="O40" s="12">
        <f t="shared" si="6"/>
        <v>0.196005875338048</v>
      </c>
      <c r="P40" s="12"/>
      <c r="Q40" s="9">
        <f t="shared" si="7"/>
        <v>19404.5816584668</v>
      </c>
      <c r="R40" s="13">
        <f t="shared" si="8"/>
        <v>5954.58165846677</v>
      </c>
    </row>
    <row r="41" spans="1:18">
      <c r="A41" s="14">
        <v>45877</v>
      </c>
      <c r="B41" s="4">
        <f>Data_Entry!X132</f>
        <v>20100.0000000001</v>
      </c>
      <c r="C41" s="4">
        <v>0</v>
      </c>
      <c r="D41" s="5">
        <f>Data_Entry!AD132</f>
        <v>0.73</v>
      </c>
      <c r="E41" s="6">
        <f t="shared" si="0"/>
        <v>0.203030303030304</v>
      </c>
      <c r="F41" s="7">
        <v>0</v>
      </c>
      <c r="G41" s="7">
        <v>0</v>
      </c>
      <c r="H41" s="8">
        <f t="shared" si="1"/>
        <v>0</v>
      </c>
      <c r="I41" s="8">
        <f t="shared" si="2"/>
        <v>0</v>
      </c>
      <c r="J41" s="9">
        <v>4125</v>
      </c>
      <c r="K41" s="10">
        <v>0</v>
      </c>
      <c r="L41" s="9">
        <f t="shared" si="3"/>
        <v>49500</v>
      </c>
      <c r="M41" s="8">
        <f t="shared" si="4"/>
        <v>0</v>
      </c>
      <c r="N41" s="11">
        <f t="shared" si="5"/>
        <v>1</v>
      </c>
      <c r="O41" s="12">
        <f t="shared" si="6"/>
        <v>0.203030303030304</v>
      </c>
      <c r="P41" s="12"/>
      <c r="Q41" s="9">
        <f t="shared" si="7"/>
        <v>20100.0000000001</v>
      </c>
      <c r="R41" s="13">
        <f t="shared" si="8"/>
        <v>0</v>
      </c>
    </row>
    <row r="42" spans="1:18">
      <c r="A42" s="14">
        <v>45878</v>
      </c>
      <c r="B42" s="4">
        <f>Data_Entry!X133</f>
        <v>12550</v>
      </c>
      <c r="C42" s="4">
        <v>0</v>
      </c>
      <c r="D42" s="5">
        <f>Data_Entry!AD133</f>
        <v>0.41</v>
      </c>
      <c r="E42" s="6">
        <f t="shared" si="0"/>
        <v>0.126767676767676</v>
      </c>
      <c r="F42" s="7">
        <v>0</v>
      </c>
      <c r="G42" s="7">
        <v>0</v>
      </c>
      <c r="H42" s="8">
        <f t="shared" si="1"/>
        <v>0</v>
      </c>
      <c r="I42" s="8">
        <f t="shared" si="2"/>
        <v>0</v>
      </c>
      <c r="J42" s="9">
        <v>4125</v>
      </c>
      <c r="K42" s="10">
        <v>0</v>
      </c>
      <c r="L42" s="9">
        <f t="shared" si="3"/>
        <v>49500</v>
      </c>
      <c r="M42" s="8">
        <f t="shared" si="4"/>
        <v>0</v>
      </c>
      <c r="N42" s="11">
        <f t="shared" si="5"/>
        <v>1</v>
      </c>
      <c r="O42" s="12">
        <f t="shared" si="6"/>
        <v>0.126767676767676</v>
      </c>
      <c r="P42" s="12"/>
      <c r="Q42" s="9">
        <f t="shared" si="7"/>
        <v>12550</v>
      </c>
      <c r="R42" s="13">
        <f t="shared" si="8"/>
        <v>0</v>
      </c>
    </row>
    <row r="43" spans="1:18">
      <c r="A43" s="14">
        <v>45879</v>
      </c>
      <c r="B43" s="4">
        <f>Data_Entry!X134</f>
        <v>8550.00000000004</v>
      </c>
      <c r="C43" s="4">
        <v>0</v>
      </c>
      <c r="D43" s="5">
        <f>Data_Entry!AD134</f>
        <v>0.28</v>
      </c>
      <c r="E43" s="6">
        <f t="shared" si="0"/>
        <v>0.0863636363636368</v>
      </c>
      <c r="F43" s="7">
        <v>0</v>
      </c>
      <c r="G43" s="7">
        <v>0</v>
      </c>
      <c r="H43" s="8">
        <f t="shared" si="1"/>
        <v>0</v>
      </c>
      <c r="I43" s="8">
        <f t="shared" si="2"/>
        <v>0</v>
      </c>
      <c r="J43" s="9">
        <v>4125</v>
      </c>
      <c r="K43" s="10">
        <v>0</v>
      </c>
      <c r="L43" s="9">
        <f t="shared" si="3"/>
        <v>49500</v>
      </c>
      <c r="M43" s="8">
        <f t="shared" si="4"/>
        <v>0</v>
      </c>
      <c r="N43" s="11">
        <f t="shared" si="5"/>
        <v>1</v>
      </c>
      <c r="O43" s="12">
        <f t="shared" si="6"/>
        <v>0.0863636363636368</v>
      </c>
      <c r="P43" s="12"/>
      <c r="Q43" s="9">
        <f t="shared" si="7"/>
        <v>8550.00000000004</v>
      </c>
      <c r="R43" s="13">
        <f t="shared" si="8"/>
        <v>0</v>
      </c>
    </row>
    <row r="44" spans="1:18">
      <c r="A44" s="14">
        <v>45880</v>
      </c>
      <c r="B44" s="4">
        <f>Data_Entry!X135</f>
        <v>19400</v>
      </c>
      <c r="C44" s="4">
        <v>0</v>
      </c>
      <c r="D44" s="5">
        <f>Data_Entry!AD135</f>
        <v>0.69</v>
      </c>
      <c r="E44" s="6">
        <f t="shared" si="0"/>
        <v>0.195959595959596</v>
      </c>
      <c r="F44" s="7">
        <v>0</v>
      </c>
      <c r="G44" s="7">
        <v>0</v>
      </c>
      <c r="H44" s="8">
        <f t="shared" si="1"/>
        <v>0</v>
      </c>
      <c r="I44" s="8">
        <f t="shared" si="2"/>
        <v>0</v>
      </c>
      <c r="J44" s="9">
        <v>4125</v>
      </c>
      <c r="K44" s="10">
        <v>0</v>
      </c>
      <c r="L44" s="9">
        <f t="shared" si="3"/>
        <v>49500</v>
      </c>
      <c r="M44" s="8">
        <f t="shared" si="4"/>
        <v>0</v>
      </c>
      <c r="N44" s="11">
        <f t="shared" si="5"/>
        <v>1</v>
      </c>
      <c r="O44" s="12">
        <f t="shared" si="6"/>
        <v>0.195959595959596</v>
      </c>
      <c r="P44" s="12"/>
      <c r="Q44" s="9">
        <f t="shared" si="7"/>
        <v>19400</v>
      </c>
      <c r="R44" s="13">
        <f t="shared" si="8"/>
        <v>0</v>
      </c>
    </row>
    <row r="45" spans="1:18">
      <c r="A45" s="14">
        <v>45881</v>
      </c>
      <c r="B45" s="4">
        <f>Data_Entry!X136</f>
        <v>11450.0000000001</v>
      </c>
      <c r="C45" s="4">
        <v>0</v>
      </c>
      <c r="D45" s="5">
        <f>Data_Entry!AD136</f>
        <v>0.44</v>
      </c>
      <c r="E45" s="6">
        <f t="shared" si="0"/>
        <v>0.115656565656567</v>
      </c>
      <c r="F45" s="7">
        <v>0</v>
      </c>
      <c r="G45" s="7">
        <v>0</v>
      </c>
      <c r="H45" s="8">
        <f t="shared" si="1"/>
        <v>0</v>
      </c>
      <c r="I45" s="8">
        <f t="shared" si="2"/>
        <v>0</v>
      </c>
      <c r="J45" s="9">
        <v>4125</v>
      </c>
      <c r="K45" s="10">
        <v>0</v>
      </c>
      <c r="L45" s="9">
        <f t="shared" si="3"/>
        <v>49500</v>
      </c>
      <c r="M45" s="8">
        <f t="shared" si="4"/>
        <v>0</v>
      </c>
      <c r="N45" s="11">
        <f t="shared" si="5"/>
        <v>1</v>
      </c>
      <c r="O45" s="12">
        <f t="shared" si="6"/>
        <v>0.115656565656567</v>
      </c>
      <c r="P45" s="12"/>
      <c r="Q45" s="9">
        <f t="shared" si="7"/>
        <v>11450.0000000001</v>
      </c>
      <c r="R45" s="13">
        <f t="shared" si="8"/>
        <v>0</v>
      </c>
    </row>
    <row r="46" spans="1:18">
      <c r="A46" s="14">
        <v>45882</v>
      </c>
      <c r="B46" s="4">
        <f>Data_Entry!X137</f>
        <v>16349.9999999999</v>
      </c>
      <c r="C46" s="4">
        <v>0</v>
      </c>
      <c r="D46" s="5">
        <f>Data_Entry!AD137</f>
        <v>0.54</v>
      </c>
      <c r="E46" s="6">
        <f t="shared" si="0"/>
        <v>0.165151515151514</v>
      </c>
      <c r="F46" s="7">
        <v>0</v>
      </c>
      <c r="G46" s="7">
        <v>0</v>
      </c>
      <c r="H46" s="8">
        <f t="shared" si="1"/>
        <v>0</v>
      </c>
      <c r="I46" s="8">
        <f t="shared" si="2"/>
        <v>0</v>
      </c>
      <c r="J46" s="9">
        <v>4125</v>
      </c>
      <c r="K46" s="10">
        <v>0</v>
      </c>
      <c r="L46" s="9">
        <f t="shared" si="3"/>
        <v>49500</v>
      </c>
      <c r="M46" s="8">
        <f t="shared" si="4"/>
        <v>0</v>
      </c>
      <c r="N46" s="11">
        <f t="shared" si="5"/>
        <v>1</v>
      </c>
      <c r="O46" s="12">
        <f t="shared" si="6"/>
        <v>0.165151515151514</v>
      </c>
      <c r="P46" s="12"/>
      <c r="Q46" s="9">
        <f t="shared" si="7"/>
        <v>16349.9999999999</v>
      </c>
      <c r="R46" s="13">
        <f t="shared" si="8"/>
        <v>0</v>
      </c>
    </row>
    <row r="47" spans="1:18">
      <c r="A47" s="14">
        <v>45883</v>
      </c>
      <c r="B47" s="4">
        <f>Data_Entry!X138</f>
        <v>8550.00000000004</v>
      </c>
      <c r="C47" s="4">
        <v>0</v>
      </c>
      <c r="D47" s="5">
        <f>Data_Entry!AD138</f>
        <v>0.28</v>
      </c>
      <c r="E47" s="6">
        <f t="shared" si="0"/>
        <v>0.0863636363636368</v>
      </c>
      <c r="F47" s="7">
        <v>0</v>
      </c>
      <c r="G47" s="7">
        <v>0</v>
      </c>
      <c r="H47" s="8">
        <f t="shared" si="1"/>
        <v>0</v>
      </c>
      <c r="I47" s="8">
        <f t="shared" si="2"/>
        <v>0</v>
      </c>
      <c r="J47" s="9">
        <v>4125</v>
      </c>
      <c r="K47" s="10">
        <v>0</v>
      </c>
      <c r="L47" s="9">
        <f t="shared" si="3"/>
        <v>49500</v>
      </c>
      <c r="M47" s="8">
        <f t="shared" si="4"/>
        <v>0</v>
      </c>
      <c r="N47" s="11">
        <f t="shared" si="5"/>
        <v>1</v>
      </c>
      <c r="O47" s="12">
        <f t="shared" si="6"/>
        <v>0.0863636363636368</v>
      </c>
      <c r="P47" s="12"/>
      <c r="Q47" s="9">
        <f t="shared" si="7"/>
        <v>8550.00000000004</v>
      </c>
      <c r="R47" s="13">
        <f t="shared" si="8"/>
        <v>0</v>
      </c>
    </row>
    <row r="48" spans="1:18">
      <c r="A48" s="14">
        <v>45884</v>
      </c>
      <c r="B48" s="4">
        <f>Data_Entry!X139</f>
        <v>7000.00000000003</v>
      </c>
      <c r="C48" s="4">
        <v>15</v>
      </c>
      <c r="D48" s="5">
        <f>Data_Entry!AD139</f>
        <v>0.23</v>
      </c>
      <c r="E48" s="6">
        <f t="shared" si="0"/>
        <v>0.070707070707071</v>
      </c>
      <c r="F48" s="7">
        <v>0.4375</v>
      </c>
      <c r="G48" s="7">
        <v>0.5625</v>
      </c>
      <c r="H48" s="8">
        <f t="shared" si="1"/>
        <v>180</v>
      </c>
      <c r="I48" s="8">
        <f t="shared" si="2"/>
        <v>3</v>
      </c>
      <c r="J48" s="9">
        <v>4125</v>
      </c>
      <c r="K48" s="10">
        <v>4822.16</v>
      </c>
      <c r="L48" s="9">
        <f t="shared" si="3"/>
        <v>49500</v>
      </c>
      <c r="M48" s="8">
        <f t="shared" si="4"/>
        <v>14466.48</v>
      </c>
      <c r="N48" s="11">
        <f t="shared" si="5"/>
        <v>0.707747878787879</v>
      </c>
      <c r="O48" s="12">
        <f t="shared" si="6"/>
        <v>0.0999043202053352</v>
      </c>
      <c r="P48" s="12"/>
      <c r="Q48" s="9">
        <f t="shared" si="7"/>
        <v>9890.52770032818</v>
      </c>
      <c r="R48" s="13">
        <f t="shared" si="8"/>
        <v>2890.52770032815</v>
      </c>
    </row>
    <row r="49" spans="1:18">
      <c r="A49" s="14">
        <v>45885</v>
      </c>
      <c r="B49" s="4">
        <f>Data_Entry!X140</f>
        <v>14449.9999999999</v>
      </c>
      <c r="C49" s="4">
        <v>0</v>
      </c>
      <c r="D49" s="5">
        <f>Data_Entry!AD140</f>
        <v>0.48</v>
      </c>
      <c r="E49" s="6">
        <f t="shared" si="0"/>
        <v>0.145959595959595</v>
      </c>
      <c r="F49" s="7">
        <v>0</v>
      </c>
      <c r="G49" s="7">
        <v>0</v>
      </c>
      <c r="H49" s="8">
        <f t="shared" si="1"/>
        <v>0</v>
      </c>
      <c r="I49" s="8">
        <f t="shared" si="2"/>
        <v>0</v>
      </c>
      <c r="J49" s="9">
        <v>4125</v>
      </c>
      <c r="K49" s="10"/>
      <c r="L49" s="9">
        <f t="shared" si="3"/>
        <v>49500</v>
      </c>
      <c r="M49" s="8">
        <f t="shared" si="4"/>
        <v>0</v>
      </c>
      <c r="N49" s="11">
        <f t="shared" si="5"/>
        <v>1</v>
      </c>
      <c r="O49" s="12">
        <f t="shared" si="6"/>
        <v>0.145959595959595</v>
      </c>
      <c r="P49" s="12"/>
      <c r="Q49" s="9">
        <f t="shared" si="7"/>
        <v>14449.9999999999</v>
      </c>
      <c r="R49" s="13">
        <f t="shared" si="8"/>
        <v>0</v>
      </c>
    </row>
    <row r="50" spans="1:18">
      <c r="A50" s="14">
        <v>45886</v>
      </c>
      <c r="B50" s="4">
        <f>Data_Entry!X141</f>
        <v>16100</v>
      </c>
      <c r="C50" s="4">
        <v>0</v>
      </c>
      <c r="D50" s="5">
        <f>Data_Entry!AD141</f>
        <v>0.51</v>
      </c>
      <c r="E50" s="6">
        <f t="shared" si="0"/>
        <v>0.162626262626263</v>
      </c>
      <c r="F50" s="7">
        <v>0</v>
      </c>
      <c r="G50" s="7">
        <v>0</v>
      </c>
      <c r="H50" s="8">
        <f t="shared" si="1"/>
        <v>0</v>
      </c>
      <c r="I50" s="8">
        <f t="shared" si="2"/>
        <v>0</v>
      </c>
      <c r="J50" s="9">
        <v>4125</v>
      </c>
      <c r="K50" s="10"/>
      <c r="L50" s="9">
        <f t="shared" si="3"/>
        <v>49500</v>
      </c>
      <c r="M50" s="8">
        <f t="shared" si="4"/>
        <v>0</v>
      </c>
      <c r="N50" s="11">
        <f t="shared" si="5"/>
        <v>1</v>
      </c>
      <c r="O50" s="12">
        <f t="shared" si="6"/>
        <v>0.162626262626263</v>
      </c>
      <c r="P50" s="12"/>
      <c r="Q50" s="9">
        <f t="shared" si="7"/>
        <v>16100</v>
      </c>
      <c r="R50" s="13">
        <f t="shared" si="8"/>
        <v>0</v>
      </c>
    </row>
    <row r="51" spans="1:18">
      <c r="A51" s="14">
        <v>45887</v>
      </c>
      <c r="B51" s="4">
        <f>Data_Entry!X142</f>
        <v>15600</v>
      </c>
      <c r="C51" s="4">
        <v>0</v>
      </c>
      <c r="D51" s="5">
        <f>Data_Entry!AD142</f>
        <v>3.1</v>
      </c>
      <c r="E51" s="6">
        <f t="shared" si="0"/>
        <v>0.157575757575758</v>
      </c>
      <c r="F51" s="7">
        <v>0</v>
      </c>
      <c r="G51" s="7">
        <v>0</v>
      </c>
      <c r="H51" s="8">
        <f t="shared" si="1"/>
        <v>0</v>
      </c>
      <c r="I51" s="8">
        <f t="shared" si="2"/>
        <v>0</v>
      </c>
      <c r="J51" s="9">
        <v>4125</v>
      </c>
      <c r="K51" s="10"/>
      <c r="L51" s="9">
        <f t="shared" si="3"/>
        <v>49500</v>
      </c>
      <c r="M51" s="8">
        <f t="shared" si="4"/>
        <v>0</v>
      </c>
      <c r="N51" s="11">
        <f t="shared" si="5"/>
        <v>1</v>
      </c>
      <c r="O51" s="12">
        <f t="shared" si="6"/>
        <v>0.157575757575758</v>
      </c>
      <c r="P51" s="12"/>
      <c r="Q51" s="9">
        <f t="shared" si="7"/>
        <v>15600</v>
      </c>
      <c r="R51" s="13">
        <f t="shared" si="8"/>
        <v>0</v>
      </c>
    </row>
    <row r="52" spans="1:18">
      <c r="A52" s="14">
        <v>45888</v>
      </c>
      <c r="B52" s="4">
        <f>Data_Entry!X143</f>
        <v>14850</v>
      </c>
      <c r="C52" s="4">
        <v>0</v>
      </c>
      <c r="D52" s="5">
        <f>Data_Entry!AD143</f>
        <v>0</v>
      </c>
      <c r="E52" s="6">
        <f t="shared" si="0"/>
        <v>0.15</v>
      </c>
      <c r="F52" s="7">
        <v>0</v>
      </c>
      <c r="G52" s="7">
        <v>0</v>
      </c>
      <c r="H52" s="8">
        <f t="shared" si="1"/>
        <v>0</v>
      </c>
      <c r="I52" s="8">
        <f t="shared" si="2"/>
        <v>0</v>
      </c>
      <c r="J52" s="9">
        <v>4125</v>
      </c>
      <c r="K52" s="10"/>
      <c r="L52" s="9">
        <f t="shared" si="3"/>
        <v>49500</v>
      </c>
      <c r="M52" s="8">
        <f t="shared" si="4"/>
        <v>0</v>
      </c>
      <c r="N52" s="11">
        <f t="shared" si="5"/>
        <v>1</v>
      </c>
      <c r="O52" s="12">
        <f t="shared" si="6"/>
        <v>0.15</v>
      </c>
      <c r="P52" s="12"/>
      <c r="Q52" s="9">
        <f t="shared" si="7"/>
        <v>14850</v>
      </c>
      <c r="R52" s="13">
        <f t="shared" si="8"/>
        <v>0</v>
      </c>
    </row>
    <row r="53" spans="1:18">
      <c r="A53" s="14">
        <v>45889</v>
      </c>
      <c r="B53" s="4">
        <f>Data_Entry!X144</f>
        <v>0</v>
      </c>
      <c r="C53" s="4">
        <v>15</v>
      </c>
      <c r="D53" s="5">
        <f>Data_Entry!AD144</f>
        <v>0</v>
      </c>
      <c r="E53" s="6">
        <f t="shared" si="0"/>
        <v>0</v>
      </c>
      <c r="F53" s="7">
        <v>0.291666666666667</v>
      </c>
      <c r="G53" s="7">
        <v>0.791666666666667</v>
      </c>
      <c r="H53" s="8">
        <f t="shared" si="1"/>
        <v>720</v>
      </c>
      <c r="I53" s="8">
        <f t="shared" si="2"/>
        <v>12</v>
      </c>
      <c r="J53" s="9">
        <v>4125</v>
      </c>
      <c r="K53" s="10">
        <v>4822.16</v>
      </c>
      <c r="L53" s="9">
        <f t="shared" si="3"/>
        <v>49500</v>
      </c>
      <c r="M53" s="8">
        <f t="shared" si="4"/>
        <v>57865.92</v>
      </c>
      <c r="N53" s="11">
        <f t="shared" si="5"/>
        <v>-0.169008484848485</v>
      </c>
      <c r="O53" s="12">
        <f t="shared" si="6"/>
        <v>0</v>
      </c>
      <c r="P53" s="12"/>
      <c r="Q53" s="9">
        <f t="shared" si="7"/>
        <v>0</v>
      </c>
      <c r="R53" s="13">
        <f t="shared" si="8"/>
        <v>0</v>
      </c>
    </row>
    <row r="54" spans="1:18">
      <c r="A54" s="14">
        <v>45890</v>
      </c>
      <c r="B54" s="4">
        <f>Data_Entry!X145</f>
        <v>0</v>
      </c>
      <c r="C54" s="4">
        <v>15</v>
      </c>
      <c r="D54" s="5">
        <f>Data_Entry!AD145</f>
        <v>0</v>
      </c>
      <c r="E54" s="6">
        <f t="shared" si="0"/>
        <v>0</v>
      </c>
      <c r="F54" s="7">
        <v>0.291666666666667</v>
      </c>
      <c r="G54" s="7">
        <v>0.791666666666667</v>
      </c>
      <c r="H54" s="8">
        <f t="shared" si="1"/>
        <v>720</v>
      </c>
      <c r="I54" s="8">
        <f t="shared" si="2"/>
        <v>12</v>
      </c>
      <c r="J54" s="9">
        <v>4125</v>
      </c>
      <c r="K54" s="10">
        <v>4822.16</v>
      </c>
      <c r="L54" s="9">
        <f t="shared" si="3"/>
        <v>49500</v>
      </c>
      <c r="M54" s="8">
        <f t="shared" si="4"/>
        <v>57865.92</v>
      </c>
      <c r="N54" s="11">
        <f t="shared" si="5"/>
        <v>-0.169008484848485</v>
      </c>
      <c r="O54" s="12">
        <f t="shared" si="6"/>
        <v>0</v>
      </c>
      <c r="P54" s="12"/>
      <c r="Q54" s="9">
        <f t="shared" si="7"/>
        <v>0</v>
      </c>
      <c r="R54" s="13">
        <f t="shared" si="8"/>
        <v>0</v>
      </c>
    </row>
    <row r="55" spans="1:18">
      <c r="A55" s="14">
        <v>45891</v>
      </c>
      <c r="B55" s="4">
        <f>Data_Entry!X146</f>
        <v>0</v>
      </c>
      <c r="C55" s="4">
        <v>15</v>
      </c>
      <c r="D55" s="5">
        <f>Data_Entry!AD146</f>
        <v>0</v>
      </c>
      <c r="E55" s="6">
        <f t="shared" si="0"/>
        <v>0</v>
      </c>
      <c r="F55" s="7">
        <v>0.291666666666667</v>
      </c>
      <c r="G55" s="7">
        <v>0.791666666666667</v>
      </c>
      <c r="H55" s="8">
        <f t="shared" si="1"/>
        <v>720</v>
      </c>
      <c r="I55" s="8">
        <f t="shared" si="2"/>
        <v>12</v>
      </c>
      <c r="J55" s="9">
        <v>4125</v>
      </c>
      <c r="K55" s="10">
        <v>4822.16</v>
      </c>
      <c r="L55" s="9">
        <f t="shared" si="3"/>
        <v>49500</v>
      </c>
      <c r="M55" s="8">
        <f t="shared" si="4"/>
        <v>57865.92</v>
      </c>
      <c r="N55" s="11">
        <f t="shared" si="5"/>
        <v>-0.169008484848485</v>
      </c>
      <c r="O55" s="12">
        <f t="shared" si="6"/>
        <v>0</v>
      </c>
      <c r="P55" s="12"/>
      <c r="Q55" s="9">
        <f t="shared" si="7"/>
        <v>0</v>
      </c>
      <c r="R55" s="13">
        <f t="shared" si="8"/>
        <v>0</v>
      </c>
    </row>
    <row r="56" spans="1:18">
      <c r="A56" s="14">
        <v>45892</v>
      </c>
      <c r="B56" s="4">
        <f>Data_Entry!X147</f>
        <v>0</v>
      </c>
      <c r="C56" s="4">
        <v>15</v>
      </c>
      <c r="D56" s="5">
        <f>Data_Entry!AD147</f>
        <v>0</v>
      </c>
      <c r="E56" s="6">
        <f t="shared" si="0"/>
        <v>0</v>
      </c>
      <c r="F56" s="7">
        <v>0.291666666666667</v>
      </c>
      <c r="G56" s="7">
        <v>0.791666666666667</v>
      </c>
      <c r="H56" s="8">
        <f t="shared" si="1"/>
        <v>720</v>
      </c>
      <c r="I56" s="8">
        <f t="shared" si="2"/>
        <v>12</v>
      </c>
      <c r="J56" s="9">
        <v>4125</v>
      </c>
      <c r="K56" s="10">
        <v>4822.16</v>
      </c>
      <c r="L56" s="9">
        <f t="shared" si="3"/>
        <v>49500</v>
      </c>
      <c r="M56" s="8">
        <f t="shared" si="4"/>
        <v>57865.92</v>
      </c>
      <c r="N56" s="11">
        <f t="shared" si="5"/>
        <v>-0.169008484848485</v>
      </c>
      <c r="O56" s="12">
        <f t="shared" si="6"/>
        <v>0</v>
      </c>
      <c r="P56" s="12"/>
      <c r="Q56" s="9">
        <f t="shared" si="7"/>
        <v>0</v>
      </c>
      <c r="R56" s="13">
        <f t="shared" si="8"/>
        <v>0</v>
      </c>
    </row>
    <row r="57" spans="1:18">
      <c r="A57" s="14">
        <v>45893</v>
      </c>
      <c r="B57" s="4">
        <f>Data_Entry!X148</f>
        <v>0</v>
      </c>
      <c r="C57" s="4">
        <v>15</v>
      </c>
      <c r="D57" s="5">
        <f>Data_Entry!AD148</f>
        <v>0</v>
      </c>
      <c r="E57" s="6">
        <f t="shared" si="0"/>
        <v>0</v>
      </c>
      <c r="F57" s="7">
        <v>0.291666666666667</v>
      </c>
      <c r="G57" s="7">
        <v>0.791666666666667</v>
      </c>
      <c r="H57" s="8">
        <f t="shared" si="1"/>
        <v>720</v>
      </c>
      <c r="I57" s="8">
        <f t="shared" si="2"/>
        <v>12</v>
      </c>
      <c r="J57" s="9">
        <v>4125</v>
      </c>
      <c r="K57" s="10">
        <v>4822.16</v>
      </c>
      <c r="L57" s="9">
        <f t="shared" si="3"/>
        <v>49500</v>
      </c>
      <c r="M57" s="8">
        <f t="shared" si="4"/>
        <v>57865.92</v>
      </c>
      <c r="N57" s="11">
        <f t="shared" si="5"/>
        <v>-0.169008484848485</v>
      </c>
      <c r="O57" s="12">
        <f t="shared" si="6"/>
        <v>0</v>
      </c>
      <c r="P57" s="12"/>
      <c r="Q57" s="9">
        <f t="shared" si="7"/>
        <v>0</v>
      </c>
      <c r="R57" s="13">
        <f t="shared" si="8"/>
        <v>0</v>
      </c>
    </row>
    <row r="58" spans="1:18">
      <c r="A58" s="14">
        <v>45894</v>
      </c>
      <c r="B58" s="4">
        <f>Data_Entry!X149</f>
        <v>0</v>
      </c>
      <c r="C58" s="4">
        <v>15</v>
      </c>
      <c r="D58" s="5">
        <f>Data_Entry!AD149</f>
        <v>0</v>
      </c>
      <c r="E58" s="6">
        <f t="shared" si="0"/>
        <v>0</v>
      </c>
      <c r="F58" s="7">
        <v>0.291666666666667</v>
      </c>
      <c r="G58" s="7">
        <v>0.791666666666667</v>
      </c>
      <c r="H58" s="8">
        <f t="shared" si="1"/>
        <v>720</v>
      </c>
      <c r="I58" s="8">
        <f t="shared" si="2"/>
        <v>12</v>
      </c>
      <c r="J58" s="9">
        <v>4125</v>
      </c>
      <c r="K58" s="10">
        <v>4822.16</v>
      </c>
      <c r="L58" s="9">
        <f t="shared" si="3"/>
        <v>49500</v>
      </c>
      <c r="M58" s="8">
        <f t="shared" si="4"/>
        <v>57865.92</v>
      </c>
      <c r="N58" s="11">
        <f t="shared" si="5"/>
        <v>-0.169008484848485</v>
      </c>
      <c r="O58" s="12">
        <f t="shared" si="6"/>
        <v>0</v>
      </c>
      <c r="P58" s="12"/>
      <c r="Q58" s="9">
        <f t="shared" si="7"/>
        <v>0</v>
      </c>
      <c r="R58" s="13">
        <f t="shared" si="8"/>
        <v>0</v>
      </c>
    </row>
    <row r="59" spans="1:18">
      <c r="A59" s="14">
        <v>45895</v>
      </c>
      <c r="B59" s="4">
        <f>Data_Entry!X150</f>
        <v>0</v>
      </c>
      <c r="C59" s="4">
        <v>15</v>
      </c>
      <c r="D59" s="5">
        <f>Data_Entry!AD150</f>
        <v>0</v>
      </c>
      <c r="E59" s="6">
        <f t="shared" si="0"/>
        <v>0</v>
      </c>
      <c r="F59" s="7">
        <v>0.291666666666667</v>
      </c>
      <c r="G59" s="7">
        <v>0.791666666666667</v>
      </c>
      <c r="H59" s="8">
        <f t="shared" si="1"/>
        <v>720</v>
      </c>
      <c r="I59" s="8">
        <f t="shared" si="2"/>
        <v>12</v>
      </c>
      <c r="J59" s="9">
        <v>4125</v>
      </c>
      <c r="K59" s="10">
        <v>4822.16</v>
      </c>
      <c r="L59" s="9">
        <f t="shared" si="3"/>
        <v>49500</v>
      </c>
      <c r="M59" s="8">
        <f t="shared" si="4"/>
        <v>57865.92</v>
      </c>
      <c r="N59" s="11">
        <f t="shared" si="5"/>
        <v>-0.169008484848485</v>
      </c>
      <c r="O59" s="12">
        <f t="shared" si="6"/>
        <v>0</v>
      </c>
      <c r="P59" s="12"/>
      <c r="Q59" s="9">
        <f t="shared" si="7"/>
        <v>0</v>
      </c>
      <c r="R59" s="13">
        <f t="shared" si="8"/>
        <v>0</v>
      </c>
    </row>
    <row r="60" spans="1:18">
      <c r="A60" s="14">
        <v>45896</v>
      </c>
      <c r="B60" s="4">
        <f>Data_Entry!X151</f>
        <v>0</v>
      </c>
      <c r="C60" s="4">
        <v>15</v>
      </c>
      <c r="D60" s="5">
        <f>Data_Entry!AD151</f>
        <v>0</v>
      </c>
      <c r="E60" s="6">
        <f t="shared" si="0"/>
        <v>0</v>
      </c>
      <c r="F60" s="7">
        <v>0.291666666666667</v>
      </c>
      <c r="G60" s="7">
        <v>0.791666666666667</v>
      </c>
      <c r="H60" s="8">
        <f t="shared" si="1"/>
        <v>720</v>
      </c>
      <c r="I60" s="8">
        <f t="shared" si="2"/>
        <v>12</v>
      </c>
      <c r="J60" s="9">
        <v>4125</v>
      </c>
      <c r="K60" s="10">
        <v>4822.16</v>
      </c>
      <c r="L60" s="9">
        <f t="shared" si="3"/>
        <v>49500</v>
      </c>
      <c r="M60" s="8">
        <f t="shared" si="4"/>
        <v>57865.92</v>
      </c>
      <c r="N60" s="11">
        <f t="shared" si="5"/>
        <v>-0.169008484848485</v>
      </c>
      <c r="O60" s="12">
        <f t="shared" si="6"/>
        <v>0</v>
      </c>
      <c r="P60" s="12"/>
      <c r="Q60" s="9">
        <f t="shared" si="7"/>
        <v>0</v>
      </c>
      <c r="R60" s="13">
        <f t="shared" si="8"/>
        <v>0</v>
      </c>
    </row>
    <row r="61" spans="1:18">
      <c r="A61" s="14">
        <v>45897</v>
      </c>
      <c r="B61" s="4">
        <f>Data_Entry!X152</f>
        <v>0</v>
      </c>
      <c r="C61" s="4">
        <v>15</v>
      </c>
      <c r="D61" s="5">
        <f>Data_Entry!AD152</f>
        <v>0</v>
      </c>
      <c r="E61" s="6">
        <f t="shared" si="0"/>
        <v>0</v>
      </c>
      <c r="F61" s="7">
        <v>0.291666666666667</v>
      </c>
      <c r="G61" s="7">
        <v>0.791666666666667</v>
      </c>
      <c r="H61" s="8">
        <f t="shared" si="1"/>
        <v>720</v>
      </c>
      <c r="I61" s="8">
        <f t="shared" si="2"/>
        <v>12</v>
      </c>
      <c r="J61" s="9">
        <v>4125</v>
      </c>
      <c r="K61" s="10">
        <v>4822.16</v>
      </c>
      <c r="L61" s="9">
        <f t="shared" si="3"/>
        <v>49500</v>
      </c>
      <c r="M61" s="8">
        <f t="shared" si="4"/>
        <v>57865.92</v>
      </c>
      <c r="N61" s="11">
        <f t="shared" si="5"/>
        <v>-0.169008484848485</v>
      </c>
      <c r="O61" s="12">
        <f t="shared" si="6"/>
        <v>0</v>
      </c>
      <c r="P61" s="12"/>
      <c r="Q61" s="9">
        <f t="shared" si="7"/>
        <v>0</v>
      </c>
      <c r="R61" s="13">
        <f t="shared" si="8"/>
        <v>0</v>
      </c>
    </row>
    <row r="62" spans="1:18">
      <c r="A62" s="14">
        <v>45898</v>
      </c>
      <c r="B62" s="4">
        <f>Data_Entry!X153</f>
        <v>0</v>
      </c>
      <c r="C62" s="4">
        <v>15</v>
      </c>
      <c r="D62" s="5">
        <f>Data_Entry!AD153</f>
        <v>0</v>
      </c>
      <c r="E62" s="6">
        <f t="shared" si="0"/>
        <v>0</v>
      </c>
      <c r="F62" s="7">
        <v>0.291666666666667</v>
      </c>
      <c r="G62" s="7">
        <v>0.791666666666667</v>
      </c>
      <c r="H62" s="8">
        <f t="shared" si="1"/>
        <v>720</v>
      </c>
      <c r="I62" s="8">
        <f t="shared" si="2"/>
        <v>12</v>
      </c>
      <c r="J62" s="9">
        <v>4125</v>
      </c>
      <c r="K62" s="10">
        <v>4822.16</v>
      </c>
      <c r="L62" s="9">
        <f t="shared" si="3"/>
        <v>49500</v>
      </c>
      <c r="M62" s="8">
        <f t="shared" si="4"/>
        <v>57865.92</v>
      </c>
      <c r="N62" s="11">
        <f t="shared" si="5"/>
        <v>-0.169008484848485</v>
      </c>
      <c r="O62" s="12">
        <f t="shared" si="6"/>
        <v>0</v>
      </c>
      <c r="P62" s="12"/>
      <c r="Q62" s="9">
        <f t="shared" si="7"/>
        <v>0</v>
      </c>
      <c r="R62" s="13">
        <f t="shared" si="8"/>
        <v>0</v>
      </c>
    </row>
    <row r="63" spans="1:18">
      <c r="A63" s="14">
        <v>45899</v>
      </c>
      <c r="B63" s="4">
        <f>Data_Entry!X154</f>
        <v>1050.00000000004</v>
      </c>
      <c r="C63" s="4">
        <v>0</v>
      </c>
      <c r="D63" s="5">
        <f>Data_Entry!AD154</f>
        <v>0</v>
      </c>
      <c r="E63" s="6">
        <f t="shared" si="0"/>
        <v>0.010606060606061</v>
      </c>
      <c r="F63" s="7">
        <v>0</v>
      </c>
      <c r="G63" s="7">
        <v>0</v>
      </c>
      <c r="H63" s="8">
        <f t="shared" si="1"/>
        <v>0</v>
      </c>
      <c r="I63" s="8">
        <f t="shared" si="2"/>
        <v>0</v>
      </c>
      <c r="J63" s="9">
        <v>4125</v>
      </c>
      <c r="K63" s="10">
        <v>4822.16</v>
      </c>
      <c r="L63" s="9">
        <f t="shared" si="3"/>
        <v>49500</v>
      </c>
      <c r="M63" s="8">
        <f t="shared" si="4"/>
        <v>0</v>
      </c>
      <c r="N63" s="11">
        <f t="shared" si="5"/>
        <v>1</v>
      </c>
      <c r="O63" s="12">
        <f t="shared" si="6"/>
        <v>0.010606060606061</v>
      </c>
      <c r="P63" s="12"/>
      <c r="Q63" s="9">
        <f t="shared" si="7"/>
        <v>1050.00000000004</v>
      </c>
      <c r="R63" s="13">
        <f t="shared" si="8"/>
        <v>0</v>
      </c>
    </row>
    <row r="64" spans="1:18">
      <c r="A64" s="14">
        <v>45900</v>
      </c>
      <c r="B64" s="4">
        <f>Data_Entry!X155</f>
        <v>0</v>
      </c>
      <c r="C64" s="4">
        <v>15</v>
      </c>
      <c r="D64" s="5">
        <f>Data_Entry!AD155</f>
        <v>0</v>
      </c>
      <c r="E64" s="6">
        <f t="shared" si="0"/>
        <v>0</v>
      </c>
      <c r="F64" s="7">
        <v>0.291666666666667</v>
      </c>
      <c r="G64" s="7">
        <v>0.791666666666667</v>
      </c>
      <c r="H64" s="8">
        <f t="shared" si="1"/>
        <v>720</v>
      </c>
      <c r="I64" s="8">
        <f t="shared" si="2"/>
        <v>12</v>
      </c>
      <c r="J64" s="9">
        <v>4125</v>
      </c>
      <c r="K64" s="10">
        <v>4822.16</v>
      </c>
      <c r="L64" s="9">
        <f t="shared" si="3"/>
        <v>49500</v>
      </c>
      <c r="M64" s="8">
        <f t="shared" si="4"/>
        <v>57865.92</v>
      </c>
      <c r="N64" s="11">
        <f t="shared" si="5"/>
        <v>-0.169008484848485</v>
      </c>
      <c r="O64" s="12">
        <f t="shared" si="6"/>
        <v>0</v>
      </c>
      <c r="P64" s="12"/>
      <c r="Q64" s="9">
        <f t="shared" si="7"/>
        <v>0</v>
      </c>
      <c r="R64" s="13">
        <f t="shared" si="8"/>
        <v>0</v>
      </c>
    </row>
    <row r="65" spans="1:18">
      <c r="A65" s="14"/>
      <c r="B65" s="4"/>
      <c r="C65" s="4"/>
      <c r="D65" s="5"/>
      <c r="E65" s="6"/>
      <c r="F65" s="7"/>
      <c r="G65" s="7"/>
      <c r="H65" s="8"/>
      <c r="I65" s="8"/>
      <c r="J65" s="9"/>
      <c r="K65" s="10"/>
      <c r="L65" s="9"/>
      <c r="M65" s="8"/>
      <c r="N65" s="11">
        <f>AVERAGE(N34:N64)</f>
        <v>0.564292939719779</v>
      </c>
      <c r="O65" s="12"/>
      <c r="P65" s="12"/>
      <c r="Q65" s="9"/>
      <c r="R65" s="13"/>
    </row>
    <row r="66" spans="1:18">
      <c r="A66" s="14">
        <v>45901</v>
      </c>
      <c r="B66" s="4">
        <f>Data_Entry!X156</f>
        <v>0</v>
      </c>
      <c r="C66" s="4">
        <v>15</v>
      </c>
      <c r="D66" s="5">
        <f>Data_Entry!AD156</f>
        <v>0</v>
      </c>
      <c r="E66" s="6">
        <f t="shared" si="0"/>
        <v>0</v>
      </c>
      <c r="F66" s="7">
        <v>0</v>
      </c>
      <c r="G66" s="7">
        <v>0</v>
      </c>
      <c r="H66" s="8">
        <f t="shared" si="1"/>
        <v>0</v>
      </c>
      <c r="I66" s="8">
        <f t="shared" si="2"/>
        <v>0</v>
      </c>
      <c r="J66" s="9">
        <v>4125</v>
      </c>
      <c r="K66" s="10"/>
      <c r="L66" s="9">
        <f t="shared" si="3"/>
        <v>49500</v>
      </c>
      <c r="M66" s="8">
        <f t="shared" si="4"/>
        <v>0</v>
      </c>
      <c r="N66" s="11">
        <f t="shared" si="5"/>
        <v>1</v>
      </c>
      <c r="O66" s="12">
        <f t="shared" si="6"/>
        <v>0</v>
      </c>
      <c r="P66" s="12"/>
      <c r="Q66" s="9">
        <f t="shared" si="7"/>
        <v>0</v>
      </c>
      <c r="R66" s="13">
        <f t="shared" si="8"/>
        <v>0</v>
      </c>
    </row>
    <row r="67" spans="1:18">
      <c r="A67" s="14">
        <v>45902</v>
      </c>
      <c r="B67" s="4">
        <f>Data_Entry!X157</f>
        <v>0</v>
      </c>
      <c r="C67" s="4">
        <v>15</v>
      </c>
      <c r="D67" s="5">
        <f>Data_Entry!AD157</f>
        <v>0</v>
      </c>
      <c r="E67" s="6">
        <f t="shared" si="0"/>
        <v>0</v>
      </c>
      <c r="F67" s="7">
        <v>0</v>
      </c>
      <c r="G67" s="7">
        <v>0</v>
      </c>
      <c r="H67" s="8">
        <f t="shared" si="1"/>
        <v>0</v>
      </c>
      <c r="I67" s="8">
        <f t="shared" si="2"/>
        <v>0</v>
      </c>
      <c r="J67" s="9">
        <v>4125</v>
      </c>
      <c r="K67" s="10"/>
      <c r="L67" s="9">
        <f t="shared" si="3"/>
        <v>49500</v>
      </c>
      <c r="M67" s="8">
        <f t="shared" si="4"/>
        <v>0</v>
      </c>
      <c r="N67" s="11">
        <f t="shared" si="5"/>
        <v>1</v>
      </c>
      <c r="O67" s="12">
        <f t="shared" si="6"/>
        <v>0</v>
      </c>
      <c r="P67" s="12"/>
      <c r="Q67" s="9">
        <f t="shared" si="7"/>
        <v>0</v>
      </c>
      <c r="R67" s="13">
        <f t="shared" si="8"/>
        <v>0</v>
      </c>
    </row>
    <row r="68" spans="1:18">
      <c r="A68" s="14">
        <v>45903</v>
      </c>
      <c r="B68" s="4">
        <f>Data_Entry!X158</f>
        <v>0</v>
      </c>
      <c r="C68" s="4">
        <v>15</v>
      </c>
      <c r="D68" s="5">
        <f>Data_Entry!AD158</f>
        <v>0</v>
      </c>
      <c r="E68" s="6">
        <f t="shared" ref="E68:E128" si="9">B68/(24*J68)</f>
        <v>0</v>
      </c>
      <c r="F68" s="7">
        <v>0</v>
      </c>
      <c r="G68" s="7">
        <v>0</v>
      </c>
      <c r="H68" s="8">
        <f t="shared" ref="H68:H128" si="10">(G68-F68)*24*60</f>
        <v>0</v>
      </c>
      <c r="I68" s="8">
        <f t="shared" ref="I68:I128" si="11">H68/60</f>
        <v>0</v>
      </c>
      <c r="J68" s="9">
        <v>4125</v>
      </c>
      <c r="K68" s="10"/>
      <c r="L68" s="9">
        <f t="shared" ref="L68:L128" si="12">J68*12</f>
        <v>49500</v>
      </c>
      <c r="M68" s="8">
        <f t="shared" ref="M68:M128" si="13">K68*I68</f>
        <v>0</v>
      </c>
      <c r="N68" s="11">
        <f t="shared" ref="N68:N128" si="14">(L68-M68)/L68</f>
        <v>1</v>
      </c>
      <c r="O68" s="12">
        <f t="shared" ref="O68:O128" si="15">E68/N68</f>
        <v>0</v>
      </c>
      <c r="P68" s="12"/>
      <c r="Q68" s="9">
        <f t="shared" ref="Q68:Q128" si="16">O68*J68*24</f>
        <v>0</v>
      </c>
      <c r="R68" s="13">
        <f t="shared" ref="R68:R128" si="17">Q68-B68</f>
        <v>0</v>
      </c>
    </row>
    <row r="69" spans="1:18">
      <c r="A69" s="14">
        <v>45904</v>
      </c>
      <c r="B69" s="4">
        <f>Data_Entry!X159</f>
        <v>0</v>
      </c>
      <c r="C69" s="4">
        <v>15</v>
      </c>
      <c r="D69" s="5">
        <f>Data_Entry!AD159</f>
        <v>0</v>
      </c>
      <c r="E69" s="6">
        <f t="shared" si="9"/>
        <v>0</v>
      </c>
      <c r="F69" s="7">
        <v>0</v>
      </c>
      <c r="G69" s="7">
        <v>0</v>
      </c>
      <c r="H69" s="8">
        <f t="shared" si="10"/>
        <v>0</v>
      </c>
      <c r="I69" s="8">
        <f t="shared" si="11"/>
        <v>0</v>
      </c>
      <c r="J69" s="9">
        <v>4125</v>
      </c>
      <c r="K69" s="10"/>
      <c r="L69" s="9">
        <f t="shared" si="12"/>
        <v>49500</v>
      </c>
      <c r="M69" s="8">
        <f t="shared" si="13"/>
        <v>0</v>
      </c>
      <c r="N69" s="11">
        <f t="shared" si="14"/>
        <v>1</v>
      </c>
      <c r="O69" s="12">
        <f t="shared" si="15"/>
        <v>0</v>
      </c>
      <c r="P69" s="12"/>
      <c r="Q69" s="9">
        <f t="shared" si="16"/>
        <v>0</v>
      </c>
      <c r="R69" s="13">
        <f t="shared" si="17"/>
        <v>0</v>
      </c>
    </row>
    <row r="70" spans="1:18">
      <c r="A70" s="14">
        <v>45905</v>
      </c>
      <c r="B70" s="4">
        <f>Data_Entry!X160</f>
        <v>0</v>
      </c>
      <c r="C70" s="4">
        <v>15</v>
      </c>
      <c r="D70" s="5">
        <f>Data_Entry!AD160</f>
        <v>0</v>
      </c>
      <c r="E70" s="6">
        <f t="shared" si="9"/>
        <v>0</v>
      </c>
      <c r="F70" s="7">
        <v>0</v>
      </c>
      <c r="G70" s="7">
        <v>0</v>
      </c>
      <c r="H70" s="8">
        <f t="shared" si="10"/>
        <v>0</v>
      </c>
      <c r="I70" s="8">
        <f t="shared" si="11"/>
        <v>0</v>
      </c>
      <c r="J70" s="9">
        <v>4125</v>
      </c>
      <c r="K70" s="10"/>
      <c r="L70" s="9">
        <f t="shared" si="12"/>
        <v>49500</v>
      </c>
      <c r="M70" s="8">
        <f t="shared" si="13"/>
        <v>0</v>
      </c>
      <c r="N70" s="11">
        <f t="shared" si="14"/>
        <v>1</v>
      </c>
      <c r="O70" s="12">
        <f t="shared" si="15"/>
        <v>0</v>
      </c>
      <c r="P70" s="12"/>
      <c r="Q70" s="9">
        <f t="shared" si="16"/>
        <v>0</v>
      </c>
      <c r="R70" s="13">
        <f t="shared" si="17"/>
        <v>0</v>
      </c>
    </row>
    <row r="71" spans="1:18">
      <c r="A71" s="14">
        <v>45906</v>
      </c>
      <c r="B71" s="4">
        <f>Data_Entry!X161</f>
        <v>0</v>
      </c>
      <c r="C71" s="4">
        <v>15</v>
      </c>
      <c r="D71" s="5">
        <f>Data_Entry!AD161</f>
        <v>0</v>
      </c>
      <c r="E71" s="6">
        <f t="shared" si="9"/>
        <v>0</v>
      </c>
      <c r="F71" s="7">
        <v>0</v>
      </c>
      <c r="G71" s="7">
        <v>0</v>
      </c>
      <c r="H71" s="8">
        <f t="shared" si="10"/>
        <v>0</v>
      </c>
      <c r="I71" s="8">
        <f t="shared" si="11"/>
        <v>0</v>
      </c>
      <c r="J71" s="9">
        <v>4125</v>
      </c>
      <c r="K71" s="10"/>
      <c r="L71" s="9">
        <f t="shared" si="12"/>
        <v>49500</v>
      </c>
      <c r="M71" s="8">
        <f t="shared" si="13"/>
        <v>0</v>
      </c>
      <c r="N71" s="11">
        <f t="shared" si="14"/>
        <v>1</v>
      </c>
      <c r="O71" s="12">
        <f t="shared" si="15"/>
        <v>0</v>
      </c>
      <c r="P71" s="12"/>
      <c r="Q71" s="9">
        <f t="shared" si="16"/>
        <v>0</v>
      </c>
      <c r="R71" s="13">
        <f t="shared" si="17"/>
        <v>0</v>
      </c>
    </row>
    <row r="72" spans="1:18">
      <c r="A72" s="14">
        <v>45907</v>
      </c>
      <c r="B72" s="4">
        <f>Data_Entry!X162</f>
        <v>0</v>
      </c>
      <c r="C72" s="4">
        <v>15</v>
      </c>
      <c r="D72" s="5">
        <f>Data_Entry!AD162</f>
        <v>0</v>
      </c>
      <c r="E72" s="6">
        <f t="shared" si="9"/>
        <v>0</v>
      </c>
      <c r="F72" s="7">
        <v>0</v>
      </c>
      <c r="G72" s="7">
        <v>0</v>
      </c>
      <c r="H72" s="8">
        <f t="shared" si="10"/>
        <v>0</v>
      </c>
      <c r="I72" s="8">
        <f t="shared" si="11"/>
        <v>0</v>
      </c>
      <c r="J72" s="9">
        <v>4125</v>
      </c>
      <c r="K72" s="10"/>
      <c r="L72" s="9">
        <f t="shared" si="12"/>
        <v>49500</v>
      </c>
      <c r="M72" s="8">
        <f t="shared" si="13"/>
        <v>0</v>
      </c>
      <c r="N72" s="11">
        <f t="shared" si="14"/>
        <v>1</v>
      </c>
      <c r="O72" s="12">
        <f t="shared" si="15"/>
        <v>0</v>
      </c>
      <c r="P72" s="12"/>
      <c r="Q72" s="9">
        <f t="shared" si="16"/>
        <v>0</v>
      </c>
      <c r="R72" s="13">
        <f t="shared" si="17"/>
        <v>0</v>
      </c>
    </row>
    <row r="73" spans="1:18">
      <c r="A73" s="14">
        <v>45908</v>
      </c>
      <c r="B73" s="4">
        <f>Data_Entry!X163</f>
        <v>0</v>
      </c>
      <c r="C73" s="4">
        <v>15</v>
      </c>
      <c r="D73" s="5">
        <f>Data_Entry!AD163</f>
        <v>0</v>
      </c>
      <c r="E73" s="6">
        <f t="shared" si="9"/>
        <v>0</v>
      </c>
      <c r="F73" s="7">
        <v>0</v>
      </c>
      <c r="G73" s="7">
        <v>0</v>
      </c>
      <c r="H73" s="8">
        <f t="shared" si="10"/>
        <v>0</v>
      </c>
      <c r="I73" s="8">
        <f t="shared" si="11"/>
        <v>0</v>
      </c>
      <c r="J73" s="9">
        <v>4125</v>
      </c>
      <c r="K73" s="10"/>
      <c r="L73" s="9">
        <f t="shared" si="12"/>
        <v>49500</v>
      </c>
      <c r="M73" s="8">
        <f t="shared" si="13"/>
        <v>0</v>
      </c>
      <c r="N73" s="11">
        <f t="shared" si="14"/>
        <v>1</v>
      </c>
      <c r="O73" s="12">
        <f t="shared" si="15"/>
        <v>0</v>
      </c>
      <c r="P73" s="12"/>
      <c r="Q73" s="9">
        <f t="shared" si="16"/>
        <v>0</v>
      </c>
      <c r="R73" s="13">
        <f t="shared" si="17"/>
        <v>0</v>
      </c>
    </row>
    <row r="74" spans="1:18">
      <c r="A74" s="14">
        <v>45909</v>
      </c>
      <c r="B74" s="4">
        <f>Data_Entry!X164</f>
        <v>399.99999999992</v>
      </c>
      <c r="C74" s="4">
        <v>0</v>
      </c>
      <c r="D74" s="5">
        <f>Data_Entry!AD164</f>
        <v>0</v>
      </c>
      <c r="E74" s="6">
        <f t="shared" si="9"/>
        <v>0.00404040404040324</v>
      </c>
      <c r="F74" s="7">
        <v>0</v>
      </c>
      <c r="G74" s="7">
        <v>0</v>
      </c>
      <c r="H74" s="8">
        <f t="shared" si="10"/>
        <v>0</v>
      </c>
      <c r="I74" s="8">
        <f t="shared" si="11"/>
        <v>0</v>
      </c>
      <c r="J74" s="9">
        <v>4125</v>
      </c>
      <c r="K74" s="10"/>
      <c r="L74" s="9">
        <f t="shared" si="12"/>
        <v>49500</v>
      </c>
      <c r="M74" s="8">
        <f t="shared" si="13"/>
        <v>0</v>
      </c>
      <c r="N74" s="11">
        <f t="shared" si="14"/>
        <v>1</v>
      </c>
      <c r="O74" s="12">
        <f t="shared" si="15"/>
        <v>0.00404040404040324</v>
      </c>
      <c r="P74" s="12"/>
      <c r="Q74" s="9">
        <f t="shared" si="16"/>
        <v>399.99999999992</v>
      </c>
      <c r="R74" s="13">
        <f t="shared" si="17"/>
        <v>0</v>
      </c>
    </row>
    <row r="75" spans="1:18">
      <c r="A75" s="14">
        <v>45910</v>
      </c>
      <c r="B75" s="4">
        <f>Data_Entry!X165</f>
        <v>1450.0000000001</v>
      </c>
      <c r="C75" s="4">
        <v>0</v>
      </c>
      <c r="D75" s="5">
        <f>Data_Entry!AD165</f>
        <v>0</v>
      </c>
      <c r="E75" s="6">
        <f t="shared" si="9"/>
        <v>0.0146464646464657</v>
      </c>
      <c r="F75" s="7">
        <v>0</v>
      </c>
      <c r="G75" s="7">
        <v>0</v>
      </c>
      <c r="H75" s="8">
        <f t="shared" si="10"/>
        <v>0</v>
      </c>
      <c r="I75" s="8">
        <f t="shared" si="11"/>
        <v>0</v>
      </c>
      <c r="J75" s="9">
        <v>4125</v>
      </c>
      <c r="K75" s="10"/>
      <c r="L75" s="9">
        <f t="shared" si="12"/>
        <v>49500</v>
      </c>
      <c r="M75" s="8">
        <f t="shared" si="13"/>
        <v>0</v>
      </c>
      <c r="N75" s="11">
        <f t="shared" si="14"/>
        <v>1</v>
      </c>
      <c r="O75" s="12">
        <f t="shared" si="15"/>
        <v>0.0146464646464657</v>
      </c>
      <c r="P75" s="12"/>
      <c r="Q75" s="9">
        <f t="shared" si="16"/>
        <v>1450.0000000001</v>
      </c>
      <c r="R75" s="13">
        <f t="shared" si="17"/>
        <v>0</v>
      </c>
    </row>
    <row r="76" spans="1:18">
      <c r="A76" s="14">
        <v>45911</v>
      </c>
      <c r="B76" s="4">
        <f>Data_Entry!X166</f>
        <v>4649.99999999989</v>
      </c>
      <c r="C76" s="4">
        <v>0</v>
      </c>
      <c r="D76" s="5">
        <f>Data_Entry!AD166</f>
        <v>0</v>
      </c>
      <c r="E76" s="6">
        <f t="shared" si="9"/>
        <v>0.0469696969696959</v>
      </c>
      <c r="F76" s="7">
        <v>0</v>
      </c>
      <c r="G76" s="7">
        <v>0</v>
      </c>
      <c r="H76" s="8">
        <f t="shared" si="10"/>
        <v>0</v>
      </c>
      <c r="I76" s="8">
        <f t="shared" si="11"/>
        <v>0</v>
      </c>
      <c r="J76" s="9">
        <v>4125</v>
      </c>
      <c r="K76" s="10"/>
      <c r="L76" s="9">
        <f t="shared" si="12"/>
        <v>49500</v>
      </c>
      <c r="M76" s="8">
        <f t="shared" si="13"/>
        <v>0</v>
      </c>
      <c r="N76" s="11">
        <f t="shared" si="14"/>
        <v>1</v>
      </c>
      <c r="O76" s="12">
        <f t="shared" si="15"/>
        <v>0.0469696969696959</v>
      </c>
      <c r="P76" s="12"/>
      <c r="Q76" s="9">
        <f t="shared" si="16"/>
        <v>4649.99999999989</v>
      </c>
      <c r="R76" s="13">
        <f t="shared" si="17"/>
        <v>0</v>
      </c>
    </row>
    <row r="77" spans="1:18">
      <c r="A77" s="14">
        <v>45912</v>
      </c>
      <c r="B77" s="4">
        <f>Data_Entry!X167</f>
        <v>9900.00000000009</v>
      </c>
      <c r="C77" s="4">
        <v>0</v>
      </c>
      <c r="D77" s="5">
        <f>Data_Entry!AD167</f>
        <v>0</v>
      </c>
      <c r="E77" s="6">
        <f t="shared" si="9"/>
        <v>0.100000000000001</v>
      </c>
      <c r="F77" s="7">
        <v>0</v>
      </c>
      <c r="G77" s="7">
        <v>0</v>
      </c>
      <c r="H77" s="8">
        <f t="shared" si="10"/>
        <v>0</v>
      </c>
      <c r="I77" s="8">
        <f t="shared" si="11"/>
        <v>0</v>
      </c>
      <c r="J77" s="9">
        <v>4125</v>
      </c>
      <c r="K77" s="10"/>
      <c r="L77" s="9">
        <f t="shared" si="12"/>
        <v>49500</v>
      </c>
      <c r="M77" s="8">
        <f t="shared" si="13"/>
        <v>0</v>
      </c>
      <c r="N77" s="11">
        <f t="shared" si="14"/>
        <v>1</v>
      </c>
      <c r="O77" s="12">
        <f t="shared" si="15"/>
        <v>0.100000000000001</v>
      </c>
      <c r="P77" s="12"/>
      <c r="Q77" s="9">
        <f t="shared" si="16"/>
        <v>9900.00000000009</v>
      </c>
      <c r="R77" s="13">
        <f t="shared" si="17"/>
        <v>0</v>
      </c>
    </row>
    <row r="78" spans="1:18">
      <c r="A78" s="14">
        <v>45913</v>
      </c>
      <c r="B78" s="4">
        <f>Data_Entry!X168</f>
        <v>9800.00000000004</v>
      </c>
      <c r="C78" s="4">
        <v>0</v>
      </c>
      <c r="D78" s="5">
        <f>Data_Entry!AD168</f>
        <v>0</v>
      </c>
      <c r="E78" s="6">
        <f t="shared" si="9"/>
        <v>0.0989898989898994</v>
      </c>
      <c r="F78" s="7">
        <v>0</v>
      </c>
      <c r="G78" s="7">
        <v>0</v>
      </c>
      <c r="H78" s="8">
        <f t="shared" si="10"/>
        <v>0</v>
      </c>
      <c r="I78" s="8">
        <f t="shared" si="11"/>
        <v>0</v>
      </c>
      <c r="J78" s="9">
        <v>4125</v>
      </c>
      <c r="K78" s="10"/>
      <c r="L78" s="9">
        <f t="shared" si="12"/>
        <v>49500</v>
      </c>
      <c r="M78" s="8">
        <f t="shared" si="13"/>
        <v>0</v>
      </c>
      <c r="N78" s="11">
        <f t="shared" si="14"/>
        <v>1</v>
      </c>
      <c r="O78" s="12">
        <f t="shared" si="15"/>
        <v>0.0989898989898994</v>
      </c>
      <c r="P78" s="12"/>
      <c r="Q78" s="9">
        <f t="shared" si="16"/>
        <v>9800.00000000004</v>
      </c>
      <c r="R78" s="13">
        <f t="shared" si="17"/>
        <v>0</v>
      </c>
    </row>
    <row r="79" spans="1:18">
      <c r="A79" s="14">
        <v>45914</v>
      </c>
      <c r="B79" s="4">
        <f>Data_Entry!X169</f>
        <v>10399.9999999999</v>
      </c>
      <c r="C79" s="4">
        <v>0</v>
      </c>
      <c r="D79" s="5">
        <f>Data_Entry!AD169</f>
        <v>0</v>
      </c>
      <c r="E79" s="6">
        <f t="shared" si="9"/>
        <v>0.105050505050504</v>
      </c>
      <c r="F79" s="7">
        <v>0</v>
      </c>
      <c r="G79" s="7">
        <v>0</v>
      </c>
      <c r="H79" s="8">
        <f t="shared" si="10"/>
        <v>0</v>
      </c>
      <c r="I79" s="8">
        <f t="shared" si="11"/>
        <v>0</v>
      </c>
      <c r="J79" s="9">
        <v>4125</v>
      </c>
      <c r="K79" s="10"/>
      <c r="L79" s="9">
        <f t="shared" si="12"/>
        <v>49500</v>
      </c>
      <c r="M79" s="8">
        <f t="shared" si="13"/>
        <v>0</v>
      </c>
      <c r="N79" s="11">
        <f t="shared" si="14"/>
        <v>1</v>
      </c>
      <c r="O79" s="12">
        <f t="shared" si="15"/>
        <v>0.105050505050504</v>
      </c>
      <c r="P79" s="12"/>
      <c r="Q79" s="9">
        <f t="shared" si="16"/>
        <v>10399.9999999999</v>
      </c>
      <c r="R79" s="13">
        <f t="shared" si="17"/>
        <v>0</v>
      </c>
    </row>
    <row r="80" spans="1:18">
      <c r="A80" s="14">
        <v>45915</v>
      </c>
      <c r="B80" s="4">
        <f>Data_Entry!X170</f>
        <v>14650</v>
      </c>
      <c r="C80" s="4">
        <v>0</v>
      </c>
      <c r="D80" s="5">
        <f>Data_Entry!AD170</f>
        <v>0</v>
      </c>
      <c r="E80" s="6">
        <f t="shared" si="9"/>
        <v>0.147979797979798</v>
      </c>
      <c r="F80" s="7">
        <v>0</v>
      </c>
      <c r="G80" s="7">
        <v>0</v>
      </c>
      <c r="H80" s="8">
        <f t="shared" si="10"/>
        <v>0</v>
      </c>
      <c r="I80" s="8">
        <f t="shared" si="11"/>
        <v>0</v>
      </c>
      <c r="J80" s="9">
        <v>4125</v>
      </c>
      <c r="K80" s="10"/>
      <c r="L80" s="9">
        <f t="shared" si="12"/>
        <v>49500</v>
      </c>
      <c r="M80" s="8">
        <f t="shared" si="13"/>
        <v>0</v>
      </c>
      <c r="N80" s="11">
        <f t="shared" si="14"/>
        <v>1</v>
      </c>
      <c r="O80" s="12">
        <f t="shared" si="15"/>
        <v>0.147979797979798</v>
      </c>
      <c r="P80" s="12"/>
      <c r="Q80" s="9">
        <f t="shared" si="16"/>
        <v>14650</v>
      </c>
      <c r="R80" s="13">
        <f t="shared" si="17"/>
        <v>0</v>
      </c>
    </row>
    <row r="81" spans="1:18">
      <c r="A81" s="14">
        <v>45916</v>
      </c>
      <c r="B81" s="4">
        <f>Data_Entry!X171</f>
        <v>17700</v>
      </c>
      <c r="C81" s="4">
        <v>0</v>
      </c>
      <c r="D81" s="5">
        <f>Data_Entry!AD171</f>
        <v>0</v>
      </c>
      <c r="E81" s="6">
        <f t="shared" si="9"/>
        <v>0.178787878787878</v>
      </c>
      <c r="F81" s="7">
        <v>0</v>
      </c>
      <c r="G81" s="7">
        <v>0</v>
      </c>
      <c r="H81" s="8">
        <f t="shared" si="10"/>
        <v>0</v>
      </c>
      <c r="I81" s="8">
        <f t="shared" si="11"/>
        <v>0</v>
      </c>
      <c r="J81" s="9">
        <v>4125</v>
      </c>
      <c r="K81" s="10"/>
      <c r="L81" s="9">
        <f t="shared" si="12"/>
        <v>49500</v>
      </c>
      <c r="M81" s="8">
        <f t="shared" si="13"/>
        <v>0</v>
      </c>
      <c r="N81" s="11">
        <f t="shared" si="14"/>
        <v>1</v>
      </c>
      <c r="O81" s="12">
        <f t="shared" si="15"/>
        <v>0.178787878787878</v>
      </c>
      <c r="P81" s="12"/>
      <c r="Q81" s="9">
        <f t="shared" si="16"/>
        <v>17700</v>
      </c>
      <c r="R81" s="13">
        <f t="shared" si="17"/>
        <v>0</v>
      </c>
    </row>
    <row r="82" spans="1:18">
      <c r="A82" s="14">
        <v>45917</v>
      </c>
      <c r="B82" s="4">
        <f>Data_Entry!X172</f>
        <v>16850</v>
      </c>
      <c r="C82" s="4">
        <v>0</v>
      </c>
      <c r="D82" s="5">
        <f>Data_Entry!AD172</f>
        <v>0</v>
      </c>
      <c r="E82" s="6">
        <f t="shared" si="9"/>
        <v>0.17020202020202</v>
      </c>
      <c r="F82" s="7">
        <v>0</v>
      </c>
      <c r="G82" s="7">
        <v>0</v>
      </c>
      <c r="H82" s="8">
        <f t="shared" si="10"/>
        <v>0</v>
      </c>
      <c r="I82" s="8">
        <f t="shared" si="11"/>
        <v>0</v>
      </c>
      <c r="J82" s="9">
        <v>4125</v>
      </c>
      <c r="K82" s="10"/>
      <c r="L82" s="9">
        <f t="shared" si="12"/>
        <v>49500</v>
      </c>
      <c r="M82" s="8">
        <f t="shared" si="13"/>
        <v>0</v>
      </c>
      <c r="N82" s="11">
        <f t="shared" si="14"/>
        <v>1</v>
      </c>
      <c r="O82" s="12">
        <f t="shared" si="15"/>
        <v>0.17020202020202</v>
      </c>
      <c r="P82" s="12"/>
      <c r="Q82" s="9">
        <f t="shared" si="16"/>
        <v>16850</v>
      </c>
      <c r="R82" s="13">
        <f t="shared" si="17"/>
        <v>0</v>
      </c>
    </row>
    <row r="83" spans="1:18">
      <c r="A83" s="14">
        <v>45918</v>
      </c>
      <c r="B83" s="4">
        <f>Data_Entry!X173</f>
        <v>20150</v>
      </c>
      <c r="C83" s="4">
        <v>0</v>
      </c>
      <c r="D83" s="5">
        <f>Data_Entry!AD173</f>
        <v>0</v>
      </c>
      <c r="E83" s="6">
        <f t="shared" si="9"/>
        <v>0.203535353535354</v>
      </c>
      <c r="F83" s="7">
        <v>0</v>
      </c>
      <c r="G83" s="7">
        <v>0</v>
      </c>
      <c r="H83" s="8">
        <f t="shared" si="10"/>
        <v>0</v>
      </c>
      <c r="I83" s="8">
        <f t="shared" si="11"/>
        <v>0</v>
      </c>
      <c r="J83" s="9">
        <v>4125</v>
      </c>
      <c r="K83" s="10"/>
      <c r="L83" s="9">
        <f t="shared" si="12"/>
        <v>49500</v>
      </c>
      <c r="M83" s="8">
        <f t="shared" si="13"/>
        <v>0</v>
      </c>
      <c r="N83" s="11">
        <f t="shared" si="14"/>
        <v>1</v>
      </c>
      <c r="O83" s="12">
        <f t="shared" si="15"/>
        <v>0.203535353535354</v>
      </c>
      <c r="P83" s="12"/>
      <c r="Q83" s="9">
        <f t="shared" si="16"/>
        <v>20150</v>
      </c>
      <c r="R83" s="13">
        <f t="shared" si="17"/>
        <v>0</v>
      </c>
    </row>
    <row r="84" spans="1:18">
      <c r="A84" s="14">
        <v>45919</v>
      </c>
      <c r="B84" s="4">
        <f>Data_Entry!X174</f>
        <v>17200</v>
      </c>
      <c r="C84" s="4">
        <v>0</v>
      </c>
      <c r="D84" s="5">
        <f>Data_Entry!AD174</f>
        <v>0</v>
      </c>
      <c r="E84" s="6">
        <f t="shared" si="9"/>
        <v>0.173737373737374</v>
      </c>
      <c r="F84" s="7">
        <v>0</v>
      </c>
      <c r="G84" s="7">
        <v>0</v>
      </c>
      <c r="H84" s="8">
        <f t="shared" si="10"/>
        <v>0</v>
      </c>
      <c r="I84" s="8">
        <f t="shared" si="11"/>
        <v>0</v>
      </c>
      <c r="J84" s="9">
        <v>4125</v>
      </c>
      <c r="K84" s="10"/>
      <c r="L84" s="9">
        <f t="shared" si="12"/>
        <v>49500</v>
      </c>
      <c r="M84" s="8">
        <f t="shared" si="13"/>
        <v>0</v>
      </c>
      <c r="N84" s="11">
        <f t="shared" si="14"/>
        <v>1</v>
      </c>
      <c r="O84" s="12">
        <f t="shared" si="15"/>
        <v>0.173737373737374</v>
      </c>
      <c r="P84" s="12"/>
      <c r="Q84" s="9">
        <f t="shared" si="16"/>
        <v>17200</v>
      </c>
      <c r="R84" s="13">
        <f t="shared" si="17"/>
        <v>0</v>
      </c>
    </row>
    <row r="85" spans="1:18">
      <c r="A85" s="14">
        <v>45920</v>
      </c>
      <c r="B85" s="4">
        <f>Data_Entry!X175</f>
        <v>16850</v>
      </c>
      <c r="C85" s="4">
        <v>0</v>
      </c>
      <c r="D85" s="5">
        <f>Data_Entry!AD175</f>
        <v>0</v>
      </c>
      <c r="E85" s="6">
        <f t="shared" si="9"/>
        <v>0.17020202020202</v>
      </c>
      <c r="F85" s="7">
        <v>0</v>
      </c>
      <c r="G85" s="7">
        <v>0</v>
      </c>
      <c r="H85" s="8">
        <f t="shared" si="10"/>
        <v>0</v>
      </c>
      <c r="I85" s="8">
        <f t="shared" si="11"/>
        <v>0</v>
      </c>
      <c r="J85" s="9">
        <v>4125</v>
      </c>
      <c r="K85" s="10"/>
      <c r="L85" s="9">
        <f t="shared" si="12"/>
        <v>49500</v>
      </c>
      <c r="M85" s="8">
        <f t="shared" si="13"/>
        <v>0</v>
      </c>
      <c r="N85" s="11">
        <f t="shared" si="14"/>
        <v>1</v>
      </c>
      <c r="O85" s="12">
        <f t="shared" si="15"/>
        <v>0.17020202020202</v>
      </c>
      <c r="P85" s="12"/>
      <c r="Q85" s="9">
        <f t="shared" si="16"/>
        <v>16850</v>
      </c>
      <c r="R85" s="13">
        <f t="shared" si="17"/>
        <v>0</v>
      </c>
    </row>
    <row r="86" spans="1:18">
      <c r="A86" s="14">
        <v>45921</v>
      </c>
      <c r="B86" s="4">
        <f>Data_Entry!X176</f>
        <v>15549.9999999999</v>
      </c>
      <c r="C86" s="4">
        <v>0</v>
      </c>
      <c r="D86" s="5">
        <f>Data_Entry!AD176</f>
        <v>3.75</v>
      </c>
      <c r="E86" s="6">
        <f t="shared" si="9"/>
        <v>0.157070707070706</v>
      </c>
      <c r="F86" s="7">
        <v>0</v>
      </c>
      <c r="G86" s="7">
        <v>0</v>
      </c>
      <c r="H86" s="8">
        <f t="shared" si="10"/>
        <v>0</v>
      </c>
      <c r="I86" s="8">
        <f t="shared" si="11"/>
        <v>0</v>
      </c>
      <c r="J86" s="9">
        <v>4125</v>
      </c>
      <c r="K86" s="10"/>
      <c r="L86" s="9">
        <f t="shared" si="12"/>
        <v>49500</v>
      </c>
      <c r="M86" s="8">
        <f t="shared" si="13"/>
        <v>0</v>
      </c>
      <c r="N86" s="11">
        <f t="shared" si="14"/>
        <v>1</v>
      </c>
      <c r="O86" s="12">
        <f t="shared" si="15"/>
        <v>0.157070707070706</v>
      </c>
      <c r="P86" s="12"/>
      <c r="Q86" s="9">
        <f t="shared" si="16"/>
        <v>15549.9999999999</v>
      </c>
      <c r="R86" s="13">
        <f t="shared" si="17"/>
        <v>0</v>
      </c>
    </row>
    <row r="87" spans="1:18">
      <c r="A87" s="14">
        <v>45922</v>
      </c>
      <c r="B87" s="4">
        <f>Data_Entry!X177</f>
        <v>13850.0000000001</v>
      </c>
      <c r="C87" s="4">
        <v>0</v>
      </c>
      <c r="D87" s="5">
        <f>Data_Entry!AD177</f>
        <v>3.24</v>
      </c>
      <c r="E87" s="6">
        <f t="shared" si="9"/>
        <v>0.13989898989899</v>
      </c>
      <c r="F87" s="7">
        <v>0</v>
      </c>
      <c r="G87" s="7">
        <v>0</v>
      </c>
      <c r="H87" s="8">
        <f t="shared" si="10"/>
        <v>0</v>
      </c>
      <c r="I87" s="8">
        <f t="shared" si="11"/>
        <v>0</v>
      </c>
      <c r="J87" s="9">
        <v>4125</v>
      </c>
      <c r="K87" s="10"/>
      <c r="L87" s="9">
        <f t="shared" si="12"/>
        <v>49500</v>
      </c>
      <c r="M87" s="8">
        <f t="shared" si="13"/>
        <v>0</v>
      </c>
      <c r="N87" s="11">
        <f t="shared" si="14"/>
        <v>1</v>
      </c>
      <c r="O87" s="12">
        <f t="shared" si="15"/>
        <v>0.13989898989899</v>
      </c>
      <c r="P87" s="12"/>
      <c r="Q87" s="9">
        <f t="shared" si="16"/>
        <v>13850.0000000001</v>
      </c>
      <c r="R87" s="13">
        <f t="shared" si="17"/>
        <v>0</v>
      </c>
    </row>
    <row r="88" spans="1:18">
      <c r="A88" s="14">
        <v>45923</v>
      </c>
      <c r="B88" s="4">
        <f>Data_Entry!X178</f>
        <v>18499.9999999999</v>
      </c>
      <c r="C88" s="4">
        <v>0</v>
      </c>
      <c r="D88" s="5">
        <f>Data_Entry!AD178</f>
        <v>3.9</v>
      </c>
      <c r="E88" s="6">
        <f t="shared" si="9"/>
        <v>0.186868686868686</v>
      </c>
      <c r="F88" s="7">
        <v>0</v>
      </c>
      <c r="G88" s="7">
        <v>0</v>
      </c>
      <c r="H88" s="8">
        <f t="shared" si="10"/>
        <v>0</v>
      </c>
      <c r="I88" s="8">
        <f t="shared" si="11"/>
        <v>0</v>
      </c>
      <c r="J88" s="9">
        <v>4125</v>
      </c>
      <c r="K88" s="10"/>
      <c r="L88" s="9">
        <f t="shared" si="12"/>
        <v>49500</v>
      </c>
      <c r="M88" s="8">
        <f t="shared" si="13"/>
        <v>0</v>
      </c>
      <c r="N88" s="11">
        <f t="shared" si="14"/>
        <v>1</v>
      </c>
      <c r="O88" s="12">
        <f t="shared" si="15"/>
        <v>0.186868686868686</v>
      </c>
      <c r="P88" s="12"/>
      <c r="Q88" s="9">
        <f t="shared" si="16"/>
        <v>18499.9999999999</v>
      </c>
      <c r="R88" s="13">
        <f t="shared" si="17"/>
        <v>0</v>
      </c>
    </row>
    <row r="89" spans="1:18">
      <c r="A89" s="14">
        <v>45924</v>
      </c>
      <c r="B89" s="4">
        <f>Data_Entry!X179</f>
        <v>20850.0000000001</v>
      </c>
      <c r="C89" s="4">
        <v>0</v>
      </c>
      <c r="D89" s="5">
        <f>Data_Entry!AD179</f>
        <v>2.18</v>
      </c>
      <c r="E89" s="6">
        <f t="shared" si="9"/>
        <v>0.210606060606061</v>
      </c>
      <c r="F89" s="7">
        <v>0</v>
      </c>
      <c r="G89" s="7">
        <v>0</v>
      </c>
      <c r="H89" s="8">
        <f t="shared" si="10"/>
        <v>0</v>
      </c>
      <c r="I89" s="8">
        <f t="shared" si="11"/>
        <v>0</v>
      </c>
      <c r="J89" s="9">
        <v>4125</v>
      </c>
      <c r="K89" s="10"/>
      <c r="L89" s="9">
        <f t="shared" si="12"/>
        <v>49500</v>
      </c>
      <c r="M89" s="8">
        <f t="shared" si="13"/>
        <v>0</v>
      </c>
      <c r="N89" s="11">
        <f t="shared" si="14"/>
        <v>1</v>
      </c>
      <c r="O89" s="12">
        <f t="shared" si="15"/>
        <v>0.210606060606061</v>
      </c>
      <c r="P89" s="12"/>
      <c r="Q89" s="9">
        <f t="shared" si="16"/>
        <v>20850.0000000001</v>
      </c>
      <c r="R89" s="13">
        <f t="shared" si="17"/>
        <v>0</v>
      </c>
    </row>
    <row r="90" spans="1:18">
      <c r="A90" s="14">
        <v>45925</v>
      </c>
      <c r="B90" s="4">
        <f>Data_Entry!X180</f>
        <v>18199.9999999999</v>
      </c>
      <c r="C90" s="4">
        <v>0</v>
      </c>
      <c r="D90" s="5">
        <f>Data_Entry!AD180</f>
        <v>4.09</v>
      </c>
      <c r="E90" s="6">
        <f t="shared" si="9"/>
        <v>0.183838383838383</v>
      </c>
      <c r="F90" s="7">
        <v>0</v>
      </c>
      <c r="G90" s="7">
        <v>0</v>
      </c>
      <c r="H90" s="8">
        <f t="shared" si="10"/>
        <v>0</v>
      </c>
      <c r="I90" s="8">
        <f t="shared" si="11"/>
        <v>0</v>
      </c>
      <c r="J90" s="9">
        <v>4125</v>
      </c>
      <c r="K90" s="10"/>
      <c r="L90" s="9">
        <f t="shared" si="12"/>
        <v>49500</v>
      </c>
      <c r="M90" s="8">
        <f t="shared" si="13"/>
        <v>0</v>
      </c>
      <c r="N90" s="11">
        <f t="shared" si="14"/>
        <v>1</v>
      </c>
      <c r="O90" s="12">
        <f t="shared" si="15"/>
        <v>0.183838383838383</v>
      </c>
      <c r="P90" s="12"/>
      <c r="Q90" s="9">
        <f t="shared" si="16"/>
        <v>18199.9999999999</v>
      </c>
      <c r="R90" s="13">
        <f t="shared" si="17"/>
        <v>0</v>
      </c>
    </row>
    <row r="91" spans="1:18">
      <c r="A91" s="14">
        <v>45926</v>
      </c>
      <c r="B91" s="4">
        <f>Data_Entry!X181</f>
        <v>19700</v>
      </c>
      <c r="C91" s="4">
        <v>0</v>
      </c>
      <c r="D91" s="5">
        <f>Data_Entry!AD181</f>
        <v>4.82</v>
      </c>
      <c r="E91" s="6">
        <f t="shared" si="9"/>
        <v>0.198989898989899</v>
      </c>
      <c r="F91" s="7">
        <v>0</v>
      </c>
      <c r="G91" s="7">
        <v>0</v>
      </c>
      <c r="H91" s="8">
        <f t="shared" si="10"/>
        <v>0</v>
      </c>
      <c r="I91" s="8">
        <f t="shared" si="11"/>
        <v>0</v>
      </c>
      <c r="J91" s="9">
        <v>4125</v>
      </c>
      <c r="K91" s="10"/>
      <c r="L91" s="9">
        <f t="shared" si="12"/>
        <v>49500</v>
      </c>
      <c r="M91" s="8">
        <f t="shared" si="13"/>
        <v>0</v>
      </c>
      <c r="N91" s="11">
        <f t="shared" si="14"/>
        <v>1</v>
      </c>
      <c r="O91" s="12">
        <f t="shared" si="15"/>
        <v>0.198989898989899</v>
      </c>
      <c r="P91" s="12"/>
      <c r="Q91" s="9">
        <f t="shared" si="16"/>
        <v>19700</v>
      </c>
      <c r="R91" s="13">
        <f t="shared" si="17"/>
        <v>0</v>
      </c>
    </row>
    <row r="92" spans="1:18">
      <c r="A92" s="14">
        <v>45927</v>
      </c>
      <c r="B92" s="4">
        <f>Data_Entry!X182</f>
        <v>20450</v>
      </c>
      <c r="C92" s="4">
        <v>0</v>
      </c>
      <c r="D92" s="5">
        <f>Data_Entry!AD182</f>
        <v>4.02</v>
      </c>
      <c r="E92" s="6">
        <f t="shared" si="9"/>
        <v>0.206565656565657</v>
      </c>
      <c r="F92" s="7">
        <v>0</v>
      </c>
      <c r="G92" s="7">
        <v>0</v>
      </c>
      <c r="H92" s="8">
        <f t="shared" si="10"/>
        <v>0</v>
      </c>
      <c r="I92" s="8">
        <f t="shared" si="11"/>
        <v>0</v>
      </c>
      <c r="J92" s="9">
        <v>4125</v>
      </c>
      <c r="K92" s="10"/>
      <c r="L92" s="9">
        <f t="shared" si="12"/>
        <v>49500</v>
      </c>
      <c r="M92" s="8">
        <f t="shared" si="13"/>
        <v>0</v>
      </c>
      <c r="N92" s="11">
        <f t="shared" si="14"/>
        <v>1</v>
      </c>
      <c r="O92" s="12">
        <f t="shared" si="15"/>
        <v>0.206565656565657</v>
      </c>
      <c r="P92" s="12"/>
      <c r="Q92" s="9">
        <f t="shared" si="16"/>
        <v>20450</v>
      </c>
      <c r="R92" s="13">
        <f t="shared" si="17"/>
        <v>0</v>
      </c>
    </row>
    <row r="93" spans="1:18">
      <c r="A93" s="14">
        <v>45928</v>
      </c>
      <c r="B93" s="4">
        <f>Data_Entry!X183</f>
        <v>6850.00000000002</v>
      </c>
      <c r="C93" s="4">
        <v>0</v>
      </c>
      <c r="D93" s="5">
        <f>Data_Entry!AD183</f>
        <v>1.73</v>
      </c>
      <c r="E93" s="6">
        <f t="shared" si="9"/>
        <v>0.0691919191919194</v>
      </c>
      <c r="F93" s="7">
        <v>0</v>
      </c>
      <c r="G93" s="7">
        <v>0</v>
      </c>
      <c r="H93" s="8">
        <f t="shared" si="10"/>
        <v>0</v>
      </c>
      <c r="I93" s="8">
        <f t="shared" si="11"/>
        <v>0</v>
      </c>
      <c r="J93" s="9">
        <v>4125</v>
      </c>
      <c r="K93" s="10"/>
      <c r="L93" s="9">
        <f t="shared" si="12"/>
        <v>49500</v>
      </c>
      <c r="M93" s="8">
        <f t="shared" si="13"/>
        <v>0</v>
      </c>
      <c r="N93" s="11">
        <f t="shared" si="14"/>
        <v>1</v>
      </c>
      <c r="O93" s="12">
        <f t="shared" si="15"/>
        <v>0.0691919191919194</v>
      </c>
      <c r="P93" s="12"/>
      <c r="Q93" s="9">
        <f t="shared" si="16"/>
        <v>6850.00000000002</v>
      </c>
      <c r="R93" s="13">
        <f t="shared" si="17"/>
        <v>0</v>
      </c>
    </row>
    <row r="94" spans="1:18">
      <c r="A94" s="14">
        <v>45929</v>
      </c>
      <c r="B94" s="4">
        <f>Data_Entry!X184</f>
        <v>6449.99999999996</v>
      </c>
      <c r="C94" s="4">
        <v>15</v>
      </c>
      <c r="D94" s="5">
        <f>Data_Entry!AD184</f>
        <v>1.43</v>
      </c>
      <c r="E94" s="6">
        <f t="shared" si="9"/>
        <v>0.0651515151515148</v>
      </c>
      <c r="F94" s="7">
        <v>0.291666666666667</v>
      </c>
      <c r="G94" s="7">
        <v>0.368055555555556</v>
      </c>
      <c r="H94" s="8">
        <f t="shared" si="10"/>
        <v>110</v>
      </c>
      <c r="I94" s="8">
        <f t="shared" si="11"/>
        <v>1.83333333333334</v>
      </c>
      <c r="J94" s="9">
        <v>4125</v>
      </c>
      <c r="K94" s="10">
        <v>4822.16</v>
      </c>
      <c r="L94" s="9">
        <f t="shared" si="12"/>
        <v>49500</v>
      </c>
      <c r="M94" s="8">
        <f t="shared" si="13"/>
        <v>8840.62666666668</v>
      </c>
      <c r="N94" s="11">
        <f t="shared" si="14"/>
        <v>0.821401481481481</v>
      </c>
      <c r="O94" s="12">
        <f t="shared" si="15"/>
        <v>0.0793175038277352</v>
      </c>
      <c r="P94" s="12"/>
      <c r="Q94" s="9">
        <f t="shared" si="16"/>
        <v>7852.43287894578</v>
      </c>
      <c r="R94" s="13">
        <f t="shared" si="17"/>
        <v>1402.43287894582</v>
      </c>
    </row>
    <row r="95" spans="1:18">
      <c r="A95" s="14">
        <v>45930</v>
      </c>
      <c r="B95" s="4">
        <f>Data_Entry!X185</f>
        <v>8350.00000000008</v>
      </c>
      <c r="C95" s="4">
        <v>0</v>
      </c>
      <c r="D95" s="5">
        <f>Data_Entry!AD185</f>
        <v>1.27</v>
      </c>
      <c r="E95" s="6">
        <f t="shared" si="9"/>
        <v>0.0843434343434351</v>
      </c>
      <c r="F95" s="7">
        <v>0</v>
      </c>
      <c r="G95" s="7">
        <v>0</v>
      </c>
      <c r="H95" s="8">
        <f t="shared" si="10"/>
        <v>0</v>
      </c>
      <c r="I95" s="8">
        <f t="shared" si="11"/>
        <v>0</v>
      </c>
      <c r="J95" s="9">
        <v>4125</v>
      </c>
      <c r="K95" s="10"/>
      <c r="L95" s="9">
        <f t="shared" si="12"/>
        <v>49500</v>
      </c>
      <c r="M95" s="8">
        <f t="shared" si="13"/>
        <v>0</v>
      </c>
      <c r="N95" s="11">
        <f t="shared" si="14"/>
        <v>1</v>
      </c>
      <c r="O95" s="12">
        <f t="shared" si="15"/>
        <v>0.0843434343434351</v>
      </c>
      <c r="P95" s="12"/>
      <c r="Q95" s="9">
        <f t="shared" si="16"/>
        <v>8350.00000000008</v>
      </c>
      <c r="R95" s="13">
        <f t="shared" si="17"/>
        <v>0</v>
      </c>
    </row>
    <row r="96" spans="1:18">
      <c r="A96" s="14">
        <v>45931</v>
      </c>
      <c r="B96" s="4">
        <f>Data_Entry!X186</f>
        <v>8550.00000000004</v>
      </c>
      <c r="C96" s="4">
        <v>0</v>
      </c>
      <c r="D96" s="5">
        <f>Data_Entry!AD186</f>
        <v>1.61</v>
      </c>
      <c r="E96" s="6">
        <f t="shared" si="9"/>
        <v>0.0863636363636368</v>
      </c>
      <c r="F96" s="7">
        <v>0</v>
      </c>
      <c r="G96" s="7">
        <v>0</v>
      </c>
      <c r="H96" s="8">
        <f t="shared" si="10"/>
        <v>0</v>
      </c>
      <c r="I96" s="8">
        <f t="shared" si="11"/>
        <v>0</v>
      </c>
      <c r="J96" s="9">
        <v>4125</v>
      </c>
      <c r="K96" s="10"/>
      <c r="L96" s="9">
        <f t="shared" si="12"/>
        <v>49500</v>
      </c>
      <c r="M96" s="8">
        <f t="shared" si="13"/>
        <v>0</v>
      </c>
      <c r="N96" s="11">
        <f t="shared" si="14"/>
        <v>1</v>
      </c>
      <c r="O96" s="12">
        <f t="shared" si="15"/>
        <v>0.0863636363636368</v>
      </c>
      <c r="P96" s="12"/>
      <c r="Q96" s="9">
        <f t="shared" si="16"/>
        <v>8550.00000000004</v>
      </c>
      <c r="R96" s="13">
        <f t="shared" si="17"/>
        <v>0</v>
      </c>
    </row>
    <row r="97" spans="1:18">
      <c r="A97" s="14">
        <v>45932</v>
      </c>
      <c r="B97" s="4">
        <f>Data_Entry!X187</f>
        <v>7999.99999999997</v>
      </c>
      <c r="C97" s="4">
        <v>0</v>
      </c>
      <c r="D97" s="5">
        <f>Data_Entry!AD187</f>
        <v>0</v>
      </c>
      <c r="E97" s="6">
        <f t="shared" si="9"/>
        <v>0.0808080808080805</v>
      </c>
      <c r="F97" s="7">
        <v>0</v>
      </c>
      <c r="G97" s="7">
        <v>0</v>
      </c>
      <c r="H97" s="8">
        <f t="shared" si="10"/>
        <v>0</v>
      </c>
      <c r="I97" s="8">
        <f t="shared" si="11"/>
        <v>0</v>
      </c>
      <c r="J97" s="9">
        <v>4125</v>
      </c>
      <c r="K97" s="10"/>
      <c r="L97" s="9">
        <f t="shared" si="12"/>
        <v>49500</v>
      </c>
      <c r="M97" s="8">
        <f t="shared" si="13"/>
        <v>0</v>
      </c>
      <c r="N97" s="11">
        <f t="shared" si="14"/>
        <v>1</v>
      </c>
      <c r="O97" s="12">
        <f t="shared" si="15"/>
        <v>0.0808080808080805</v>
      </c>
      <c r="P97" s="12"/>
      <c r="Q97" s="9">
        <f t="shared" si="16"/>
        <v>7999.99999999997</v>
      </c>
      <c r="R97" s="13">
        <f t="shared" si="17"/>
        <v>0</v>
      </c>
    </row>
    <row r="98" spans="1:18">
      <c r="A98" s="14">
        <v>45933</v>
      </c>
      <c r="B98" s="4">
        <f>Data_Entry!X188</f>
        <v>17700</v>
      </c>
      <c r="C98" s="4">
        <v>0</v>
      </c>
      <c r="D98" s="5">
        <f>Data_Entry!AD188</f>
        <v>4.2</v>
      </c>
      <c r="E98" s="6">
        <f t="shared" si="9"/>
        <v>0.178787878787878</v>
      </c>
      <c r="F98" s="7">
        <v>0</v>
      </c>
      <c r="G98" s="7">
        <v>0</v>
      </c>
      <c r="H98" s="8">
        <f t="shared" si="10"/>
        <v>0</v>
      </c>
      <c r="I98" s="8">
        <f t="shared" si="11"/>
        <v>0</v>
      </c>
      <c r="J98" s="9">
        <v>4125</v>
      </c>
      <c r="K98" s="10"/>
      <c r="L98" s="9">
        <f t="shared" si="12"/>
        <v>49500</v>
      </c>
      <c r="M98" s="8">
        <f t="shared" si="13"/>
        <v>0</v>
      </c>
      <c r="N98" s="11">
        <f t="shared" si="14"/>
        <v>1</v>
      </c>
      <c r="O98" s="12">
        <f t="shared" si="15"/>
        <v>0.178787878787878</v>
      </c>
      <c r="P98" s="12"/>
      <c r="Q98" s="9">
        <f t="shared" si="16"/>
        <v>17700</v>
      </c>
      <c r="R98" s="13">
        <f t="shared" si="17"/>
        <v>0</v>
      </c>
    </row>
    <row r="99" spans="1:18">
      <c r="A99" s="14">
        <v>45934</v>
      </c>
      <c r="B99" s="4">
        <f>Data_Entry!X189</f>
        <v>20150.0000000001</v>
      </c>
      <c r="C99" s="4">
        <v>0</v>
      </c>
      <c r="D99" s="5">
        <f>Data_Entry!AD189</f>
        <v>4.19</v>
      </c>
      <c r="E99" s="6">
        <f t="shared" si="9"/>
        <v>0.203535353535355</v>
      </c>
      <c r="F99" s="7">
        <v>0</v>
      </c>
      <c r="G99" s="7">
        <v>0</v>
      </c>
      <c r="H99" s="8">
        <f t="shared" si="10"/>
        <v>0</v>
      </c>
      <c r="I99" s="8">
        <f t="shared" si="11"/>
        <v>0</v>
      </c>
      <c r="J99" s="9">
        <v>4125</v>
      </c>
      <c r="K99" s="10"/>
      <c r="L99" s="9">
        <f t="shared" si="12"/>
        <v>49500</v>
      </c>
      <c r="M99" s="8">
        <f t="shared" si="13"/>
        <v>0</v>
      </c>
      <c r="N99" s="11">
        <f t="shared" si="14"/>
        <v>1</v>
      </c>
      <c r="O99" s="12">
        <f t="shared" si="15"/>
        <v>0.203535353535355</v>
      </c>
      <c r="P99" s="12"/>
      <c r="Q99" s="9">
        <f t="shared" si="16"/>
        <v>20150.0000000001</v>
      </c>
      <c r="R99" s="13">
        <f t="shared" si="17"/>
        <v>0</v>
      </c>
    </row>
    <row r="100" spans="1:18">
      <c r="A100" s="14">
        <v>45935</v>
      </c>
      <c r="B100" s="4">
        <f>Data_Entry!X190</f>
        <v>19400</v>
      </c>
      <c r="C100" s="4">
        <v>0</v>
      </c>
      <c r="D100" s="5">
        <f>Data_Entry!AD190</f>
        <v>4.68</v>
      </c>
      <c r="E100" s="6">
        <f t="shared" si="9"/>
        <v>0.195959595959596</v>
      </c>
      <c r="F100" s="7">
        <v>0</v>
      </c>
      <c r="G100" s="7">
        <v>0</v>
      </c>
      <c r="H100" s="8">
        <f t="shared" si="10"/>
        <v>0</v>
      </c>
      <c r="I100" s="8">
        <f t="shared" si="11"/>
        <v>0</v>
      </c>
      <c r="J100" s="9">
        <v>4125</v>
      </c>
      <c r="K100" s="10"/>
      <c r="L100" s="9">
        <f t="shared" si="12"/>
        <v>49500</v>
      </c>
      <c r="M100" s="8">
        <f t="shared" si="13"/>
        <v>0</v>
      </c>
      <c r="N100" s="11">
        <f t="shared" si="14"/>
        <v>1</v>
      </c>
      <c r="O100" s="12">
        <f t="shared" si="15"/>
        <v>0.195959595959596</v>
      </c>
      <c r="P100" s="12"/>
      <c r="Q100" s="9">
        <f t="shared" si="16"/>
        <v>19400</v>
      </c>
      <c r="R100" s="13">
        <f t="shared" si="17"/>
        <v>0</v>
      </c>
    </row>
    <row r="101" spans="1:18">
      <c r="A101" s="14">
        <v>45936</v>
      </c>
      <c r="B101" s="4">
        <f>Data_Entry!X191</f>
        <v>23549.9999999999</v>
      </c>
      <c r="C101" s="4">
        <v>0</v>
      </c>
      <c r="D101" s="5">
        <f>Data_Entry!AD191</f>
        <v>4.79</v>
      </c>
      <c r="E101" s="6">
        <f t="shared" si="9"/>
        <v>0.237878787878787</v>
      </c>
      <c r="F101" s="7">
        <v>0</v>
      </c>
      <c r="G101" s="7">
        <v>0</v>
      </c>
      <c r="H101" s="8">
        <f t="shared" si="10"/>
        <v>0</v>
      </c>
      <c r="I101" s="8">
        <f t="shared" si="11"/>
        <v>0</v>
      </c>
      <c r="J101" s="9">
        <v>4125</v>
      </c>
      <c r="K101" s="10"/>
      <c r="L101" s="9">
        <f t="shared" si="12"/>
        <v>49500</v>
      </c>
      <c r="M101" s="8">
        <f t="shared" si="13"/>
        <v>0</v>
      </c>
      <c r="N101" s="11">
        <f t="shared" si="14"/>
        <v>1</v>
      </c>
      <c r="O101" s="12">
        <f t="shared" si="15"/>
        <v>0.237878787878787</v>
      </c>
      <c r="P101" s="12"/>
      <c r="Q101" s="9">
        <f t="shared" si="16"/>
        <v>23549.9999999999</v>
      </c>
      <c r="R101" s="13">
        <f t="shared" si="17"/>
        <v>0</v>
      </c>
    </row>
    <row r="102" spans="1:18">
      <c r="A102" s="14">
        <v>45937</v>
      </c>
      <c r="B102" s="4">
        <f>Data_Entry!X192</f>
        <v>24350</v>
      </c>
      <c r="C102" s="4">
        <v>0</v>
      </c>
      <c r="D102" s="5">
        <f>Data_Entry!AD192</f>
        <v>4.87</v>
      </c>
      <c r="E102" s="6">
        <f t="shared" si="9"/>
        <v>0.245959595959596</v>
      </c>
      <c r="F102" s="7">
        <v>0</v>
      </c>
      <c r="G102" s="7">
        <v>0</v>
      </c>
      <c r="H102" s="8">
        <f t="shared" si="10"/>
        <v>0</v>
      </c>
      <c r="I102" s="8">
        <f t="shared" si="11"/>
        <v>0</v>
      </c>
      <c r="J102" s="9">
        <v>4125</v>
      </c>
      <c r="K102" s="10"/>
      <c r="L102" s="9">
        <f t="shared" si="12"/>
        <v>49500</v>
      </c>
      <c r="M102" s="8">
        <f t="shared" si="13"/>
        <v>0</v>
      </c>
      <c r="N102" s="11">
        <f t="shared" si="14"/>
        <v>1</v>
      </c>
      <c r="O102" s="12">
        <f t="shared" si="15"/>
        <v>0.245959595959596</v>
      </c>
      <c r="P102" s="12"/>
      <c r="Q102" s="9">
        <f t="shared" si="16"/>
        <v>24350</v>
      </c>
      <c r="R102" s="13">
        <f t="shared" si="17"/>
        <v>0</v>
      </c>
    </row>
    <row r="103" spans="1:18">
      <c r="A103" s="14">
        <v>45938</v>
      </c>
      <c r="B103" s="4">
        <f>Data_Entry!X193</f>
        <v>26250</v>
      </c>
      <c r="C103" s="4">
        <v>0</v>
      </c>
      <c r="D103" s="5">
        <f>Data_Entry!AD193</f>
        <v>4.72</v>
      </c>
      <c r="E103" s="6">
        <f t="shared" si="9"/>
        <v>0.265151515151515</v>
      </c>
      <c r="F103" s="7">
        <v>0</v>
      </c>
      <c r="G103" s="7">
        <v>0</v>
      </c>
      <c r="H103" s="8">
        <f t="shared" si="10"/>
        <v>0</v>
      </c>
      <c r="I103" s="8">
        <f t="shared" si="11"/>
        <v>0</v>
      </c>
      <c r="J103" s="9">
        <v>4125</v>
      </c>
      <c r="K103" s="10"/>
      <c r="L103" s="9">
        <f t="shared" si="12"/>
        <v>49500</v>
      </c>
      <c r="M103" s="8">
        <f t="shared" si="13"/>
        <v>0</v>
      </c>
      <c r="N103" s="11">
        <f t="shared" si="14"/>
        <v>1</v>
      </c>
      <c r="O103" s="12">
        <f t="shared" si="15"/>
        <v>0.265151515151515</v>
      </c>
      <c r="P103" s="12"/>
      <c r="Q103" s="9">
        <f t="shared" si="16"/>
        <v>26250</v>
      </c>
      <c r="R103" s="13">
        <f t="shared" si="17"/>
        <v>0</v>
      </c>
    </row>
    <row r="104" spans="1:18">
      <c r="A104" s="14">
        <v>45939</v>
      </c>
      <c r="B104" s="4">
        <f>Data_Entry!X194</f>
        <v>24400</v>
      </c>
      <c r="C104" s="4">
        <v>0</v>
      </c>
      <c r="D104" s="5">
        <f>Data_Entry!AD194</f>
        <v>4.96</v>
      </c>
      <c r="E104" s="6">
        <f t="shared" si="9"/>
        <v>0.246464646464646</v>
      </c>
      <c r="F104" s="7">
        <v>0</v>
      </c>
      <c r="G104" s="7">
        <v>0</v>
      </c>
      <c r="H104" s="8">
        <f t="shared" si="10"/>
        <v>0</v>
      </c>
      <c r="I104" s="8">
        <f t="shared" si="11"/>
        <v>0</v>
      </c>
      <c r="J104" s="9">
        <v>4125</v>
      </c>
      <c r="K104" s="10"/>
      <c r="L104" s="9">
        <f t="shared" si="12"/>
        <v>49500</v>
      </c>
      <c r="M104" s="8">
        <f t="shared" si="13"/>
        <v>0</v>
      </c>
      <c r="N104" s="11">
        <f t="shared" si="14"/>
        <v>1</v>
      </c>
      <c r="O104" s="12">
        <f t="shared" si="15"/>
        <v>0.246464646464646</v>
      </c>
      <c r="P104" s="12"/>
      <c r="Q104" s="9">
        <f t="shared" si="16"/>
        <v>24400</v>
      </c>
      <c r="R104" s="13">
        <f t="shared" si="17"/>
        <v>0</v>
      </c>
    </row>
    <row r="105" spans="1:18">
      <c r="A105" s="14">
        <v>45940</v>
      </c>
      <c r="B105" s="4">
        <f>Data_Entry!X195</f>
        <v>25650</v>
      </c>
      <c r="C105" s="4">
        <v>0</v>
      </c>
      <c r="D105" s="5">
        <f>Data_Entry!AD195</f>
        <v>3.9</v>
      </c>
      <c r="E105" s="6">
        <f t="shared" si="9"/>
        <v>0.259090909090909</v>
      </c>
      <c r="F105" s="7">
        <v>0</v>
      </c>
      <c r="G105" s="7">
        <v>0</v>
      </c>
      <c r="H105" s="8">
        <f t="shared" si="10"/>
        <v>0</v>
      </c>
      <c r="I105" s="8">
        <f t="shared" si="11"/>
        <v>0</v>
      </c>
      <c r="J105" s="9">
        <v>4125</v>
      </c>
      <c r="K105" s="10"/>
      <c r="L105" s="9">
        <f t="shared" si="12"/>
        <v>49500</v>
      </c>
      <c r="M105" s="8">
        <f t="shared" si="13"/>
        <v>0</v>
      </c>
      <c r="N105" s="11">
        <f t="shared" si="14"/>
        <v>1</v>
      </c>
      <c r="O105" s="12">
        <f t="shared" si="15"/>
        <v>0.259090909090909</v>
      </c>
      <c r="P105" s="12"/>
      <c r="Q105" s="9">
        <f t="shared" si="16"/>
        <v>25650</v>
      </c>
      <c r="R105" s="13">
        <f t="shared" si="17"/>
        <v>0</v>
      </c>
    </row>
    <row r="106" spans="1:18">
      <c r="A106" s="14">
        <v>45941</v>
      </c>
      <c r="B106" s="4">
        <f>Data_Entry!X196</f>
        <v>25200.0000000001</v>
      </c>
      <c r="C106" s="4">
        <v>0</v>
      </c>
      <c r="D106" s="5">
        <f>Data_Entry!AD196</f>
        <v>3.48</v>
      </c>
      <c r="E106" s="6">
        <f t="shared" si="9"/>
        <v>0.254545454545456</v>
      </c>
      <c r="F106" s="7">
        <v>0</v>
      </c>
      <c r="G106" s="7">
        <v>0</v>
      </c>
      <c r="H106" s="8">
        <f t="shared" si="10"/>
        <v>0</v>
      </c>
      <c r="I106" s="8">
        <f t="shared" si="11"/>
        <v>0</v>
      </c>
      <c r="J106" s="9">
        <v>4125</v>
      </c>
      <c r="K106" s="10"/>
      <c r="L106" s="9">
        <f t="shared" si="12"/>
        <v>49500</v>
      </c>
      <c r="M106" s="8">
        <f t="shared" si="13"/>
        <v>0</v>
      </c>
      <c r="N106" s="11">
        <f t="shared" si="14"/>
        <v>1</v>
      </c>
      <c r="O106" s="12">
        <f t="shared" si="15"/>
        <v>0.254545454545456</v>
      </c>
      <c r="P106" s="12"/>
      <c r="Q106" s="9">
        <f t="shared" si="16"/>
        <v>25200.0000000001</v>
      </c>
      <c r="R106" s="13">
        <f t="shared" si="17"/>
        <v>0</v>
      </c>
    </row>
    <row r="107" spans="1:18">
      <c r="A107" s="14">
        <v>45942</v>
      </c>
      <c r="B107" s="4">
        <f>Data_Entry!X197</f>
        <v>26600</v>
      </c>
      <c r="C107" s="4">
        <v>0</v>
      </c>
      <c r="D107" s="5">
        <f>Data_Entry!AD197</f>
        <v>3.55</v>
      </c>
      <c r="E107" s="6">
        <f t="shared" si="9"/>
        <v>0.268686868686868</v>
      </c>
      <c r="F107" s="7">
        <v>0</v>
      </c>
      <c r="G107" s="7">
        <v>0</v>
      </c>
      <c r="H107" s="8">
        <f t="shared" si="10"/>
        <v>0</v>
      </c>
      <c r="I107" s="8">
        <f t="shared" si="11"/>
        <v>0</v>
      </c>
      <c r="J107" s="9">
        <v>4125</v>
      </c>
      <c r="K107" s="10"/>
      <c r="L107" s="9">
        <f t="shared" si="12"/>
        <v>49500</v>
      </c>
      <c r="M107" s="8">
        <f t="shared" si="13"/>
        <v>0</v>
      </c>
      <c r="N107" s="11">
        <f t="shared" si="14"/>
        <v>1</v>
      </c>
      <c r="O107" s="12">
        <f t="shared" si="15"/>
        <v>0.268686868686868</v>
      </c>
      <c r="P107" s="12"/>
      <c r="Q107" s="9">
        <f t="shared" si="16"/>
        <v>26600</v>
      </c>
      <c r="R107" s="13">
        <f t="shared" si="17"/>
        <v>0</v>
      </c>
    </row>
    <row r="108" spans="1:18">
      <c r="A108" s="14">
        <v>45943</v>
      </c>
      <c r="B108" s="4">
        <f>Data_Entry!X198</f>
        <v>26200</v>
      </c>
      <c r="C108" s="4">
        <v>0</v>
      </c>
      <c r="D108" s="5">
        <f>Data_Entry!AD198</f>
        <v>3.55</v>
      </c>
      <c r="E108" s="6">
        <f t="shared" si="9"/>
        <v>0.264646464646465</v>
      </c>
      <c r="F108" s="7">
        <v>0</v>
      </c>
      <c r="G108" s="7">
        <v>0</v>
      </c>
      <c r="H108" s="8">
        <f t="shared" si="10"/>
        <v>0</v>
      </c>
      <c r="I108" s="8">
        <f t="shared" si="11"/>
        <v>0</v>
      </c>
      <c r="J108" s="9">
        <v>4125</v>
      </c>
      <c r="K108" s="10"/>
      <c r="L108" s="9">
        <f t="shared" si="12"/>
        <v>49500</v>
      </c>
      <c r="M108" s="8">
        <f t="shared" si="13"/>
        <v>0</v>
      </c>
      <c r="N108" s="11">
        <f t="shared" si="14"/>
        <v>1</v>
      </c>
      <c r="O108" s="12">
        <f t="shared" si="15"/>
        <v>0.264646464646465</v>
      </c>
      <c r="P108" s="12"/>
      <c r="Q108" s="9">
        <f t="shared" si="16"/>
        <v>26200</v>
      </c>
      <c r="R108" s="13">
        <f t="shared" si="17"/>
        <v>0</v>
      </c>
    </row>
    <row r="109" spans="1:18">
      <c r="A109" s="14">
        <v>45944</v>
      </c>
      <c r="B109" s="4">
        <f>Data_Entry!X199</f>
        <v>25600</v>
      </c>
      <c r="C109" s="4">
        <v>0</v>
      </c>
      <c r="D109" s="5">
        <f>Data_Entry!AD199</f>
        <v>3.45</v>
      </c>
      <c r="E109" s="6">
        <f t="shared" si="9"/>
        <v>0.258585858585859</v>
      </c>
      <c r="F109" s="7">
        <v>0</v>
      </c>
      <c r="G109" s="7">
        <v>0</v>
      </c>
      <c r="H109" s="8">
        <f t="shared" si="10"/>
        <v>0</v>
      </c>
      <c r="I109" s="8">
        <f t="shared" si="11"/>
        <v>0</v>
      </c>
      <c r="J109" s="9">
        <v>4125</v>
      </c>
      <c r="K109" s="10"/>
      <c r="L109" s="9">
        <f t="shared" si="12"/>
        <v>49500</v>
      </c>
      <c r="M109" s="8">
        <f t="shared" si="13"/>
        <v>0</v>
      </c>
      <c r="N109" s="11">
        <f t="shared" si="14"/>
        <v>1</v>
      </c>
      <c r="O109" s="12">
        <f t="shared" si="15"/>
        <v>0.258585858585859</v>
      </c>
      <c r="P109" s="12"/>
      <c r="Q109" s="9">
        <f t="shared" si="16"/>
        <v>25600</v>
      </c>
      <c r="R109" s="13">
        <f t="shared" si="17"/>
        <v>0</v>
      </c>
    </row>
    <row r="110" spans="1:18">
      <c r="A110" s="14">
        <v>45945</v>
      </c>
      <c r="B110" s="4">
        <f>Data_Entry!X200</f>
        <v>26399.9999999999</v>
      </c>
      <c r="C110" s="4">
        <v>0</v>
      </c>
      <c r="D110" s="5">
        <f>Data_Entry!AD200</f>
        <v>3.55</v>
      </c>
      <c r="E110" s="6">
        <f t="shared" si="9"/>
        <v>0.266666666666665</v>
      </c>
      <c r="F110" s="7">
        <v>0</v>
      </c>
      <c r="G110" s="7">
        <v>0</v>
      </c>
      <c r="H110" s="8">
        <f t="shared" si="10"/>
        <v>0</v>
      </c>
      <c r="I110" s="8">
        <f t="shared" si="11"/>
        <v>0</v>
      </c>
      <c r="J110" s="9">
        <v>4125</v>
      </c>
      <c r="K110" s="10"/>
      <c r="L110" s="9">
        <f t="shared" si="12"/>
        <v>49500</v>
      </c>
      <c r="M110" s="8">
        <f t="shared" si="13"/>
        <v>0</v>
      </c>
      <c r="N110" s="11">
        <f t="shared" si="14"/>
        <v>1</v>
      </c>
      <c r="O110" s="12">
        <f t="shared" si="15"/>
        <v>0.266666666666665</v>
      </c>
      <c r="P110" s="12"/>
      <c r="Q110" s="9">
        <f t="shared" si="16"/>
        <v>26399.9999999999</v>
      </c>
      <c r="R110" s="13">
        <f t="shared" si="17"/>
        <v>0</v>
      </c>
    </row>
    <row r="111" spans="1:18">
      <c r="A111" s="14">
        <v>45946</v>
      </c>
      <c r="B111" s="4">
        <f>Data_Entry!X201</f>
        <v>22850</v>
      </c>
      <c r="C111" s="4">
        <v>0</v>
      </c>
      <c r="D111" s="5">
        <f>Data_Entry!AD201</f>
        <v>3.37</v>
      </c>
      <c r="E111" s="6">
        <f t="shared" si="9"/>
        <v>0.23080808080808</v>
      </c>
      <c r="F111" s="7">
        <v>0</v>
      </c>
      <c r="G111" s="7">
        <v>0</v>
      </c>
      <c r="H111" s="8">
        <f t="shared" si="10"/>
        <v>0</v>
      </c>
      <c r="I111" s="8">
        <f t="shared" si="11"/>
        <v>0</v>
      </c>
      <c r="J111" s="9">
        <v>4125</v>
      </c>
      <c r="K111" s="10"/>
      <c r="L111" s="9">
        <f t="shared" si="12"/>
        <v>49500</v>
      </c>
      <c r="M111" s="8">
        <f t="shared" si="13"/>
        <v>0</v>
      </c>
      <c r="N111" s="11">
        <f t="shared" si="14"/>
        <v>1</v>
      </c>
      <c r="O111" s="12">
        <f t="shared" si="15"/>
        <v>0.23080808080808</v>
      </c>
      <c r="P111" s="12"/>
      <c r="Q111" s="9">
        <f t="shared" si="16"/>
        <v>22850</v>
      </c>
      <c r="R111" s="13">
        <f t="shared" si="17"/>
        <v>0</v>
      </c>
    </row>
    <row r="112" spans="1:18">
      <c r="A112" s="14">
        <v>45947</v>
      </c>
      <c r="B112" s="4">
        <f>Data_Entry!X202</f>
        <v>20900</v>
      </c>
      <c r="C112" s="4">
        <v>0</v>
      </c>
      <c r="D112" s="5">
        <f>Data_Entry!AD202</f>
        <v>3.23</v>
      </c>
      <c r="E112" s="6">
        <f t="shared" si="9"/>
        <v>0.211111111111111</v>
      </c>
      <c r="F112" s="7">
        <v>0</v>
      </c>
      <c r="G112" s="7">
        <v>0</v>
      </c>
      <c r="H112" s="8">
        <f t="shared" si="10"/>
        <v>0</v>
      </c>
      <c r="I112" s="8">
        <f t="shared" si="11"/>
        <v>0</v>
      </c>
      <c r="J112" s="9">
        <v>4125</v>
      </c>
      <c r="K112" s="10"/>
      <c r="L112" s="9">
        <f t="shared" si="12"/>
        <v>49500</v>
      </c>
      <c r="M112" s="8">
        <f t="shared" si="13"/>
        <v>0</v>
      </c>
      <c r="N112" s="11">
        <f t="shared" si="14"/>
        <v>1</v>
      </c>
      <c r="O112" s="12">
        <f t="shared" si="15"/>
        <v>0.211111111111111</v>
      </c>
      <c r="P112" s="12"/>
      <c r="Q112" s="9">
        <f t="shared" si="16"/>
        <v>20900</v>
      </c>
      <c r="R112" s="13">
        <f t="shared" si="17"/>
        <v>0</v>
      </c>
    </row>
    <row r="113" spans="1:18">
      <c r="A113" s="14">
        <v>45948</v>
      </c>
      <c r="B113" s="4">
        <f>Data_Entry!X203</f>
        <v>26250</v>
      </c>
      <c r="C113" s="4">
        <v>0</v>
      </c>
      <c r="D113" s="5">
        <f>Data_Entry!AD203</f>
        <v>3.9</v>
      </c>
      <c r="E113" s="6">
        <f t="shared" si="9"/>
        <v>0.265151515151515</v>
      </c>
      <c r="F113" s="7">
        <v>0</v>
      </c>
      <c r="G113" s="7">
        <v>0</v>
      </c>
      <c r="H113" s="8">
        <f t="shared" si="10"/>
        <v>0</v>
      </c>
      <c r="I113" s="8">
        <f t="shared" si="11"/>
        <v>0</v>
      </c>
      <c r="J113" s="9">
        <v>4125</v>
      </c>
      <c r="K113" s="10"/>
      <c r="L113" s="9">
        <f t="shared" si="12"/>
        <v>49500</v>
      </c>
      <c r="M113" s="8">
        <f t="shared" si="13"/>
        <v>0</v>
      </c>
      <c r="N113" s="11">
        <f t="shared" si="14"/>
        <v>1</v>
      </c>
      <c r="O113" s="12">
        <f t="shared" si="15"/>
        <v>0.265151515151515</v>
      </c>
      <c r="P113" s="12"/>
      <c r="Q113" s="9">
        <f t="shared" si="16"/>
        <v>26250</v>
      </c>
      <c r="R113" s="13">
        <f t="shared" si="17"/>
        <v>0</v>
      </c>
    </row>
    <row r="114" spans="1:18">
      <c r="A114" s="14">
        <v>45949</v>
      </c>
      <c r="B114" s="4">
        <f>Data_Entry!X204</f>
        <v>25650</v>
      </c>
      <c r="C114" s="4">
        <v>0</v>
      </c>
      <c r="D114" s="5">
        <f>Data_Entry!AD204</f>
        <v>4.46</v>
      </c>
      <c r="E114" s="6">
        <f t="shared" si="9"/>
        <v>0.259090909090909</v>
      </c>
      <c r="F114" s="7">
        <v>0</v>
      </c>
      <c r="G114" s="7">
        <v>0</v>
      </c>
      <c r="H114" s="8">
        <f t="shared" si="10"/>
        <v>0</v>
      </c>
      <c r="I114" s="8">
        <f t="shared" si="11"/>
        <v>0</v>
      </c>
      <c r="J114" s="9">
        <v>4125</v>
      </c>
      <c r="K114" s="10"/>
      <c r="L114" s="9">
        <f t="shared" si="12"/>
        <v>49500</v>
      </c>
      <c r="M114" s="8">
        <f t="shared" si="13"/>
        <v>0</v>
      </c>
      <c r="N114" s="11">
        <f t="shared" si="14"/>
        <v>1</v>
      </c>
      <c r="O114" s="12">
        <f t="shared" si="15"/>
        <v>0.259090909090909</v>
      </c>
      <c r="P114" s="12"/>
      <c r="Q114" s="9">
        <f t="shared" si="16"/>
        <v>25650</v>
      </c>
      <c r="R114" s="13">
        <f t="shared" si="17"/>
        <v>0</v>
      </c>
    </row>
    <row r="115" spans="1:18">
      <c r="A115" s="14">
        <v>45950</v>
      </c>
      <c r="B115" s="4">
        <f>Data_Entry!X205</f>
        <v>22500</v>
      </c>
      <c r="C115" s="4">
        <v>0</v>
      </c>
      <c r="D115" s="5">
        <f>Data_Entry!AD205</f>
        <v>4.12</v>
      </c>
      <c r="E115" s="6">
        <f t="shared" si="9"/>
        <v>0.227272727272727</v>
      </c>
      <c r="F115" s="7">
        <v>0</v>
      </c>
      <c r="G115" s="7">
        <v>0</v>
      </c>
      <c r="H115" s="8">
        <f t="shared" si="10"/>
        <v>0</v>
      </c>
      <c r="I115" s="8">
        <f t="shared" si="11"/>
        <v>0</v>
      </c>
      <c r="J115" s="9">
        <v>4125</v>
      </c>
      <c r="K115" s="10"/>
      <c r="L115" s="9">
        <f t="shared" si="12"/>
        <v>49500</v>
      </c>
      <c r="M115" s="8">
        <f t="shared" si="13"/>
        <v>0</v>
      </c>
      <c r="N115" s="11">
        <f t="shared" si="14"/>
        <v>1</v>
      </c>
      <c r="O115" s="12">
        <f t="shared" si="15"/>
        <v>0.227272727272727</v>
      </c>
      <c r="P115" s="12"/>
      <c r="Q115" s="9">
        <f t="shared" si="16"/>
        <v>22500</v>
      </c>
      <c r="R115" s="13">
        <f t="shared" si="17"/>
        <v>0</v>
      </c>
    </row>
    <row r="116" spans="1:18">
      <c r="A116" s="14">
        <v>45951</v>
      </c>
      <c r="B116" s="4">
        <f>Data_Entry!X206</f>
        <v>20800.0000000001</v>
      </c>
      <c r="C116" s="4">
        <v>0</v>
      </c>
      <c r="D116" s="5">
        <f>Data_Entry!AD206</f>
        <v>3.84</v>
      </c>
      <c r="E116" s="6">
        <f t="shared" si="9"/>
        <v>0.210101010101011</v>
      </c>
      <c r="F116" s="7">
        <v>0</v>
      </c>
      <c r="G116" s="7">
        <v>0</v>
      </c>
      <c r="H116" s="8">
        <f t="shared" si="10"/>
        <v>0</v>
      </c>
      <c r="I116" s="8">
        <f t="shared" si="11"/>
        <v>0</v>
      </c>
      <c r="J116" s="9">
        <v>4125</v>
      </c>
      <c r="K116" s="10"/>
      <c r="L116" s="9">
        <f t="shared" si="12"/>
        <v>49500</v>
      </c>
      <c r="M116" s="8">
        <f t="shared" si="13"/>
        <v>0</v>
      </c>
      <c r="N116" s="11">
        <f t="shared" si="14"/>
        <v>1</v>
      </c>
      <c r="O116" s="12">
        <f t="shared" si="15"/>
        <v>0.210101010101011</v>
      </c>
      <c r="P116" s="12"/>
      <c r="Q116" s="9">
        <f t="shared" si="16"/>
        <v>20800.0000000001</v>
      </c>
      <c r="R116" s="13">
        <f t="shared" si="17"/>
        <v>0</v>
      </c>
    </row>
    <row r="117" spans="1:18">
      <c r="A117" s="14">
        <v>45952</v>
      </c>
      <c r="B117" s="4">
        <f>Data_Entry!X207</f>
        <v>22550</v>
      </c>
      <c r="C117" s="4">
        <v>0</v>
      </c>
      <c r="D117" s="5">
        <f>Data_Entry!AD207</f>
        <v>4.26</v>
      </c>
      <c r="E117" s="6">
        <f t="shared" si="9"/>
        <v>0.227777777777777</v>
      </c>
      <c r="F117" s="7">
        <v>0</v>
      </c>
      <c r="G117" s="7">
        <v>0</v>
      </c>
      <c r="H117" s="8">
        <f t="shared" si="10"/>
        <v>0</v>
      </c>
      <c r="I117" s="8">
        <f t="shared" si="11"/>
        <v>0</v>
      </c>
      <c r="J117" s="9">
        <v>4125</v>
      </c>
      <c r="K117" s="10"/>
      <c r="L117" s="9">
        <f t="shared" si="12"/>
        <v>49500</v>
      </c>
      <c r="M117" s="8">
        <f t="shared" si="13"/>
        <v>0</v>
      </c>
      <c r="N117" s="11">
        <f t="shared" si="14"/>
        <v>1</v>
      </c>
      <c r="O117" s="12">
        <f t="shared" si="15"/>
        <v>0.227777777777777</v>
      </c>
      <c r="P117" s="12"/>
      <c r="Q117" s="9">
        <f t="shared" si="16"/>
        <v>22550</v>
      </c>
      <c r="R117" s="13">
        <f t="shared" si="17"/>
        <v>0</v>
      </c>
    </row>
    <row r="118" spans="1:18">
      <c r="A118" s="14">
        <v>45953</v>
      </c>
      <c r="B118" s="4">
        <f>Data_Entry!X208</f>
        <v>22400.0000000001</v>
      </c>
      <c r="C118" s="4">
        <v>0</v>
      </c>
      <c r="D118" s="5">
        <f>Data_Entry!AD208</f>
        <v>3.78</v>
      </c>
      <c r="E118" s="6">
        <f t="shared" si="9"/>
        <v>0.226262626262627</v>
      </c>
      <c r="F118" s="7">
        <v>0</v>
      </c>
      <c r="G118" s="7">
        <v>0</v>
      </c>
      <c r="H118" s="8">
        <f t="shared" si="10"/>
        <v>0</v>
      </c>
      <c r="I118" s="8">
        <f t="shared" si="11"/>
        <v>0</v>
      </c>
      <c r="J118" s="9">
        <v>4125</v>
      </c>
      <c r="K118" s="10"/>
      <c r="L118" s="9">
        <f t="shared" si="12"/>
        <v>49500</v>
      </c>
      <c r="M118" s="8">
        <f t="shared" si="13"/>
        <v>0</v>
      </c>
      <c r="N118" s="11">
        <f t="shared" si="14"/>
        <v>1</v>
      </c>
      <c r="O118" s="12">
        <f t="shared" si="15"/>
        <v>0.226262626262627</v>
      </c>
      <c r="P118" s="12"/>
      <c r="Q118" s="9">
        <f t="shared" si="16"/>
        <v>22400.0000000001</v>
      </c>
      <c r="R118" s="13">
        <f t="shared" si="17"/>
        <v>0</v>
      </c>
    </row>
    <row r="119" spans="1:18">
      <c r="A119" s="14">
        <v>45954</v>
      </c>
      <c r="B119" s="4">
        <f>Data_Entry!X209</f>
        <v>20950</v>
      </c>
      <c r="C119" s="4">
        <v>0</v>
      </c>
      <c r="D119" s="5">
        <f>Data_Entry!AD209</f>
        <v>3.86</v>
      </c>
      <c r="E119" s="6">
        <f t="shared" si="9"/>
        <v>0.211616161616162</v>
      </c>
      <c r="F119" s="7">
        <v>0</v>
      </c>
      <c r="G119" s="7">
        <v>0</v>
      </c>
      <c r="H119" s="8">
        <f t="shared" si="10"/>
        <v>0</v>
      </c>
      <c r="I119" s="8">
        <f t="shared" si="11"/>
        <v>0</v>
      </c>
      <c r="J119" s="9">
        <v>4125</v>
      </c>
      <c r="K119" s="10"/>
      <c r="L119" s="9">
        <f t="shared" si="12"/>
        <v>49500</v>
      </c>
      <c r="M119" s="8">
        <f t="shared" si="13"/>
        <v>0</v>
      </c>
      <c r="N119" s="11">
        <f t="shared" si="14"/>
        <v>1</v>
      </c>
      <c r="O119" s="12">
        <f t="shared" si="15"/>
        <v>0.211616161616162</v>
      </c>
      <c r="P119" s="12"/>
      <c r="Q119" s="9">
        <f t="shared" si="16"/>
        <v>20950</v>
      </c>
      <c r="R119" s="13">
        <f t="shared" si="17"/>
        <v>0</v>
      </c>
    </row>
    <row r="120" spans="1:18">
      <c r="A120" s="14">
        <v>45955</v>
      </c>
      <c r="B120" s="4">
        <f>Data_Entry!X210</f>
        <v>19149.9999999999</v>
      </c>
      <c r="C120" s="4">
        <v>0</v>
      </c>
      <c r="D120" s="5">
        <f>Data_Entry!AD210</f>
        <v>3.41</v>
      </c>
      <c r="E120" s="6">
        <f t="shared" si="9"/>
        <v>0.193434343434343</v>
      </c>
      <c r="F120" s="7">
        <v>0</v>
      </c>
      <c r="G120" s="7">
        <v>0</v>
      </c>
      <c r="H120" s="8">
        <f t="shared" si="10"/>
        <v>0</v>
      </c>
      <c r="I120" s="8">
        <f t="shared" si="11"/>
        <v>0</v>
      </c>
      <c r="J120" s="9">
        <v>4125</v>
      </c>
      <c r="K120" s="10"/>
      <c r="L120" s="9">
        <f t="shared" si="12"/>
        <v>49500</v>
      </c>
      <c r="M120" s="8">
        <f t="shared" si="13"/>
        <v>0</v>
      </c>
      <c r="N120" s="11">
        <f t="shared" si="14"/>
        <v>1</v>
      </c>
      <c r="O120" s="12">
        <f t="shared" si="15"/>
        <v>0.193434343434343</v>
      </c>
      <c r="P120" s="12"/>
      <c r="Q120" s="9">
        <f t="shared" si="16"/>
        <v>19149.9999999999</v>
      </c>
      <c r="R120" s="13">
        <f t="shared" si="17"/>
        <v>0</v>
      </c>
    </row>
    <row r="121" spans="1:18">
      <c r="A121" s="14">
        <v>45956</v>
      </c>
      <c r="B121" s="4">
        <f>Data_Entry!X211</f>
        <v>3499.99999999994</v>
      </c>
      <c r="C121" s="4">
        <v>0</v>
      </c>
      <c r="D121" s="5">
        <f>Data_Entry!AD211</f>
        <v>0.69</v>
      </c>
      <c r="E121" s="6">
        <f t="shared" si="9"/>
        <v>0.0353535353535348</v>
      </c>
      <c r="F121" s="7">
        <v>0</v>
      </c>
      <c r="G121" s="7">
        <v>0</v>
      </c>
      <c r="H121" s="8">
        <f t="shared" si="10"/>
        <v>0</v>
      </c>
      <c r="I121" s="8">
        <f t="shared" si="11"/>
        <v>0</v>
      </c>
      <c r="J121" s="9">
        <v>4125</v>
      </c>
      <c r="K121" s="10"/>
      <c r="L121" s="9">
        <f t="shared" si="12"/>
        <v>49500</v>
      </c>
      <c r="M121" s="8">
        <f t="shared" si="13"/>
        <v>0</v>
      </c>
      <c r="N121" s="11">
        <f t="shared" si="14"/>
        <v>1</v>
      </c>
      <c r="O121" s="12">
        <f t="shared" si="15"/>
        <v>0.0353535353535348</v>
      </c>
      <c r="P121" s="12"/>
      <c r="Q121" s="9">
        <f t="shared" si="16"/>
        <v>3499.99999999994</v>
      </c>
      <c r="R121" s="13">
        <f t="shared" si="17"/>
        <v>0</v>
      </c>
    </row>
    <row r="122" spans="1:18">
      <c r="A122" s="14">
        <v>45957</v>
      </c>
      <c r="B122" s="4">
        <f>Data_Entry!X212</f>
        <v>7050.00000000013</v>
      </c>
      <c r="C122" s="4">
        <v>0</v>
      </c>
      <c r="D122" s="5">
        <f>Data_Entry!AD212</f>
        <v>1.36</v>
      </c>
      <c r="E122" s="6">
        <f t="shared" si="9"/>
        <v>0.0712121212121225</v>
      </c>
      <c r="F122" s="7">
        <v>0</v>
      </c>
      <c r="G122" s="7">
        <v>0</v>
      </c>
      <c r="H122" s="8">
        <f t="shared" si="10"/>
        <v>0</v>
      </c>
      <c r="I122" s="8">
        <f t="shared" si="11"/>
        <v>0</v>
      </c>
      <c r="J122" s="9">
        <v>4125</v>
      </c>
      <c r="K122" s="10"/>
      <c r="L122" s="9">
        <f t="shared" si="12"/>
        <v>49500</v>
      </c>
      <c r="M122" s="8">
        <f t="shared" si="13"/>
        <v>0</v>
      </c>
      <c r="N122" s="11">
        <f t="shared" si="14"/>
        <v>1</v>
      </c>
      <c r="O122" s="12">
        <f t="shared" si="15"/>
        <v>0.0712121212121225</v>
      </c>
      <c r="P122" s="12"/>
      <c r="Q122" s="9">
        <f t="shared" si="16"/>
        <v>7050.00000000013</v>
      </c>
      <c r="R122" s="13">
        <f t="shared" si="17"/>
        <v>0</v>
      </c>
    </row>
    <row r="123" spans="1:18">
      <c r="A123" s="14">
        <v>45958</v>
      </c>
      <c r="B123" s="4">
        <f>Data_Entry!X213</f>
        <v>2999.99999999983</v>
      </c>
      <c r="C123" s="4">
        <v>0</v>
      </c>
      <c r="D123" s="5">
        <f>Data_Entry!AD213</f>
        <v>0.56</v>
      </c>
      <c r="E123" s="6">
        <f t="shared" si="9"/>
        <v>0.0303030303030286</v>
      </c>
      <c r="F123" s="7">
        <v>0</v>
      </c>
      <c r="G123" s="7">
        <v>0</v>
      </c>
      <c r="H123" s="8">
        <f t="shared" si="10"/>
        <v>0</v>
      </c>
      <c r="I123" s="8">
        <f t="shared" si="11"/>
        <v>0</v>
      </c>
      <c r="J123" s="9">
        <v>4125</v>
      </c>
      <c r="K123" s="10"/>
      <c r="L123" s="9">
        <f t="shared" si="12"/>
        <v>49500</v>
      </c>
      <c r="M123" s="8">
        <f t="shared" si="13"/>
        <v>0</v>
      </c>
      <c r="N123" s="11">
        <f t="shared" si="14"/>
        <v>1</v>
      </c>
      <c r="O123" s="12">
        <f t="shared" si="15"/>
        <v>0.0303030303030286</v>
      </c>
      <c r="P123" s="12"/>
      <c r="Q123" s="9">
        <f t="shared" si="16"/>
        <v>2999.99999999983</v>
      </c>
      <c r="R123" s="13">
        <f t="shared" si="17"/>
        <v>0</v>
      </c>
    </row>
    <row r="124" spans="1:18">
      <c r="A124" s="14">
        <v>45959</v>
      </c>
      <c r="B124" s="4">
        <f>Data_Entry!X214</f>
        <v>6400.00000000015</v>
      </c>
      <c r="C124" s="4">
        <v>0</v>
      </c>
      <c r="D124" s="5">
        <f>Data_Entry!AD214</f>
        <v>1.34</v>
      </c>
      <c r="E124" s="6">
        <f t="shared" si="9"/>
        <v>0.0646464646464661</v>
      </c>
      <c r="F124" s="7">
        <v>0</v>
      </c>
      <c r="G124" s="7">
        <v>0</v>
      </c>
      <c r="H124" s="8">
        <f t="shared" si="10"/>
        <v>0</v>
      </c>
      <c r="I124" s="8">
        <f t="shared" si="11"/>
        <v>0</v>
      </c>
      <c r="J124" s="9">
        <v>4125</v>
      </c>
      <c r="K124" s="10"/>
      <c r="L124" s="9">
        <f t="shared" si="12"/>
        <v>49500</v>
      </c>
      <c r="M124" s="8">
        <f t="shared" si="13"/>
        <v>0</v>
      </c>
      <c r="N124" s="11">
        <f t="shared" si="14"/>
        <v>1</v>
      </c>
      <c r="O124" s="12">
        <f t="shared" si="15"/>
        <v>0.0646464646464661</v>
      </c>
      <c r="P124" s="12"/>
      <c r="Q124" s="9">
        <f t="shared" si="16"/>
        <v>6400.00000000015</v>
      </c>
      <c r="R124" s="13">
        <f t="shared" si="17"/>
        <v>0</v>
      </c>
    </row>
    <row r="125" spans="1:18">
      <c r="A125" s="14">
        <v>45960</v>
      </c>
      <c r="B125" s="4">
        <f>Data_Entry!X215</f>
        <v>7049.99999999984</v>
      </c>
      <c r="C125" s="4">
        <v>0</v>
      </c>
      <c r="D125" s="5">
        <f>Data_Entry!AD215</f>
        <v>1.64</v>
      </c>
      <c r="E125" s="6">
        <f t="shared" si="9"/>
        <v>0.0712121212121196</v>
      </c>
      <c r="F125" s="7">
        <v>0</v>
      </c>
      <c r="G125" s="7">
        <v>0</v>
      </c>
      <c r="H125" s="8">
        <f t="shared" si="10"/>
        <v>0</v>
      </c>
      <c r="I125" s="8">
        <f t="shared" si="11"/>
        <v>0</v>
      </c>
      <c r="J125" s="9">
        <v>4125</v>
      </c>
      <c r="K125" s="10"/>
      <c r="L125" s="9">
        <f t="shared" si="12"/>
        <v>49500</v>
      </c>
      <c r="M125" s="8">
        <f t="shared" si="13"/>
        <v>0</v>
      </c>
      <c r="N125" s="11">
        <f t="shared" si="14"/>
        <v>1</v>
      </c>
      <c r="O125" s="12">
        <f t="shared" si="15"/>
        <v>0.0712121212121196</v>
      </c>
      <c r="P125" s="12"/>
      <c r="Q125" s="9">
        <f t="shared" si="16"/>
        <v>7049.99999999984</v>
      </c>
      <c r="R125" s="13">
        <f t="shared" si="17"/>
        <v>0</v>
      </c>
    </row>
    <row r="126" spans="1:18">
      <c r="A126" s="14">
        <v>45961</v>
      </c>
      <c r="B126" s="4">
        <f>Data_Entry!X216</f>
        <v>7500</v>
      </c>
      <c r="C126" s="4">
        <v>0</v>
      </c>
      <c r="D126" s="5">
        <f>Data_Entry!AD216</f>
        <v>1.47</v>
      </c>
      <c r="E126" s="6">
        <f t="shared" si="9"/>
        <v>0.0757575757575758</v>
      </c>
      <c r="F126" s="7">
        <v>0</v>
      </c>
      <c r="G126" s="7">
        <v>0</v>
      </c>
      <c r="H126" s="8">
        <f t="shared" si="10"/>
        <v>0</v>
      </c>
      <c r="I126" s="8">
        <f t="shared" si="11"/>
        <v>0</v>
      </c>
      <c r="J126" s="9">
        <v>4125</v>
      </c>
      <c r="K126" s="10"/>
      <c r="L126" s="9">
        <f t="shared" si="12"/>
        <v>49500</v>
      </c>
      <c r="M126" s="8">
        <f t="shared" si="13"/>
        <v>0</v>
      </c>
      <c r="N126" s="11">
        <f t="shared" si="14"/>
        <v>1</v>
      </c>
      <c r="O126" s="12">
        <f t="shared" si="15"/>
        <v>0.0757575757575758</v>
      </c>
      <c r="P126" s="12"/>
      <c r="Q126" s="9">
        <f t="shared" si="16"/>
        <v>7500</v>
      </c>
      <c r="R126" s="13">
        <f t="shared" si="17"/>
        <v>0</v>
      </c>
    </row>
    <row r="127" spans="1:18">
      <c r="A127" s="14">
        <v>45962</v>
      </c>
      <c r="B127" s="4">
        <f>Data_Entry!X217</f>
        <v>14150.0000000002</v>
      </c>
      <c r="C127" s="4">
        <v>0</v>
      </c>
      <c r="D127" s="5">
        <f>Data_Entry!AD217</f>
        <v>2.64</v>
      </c>
      <c r="E127" s="6">
        <f t="shared" si="9"/>
        <v>0.142929292929295</v>
      </c>
      <c r="F127" s="7">
        <v>0</v>
      </c>
      <c r="G127" s="7">
        <v>0</v>
      </c>
      <c r="H127" s="8">
        <f t="shared" si="10"/>
        <v>0</v>
      </c>
      <c r="I127" s="8">
        <f t="shared" si="11"/>
        <v>0</v>
      </c>
      <c r="J127" s="9">
        <v>4125</v>
      </c>
      <c r="K127" s="10"/>
      <c r="L127" s="9">
        <f t="shared" si="12"/>
        <v>49500</v>
      </c>
      <c r="M127" s="8">
        <f t="shared" si="13"/>
        <v>0</v>
      </c>
      <c r="N127" s="11">
        <f t="shared" si="14"/>
        <v>1</v>
      </c>
      <c r="O127" s="12">
        <f t="shared" si="15"/>
        <v>0.142929292929295</v>
      </c>
      <c r="P127" s="12"/>
      <c r="Q127" s="9">
        <f t="shared" si="16"/>
        <v>14150.0000000002</v>
      </c>
      <c r="R127" s="13">
        <f t="shared" si="17"/>
        <v>0</v>
      </c>
    </row>
    <row r="128" spans="1:18">
      <c r="A128" s="14">
        <v>45963</v>
      </c>
      <c r="B128" s="4">
        <f>Data_Entry!X218</f>
        <v>19349.9999999997</v>
      </c>
      <c r="C128" s="4">
        <v>0</v>
      </c>
      <c r="D128" s="5">
        <f>Data_Entry!AD218</f>
        <v>2.92</v>
      </c>
      <c r="E128" s="6">
        <f t="shared" si="9"/>
        <v>0.195454545454543</v>
      </c>
      <c r="F128" s="7">
        <v>0</v>
      </c>
      <c r="G128" s="7">
        <v>0</v>
      </c>
      <c r="H128" s="8">
        <f t="shared" si="10"/>
        <v>0</v>
      </c>
      <c r="I128" s="8">
        <f t="shared" si="11"/>
        <v>0</v>
      </c>
      <c r="J128" s="9">
        <v>4125</v>
      </c>
      <c r="K128" s="10"/>
      <c r="L128" s="9">
        <f t="shared" si="12"/>
        <v>49500</v>
      </c>
      <c r="M128" s="8">
        <f t="shared" si="13"/>
        <v>0</v>
      </c>
      <c r="N128" s="11">
        <f t="shared" si="14"/>
        <v>1</v>
      </c>
      <c r="O128" s="12">
        <f t="shared" si="15"/>
        <v>0.195454545454543</v>
      </c>
      <c r="P128" s="12"/>
      <c r="Q128" s="9">
        <f t="shared" si="16"/>
        <v>19349.9999999997</v>
      </c>
      <c r="R128" s="13">
        <f t="shared" si="17"/>
        <v>0</v>
      </c>
    </row>
    <row r="129" spans="1:18">
      <c r="A129" s="14">
        <v>45964</v>
      </c>
      <c r="B129" s="4">
        <f>Data_Entry!X219</f>
        <v>21250</v>
      </c>
      <c r="C129" s="4">
        <v>0</v>
      </c>
      <c r="D129" s="5">
        <f>Data_Entry!AD219</f>
        <v>3.98</v>
      </c>
      <c r="E129" s="6">
        <f t="shared" ref="E129:E135" si="18">B129/(24*J129)</f>
        <v>0.214646464646465</v>
      </c>
      <c r="F129" s="7">
        <v>0</v>
      </c>
      <c r="G129" s="7">
        <v>0</v>
      </c>
      <c r="H129" s="8">
        <f t="shared" ref="H129:H135" si="19">(G129-F129)*24*60</f>
        <v>0</v>
      </c>
      <c r="I129" s="8">
        <f t="shared" ref="I129:I135" si="20">H129/60</f>
        <v>0</v>
      </c>
      <c r="J129" s="9">
        <v>4125</v>
      </c>
      <c r="K129" s="10"/>
      <c r="L129" s="9">
        <f t="shared" ref="L129:L135" si="21">J129*12</f>
        <v>49500</v>
      </c>
      <c r="M129" s="8">
        <f t="shared" ref="M129:M135" si="22">K129*I129</f>
        <v>0</v>
      </c>
      <c r="N129" s="11">
        <f t="shared" ref="N129:N135" si="23">(L129-M129)/L129</f>
        <v>1</v>
      </c>
      <c r="O129" s="12">
        <f t="shared" ref="O129:O135" si="24">E129/N129</f>
        <v>0.214646464646465</v>
      </c>
      <c r="P129" s="12"/>
      <c r="Q129" s="9">
        <f t="shared" ref="Q129:Q135" si="25">O129*J129*24</f>
        <v>21250</v>
      </c>
      <c r="R129" s="13">
        <f t="shared" ref="R129:R135" si="26">Q129-B129</f>
        <v>0</v>
      </c>
    </row>
    <row r="130" spans="1:18">
      <c r="A130" s="14">
        <v>45965</v>
      </c>
      <c r="B130" s="4">
        <f>Data_Entry!X220</f>
        <v>23500.0000000002</v>
      </c>
      <c r="C130" s="4">
        <v>0</v>
      </c>
      <c r="D130" s="5">
        <f>Data_Entry!AD220</f>
        <v>4</v>
      </c>
      <c r="E130" s="6">
        <f t="shared" si="18"/>
        <v>0.23737373737374</v>
      </c>
      <c r="F130" s="7">
        <v>0</v>
      </c>
      <c r="G130" s="7">
        <v>0</v>
      </c>
      <c r="H130" s="8">
        <f t="shared" si="19"/>
        <v>0</v>
      </c>
      <c r="I130" s="8">
        <f t="shared" si="20"/>
        <v>0</v>
      </c>
      <c r="J130" s="9">
        <v>4125</v>
      </c>
      <c r="K130" s="10"/>
      <c r="L130" s="9">
        <f t="shared" si="21"/>
        <v>49500</v>
      </c>
      <c r="M130" s="8">
        <f t="shared" si="22"/>
        <v>0</v>
      </c>
      <c r="N130" s="11">
        <f t="shared" si="23"/>
        <v>1</v>
      </c>
      <c r="O130" s="12">
        <f t="shared" si="24"/>
        <v>0.23737373737374</v>
      </c>
      <c r="P130" s="12"/>
      <c r="Q130" s="9">
        <f t="shared" si="25"/>
        <v>23500.0000000002</v>
      </c>
      <c r="R130" s="13">
        <f t="shared" si="26"/>
        <v>0</v>
      </c>
    </row>
    <row r="131" spans="1:18">
      <c r="A131" s="14">
        <v>45966</v>
      </c>
      <c r="B131" s="4">
        <f>Data_Entry!X221</f>
        <v>25449.9999999999</v>
      </c>
      <c r="C131" s="4">
        <v>0</v>
      </c>
      <c r="D131" s="5">
        <f>Data_Entry!AD221</f>
        <v>4.39</v>
      </c>
      <c r="E131" s="6">
        <f t="shared" si="18"/>
        <v>0.257070707070706</v>
      </c>
      <c r="F131" s="7">
        <v>0</v>
      </c>
      <c r="G131" s="7">
        <v>0</v>
      </c>
      <c r="H131" s="8">
        <f t="shared" si="19"/>
        <v>0</v>
      </c>
      <c r="I131" s="8">
        <f t="shared" si="20"/>
        <v>0</v>
      </c>
      <c r="J131" s="9">
        <v>4125</v>
      </c>
      <c r="K131" s="10"/>
      <c r="L131" s="9">
        <f t="shared" si="21"/>
        <v>49500</v>
      </c>
      <c r="M131" s="8">
        <f t="shared" si="22"/>
        <v>0</v>
      </c>
      <c r="N131" s="11">
        <f t="shared" si="23"/>
        <v>1</v>
      </c>
      <c r="O131" s="12">
        <f t="shared" si="24"/>
        <v>0.257070707070706</v>
      </c>
      <c r="P131" s="12"/>
      <c r="Q131" s="9">
        <f t="shared" si="25"/>
        <v>25449.9999999999</v>
      </c>
      <c r="R131" s="13">
        <f t="shared" si="26"/>
        <v>0</v>
      </c>
    </row>
    <row r="132" spans="1:18">
      <c r="A132" s="14">
        <v>45967</v>
      </c>
      <c r="B132" s="4">
        <f>Data_Entry!X222</f>
        <v>24950</v>
      </c>
      <c r="C132" s="4">
        <v>0</v>
      </c>
      <c r="D132" s="5">
        <f>Data_Entry!AD222</f>
        <v>4.39</v>
      </c>
      <c r="E132" s="6">
        <f t="shared" si="18"/>
        <v>0.252020202020202</v>
      </c>
      <c r="F132" s="7">
        <v>0</v>
      </c>
      <c r="G132" s="7">
        <v>0</v>
      </c>
      <c r="H132" s="8">
        <f t="shared" si="19"/>
        <v>0</v>
      </c>
      <c r="I132" s="8">
        <f t="shared" si="20"/>
        <v>0</v>
      </c>
      <c r="J132" s="9">
        <v>4125</v>
      </c>
      <c r="K132" s="10"/>
      <c r="L132" s="9">
        <f t="shared" si="21"/>
        <v>49500</v>
      </c>
      <c r="M132" s="8">
        <f t="shared" si="22"/>
        <v>0</v>
      </c>
      <c r="N132" s="11">
        <f t="shared" si="23"/>
        <v>1</v>
      </c>
      <c r="O132" s="12">
        <f t="shared" si="24"/>
        <v>0.252020202020202</v>
      </c>
      <c r="P132" s="12"/>
      <c r="Q132" s="9">
        <f t="shared" si="25"/>
        <v>24950</v>
      </c>
      <c r="R132" s="13">
        <f t="shared" si="26"/>
        <v>0</v>
      </c>
    </row>
    <row r="133" spans="1:18">
      <c r="A133" s="14">
        <v>45968</v>
      </c>
      <c r="B133" s="4">
        <f>Data_Entry!X223</f>
        <v>23800</v>
      </c>
      <c r="C133" s="4">
        <v>0</v>
      </c>
      <c r="D133" s="5">
        <f>Data_Entry!AD223</f>
        <v>4.27</v>
      </c>
      <c r="E133" s="6">
        <f t="shared" si="18"/>
        <v>0.24040404040404</v>
      </c>
      <c r="F133" s="7">
        <v>0</v>
      </c>
      <c r="G133" s="7">
        <v>0</v>
      </c>
      <c r="H133" s="8">
        <f t="shared" si="19"/>
        <v>0</v>
      </c>
      <c r="I133" s="8">
        <f t="shared" si="20"/>
        <v>0</v>
      </c>
      <c r="J133" s="9">
        <v>4125</v>
      </c>
      <c r="K133" s="10"/>
      <c r="L133" s="9">
        <f t="shared" si="21"/>
        <v>49500</v>
      </c>
      <c r="M133" s="8">
        <f t="shared" si="22"/>
        <v>0</v>
      </c>
      <c r="N133" s="11">
        <f t="shared" si="23"/>
        <v>1</v>
      </c>
      <c r="O133" s="12">
        <f t="shared" si="24"/>
        <v>0.24040404040404</v>
      </c>
      <c r="P133" s="12"/>
      <c r="Q133" s="9">
        <f t="shared" si="25"/>
        <v>23800</v>
      </c>
      <c r="R133" s="13">
        <f t="shared" si="26"/>
        <v>0</v>
      </c>
    </row>
    <row r="134" spans="1:18">
      <c r="A134" s="14">
        <v>45969</v>
      </c>
      <c r="B134" s="4">
        <f>Data_Entry!X224</f>
        <v>24900.0000000001</v>
      </c>
      <c r="C134" s="4">
        <v>0</v>
      </c>
      <c r="D134" s="5">
        <f>Data_Entry!AD224</f>
        <v>4.48</v>
      </c>
      <c r="E134" s="6">
        <f t="shared" si="18"/>
        <v>0.251515151515152</v>
      </c>
      <c r="F134" s="7">
        <v>0</v>
      </c>
      <c r="G134" s="7">
        <v>0</v>
      </c>
      <c r="H134" s="8">
        <f t="shared" si="19"/>
        <v>0</v>
      </c>
      <c r="I134" s="8">
        <f t="shared" si="20"/>
        <v>0</v>
      </c>
      <c r="J134" s="9">
        <v>4125</v>
      </c>
      <c r="K134" s="10"/>
      <c r="L134" s="9">
        <f t="shared" si="21"/>
        <v>49500</v>
      </c>
      <c r="M134" s="8">
        <f t="shared" si="22"/>
        <v>0</v>
      </c>
      <c r="N134" s="11">
        <f t="shared" si="23"/>
        <v>1</v>
      </c>
      <c r="O134" s="12">
        <f t="shared" si="24"/>
        <v>0.251515151515152</v>
      </c>
      <c r="P134" s="12"/>
      <c r="Q134" s="9">
        <f t="shared" si="25"/>
        <v>24900.0000000001</v>
      </c>
      <c r="R134" s="13">
        <f t="shared" si="26"/>
        <v>0</v>
      </c>
    </row>
    <row r="135" spans="1:18">
      <c r="A135" s="14">
        <v>45970</v>
      </c>
      <c r="B135" s="4">
        <f>Data_Entry!X225</f>
        <v>24799.9999999999</v>
      </c>
      <c r="C135" s="4">
        <v>0</v>
      </c>
      <c r="D135" s="5">
        <f>Data_Entry!AD225</f>
        <v>4.46</v>
      </c>
      <c r="E135" s="6">
        <f t="shared" si="18"/>
        <v>0.250505050505049</v>
      </c>
      <c r="F135" s="7">
        <v>0</v>
      </c>
      <c r="G135" s="7">
        <v>0</v>
      </c>
      <c r="H135" s="8">
        <f t="shared" si="19"/>
        <v>0</v>
      </c>
      <c r="I135" s="8">
        <f t="shared" si="20"/>
        <v>0</v>
      </c>
      <c r="J135" s="9">
        <v>4125</v>
      </c>
      <c r="K135" s="10"/>
      <c r="L135" s="9">
        <f t="shared" si="21"/>
        <v>49500</v>
      </c>
      <c r="M135" s="8">
        <f t="shared" si="22"/>
        <v>0</v>
      </c>
      <c r="N135" s="11">
        <f t="shared" si="23"/>
        <v>1</v>
      </c>
      <c r="O135" s="12">
        <f t="shared" si="24"/>
        <v>0.250505050505049</v>
      </c>
      <c r="P135" s="12"/>
      <c r="Q135" s="9">
        <f t="shared" si="25"/>
        <v>24799.9999999999</v>
      </c>
      <c r="R135" s="13">
        <f t="shared" si="26"/>
        <v>0</v>
      </c>
    </row>
    <row r="136" spans="1:18">
      <c r="A136" s="14">
        <v>45971</v>
      </c>
      <c r="B136" s="4">
        <f>Data_Entry!X226</f>
        <v>24050</v>
      </c>
      <c r="C136" s="4">
        <v>0</v>
      </c>
      <c r="D136" s="5">
        <f>Data_Entry!AD226</f>
        <v>2.21</v>
      </c>
      <c r="E136" s="6">
        <f t="shared" ref="E136:E199" si="27">B136/(24*J136)</f>
        <v>0.242929292929293</v>
      </c>
      <c r="F136" s="7">
        <v>0</v>
      </c>
      <c r="G136" s="7">
        <v>0</v>
      </c>
      <c r="H136" s="8">
        <f t="shared" ref="H136:H199" si="28">(G136-F136)*24*60</f>
        <v>0</v>
      </c>
      <c r="I136" s="8">
        <f t="shared" ref="I136:I199" si="29">H136/60</f>
        <v>0</v>
      </c>
      <c r="J136" s="9">
        <v>4125</v>
      </c>
      <c r="K136" s="10"/>
      <c r="L136" s="9">
        <f t="shared" ref="L136:L199" si="30">J136*12</f>
        <v>49500</v>
      </c>
      <c r="M136" s="8">
        <f t="shared" ref="M136:M199" si="31">K136*I136</f>
        <v>0</v>
      </c>
      <c r="N136" s="11">
        <f t="shared" ref="N136:N199" si="32">(L136-M136)/L136</f>
        <v>1</v>
      </c>
      <c r="O136" s="12">
        <f t="shared" ref="O136:O199" si="33">E136/N136</f>
        <v>0.242929292929293</v>
      </c>
      <c r="P136" s="12"/>
      <c r="Q136" s="9">
        <f t="shared" ref="Q136:Q199" si="34">O136*J136*24</f>
        <v>24050</v>
      </c>
      <c r="R136" s="13">
        <f t="shared" ref="R136:R199" si="35">Q136-B136</f>
        <v>0</v>
      </c>
    </row>
    <row r="137" spans="1:18">
      <c r="A137" s="14">
        <v>45972</v>
      </c>
      <c r="B137" s="4">
        <f>Data_Entry!X227</f>
        <v>24300.0000000001</v>
      </c>
      <c r="C137" s="4">
        <v>0</v>
      </c>
      <c r="D137" s="5">
        <f>Data_Entry!AD227</f>
        <v>4.33</v>
      </c>
      <c r="E137" s="6">
        <f t="shared" si="27"/>
        <v>0.245454545454546</v>
      </c>
      <c r="F137" s="7">
        <v>0</v>
      </c>
      <c r="G137" s="7">
        <v>0</v>
      </c>
      <c r="H137" s="8">
        <f t="shared" si="28"/>
        <v>0</v>
      </c>
      <c r="I137" s="8">
        <f t="shared" si="29"/>
        <v>0</v>
      </c>
      <c r="J137" s="9">
        <v>4125</v>
      </c>
      <c r="K137" s="10"/>
      <c r="L137" s="9">
        <f t="shared" si="30"/>
        <v>49500</v>
      </c>
      <c r="M137" s="8">
        <f t="shared" si="31"/>
        <v>0</v>
      </c>
      <c r="N137" s="11">
        <f t="shared" si="32"/>
        <v>1</v>
      </c>
      <c r="O137" s="12">
        <f t="shared" si="33"/>
        <v>0.245454545454546</v>
      </c>
      <c r="P137" s="12"/>
      <c r="Q137" s="9">
        <f t="shared" si="34"/>
        <v>24300.0000000001</v>
      </c>
      <c r="R137" s="13">
        <f t="shared" si="35"/>
        <v>0</v>
      </c>
    </row>
    <row r="138" spans="1:18">
      <c r="A138" s="14">
        <v>45973</v>
      </c>
      <c r="B138" s="4">
        <f>Data_Entry!X228</f>
        <v>23949.9999999998</v>
      </c>
      <c r="C138" s="4">
        <v>0</v>
      </c>
      <c r="D138" s="5">
        <f>Data_Entry!AD228</f>
        <v>4.3</v>
      </c>
      <c r="E138" s="6">
        <f t="shared" si="27"/>
        <v>0.24191919191919</v>
      </c>
      <c r="F138" s="7">
        <v>0</v>
      </c>
      <c r="G138" s="7">
        <v>0</v>
      </c>
      <c r="H138" s="8">
        <f t="shared" si="28"/>
        <v>0</v>
      </c>
      <c r="I138" s="8">
        <f t="shared" si="29"/>
        <v>0</v>
      </c>
      <c r="J138" s="9">
        <v>4125</v>
      </c>
      <c r="K138" s="10"/>
      <c r="L138" s="9">
        <f t="shared" si="30"/>
        <v>49500</v>
      </c>
      <c r="M138" s="8">
        <f t="shared" si="31"/>
        <v>0</v>
      </c>
      <c r="N138" s="11">
        <f t="shared" si="32"/>
        <v>1</v>
      </c>
      <c r="O138" s="12">
        <f t="shared" si="33"/>
        <v>0.24191919191919</v>
      </c>
      <c r="P138" s="12"/>
      <c r="Q138" s="9">
        <f t="shared" si="34"/>
        <v>23949.9999999998</v>
      </c>
      <c r="R138" s="13">
        <f t="shared" si="35"/>
        <v>0</v>
      </c>
    </row>
    <row r="139" spans="1:18">
      <c r="A139" s="14">
        <v>45974</v>
      </c>
      <c r="B139" s="4">
        <f>Data_Entry!X229</f>
        <v>23450.0000000003</v>
      </c>
      <c r="C139" s="4">
        <v>0</v>
      </c>
      <c r="D139" s="5">
        <f>Data_Entry!AD229</f>
        <v>4.25</v>
      </c>
      <c r="E139" s="6">
        <f t="shared" si="27"/>
        <v>0.23686868686869</v>
      </c>
      <c r="F139" s="7">
        <v>0</v>
      </c>
      <c r="G139" s="7">
        <v>0</v>
      </c>
      <c r="H139" s="8">
        <f t="shared" si="28"/>
        <v>0</v>
      </c>
      <c r="I139" s="8">
        <f t="shared" si="29"/>
        <v>0</v>
      </c>
      <c r="J139" s="9">
        <v>4125</v>
      </c>
      <c r="K139" s="10"/>
      <c r="L139" s="9">
        <f t="shared" si="30"/>
        <v>49500</v>
      </c>
      <c r="M139" s="8">
        <f t="shared" si="31"/>
        <v>0</v>
      </c>
      <c r="N139" s="11">
        <f t="shared" si="32"/>
        <v>1</v>
      </c>
      <c r="O139" s="12">
        <f t="shared" si="33"/>
        <v>0.23686868686869</v>
      </c>
      <c r="P139" s="12"/>
      <c r="Q139" s="9">
        <f t="shared" si="34"/>
        <v>23450.0000000003</v>
      </c>
      <c r="R139" s="13">
        <f t="shared" si="35"/>
        <v>0</v>
      </c>
    </row>
    <row r="140" spans="1:18">
      <c r="A140" s="14">
        <v>45975</v>
      </c>
      <c r="B140" s="4">
        <f>Data_Entry!X230</f>
        <v>23299.9999999998</v>
      </c>
      <c r="C140" s="4">
        <v>0</v>
      </c>
      <c r="D140" s="5">
        <f>Data_Entry!AD230</f>
        <v>4.27</v>
      </c>
      <c r="E140" s="6">
        <f t="shared" si="27"/>
        <v>0.235353535353534</v>
      </c>
      <c r="F140" s="7">
        <v>0</v>
      </c>
      <c r="G140" s="7">
        <v>0</v>
      </c>
      <c r="H140" s="8">
        <f t="shared" si="28"/>
        <v>0</v>
      </c>
      <c r="I140" s="8">
        <f t="shared" si="29"/>
        <v>0</v>
      </c>
      <c r="J140" s="9">
        <v>4125</v>
      </c>
      <c r="K140" s="10"/>
      <c r="L140" s="9">
        <f t="shared" si="30"/>
        <v>49500</v>
      </c>
      <c r="M140" s="8">
        <f t="shared" si="31"/>
        <v>0</v>
      </c>
      <c r="N140" s="11">
        <f t="shared" si="32"/>
        <v>1</v>
      </c>
      <c r="O140" s="12">
        <f t="shared" si="33"/>
        <v>0.235353535353534</v>
      </c>
      <c r="P140" s="12"/>
      <c r="Q140" s="9">
        <f t="shared" si="34"/>
        <v>23299.9999999998</v>
      </c>
      <c r="R140" s="13">
        <f t="shared" si="35"/>
        <v>0</v>
      </c>
    </row>
    <row r="141" spans="1:18">
      <c r="A141" s="14">
        <v>45976</v>
      </c>
      <c r="B141" s="4">
        <f>Data_Entry!X231</f>
        <v>11700.0000000002</v>
      </c>
      <c r="C141" s="4">
        <v>0</v>
      </c>
      <c r="D141" s="5">
        <f>Data_Entry!AD231</f>
        <v>2.41</v>
      </c>
      <c r="E141" s="6">
        <f t="shared" si="27"/>
        <v>0.11818181818182</v>
      </c>
      <c r="F141" s="7">
        <v>0</v>
      </c>
      <c r="G141" s="7">
        <v>0</v>
      </c>
      <c r="H141" s="8">
        <f t="shared" si="28"/>
        <v>0</v>
      </c>
      <c r="I141" s="8">
        <f t="shared" si="29"/>
        <v>0</v>
      </c>
      <c r="J141" s="9">
        <v>4125</v>
      </c>
      <c r="K141" s="10"/>
      <c r="L141" s="9">
        <f t="shared" si="30"/>
        <v>49500</v>
      </c>
      <c r="M141" s="8">
        <f t="shared" si="31"/>
        <v>0</v>
      </c>
      <c r="N141" s="11">
        <f t="shared" si="32"/>
        <v>1</v>
      </c>
      <c r="O141" s="12">
        <f t="shared" si="33"/>
        <v>0.11818181818182</v>
      </c>
      <c r="P141" s="12"/>
      <c r="Q141" s="9">
        <f t="shared" si="34"/>
        <v>11700.0000000002</v>
      </c>
      <c r="R141" s="13">
        <f t="shared" si="35"/>
        <v>0</v>
      </c>
    </row>
    <row r="142" spans="1:18">
      <c r="A142" s="14">
        <v>45977</v>
      </c>
      <c r="B142" s="4">
        <f>Data_Entry!X232</f>
        <v>20950</v>
      </c>
      <c r="C142" s="4">
        <v>0</v>
      </c>
      <c r="D142" s="5">
        <f>Data_Entry!AD232</f>
        <v>4.01</v>
      </c>
      <c r="E142" s="6">
        <f t="shared" si="27"/>
        <v>0.211616161616162</v>
      </c>
      <c r="F142" s="7">
        <v>0</v>
      </c>
      <c r="G142" s="7">
        <v>0</v>
      </c>
      <c r="H142" s="8">
        <f t="shared" si="28"/>
        <v>0</v>
      </c>
      <c r="I142" s="8">
        <f t="shared" si="29"/>
        <v>0</v>
      </c>
      <c r="J142" s="9">
        <v>4125</v>
      </c>
      <c r="K142" s="10"/>
      <c r="L142" s="9">
        <f t="shared" si="30"/>
        <v>49500</v>
      </c>
      <c r="M142" s="8">
        <f t="shared" si="31"/>
        <v>0</v>
      </c>
      <c r="N142" s="11">
        <f t="shared" si="32"/>
        <v>1</v>
      </c>
      <c r="O142" s="12">
        <f t="shared" si="33"/>
        <v>0.211616161616162</v>
      </c>
      <c r="P142" s="12"/>
      <c r="Q142" s="9">
        <f t="shared" si="34"/>
        <v>20950</v>
      </c>
      <c r="R142" s="13">
        <f t="shared" si="35"/>
        <v>0</v>
      </c>
    </row>
    <row r="143" spans="1:18">
      <c r="A143" s="14">
        <v>45978</v>
      </c>
      <c r="B143" s="4">
        <f>Data_Entry!X233</f>
        <v>22800</v>
      </c>
      <c r="C143" s="4">
        <v>0</v>
      </c>
      <c r="D143" s="5">
        <f>Data_Entry!AD233</f>
        <v>4.21</v>
      </c>
      <c r="E143" s="6">
        <f t="shared" si="27"/>
        <v>0.23030303030303</v>
      </c>
      <c r="F143" s="7">
        <v>0</v>
      </c>
      <c r="G143" s="7">
        <v>0</v>
      </c>
      <c r="H143" s="8">
        <f t="shared" si="28"/>
        <v>0</v>
      </c>
      <c r="I143" s="8">
        <f t="shared" si="29"/>
        <v>0</v>
      </c>
      <c r="J143" s="9">
        <v>4125</v>
      </c>
      <c r="K143" s="10"/>
      <c r="L143" s="9">
        <f t="shared" si="30"/>
        <v>49500</v>
      </c>
      <c r="M143" s="8">
        <f t="shared" si="31"/>
        <v>0</v>
      </c>
      <c r="N143" s="11">
        <f t="shared" si="32"/>
        <v>1</v>
      </c>
      <c r="O143" s="12">
        <f t="shared" si="33"/>
        <v>0.23030303030303</v>
      </c>
      <c r="P143" s="12"/>
      <c r="Q143" s="9">
        <f t="shared" si="34"/>
        <v>22800</v>
      </c>
      <c r="R143" s="13">
        <f t="shared" si="35"/>
        <v>0</v>
      </c>
    </row>
    <row r="144" spans="1:18">
      <c r="A144" s="14">
        <v>45979</v>
      </c>
      <c r="B144" s="4">
        <f>Data_Entry!X234</f>
        <v>22500</v>
      </c>
      <c r="C144" s="4">
        <v>0</v>
      </c>
      <c r="D144" s="5">
        <f>Data_Entry!AD234</f>
        <v>4.22</v>
      </c>
      <c r="E144" s="6">
        <f t="shared" si="27"/>
        <v>0.227272727272727</v>
      </c>
      <c r="F144" s="7">
        <v>0</v>
      </c>
      <c r="G144" s="7">
        <v>0</v>
      </c>
      <c r="H144" s="8">
        <f t="shared" si="28"/>
        <v>0</v>
      </c>
      <c r="I144" s="8">
        <f t="shared" si="29"/>
        <v>0</v>
      </c>
      <c r="J144" s="9">
        <v>4125</v>
      </c>
      <c r="K144" s="10"/>
      <c r="L144" s="9">
        <f t="shared" si="30"/>
        <v>49500</v>
      </c>
      <c r="M144" s="8">
        <f t="shared" si="31"/>
        <v>0</v>
      </c>
      <c r="N144" s="11">
        <f t="shared" si="32"/>
        <v>1</v>
      </c>
      <c r="O144" s="12">
        <f t="shared" si="33"/>
        <v>0.227272727272727</v>
      </c>
      <c r="P144" s="12"/>
      <c r="Q144" s="9">
        <f t="shared" si="34"/>
        <v>22500</v>
      </c>
      <c r="R144" s="13">
        <f t="shared" si="35"/>
        <v>0</v>
      </c>
    </row>
    <row r="145" spans="1:18">
      <c r="A145" s="14">
        <v>45980</v>
      </c>
      <c r="B145" s="4">
        <f>Data_Entry!X235</f>
        <v>21499.9999999998</v>
      </c>
      <c r="C145" s="4">
        <v>0</v>
      </c>
      <c r="D145" s="5">
        <f>Data_Entry!AD235</f>
        <v>3.96</v>
      </c>
      <c r="E145" s="6">
        <f t="shared" si="27"/>
        <v>0.217171717171715</v>
      </c>
      <c r="F145" s="7">
        <v>0</v>
      </c>
      <c r="G145" s="7">
        <v>0</v>
      </c>
      <c r="H145" s="8">
        <f t="shared" si="28"/>
        <v>0</v>
      </c>
      <c r="I145" s="8">
        <f t="shared" si="29"/>
        <v>0</v>
      </c>
      <c r="J145" s="9">
        <v>4125</v>
      </c>
      <c r="K145" s="10"/>
      <c r="L145" s="9">
        <f t="shared" si="30"/>
        <v>49500</v>
      </c>
      <c r="M145" s="8">
        <f t="shared" si="31"/>
        <v>0</v>
      </c>
      <c r="N145" s="11">
        <f t="shared" si="32"/>
        <v>1</v>
      </c>
      <c r="O145" s="12">
        <f t="shared" si="33"/>
        <v>0.217171717171715</v>
      </c>
      <c r="P145" s="12"/>
      <c r="Q145" s="9">
        <f t="shared" si="34"/>
        <v>21499.9999999998</v>
      </c>
      <c r="R145" s="13">
        <f t="shared" si="35"/>
        <v>0</v>
      </c>
    </row>
    <row r="146" spans="1:18">
      <c r="A146" s="14">
        <v>45981</v>
      </c>
      <c r="B146" s="4">
        <f>Data_Entry!X236</f>
        <v>21550</v>
      </c>
      <c r="C146" s="4">
        <v>0</v>
      </c>
      <c r="D146" s="5">
        <f>Data_Entry!AD236</f>
        <v>3.94</v>
      </c>
      <c r="E146" s="6">
        <f t="shared" si="27"/>
        <v>0.217676767676768</v>
      </c>
      <c r="F146" s="7">
        <v>0</v>
      </c>
      <c r="G146" s="7">
        <v>0</v>
      </c>
      <c r="H146" s="8">
        <f t="shared" si="28"/>
        <v>0</v>
      </c>
      <c r="I146" s="8">
        <f t="shared" si="29"/>
        <v>0</v>
      </c>
      <c r="J146" s="9">
        <v>4125</v>
      </c>
      <c r="K146" s="10"/>
      <c r="L146" s="9">
        <f t="shared" si="30"/>
        <v>49500</v>
      </c>
      <c r="M146" s="8">
        <f t="shared" si="31"/>
        <v>0</v>
      </c>
      <c r="N146" s="11">
        <f t="shared" si="32"/>
        <v>1</v>
      </c>
      <c r="O146" s="12">
        <f t="shared" si="33"/>
        <v>0.217676767676768</v>
      </c>
      <c r="P146" s="12"/>
      <c r="Q146" s="9">
        <f t="shared" si="34"/>
        <v>21550</v>
      </c>
      <c r="R146" s="13">
        <f t="shared" si="35"/>
        <v>0</v>
      </c>
    </row>
    <row r="147" spans="1:18">
      <c r="A147" s="14">
        <v>45982</v>
      </c>
      <c r="B147" s="4">
        <f>Data_Entry!X237</f>
        <v>19350</v>
      </c>
      <c r="C147" s="4">
        <v>0</v>
      </c>
      <c r="D147" s="5">
        <f>Data_Entry!AD237</f>
        <v>3.67</v>
      </c>
      <c r="E147" s="6">
        <f t="shared" si="27"/>
        <v>0.195454545454546</v>
      </c>
      <c r="F147" s="7">
        <v>0</v>
      </c>
      <c r="G147" s="7">
        <v>0</v>
      </c>
      <c r="H147" s="8">
        <f t="shared" si="28"/>
        <v>0</v>
      </c>
      <c r="I147" s="8">
        <f t="shared" si="29"/>
        <v>0</v>
      </c>
      <c r="J147" s="9">
        <v>4125</v>
      </c>
      <c r="K147" s="10"/>
      <c r="L147" s="9">
        <f t="shared" si="30"/>
        <v>49500</v>
      </c>
      <c r="M147" s="8">
        <f t="shared" si="31"/>
        <v>0</v>
      </c>
      <c r="N147" s="11">
        <f t="shared" si="32"/>
        <v>1</v>
      </c>
      <c r="O147" s="12">
        <f t="shared" si="33"/>
        <v>0.195454545454546</v>
      </c>
      <c r="P147" s="12"/>
      <c r="Q147" s="9">
        <f t="shared" si="34"/>
        <v>19350</v>
      </c>
      <c r="R147" s="13">
        <f t="shared" si="35"/>
        <v>0</v>
      </c>
    </row>
    <row r="148" spans="1:18">
      <c r="A148" s="14">
        <v>45983</v>
      </c>
      <c r="B148" s="4">
        <f>Data_Entry!X238</f>
        <v>21300</v>
      </c>
      <c r="C148" s="4">
        <v>0</v>
      </c>
      <c r="D148" s="5">
        <f>Data_Entry!AD238</f>
        <v>3.92</v>
      </c>
      <c r="E148" s="6">
        <f t="shared" si="27"/>
        <v>0.215151515151515</v>
      </c>
      <c r="F148" s="7">
        <v>0</v>
      </c>
      <c r="G148" s="7">
        <v>0</v>
      </c>
      <c r="H148" s="8">
        <f t="shared" si="28"/>
        <v>0</v>
      </c>
      <c r="I148" s="8">
        <f t="shared" si="29"/>
        <v>0</v>
      </c>
      <c r="J148" s="9">
        <v>4125</v>
      </c>
      <c r="K148" s="10"/>
      <c r="L148" s="9">
        <f t="shared" si="30"/>
        <v>49500</v>
      </c>
      <c r="M148" s="8">
        <f t="shared" si="31"/>
        <v>0</v>
      </c>
      <c r="N148" s="11">
        <f t="shared" si="32"/>
        <v>1</v>
      </c>
      <c r="O148" s="12">
        <f t="shared" si="33"/>
        <v>0.215151515151515</v>
      </c>
      <c r="P148" s="12"/>
      <c r="Q148" s="9">
        <f t="shared" si="34"/>
        <v>21300</v>
      </c>
      <c r="R148" s="13">
        <f t="shared" si="35"/>
        <v>0</v>
      </c>
    </row>
    <row r="149" spans="1:18">
      <c r="A149" s="14">
        <v>45984</v>
      </c>
      <c r="B149" s="4">
        <f>Data_Entry!X239</f>
        <v>21700.0000000002</v>
      </c>
      <c r="C149" s="4">
        <v>0</v>
      </c>
      <c r="D149" s="5">
        <f>Data_Entry!AD239</f>
        <v>4.02</v>
      </c>
      <c r="E149" s="6">
        <f t="shared" si="27"/>
        <v>0.219191919191921</v>
      </c>
      <c r="F149" s="7">
        <v>0</v>
      </c>
      <c r="G149" s="7">
        <v>0</v>
      </c>
      <c r="H149" s="8">
        <f t="shared" si="28"/>
        <v>0</v>
      </c>
      <c r="I149" s="8">
        <f t="shared" si="29"/>
        <v>0</v>
      </c>
      <c r="J149" s="9">
        <v>4125</v>
      </c>
      <c r="K149" s="10"/>
      <c r="L149" s="9">
        <f t="shared" si="30"/>
        <v>49500</v>
      </c>
      <c r="M149" s="8">
        <f t="shared" si="31"/>
        <v>0</v>
      </c>
      <c r="N149" s="11">
        <f t="shared" si="32"/>
        <v>1</v>
      </c>
      <c r="O149" s="12">
        <f t="shared" si="33"/>
        <v>0.219191919191921</v>
      </c>
      <c r="P149" s="12"/>
      <c r="Q149" s="9">
        <f t="shared" si="34"/>
        <v>21700.0000000002</v>
      </c>
      <c r="R149" s="13">
        <f t="shared" si="35"/>
        <v>0</v>
      </c>
    </row>
    <row r="150" spans="1:18">
      <c r="A150" s="14">
        <v>45985</v>
      </c>
      <c r="B150" s="4">
        <f>Data_Entry!X240</f>
        <v>23150</v>
      </c>
      <c r="C150" s="4">
        <v>0</v>
      </c>
      <c r="D150" s="5">
        <f>Data_Entry!AD240</f>
        <v>4.16</v>
      </c>
      <c r="E150" s="6">
        <f t="shared" si="27"/>
        <v>0.233838383838384</v>
      </c>
      <c r="F150" s="7">
        <v>0</v>
      </c>
      <c r="G150" s="7">
        <v>0</v>
      </c>
      <c r="H150" s="8">
        <f t="shared" si="28"/>
        <v>0</v>
      </c>
      <c r="I150" s="8">
        <f t="shared" si="29"/>
        <v>0</v>
      </c>
      <c r="J150" s="9">
        <v>4125</v>
      </c>
      <c r="K150" s="10"/>
      <c r="L150" s="9">
        <f t="shared" si="30"/>
        <v>49500</v>
      </c>
      <c r="M150" s="8">
        <f t="shared" si="31"/>
        <v>0</v>
      </c>
      <c r="N150" s="11">
        <f t="shared" si="32"/>
        <v>1</v>
      </c>
      <c r="O150" s="12">
        <f t="shared" si="33"/>
        <v>0.233838383838384</v>
      </c>
      <c r="P150" s="12"/>
      <c r="Q150" s="9">
        <f t="shared" si="34"/>
        <v>23150</v>
      </c>
      <c r="R150" s="13">
        <f t="shared" si="35"/>
        <v>0</v>
      </c>
    </row>
    <row r="151" spans="1:18">
      <c r="A151" s="14">
        <v>45986</v>
      </c>
      <c r="B151" s="4">
        <f>Data_Entry!X241</f>
        <v>21649.9999999999</v>
      </c>
      <c r="C151" s="4">
        <v>0</v>
      </c>
      <c r="D151" s="5">
        <f>Data_Entry!AD241</f>
        <v>3.9</v>
      </c>
      <c r="E151" s="6">
        <f t="shared" si="27"/>
        <v>0.218686868686868</v>
      </c>
      <c r="F151" s="7">
        <v>0</v>
      </c>
      <c r="G151" s="7">
        <v>0</v>
      </c>
      <c r="H151" s="8">
        <f t="shared" si="28"/>
        <v>0</v>
      </c>
      <c r="I151" s="8">
        <f t="shared" si="29"/>
        <v>0</v>
      </c>
      <c r="J151" s="9">
        <v>4125</v>
      </c>
      <c r="K151" s="10"/>
      <c r="L151" s="9">
        <f t="shared" si="30"/>
        <v>49500</v>
      </c>
      <c r="M151" s="8">
        <f t="shared" si="31"/>
        <v>0</v>
      </c>
      <c r="N151" s="11">
        <f t="shared" si="32"/>
        <v>1</v>
      </c>
      <c r="O151" s="12">
        <f t="shared" si="33"/>
        <v>0.218686868686868</v>
      </c>
      <c r="P151" s="12"/>
      <c r="Q151" s="9">
        <f t="shared" si="34"/>
        <v>21649.9999999999</v>
      </c>
      <c r="R151" s="13">
        <f t="shared" si="35"/>
        <v>0</v>
      </c>
    </row>
    <row r="152" spans="1:18">
      <c r="A152" s="14">
        <v>45987</v>
      </c>
      <c r="B152" s="4">
        <f>Data_Entry!X242</f>
        <v>20150.0000000001</v>
      </c>
      <c r="C152" s="4">
        <v>0</v>
      </c>
      <c r="D152" s="5">
        <f>Data_Entry!AD242</f>
        <v>3.7</v>
      </c>
      <c r="E152" s="6">
        <f t="shared" si="27"/>
        <v>0.203535353535355</v>
      </c>
      <c r="F152" s="7">
        <v>0</v>
      </c>
      <c r="G152" s="7">
        <v>0</v>
      </c>
      <c r="H152" s="8">
        <f t="shared" si="28"/>
        <v>0</v>
      </c>
      <c r="I152" s="8">
        <f t="shared" si="29"/>
        <v>0</v>
      </c>
      <c r="J152" s="9">
        <v>4125</v>
      </c>
      <c r="K152" s="10"/>
      <c r="L152" s="9">
        <f t="shared" si="30"/>
        <v>49500</v>
      </c>
      <c r="M152" s="8">
        <f t="shared" si="31"/>
        <v>0</v>
      </c>
      <c r="N152" s="11">
        <f t="shared" si="32"/>
        <v>1</v>
      </c>
      <c r="O152" s="12">
        <f t="shared" si="33"/>
        <v>0.203535353535355</v>
      </c>
      <c r="P152" s="12"/>
      <c r="Q152" s="9">
        <f t="shared" si="34"/>
        <v>20150.0000000001</v>
      </c>
      <c r="R152" s="13">
        <f t="shared" si="35"/>
        <v>0</v>
      </c>
    </row>
    <row r="153" spans="1:18">
      <c r="A153" s="14">
        <v>45988</v>
      </c>
      <c r="B153" s="4">
        <f>Data_Entry!X243</f>
        <v>18949.9999999998</v>
      </c>
      <c r="C153" s="4">
        <v>0</v>
      </c>
      <c r="D153" s="5">
        <f>Data_Entry!AD243</f>
        <v>3.43</v>
      </c>
      <c r="E153" s="6">
        <f t="shared" si="27"/>
        <v>0.19141414141414</v>
      </c>
      <c r="F153" s="7">
        <v>0</v>
      </c>
      <c r="G153" s="7">
        <v>0</v>
      </c>
      <c r="H153" s="8">
        <f t="shared" si="28"/>
        <v>0</v>
      </c>
      <c r="I153" s="8">
        <f t="shared" si="29"/>
        <v>0</v>
      </c>
      <c r="J153" s="9">
        <v>4125</v>
      </c>
      <c r="K153" s="10"/>
      <c r="L153" s="9">
        <f t="shared" si="30"/>
        <v>49500</v>
      </c>
      <c r="M153" s="8">
        <f t="shared" si="31"/>
        <v>0</v>
      </c>
      <c r="N153" s="11">
        <f t="shared" si="32"/>
        <v>1</v>
      </c>
      <c r="O153" s="12">
        <f t="shared" si="33"/>
        <v>0.19141414141414</v>
      </c>
      <c r="P153" s="12"/>
      <c r="Q153" s="9">
        <f t="shared" si="34"/>
        <v>18949.9999999998</v>
      </c>
      <c r="R153" s="13">
        <f t="shared" si="35"/>
        <v>0</v>
      </c>
    </row>
    <row r="154" spans="1:18">
      <c r="A154" s="14">
        <v>45989</v>
      </c>
      <c r="B154" s="4">
        <f>Data_Entry!X244</f>
        <v>16650.0000000002</v>
      </c>
      <c r="C154" s="4">
        <v>0</v>
      </c>
      <c r="D154" s="5">
        <f>Data_Entry!AD244</f>
        <v>3.13</v>
      </c>
      <c r="E154" s="6">
        <f t="shared" si="27"/>
        <v>0.16818181818182</v>
      </c>
      <c r="F154" s="7">
        <v>0</v>
      </c>
      <c r="G154" s="7">
        <v>0</v>
      </c>
      <c r="H154" s="8">
        <f t="shared" si="28"/>
        <v>0</v>
      </c>
      <c r="I154" s="8">
        <f t="shared" si="29"/>
        <v>0</v>
      </c>
      <c r="J154" s="9">
        <v>4125</v>
      </c>
      <c r="K154" s="10"/>
      <c r="L154" s="9">
        <f t="shared" si="30"/>
        <v>49500</v>
      </c>
      <c r="M154" s="8">
        <f t="shared" si="31"/>
        <v>0</v>
      </c>
      <c r="N154" s="11">
        <f t="shared" si="32"/>
        <v>1</v>
      </c>
      <c r="O154" s="12">
        <f t="shared" si="33"/>
        <v>0.16818181818182</v>
      </c>
      <c r="P154" s="12"/>
      <c r="Q154" s="9">
        <f t="shared" si="34"/>
        <v>16650.0000000002</v>
      </c>
      <c r="R154" s="13">
        <f t="shared" si="35"/>
        <v>0</v>
      </c>
    </row>
    <row r="155" spans="1:18">
      <c r="A155" s="14">
        <v>45990</v>
      </c>
      <c r="B155" s="4">
        <f>Data_Entry!X245</f>
        <v>17349.9999999999</v>
      </c>
      <c r="C155" s="4">
        <v>0</v>
      </c>
      <c r="D155" s="5">
        <f>Data_Entry!AD245</f>
        <v>3.35</v>
      </c>
      <c r="E155" s="6">
        <f t="shared" si="27"/>
        <v>0.175252525252524</v>
      </c>
      <c r="F155" s="7">
        <v>0</v>
      </c>
      <c r="G155" s="7">
        <v>0</v>
      </c>
      <c r="H155" s="8">
        <f t="shared" si="28"/>
        <v>0</v>
      </c>
      <c r="I155" s="8">
        <f t="shared" si="29"/>
        <v>0</v>
      </c>
      <c r="J155" s="9">
        <v>4125</v>
      </c>
      <c r="K155" s="10"/>
      <c r="L155" s="9">
        <f t="shared" si="30"/>
        <v>49500</v>
      </c>
      <c r="M155" s="8">
        <f t="shared" si="31"/>
        <v>0</v>
      </c>
      <c r="N155" s="11">
        <f t="shared" si="32"/>
        <v>1</v>
      </c>
      <c r="O155" s="12">
        <f t="shared" si="33"/>
        <v>0.175252525252524</v>
      </c>
      <c r="P155" s="12"/>
      <c r="Q155" s="9">
        <f t="shared" si="34"/>
        <v>17349.9999999999</v>
      </c>
      <c r="R155" s="13">
        <f t="shared" si="35"/>
        <v>0</v>
      </c>
    </row>
    <row r="156" spans="1:18">
      <c r="A156" s="14">
        <v>45991</v>
      </c>
      <c r="B156" s="4">
        <f>Data_Entry!X246</f>
        <v>20150.0000000001</v>
      </c>
      <c r="C156" s="4">
        <v>0</v>
      </c>
      <c r="D156" s="5">
        <f>Data_Entry!AD246</f>
        <v>3.71</v>
      </c>
      <c r="E156" s="6">
        <f t="shared" si="27"/>
        <v>0.203535353535355</v>
      </c>
      <c r="F156" s="7">
        <v>0</v>
      </c>
      <c r="G156" s="7">
        <v>0</v>
      </c>
      <c r="H156" s="8">
        <f t="shared" si="28"/>
        <v>0</v>
      </c>
      <c r="I156" s="8">
        <f t="shared" si="29"/>
        <v>0</v>
      </c>
      <c r="J156" s="9">
        <v>4125</v>
      </c>
      <c r="K156" s="10"/>
      <c r="L156" s="9">
        <f t="shared" si="30"/>
        <v>49500</v>
      </c>
      <c r="M156" s="8">
        <f t="shared" si="31"/>
        <v>0</v>
      </c>
      <c r="N156" s="11">
        <f t="shared" si="32"/>
        <v>1</v>
      </c>
      <c r="O156" s="12">
        <f t="shared" si="33"/>
        <v>0.203535353535355</v>
      </c>
      <c r="P156" s="12"/>
      <c r="Q156" s="9">
        <f t="shared" si="34"/>
        <v>20150.0000000001</v>
      </c>
      <c r="R156" s="13">
        <f t="shared" si="35"/>
        <v>0</v>
      </c>
    </row>
    <row r="157" spans="1:18">
      <c r="A157" s="14">
        <v>45992</v>
      </c>
      <c r="B157" s="4">
        <f>Data_Entry!X247</f>
        <v>21349.9999999999</v>
      </c>
      <c r="C157" s="4">
        <v>0</v>
      </c>
      <c r="D157" s="5">
        <f>Data_Entry!AD247</f>
        <v>3.81</v>
      </c>
      <c r="E157" s="6">
        <f t="shared" si="27"/>
        <v>0.215656565656565</v>
      </c>
      <c r="F157" s="7">
        <v>0</v>
      </c>
      <c r="G157" s="7">
        <v>0</v>
      </c>
      <c r="H157" s="8">
        <f t="shared" si="28"/>
        <v>0</v>
      </c>
      <c r="I157" s="8">
        <f t="shared" si="29"/>
        <v>0</v>
      </c>
      <c r="J157" s="9">
        <v>4125</v>
      </c>
      <c r="K157" s="10"/>
      <c r="L157" s="9">
        <f t="shared" si="30"/>
        <v>49500</v>
      </c>
      <c r="M157" s="8">
        <f t="shared" si="31"/>
        <v>0</v>
      </c>
      <c r="N157" s="11">
        <f t="shared" si="32"/>
        <v>1</v>
      </c>
      <c r="O157" s="12">
        <f t="shared" si="33"/>
        <v>0.215656565656565</v>
      </c>
      <c r="P157" s="12"/>
      <c r="Q157" s="9">
        <f t="shared" si="34"/>
        <v>21349.9999999999</v>
      </c>
      <c r="R157" s="13">
        <f t="shared" si="35"/>
        <v>0</v>
      </c>
    </row>
    <row r="158" spans="1:18">
      <c r="A158" s="14">
        <v>45993</v>
      </c>
      <c r="B158" s="4">
        <f>Data_Entry!X248</f>
        <v>19300.0000000001</v>
      </c>
      <c r="C158" s="4">
        <v>0</v>
      </c>
      <c r="D158" s="5">
        <f>Data_Entry!AD248</f>
        <v>3.5</v>
      </c>
      <c r="E158" s="6">
        <f t="shared" si="27"/>
        <v>0.194949494949496</v>
      </c>
      <c r="F158" s="7">
        <v>0</v>
      </c>
      <c r="G158" s="7">
        <v>0</v>
      </c>
      <c r="H158" s="8">
        <f t="shared" si="28"/>
        <v>0</v>
      </c>
      <c r="I158" s="8">
        <f t="shared" si="29"/>
        <v>0</v>
      </c>
      <c r="J158" s="9">
        <v>4125</v>
      </c>
      <c r="K158" s="10"/>
      <c r="L158" s="9">
        <f t="shared" si="30"/>
        <v>49500</v>
      </c>
      <c r="M158" s="8">
        <f t="shared" si="31"/>
        <v>0</v>
      </c>
      <c r="N158" s="11">
        <f t="shared" si="32"/>
        <v>1</v>
      </c>
      <c r="O158" s="12">
        <f t="shared" si="33"/>
        <v>0.194949494949496</v>
      </c>
      <c r="P158" s="12"/>
      <c r="Q158" s="9">
        <f t="shared" si="34"/>
        <v>19300.0000000001</v>
      </c>
      <c r="R158" s="13">
        <f t="shared" si="35"/>
        <v>0</v>
      </c>
    </row>
    <row r="159" spans="1:18">
      <c r="A159" s="14">
        <v>45994</v>
      </c>
      <c r="B159" s="4">
        <f>Data_Entry!X249</f>
        <v>21300</v>
      </c>
      <c r="C159" s="4">
        <v>0</v>
      </c>
      <c r="D159" s="5">
        <f>Data_Entry!AD249</f>
        <v>3.8</v>
      </c>
      <c r="E159" s="6">
        <f t="shared" si="27"/>
        <v>0.215151515151515</v>
      </c>
      <c r="F159" s="7">
        <v>0</v>
      </c>
      <c r="G159" s="7">
        <v>0</v>
      </c>
      <c r="H159" s="8">
        <f t="shared" si="28"/>
        <v>0</v>
      </c>
      <c r="I159" s="8">
        <f t="shared" si="29"/>
        <v>0</v>
      </c>
      <c r="J159" s="9">
        <v>4125</v>
      </c>
      <c r="K159" s="10"/>
      <c r="L159" s="9">
        <f t="shared" si="30"/>
        <v>49500</v>
      </c>
      <c r="M159" s="8">
        <f t="shared" si="31"/>
        <v>0</v>
      </c>
      <c r="N159" s="11">
        <f t="shared" si="32"/>
        <v>1</v>
      </c>
      <c r="O159" s="12">
        <f t="shared" si="33"/>
        <v>0.215151515151515</v>
      </c>
      <c r="P159" s="12"/>
      <c r="Q159" s="9">
        <f t="shared" si="34"/>
        <v>21300</v>
      </c>
      <c r="R159" s="13">
        <f t="shared" si="35"/>
        <v>0</v>
      </c>
    </row>
    <row r="160" spans="1:18">
      <c r="A160" s="14">
        <v>45995</v>
      </c>
      <c r="B160" s="4">
        <f>Data_Entry!X250</f>
        <v>20000</v>
      </c>
      <c r="C160" s="4">
        <v>0</v>
      </c>
      <c r="D160" s="5">
        <f>Data_Entry!AD250</f>
        <v>3.65</v>
      </c>
      <c r="E160" s="6">
        <f t="shared" si="27"/>
        <v>0.202020202020202</v>
      </c>
      <c r="F160" s="7">
        <v>0</v>
      </c>
      <c r="G160" s="7">
        <v>0</v>
      </c>
      <c r="H160" s="8">
        <f t="shared" si="28"/>
        <v>0</v>
      </c>
      <c r="I160" s="8">
        <f t="shared" si="29"/>
        <v>0</v>
      </c>
      <c r="J160" s="9">
        <v>4125</v>
      </c>
      <c r="K160" s="10"/>
      <c r="L160" s="9">
        <f t="shared" si="30"/>
        <v>49500</v>
      </c>
      <c r="M160" s="8">
        <f t="shared" si="31"/>
        <v>0</v>
      </c>
      <c r="N160" s="11">
        <f t="shared" si="32"/>
        <v>1</v>
      </c>
      <c r="O160" s="12">
        <f t="shared" si="33"/>
        <v>0.202020202020202</v>
      </c>
      <c r="P160" s="12"/>
      <c r="Q160" s="9">
        <f t="shared" si="34"/>
        <v>20000</v>
      </c>
      <c r="R160" s="13">
        <f t="shared" si="35"/>
        <v>0</v>
      </c>
    </row>
    <row r="161" spans="1:18">
      <c r="A161" s="14">
        <v>45996</v>
      </c>
      <c r="B161" s="4">
        <f>Data_Entry!X251</f>
        <v>20350</v>
      </c>
      <c r="C161" s="4">
        <v>0</v>
      </c>
      <c r="D161" s="5">
        <f>Data_Entry!AD251</f>
        <v>3.65</v>
      </c>
      <c r="E161" s="6">
        <f t="shared" si="27"/>
        <v>0.205555555555555</v>
      </c>
      <c r="F161" s="7">
        <v>0</v>
      </c>
      <c r="G161" s="7">
        <v>0</v>
      </c>
      <c r="H161" s="8">
        <f t="shared" si="28"/>
        <v>0</v>
      </c>
      <c r="I161" s="8">
        <f t="shared" si="29"/>
        <v>0</v>
      </c>
      <c r="J161" s="9">
        <v>4125</v>
      </c>
      <c r="K161" s="10"/>
      <c r="L161" s="9">
        <f t="shared" si="30"/>
        <v>49500</v>
      </c>
      <c r="M161" s="8">
        <f t="shared" si="31"/>
        <v>0</v>
      </c>
      <c r="N161" s="11">
        <f t="shared" si="32"/>
        <v>1</v>
      </c>
      <c r="O161" s="12">
        <f t="shared" si="33"/>
        <v>0.205555555555555</v>
      </c>
      <c r="P161" s="12"/>
      <c r="Q161" s="9">
        <f t="shared" si="34"/>
        <v>20350</v>
      </c>
      <c r="R161" s="13">
        <f t="shared" si="35"/>
        <v>0</v>
      </c>
    </row>
    <row r="162" spans="1:18">
      <c r="A162" s="14">
        <v>45997</v>
      </c>
      <c r="B162" s="4">
        <f>Data_Entry!X252</f>
        <v>19200.0000000002</v>
      </c>
      <c r="C162" s="4">
        <v>0</v>
      </c>
      <c r="D162" s="5">
        <f>Data_Entry!AD252</f>
        <v>3.45</v>
      </c>
      <c r="E162" s="6">
        <f t="shared" si="27"/>
        <v>0.193939393939396</v>
      </c>
      <c r="F162" s="7">
        <v>0</v>
      </c>
      <c r="G162" s="7">
        <v>0</v>
      </c>
      <c r="H162" s="8">
        <f t="shared" si="28"/>
        <v>0</v>
      </c>
      <c r="I162" s="8">
        <f t="shared" si="29"/>
        <v>0</v>
      </c>
      <c r="J162" s="9">
        <v>4125</v>
      </c>
      <c r="K162" s="10"/>
      <c r="L162" s="9">
        <f t="shared" si="30"/>
        <v>49500</v>
      </c>
      <c r="M162" s="8">
        <f t="shared" si="31"/>
        <v>0</v>
      </c>
      <c r="N162" s="11">
        <f t="shared" si="32"/>
        <v>1</v>
      </c>
      <c r="O162" s="12">
        <f t="shared" si="33"/>
        <v>0.193939393939396</v>
      </c>
      <c r="P162" s="12"/>
      <c r="Q162" s="9">
        <f t="shared" si="34"/>
        <v>19200.0000000002</v>
      </c>
      <c r="R162" s="13">
        <f t="shared" si="35"/>
        <v>0</v>
      </c>
    </row>
    <row r="163" spans="1:18">
      <c r="A163" s="14">
        <v>45998</v>
      </c>
      <c r="B163" s="4">
        <f>Data_Entry!X253</f>
        <v>21449.9999999998</v>
      </c>
      <c r="C163" s="4">
        <v>0</v>
      </c>
      <c r="D163" s="5">
        <f>Data_Entry!AD253</f>
        <v>3.81</v>
      </c>
      <c r="E163" s="6">
        <f t="shared" si="27"/>
        <v>0.216666666666665</v>
      </c>
      <c r="F163" s="7">
        <v>0</v>
      </c>
      <c r="G163" s="7">
        <v>0</v>
      </c>
      <c r="H163" s="8">
        <f t="shared" si="28"/>
        <v>0</v>
      </c>
      <c r="I163" s="8">
        <f t="shared" si="29"/>
        <v>0</v>
      </c>
      <c r="J163" s="9">
        <v>4125</v>
      </c>
      <c r="K163" s="10"/>
      <c r="L163" s="9">
        <f t="shared" si="30"/>
        <v>49500</v>
      </c>
      <c r="M163" s="8">
        <f t="shared" si="31"/>
        <v>0</v>
      </c>
      <c r="N163" s="11">
        <f t="shared" si="32"/>
        <v>1</v>
      </c>
      <c r="O163" s="12">
        <f t="shared" si="33"/>
        <v>0.216666666666665</v>
      </c>
      <c r="P163" s="12"/>
      <c r="Q163" s="9">
        <f t="shared" si="34"/>
        <v>21449.9999999998</v>
      </c>
      <c r="R163" s="13">
        <f t="shared" si="35"/>
        <v>0</v>
      </c>
    </row>
    <row r="164" spans="1:18">
      <c r="A164" s="14">
        <v>45999</v>
      </c>
      <c r="B164" s="4">
        <f>Data_Entry!X254</f>
        <v>21449.9999999998</v>
      </c>
      <c r="C164" s="4">
        <v>0</v>
      </c>
      <c r="D164" s="5">
        <f>Data_Entry!AD254</f>
        <v>3.82</v>
      </c>
      <c r="E164" s="6">
        <f t="shared" si="27"/>
        <v>0.216666666666665</v>
      </c>
      <c r="F164" s="7">
        <v>0</v>
      </c>
      <c r="G164" s="7">
        <v>0</v>
      </c>
      <c r="H164" s="8">
        <f t="shared" si="28"/>
        <v>0</v>
      </c>
      <c r="I164" s="8">
        <f t="shared" si="29"/>
        <v>0</v>
      </c>
      <c r="J164" s="9">
        <v>4125</v>
      </c>
      <c r="K164" s="10"/>
      <c r="L164" s="9">
        <f t="shared" si="30"/>
        <v>49500</v>
      </c>
      <c r="M164" s="8">
        <f t="shared" si="31"/>
        <v>0</v>
      </c>
      <c r="N164" s="11">
        <f t="shared" si="32"/>
        <v>1</v>
      </c>
      <c r="O164" s="12">
        <f t="shared" si="33"/>
        <v>0.216666666666665</v>
      </c>
      <c r="P164" s="12"/>
      <c r="Q164" s="9">
        <f t="shared" si="34"/>
        <v>21449.9999999998</v>
      </c>
      <c r="R164" s="13">
        <f t="shared" si="35"/>
        <v>0</v>
      </c>
    </row>
    <row r="165" spans="1:18">
      <c r="A165" s="14">
        <v>46000</v>
      </c>
      <c r="B165" s="4">
        <f>Data_Entry!X255</f>
        <v>23100</v>
      </c>
      <c r="C165" s="4">
        <v>0</v>
      </c>
      <c r="D165" s="5">
        <f>Data_Entry!AD255</f>
        <v>4.13</v>
      </c>
      <c r="E165" s="6">
        <f t="shared" si="27"/>
        <v>0.233333333333334</v>
      </c>
      <c r="F165" s="7">
        <v>0</v>
      </c>
      <c r="G165" s="7">
        <v>0</v>
      </c>
      <c r="H165" s="8">
        <f t="shared" si="28"/>
        <v>0</v>
      </c>
      <c r="I165" s="8">
        <f t="shared" si="29"/>
        <v>0</v>
      </c>
      <c r="J165" s="9">
        <v>4125</v>
      </c>
      <c r="K165" s="10"/>
      <c r="L165" s="9">
        <f t="shared" si="30"/>
        <v>49500</v>
      </c>
      <c r="M165" s="8">
        <f t="shared" si="31"/>
        <v>0</v>
      </c>
      <c r="N165" s="11">
        <f t="shared" si="32"/>
        <v>1</v>
      </c>
      <c r="O165" s="12">
        <f t="shared" si="33"/>
        <v>0.233333333333334</v>
      </c>
      <c r="P165" s="12"/>
      <c r="Q165" s="9">
        <f t="shared" si="34"/>
        <v>23100</v>
      </c>
      <c r="R165" s="13">
        <f t="shared" si="35"/>
        <v>0</v>
      </c>
    </row>
    <row r="166" spans="1:18">
      <c r="A166" s="14">
        <v>46001</v>
      </c>
      <c r="B166" s="4">
        <f>Data_Entry!X256</f>
        <v>23249.9999999999</v>
      </c>
      <c r="C166" s="4">
        <v>0</v>
      </c>
      <c r="D166" s="5">
        <f>Data_Entry!AD256</f>
        <v>4.07</v>
      </c>
      <c r="E166" s="6">
        <f t="shared" si="27"/>
        <v>0.234848484848484</v>
      </c>
      <c r="F166" s="7">
        <v>0</v>
      </c>
      <c r="G166" s="7">
        <v>0</v>
      </c>
      <c r="H166" s="8">
        <f t="shared" si="28"/>
        <v>0</v>
      </c>
      <c r="I166" s="8">
        <f t="shared" si="29"/>
        <v>0</v>
      </c>
      <c r="J166" s="9">
        <v>4125</v>
      </c>
      <c r="K166" s="10"/>
      <c r="L166" s="9">
        <f t="shared" si="30"/>
        <v>49500</v>
      </c>
      <c r="M166" s="8">
        <f t="shared" si="31"/>
        <v>0</v>
      </c>
      <c r="N166" s="11">
        <f t="shared" si="32"/>
        <v>1</v>
      </c>
      <c r="O166" s="12">
        <f t="shared" si="33"/>
        <v>0.234848484848484</v>
      </c>
      <c r="P166" s="12"/>
      <c r="Q166" s="9">
        <f t="shared" si="34"/>
        <v>23249.9999999999</v>
      </c>
      <c r="R166" s="13">
        <f t="shared" si="35"/>
        <v>0</v>
      </c>
    </row>
    <row r="167" spans="1:18">
      <c r="A167" s="14">
        <v>46002</v>
      </c>
      <c r="B167" s="4">
        <f>Data_Entry!X257</f>
        <v>22900.0000000002</v>
      </c>
      <c r="C167" s="4">
        <v>0</v>
      </c>
      <c r="D167" s="5">
        <f>Data_Entry!AD257</f>
        <v>4.12</v>
      </c>
      <c r="E167" s="6">
        <f t="shared" si="27"/>
        <v>0.231313131313133</v>
      </c>
      <c r="F167" s="7">
        <v>0</v>
      </c>
      <c r="G167" s="7">
        <v>0</v>
      </c>
      <c r="H167" s="8">
        <f t="shared" si="28"/>
        <v>0</v>
      </c>
      <c r="I167" s="8">
        <f t="shared" si="29"/>
        <v>0</v>
      </c>
      <c r="J167" s="9">
        <v>4125</v>
      </c>
      <c r="K167" s="10"/>
      <c r="L167" s="9">
        <f t="shared" si="30"/>
        <v>49500</v>
      </c>
      <c r="M167" s="8">
        <f t="shared" si="31"/>
        <v>0</v>
      </c>
      <c r="N167" s="11">
        <f t="shared" si="32"/>
        <v>1</v>
      </c>
      <c r="O167" s="12">
        <f t="shared" si="33"/>
        <v>0.231313131313133</v>
      </c>
      <c r="P167" s="12"/>
      <c r="Q167" s="9">
        <f t="shared" si="34"/>
        <v>22900.0000000002</v>
      </c>
      <c r="R167" s="13">
        <f t="shared" si="35"/>
        <v>0</v>
      </c>
    </row>
    <row r="168" spans="1:18">
      <c r="A168" s="14">
        <v>46003</v>
      </c>
      <c r="B168" s="4">
        <f>Data_Entry!X258</f>
        <v>23150</v>
      </c>
      <c r="C168" s="4">
        <v>0</v>
      </c>
      <c r="D168" s="5">
        <f>Data_Entry!AD258</f>
        <v>4.15</v>
      </c>
      <c r="E168" s="6">
        <f t="shared" si="27"/>
        <v>0.233838383838384</v>
      </c>
      <c r="F168" s="7">
        <v>0</v>
      </c>
      <c r="G168" s="7">
        <v>0</v>
      </c>
      <c r="H168" s="8">
        <f t="shared" si="28"/>
        <v>0</v>
      </c>
      <c r="I168" s="8">
        <f t="shared" si="29"/>
        <v>0</v>
      </c>
      <c r="J168" s="9">
        <v>4125</v>
      </c>
      <c r="K168" s="10"/>
      <c r="L168" s="9">
        <f t="shared" si="30"/>
        <v>49500</v>
      </c>
      <c r="M168" s="8">
        <f t="shared" si="31"/>
        <v>0</v>
      </c>
      <c r="N168" s="11">
        <f t="shared" si="32"/>
        <v>1</v>
      </c>
      <c r="O168" s="12">
        <f t="shared" si="33"/>
        <v>0.233838383838384</v>
      </c>
      <c r="P168" s="12"/>
      <c r="Q168" s="9">
        <f t="shared" si="34"/>
        <v>23150</v>
      </c>
      <c r="R168" s="13">
        <f t="shared" si="35"/>
        <v>0</v>
      </c>
    </row>
    <row r="169" spans="1:18">
      <c r="A169" s="14">
        <v>46004</v>
      </c>
      <c r="B169" s="4">
        <f>Data_Entry!X259</f>
        <v>22649.9999999999</v>
      </c>
      <c r="C169" s="4">
        <v>0</v>
      </c>
      <c r="D169" s="5">
        <f>Data_Entry!AD259</f>
        <v>4.02</v>
      </c>
      <c r="E169" s="6">
        <f t="shared" si="27"/>
        <v>0.228787878787877</v>
      </c>
      <c r="F169" s="7">
        <v>0</v>
      </c>
      <c r="G169" s="7">
        <v>0</v>
      </c>
      <c r="H169" s="8">
        <f t="shared" si="28"/>
        <v>0</v>
      </c>
      <c r="I169" s="8">
        <f t="shared" si="29"/>
        <v>0</v>
      </c>
      <c r="J169" s="9">
        <v>4125</v>
      </c>
      <c r="K169" s="10"/>
      <c r="L169" s="9">
        <f t="shared" si="30"/>
        <v>49500</v>
      </c>
      <c r="M169" s="8">
        <f t="shared" si="31"/>
        <v>0</v>
      </c>
      <c r="N169" s="11">
        <f t="shared" si="32"/>
        <v>1</v>
      </c>
      <c r="O169" s="12">
        <f t="shared" si="33"/>
        <v>0.228787878787877</v>
      </c>
      <c r="P169" s="12"/>
      <c r="Q169" s="9">
        <f t="shared" si="34"/>
        <v>22649.9999999999</v>
      </c>
      <c r="R169" s="13">
        <f t="shared" si="35"/>
        <v>0</v>
      </c>
    </row>
    <row r="170" spans="1:18">
      <c r="A170" s="14">
        <v>46005</v>
      </c>
      <c r="B170" s="4">
        <f>Data_Entry!X260</f>
        <v>21900</v>
      </c>
      <c r="C170" s="4">
        <v>0</v>
      </c>
      <c r="D170" s="5">
        <f>Data_Entry!AD260</f>
        <v>3.91</v>
      </c>
      <c r="E170" s="6">
        <f t="shared" si="27"/>
        <v>0.221212121212121</v>
      </c>
      <c r="F170" s="7">
        <v>0</v>
      </c>
      <c r="G170" s="7">
        <v>0</v>
      </c>
      <c r="H170" s="8">
        <f t="shared" si="28"/>
        <v>0</v>
      </c>
      <c r="I170" s="8">
        <f t="shared" si="29"/>
        <v>0</v>
      </c>
      <c r="J170" s="9">
        <v>4125</v>
      </c>
      <c r="K170" s="10"/>
      <c r="L170" s="9">
        <f t="shared" si="30"/>
        <v>49500</v>
      </c>
      <c r="M170" s="8">
        <f t="shared" si="31"/>
        <v>0</v>
      </c>
      <c r="N170" s="11">
        <f t="shared" si="32"/>
        <v>1</v>
      </c>
      <c r="O170" s="12">
        <f t="shared" si="33"/>
        <v>0.221212121212121</v>
      </c>
      <c r="P170" s="12"/>
      <c r="Q170" s="9">
        <f t="shared" si="34"/>
        <v>21900</v>
      </c>
      <c r="R170" s="13">
        <f t="shared" si="35"/>
        <v>0</v>
      </c>
    </row>
    <row r="171" spans="1:18">
      <c r="A171" s="14">
        <v>46006</v>
      </c>
      <c r="B171" s="4">
        <f>Data_Entry!X261</f>
        <v>22600.0000000005</v>
      </c>
      <c r="C171" s="4">
        <v>0</v>
      </c>
      <c r="D171" s="5">
        <f>Data_Entry!AD261</f>
        <v>3.99</v>
      </c>
      <c r="E171" s="6">
        <f t="shared" si="27"/>
        <v>0.228282828282833</v>
      </c>
      <c r="F171" s="7">
        <v>0</v>
      </c>
      <c r="G171" s="7">
        <v>0</v>
      </c>
      <c r="H171" s="8">
        <f t="shared" si="28"/>
        <v>0</v>
      </c>
      <c r="I171" s="8">
        <f t="shared" si="29"/>
        <v>0</v>
      </c>
      <c r="J171" s="9">
        <v>4125</v>
      </c>
      <c r="K171" s="10"/>
      <c r="L171" s="9">
        <f t="shared" si="30"/>
        <v>49500</v>
      </c>
      <c r="M171" s="8">
        <f t="shared" si="31"/>
        <v>0</v>
      </c>
      <c r="N171" s="11">
        <f t="shared" si="32"/>
        <v>1</v>
      </c>
      <c r="O171" s="12">
        <f t="shared" si="33"/>
        <v>0.228282828282833</v>
      </c>
      <c r="P171" s="12"/>
      <c r="Q171" s="9">
        <f t="shared" si="34"/>
        <v>22600.0000000005</v>
      </c>
      <c r="R171" s="13">
        <f t="shared" si="35"/>
        <v>0</v>
      </c>
    </row>
    <row r="172" spans="1:18">
      <c r="A172" s="14">
        <v>46007</v>
      </c>
      <c r="B172" s="4">
        <f>Data_Entry!X262</f>
        <v>21799.9999999995</v>
      </c>
      <c r="C172" s="4">
        <v>0</v>
      </c>
      <c r="D172" s="5">
        <f>Data_Entry!AD262</f>
        <v>3.75</v>
      </c>
      <c r="E172" s="6">
        <f t="shared" si="27"/>
        <v>0.220202020202015</v>
      </c>
      <c r="F172" s="7">
        <v>0</v>
      </c>
      <c r="G172" s="7">
        <v>0</v>
      </c>
      <c r="H172" s="8">
        <f t="shared" si="28"/>
        <v>0</v>
      </c>
      <c r="I172" s="8">
        <f t="shared" si="29"/>
        <v>0</v>
      </c>
      <c r="J172" s="9">
        <v>4125</v>
      </c>
      <c r="K172" s="10"/>
      <c r="L172" s="9">
        <f t="shared" si="30"/>
        <v>49500</v>
      </c>
      <c r="M172" s="8">
        <f t="shared" si="31"/>
        <v>0</v>
      </c>
      <c r="N172" s="11">
        <f t="shared" si="32"/>
        <v>1</v>
      </c>
      <c r="O172" s="12">
        <f t="shared" si="33"/>
        <v>0.220202020202015</v>
      </c>
      <c r="P172" s="12"/>
      <c r="Q172" s="9">
        <f t="shared" si="34"/>
        <v>21799.9999999995</v>
      </c>
      <c r="R172" s="13">
        <f t="shared" si="35"/>
        <v>0</v>
      </c>
    </row>
    <row r="173" spans="1:18">
      <c r="A173" s="14">
        <v>46008</v>
      </c>
      <c r="B173" s="4">
        <f>Data_Entry!X263</f>
        <v>20150.0000000004</v>
      </c>
      <c r="C173" s="4">
        <v>0</v>
      </c>
      <c r="D173" s="5">
        <f>Data_Entry!AD263</f>
        <v>3.49</v>
      </c>
      <c r="E173" s="6">
        <f t="shared" si="27"/>
        <v>0.203535353535358</v>
      </c>
      <c r="F173" s="7">
        <v>0</v>
      </c>
      <c r="G173" s="7">
        <v>0</v>
      </c>
      <c r="H173" s="8">
        <f t="shared" si="28"/>
        <v>0</v>
      </c>
      <c r="I173" s="8">
        <f t="shared" si="29"/>
        <v>0</v>
      </c>
      <c r="J173" s="9">
        <v>4125</v>
      </c>
      <c r="K173" s="10"/>
      <c r="L173" s="9">
        <f t="shared" si="30"/>
        <v>49500</v>
      </c>
      <c r="M173" s="8">
        <f t="shared" si="31"/>
        <v>0</v>
      </c>
      <c r="N173" s="11">
        <f t="shared" si="32"/>
        <v>1</v>
      </c>
      <c r="O173" s="12">
        <f t="shared" si="33"/>
        <v>0.203535353535358</v>
      </c>
      <c r="P173" s="12"/>
      <c r="Q173" s="9">
        <f t="shared" si="34"/>
        <v>20150.0000000004</v>
      </c>
      <c r="R173" s="13">
        <f t="shared" si="35"/>
        <v>0</v>
      </c>
    </row>
    <row r="174" spans="1:18">
      <c r="A174" s="14">
        <v>46009</v>
      </c>
      <c r="B174" s="4">
        <f>Data_Entry!X264</f>
        <v>20849.9999999998</v>
      </c>
      <c r="C174" s="4">
        <v>0</v>
      </c>
      <c r="D174" s="5">
        <f>Data_Entry!AD264</f>
        <v>3.74</v>
      </c>
      <c r="E174" s="6">
        <f t="shared" si="27"/>
        <v>0.210606060606059</v>
      </c>
      <c r="F174" s="7">
        <v>0</v>
      </c>
      <c r="G174" s="7">
        <v>0</v>
      </c>
      <c r="H174" s="8">
        <f t="shared" si="28"/>
        <v>0</v>
      </c>
      <c r="I174" s="8">
        <f t="shared" si="29"/>
        <v>0</v>
      </c>
      <c r="J174" s="9">
        <v>4125</v>
      </c>
      <c r="K174" s="10"/>
      <c r="L174" s="9">
        <f t="shared" si="30"/>
        <v>49500</v>
      </c>
      <c r="M174" s="8">
        <f t="shared" si="31"/>
        <v>0</v>
      </c>
      <c r="N174" s="11">
        <f t="shared" si="32"/>
        <v>1</v>
      </c>
      <c r="O174" s="12">
        <f t="shared" si="33"/>
        <v>0.210606060606059</v>
      </c>
      <c r="P174" s="12"/>
      <c r="Q174" s="9">
        <f t="shared" si="34"/>
        <v>20849.9999999998</v>
      </c>
      <c r="R174" s="13">
        <f t="shared" si="35"/>
        <v>0</v>
      </c>
    </row>
    <row r="175" spans="1:18">
      <c r="A175" s="14">
        <v>46010</v>
      </c>
      <c r="B175" s="4">
        <f>Data_Entry!X265</f>
        <v>23050.0000000001</v>
      </c>
      <c r="C175" s="4">
        <v>0</v>
      </c>
      <c r="D175" s="5">
        <f>Data_Entry!AD265</f>
        <v>3.94</v>
      </c>
      <c r="E175" s="6">
        <f t="shared" si="27"/>
        <v>0.232828282828284</v>
      </c>
      <c r="F175" s="7">
        <v>0</v>
      </c>
      <c r="G175" s="7">
        <v>0</v>
      </c>
      <c r="H175" s="8">
        <f t="shared" si="28"/>
        <v>0</v>
      </c>
      <c r="I175" s="8">
        <f t="shared" si="29"/>
        <v>0</v>
      </c>
      <c r="J175" s="9">
        <v>4125</v>
      </c>
      <c r="K175" s="10"/>
      <c r="L175" s="9">
        <f t="shared" si="30"/>
        <v>49500</v>
      </c>
      <c r="M175" s="8">
        <f t="shared" si="31"/>
        <v>0</v>
      </c>
      <c r="N175" s="11">
        <f t="shared" si="32"/>
        <v>1</v>
      </c>
      <c r="O175" s="12">
        <f t="shared" si="33"/>
        <v>0.232828282828284</v>
      </c>
      <c r="P175" s="12"/>
      <c r="Q175" s="9">
        <f t="shared" si="34"/>
        <v>23050.0000000001</v>
      </c>
      <c r="R175" s="13">
        <f t="shared" si="35"/>
        <v>0</v>
      </c>
    </row>
    <row r="176" spans="1:18">
      <c r="A176" s="14">
        <v>46011</v>
      </c>
      <c r="B176" s="4">
        <f>Data_Entry!X266</f>
        <v>22950.0000000002</v>
      </c>
      <c r="C176" s="4">
        <v>0</v>
      </c>
      <c r="D176" s="5">
        <f>Data_Entry!AD266</f>
        <v>4.1</v>
      </c>
      <c r="E176" s="6">
        <f t="shared" si="27"/>
        <v>0.231818181818183</v>
      </c>
      <c r="F176" s="7">
        <v>0</v>
      </c>
      <c r="G176" s="7">
        <v>0</v>
      </c>
      <c r="H176" s="8">
        <f t="shared" si="28"/>
        <v>0</v>
      </c>
      <c r="I176" s="8">
        <f t="shared" si="29"/>
        <v>0</v>
      </c>
      <c r="J176" s="9">
        <v>4125</v>
      </c>
      <c r="K176" s="10"/>
      <c r="L176" s="9">
        <f t="shared" si="30"/>
        <v>49500</v>
      </c>
      <c r="M176" s="8">
        <f t="shared" si="31"/>
        <v>0</v>
      </c>
      <c r="N176" s="11">
        <f t="shared" si="32"/>
        <v>1</v>
      </c>
      <c r="O176" s="12">
        <f t="shared" si="33"/>
        <v>0.231818181818183</v>
      </c>
      <c r="P176" s="12"/>
      <c r="Q176" s="9">
        <f t="shared" si="34"/>
        <v>22950.0000000002</v>
      </c>
      <c r="R176" s="13">
        <f t="shared" si="35"/>
        <v>0</v>
      </c>
    </row>
    <row r="177" spans="1:18">
      <c r="A177" s="14">
        <v>46012</v>
      </c>
      <c r="B177" s="4">
        <f>Data_Entry!X267</f>
        <v>19699.9999999997</v>
      </c>
      <c r="C177" s="4">
        <v>0</v>
      </c>
      <c r="D177" s="5">
        <f>Data_Entry!AD267</f>
        <v>3.22</v>
      </c>
      <c r="E177" s="6">
        <f t="shared" si="27"/>
        <v>0.198989898989896</v>
      </c>
      <c r="F177" s="7">
        <v>0</v>
      </c>
      <c r="G177" s="7">
        <v>0</v>
      </c>
      <c r="H177" s="8">
        <f t="shared" si="28"/>
        <v>0</v>
      </c>
      <c r="I177" s="8">
        <f t="shared" si="29"/>
        <v>0</v>
      </c>
      <c r="J177" s="9">
        <v>4125</v>
      </c>
      <c r="K177" s="10"/>
      <c r="L177" s="9">
        <f t="shared" si="30"/>
        <v>49500</v>
      </c>
      <c r="M177" s="8">
        <f t="shared" si="31"/>
        <v>0</v>
      </c>
      <c r="N177" s="11">
        <f t="shared" si="32"/>
        <v>1</v>
      </c>
      <c r="O177" s="12">
        <f t="shared" si="33"/>
        <v>0.198989898989896</v>
      </c>
      <c r="P177" s="12"/>
      <c r="Q177" s="9">
        <f t="shared" si="34"/>
        <v>19699.9999999997</v>
      </c>
      <c r="R177" s="13">
        <f t="shared" si="35"/>
        <v>0</v>
      </c>
    </row>
    <row r="178" spans="1:18">
      <c r="A178" s="14">
        <v>46013</v>
      </c>
      <c r="B178" s="4">
        <f>Data_Entry!X268</f>
        <v>21450.0000000004</v>
      </c>
      <c r="C178" s="4">
        <v>0</v>
      </c>
      <c r="D178" s="5">
        <f>Data_Entry!AD268</f>
        <v>3.9</v>
      </c>
      <c r="E178" s="6">
        <f t="shared" si="27"/>
        <v>0.216666666666671</v>
      </c>
      <c r="F178" s="7">
        <v>0</v>
      </c>
      <c r="G178" s="7">
        <v>0</v>
      </c>
      <c r="H178" s="8">
        <f t="shared" si="28"/>
        <v>0</v>
      </c>
      <c r="I178" s="8">
        <f t="shared" si="29"/>
        <v>0</v>
      </c>
      <c r="J178" s="9">
        <v>4125</v>
      </c>
      <c r="K178" s="10"/>
      <c r="L178" s="9">
        <f t="shared" si="30"/>
        <v>49500</v>
      </c>
      <c r="M178" s="8">
        <f t="shared" si="31"/>
        <v>0</v>
      </c>
      <c r="N178" s="11">
        <f t="shared" si="32"/>
        <v>1</v>
      </c>
      <c r="O178" s="12">
        <f t="shared" si="33"/>
        <v>0.216666666666671</v>
      </c>
      <c r="P178" s="12"/>
      <c r="Q178" s="9">
        <f t="shared" si="34"/>
        <v>21450.0000000004</v>
      </c>
      <c r="R178" s="13">
        <f t="shared" si="35"/>
        <v>0</v>
      </c>
    </row>
    <row r="179" spans="1:18">
      <c r="A179" s="14">
        <v>46014</v>
      </c>
      <c r="B179" s="4">
        <f>Data_Entry!X269</f>
        <v>21599.9999999997</v>
      </c>
      <c r="C179" s="4">
        <v>0</v>
      </c>
      <c r="D179" s="5">
        <f>Data_Entry!AD269</f>
        <v>3.86</v>
      </c>
      <c r="E179" s="6">
        <f t="shared" si="27"/>
        <v>0.218181818181815</v>
      </c>
      <c r="F179" s="7">
        <v>0</v>
      </c>
      <c r="G179" s="7">
        <v>0</v>
      </c>
      <c r="H179" s="8">
        <f t="shared" si="28"/>
        <v>0</v>
      </c>
      <c r="I179" s="8">
        <f t="shared" si="29"/>
        <v>0</v>
      </c>
      <c r="J179" s="9">
        <v>4125</v>
      </c>
      <c r="K179" s="10"/>
      <c r="L179" s="9">
        <f t="shared" si="30"/>
        <v>49500</v>
      </c>
      <c r="M179" s="8">
        <f t="shared" si="31"/>
        <v>0</v>
      </c>
      <c r="N179" s="11">
        <f t="shared" si="32"/>
        <v>1</v>
      </c>
      <c r="O179" s="12">
        <f t="shared" si="33"/>
        <v>0.218181818181815</v>
      </c>
      <c r="P179" s="12"/>
      <c r="Q179" s="9">
        <f t="shared" si="34"/>
        <v>21599.9999999997</v>
      </c>
      <c r="R179" s="13">
        <f t="shared" si="35"/>
        <v>0</v>
      </c>
    </row>
    <row r="180" spans="1:18">
      <c r="A180" s="14">
        <v>46015</v>
      </c>
      <c r="B180" s="4">
        <f>Data_Entry!X270</f>
        <v>21600.0000000003</v>
      </c>
      <c r="C180" s="4">
        <v>0</v>
      </c>
      <c r="D180" s="5">
        <f>Data_Entry!AD270</f>
        <v>3.93</v>
      </c>
      <c r="E180" s="6">
        <f t="shared" si="27"/>
        <v>0.218181818181821</v>
      </c>
      <c r="F180" s="7">
        <v>0</v>
      </c>
      <c r="G180" s="7">
        <v>0</v>
      </c>
      <c r="H180" s="8">
        <f t="shared" si="28"/>
        <v>0</v>
      </c>
      <c r="I180" s="8">
        <f t="shared" si="29"/>
        <v>0</v>
      </c>
      <c r="J180" s="9">
        <v>4125</v>
      </c>
      <c r="K180" s="10"/>
      <c r="L180" s="9">
        <f t="shared" si="30"/>
        <v>49500</v>
      </c>
      <c r="M180" s="8">
        <f t="shared" si="31"/>
        <v>0</v>
      </c>
      <c r="N180" s="11">
        <f t="shared" si="32"/>
        <v>1</v>
      </c>
      <c r="O180" s="12">
        <f t="shared" si="33"/>
        <v>0.218181818181821</v>
      </c>
      <c r="P180" s="12"/>
      <c r="Q180" s="9">
        <f t="shared" si="34"/>
        <v>21600.0000000003</v>
      </c>
      <c r="R180" s="13">
        <f t="shared" si="35"/>
        <v>0</v>
      </c>
    </row>
    <row r="181" spans="1:18">
      <c r="A181" s="14">
        <v>46016</v>
      </c>
      <c r="B181" s="4">
        <f>Data_Entry!X271</f>
        <v>21749.9999999995</v>
      </c>
      <c r="C181" s="4">
        <v>0</v>
      </c>
      <c r="D181" s="5">
        <f>Data_Entry!AD271</f>
        <v>3.87</v>
      </c>
      <c r="E181" s="6">
        <f t="shared" si="27"/>
        <v>0.219696969696965</v>
      </c>
      <c r="F181" s="7">
        <v>0</v>
      </c>
      <c r="G181" s="7">
        <v>0</v>
      </c>
      <c r="H181" s="8">
        <f t="shared" si="28"/>
        <v>0</v>
      </c>
      <c r="I181" s="8">
        <f t="shared" si="29"/>
        <v>0</v>
      </c>
      <c r="J181" s="9">
        <v>4125</v>
      </c>
      <c r="K181" s="10"/>
      <c r="L181" s="9">
        <f t="shared" si="30"/>
        <v>49500</v>
      </c>
      <c r="M181" s="8">
        <f t="shared" si="31"/>
        <v>0</v>
      </c>
      <c r="N181" s="11">
        <f t="shared" si="32"/>
        <v>1</v>
      </c>
      <c r="O181" s="12">
        <f t="shared" si="33"/>
        <v>0.219696969696965</v>
      </c>
      <c r="P181" s="12"/>
      <c r="Q181" s="9">
        <f t="shared" si="34"/>
        <v>21749.9999999995</v>
      </c>
      <c r="R181" s="13">
        <f t="shared" si="35"/>
        <v>0</v>
      </c>
    </row>
    <row r="182" spans="1:18">
      <c r="A182" s="14">
        <v>46017</v>
      </c>
      <c r="B182" s="4">
        <f>Data_Entry!X272</f>
        <v>20400.0000000002</v>
      </c>
      <c r="C182" s="4">
        <v>0</v>
      </c>
      <c r="D182" s="5">
        <f>Data_Entry!AD272</f>
        <v>3.23</v>
      </c>
      <c r="E182" s="6">
        <f t="shared" si="27"/>
        <v>0.206060606060608</v>
      </c>
      <c r="F182" s="7">
        <v>0</v>
      </c>
      <c r="G182" s="7">
        <v>0</v>
      </c>
      <c r="H182" s="8">
        <f t="shared" si="28"/>
        <v>0</v>
      </c>
      <c r="I182" s="8">
        <f t="shared" si="29"/>
        <v>0</v>
      </c>
      <c r="J182" s="9">
        <v>4125</v>
      </c>
      <c r="K182" s="10"/>
      <c r="L182" s="9">
        <f t="shared" si="30"/>
        <v>49500</v>
      </c>
      <c r="M182" s="8">
        <f t="shared" si="31"/>
        <v>0</v>
      </c>
      <c r="N182" s="11">
        <f t="shared" si="32"/>
        <v>1</v>
      </c>
      <c r="O182" s="12">
        <f t="shared" si="33"/>
        <v>0.206060606060608</v>
      </c>
      <c r="P182" s="12"/>
      <c r="Q182" s="9">
        <f t="shared" si="34"/>
        <v>20400.0000000002</v>
      </c>
      <c r="R182" s="13">
        <f t="shared" si="35"/>
        <v>0</v>
      </c>
    </row>
    <row r="183" spans="1:18">
      <c r="A183" s="14">
        <v>46018</v>
      </c>
      <c r="B183" s="4">
        <f>Data_Entry!X273</f>
        <v>19599.9999999998</v>
      </c>
      <c r="C183" s="4">
        <v>0</v>
      </c>
      <c r="D183" s="5">
        <f>Data_Entry!AD273</f>
        <v>3.62</v>
      </c>
      <c r="E183" s="6">
        <f t="shared" si="27"/>
        <v>0.197979797979796</v>
      </c>
      <c r="F183" s="7">
        <v>0</v>
      </c>
      <c r="G183" s="7">
        <v>0</v>
      </c>
      <c r="H183" s="8">
        <f t="shared" si="28"/>
        <v>0</v>
      </c>
      <c r="I183" s="8">
        <f t="shared" si="29"/>
        <v>0</v>
      </c>
      <c r="J183" s="9">
        <v>4125</v>
      </c>
      <c r="K183" s="10"/>
      <c r="L183" s="9">
        <f t="shared" si="30"/>
        <v>49500</v>
      </c>
      <c r="M183" s="8">
        <f t="shared" si="31"/>
        <v>0</v>
      </c>
      <c r="N183" s="11">
        <f t="shared" si="32"/>
        <v>1</v>
      </c>
      <c r="O183" s="12">
        <f t="shared" si="33"/>
        <v>0.197979797979796</v>
      </c>
      <c r="P183" s="12"/>
      <c r="Q183" s="9">
        <f t="shared" si="34"/>
        <v>19599.9999999998</v>
      </c>
      <c r="R183" s="13">
        <f t="shared" si="35"/>
        <v>0</v>
      </c>
    </row>
    <row r="184" spans="1:18">
      <c r="A184" s="14">
        <v>46019</v>
      </c>
      <c r="B184" s="4">
        <f>Data_Entry!X274</f>
        <v>19650.0000000003</v>
      </c>
      <c r="C184" s="4">
        <v>0</v>
      </c>
      <c r="D184" s="5">
        <f>Data_Entry!AD274</f>
        <v>3.63</v>
      </c>
      <c r="E184" s="6">
        <f t="shared" si="27"/>
        <v>0.198484848484852</v>
      </c>
      <c r="F184" s="7">
        <v>0</v>
      </c>
      <c r="G184" s="7">
        <v>0</v>
      </c>
      <c r="H184" s="8">
        <f t="shared" si="28"/>
        <v>0</v>
      </c>
      <c r="I184" s="8">
        <f t="shared" si="29"/>
        <v>0</v>
      </c>
      <c r="J184" s="9">
        <v>4125</v>
      </c>
      <c r="K184" s="10"/>
      <c r="L184" s="9">
        <f t="shared" si="30"/>
        <v>49500</v>
      </c>
      <c r="M184" s="8">
        <f t="shared" si="31"/>
        <v>0</v>
      </c>
      <c r="N184" s="11">
        <f t="shared" si="32"/>
        <v>1</v>
      </c>
      <c r="O184" s="12">
        <f t="shared" si="33"/>
        <v>0.198484848484852</v>
      </c>
      <c r="P184" s="12"/>
      <c r="Q184" s="9">
        <f t="shared" si="34"/>
        <v>19650.0000000003</v>
      </c>
      <c r="R184" s="13">
        <f t="shared" si="35"/>
        <v>0</v>
      </c>
    </row>
    <row r="185" spans="1:18">
      <c r="A185" s="14">
        <v>46020</v>
      </c>
      <c r="B185" s="4">
        <f>Data_Entry!X275</f>
        <v>19499.9999999999</v>
      </c>
      <c r="C185" s="4">
        <v>0</v>
      </c>
      <c r="D185" s="5">
        <f>Data_Entry!AD275</f>
        <v>3.62</v>
      </c>
      <c r="E185" s="6">
        <f t="shared" si="27"/>
        <v>0.196969696969696</v>
      </c>
      <c r="F185" s="7">
        <v>0</v>
      </c>
      <c r="G185" s="7">
        <v>0</v>
      </c>
      <c r="H185" s="8">
        <f t="shared" si="28"/>
        <v>0</v>
      </c>
      <c r="I185" s="8">
        <f t="shared" si="29"/>
        <v>0</v>
      </c>
      <c r="J185" s="9">
        <v>4125</v>
      </c>
      <c r="K185" s="10"/>
      <c r="L185" s="9">
        <f t="shared" si="30"/>
        <v>49500</v>
      </c>
      <c r="M185" s="8">
        <f t="shared" si="31"/>
        <v>0</v>
      </c>
      <c r="N185" s="11">
        <f t="shared" si="32"/>
        <v>1</v>
      </c>
      <c r="O185" s="12">
        <f t="shared" si="33"/>
        <v>0.196969696969696</v>
      </c>
      <c r="P185" s="12"/>
      <c r="Q185" s="9">
        <f t="shared" si="34"/>
        <v>19499.9999999999</v>
      </c>
      <c r="R185" s="13">
        <f t="shared" si="35"/>
        <v>0</v>
      </c>
    </row>
    <row r="186" spans="1:18">
      <c r="A186" s="14">
        <v>46021</v>
      </c>
      <c r="B186" s="4">
        <f>Data_Entry!X276</f>
        <v>19499.9999999999</v>
      </c>
      <c r="C186" s="4">
        <v>0</v>
      </c>
      <c r="D186" s="5">
        <f>Data_Entry!AD276</f>
        <v>3.5</v>
      </c>
      <c r="E186" s="6">
        <f t="shared" si="27"/>
        <v>0.196969696969696</v>
      </c>
      <c r="F186" s="7">
        <v>0</v>
      </c>
      <c r="G186" s="7">
        <v>0</v>
      </c>
      <c r="H186" s="8">
        <f t="shared" si="28"/>
        <v>0</v>
      </c>
      <c r="I186" s="8">
        <f t="shared" si="29"/>
        <v>0</v>
      </c>
      <c r="J186" s="9">
        <v>4125</v>
      </c>
      <c r="K186" s="10"/>
      <c r="L186" s="9">
        <f t="shared" si="30"/>
        <v>49500</v>
      </c>
      <c r="M186" s="8">
        <f t="shared" si="31"/>
        <v>0</v>
      </c>
      <c r="N186" s="11">
        <f t="shared" si="32"/>
        <v>1</v>
      </c>
      <c r="O186" s="12">
        <f t="shared" si="33"/>
        <v>0.196969696969696</v>
      </c>
      <c r="P186" s="12"/>
      <c r="Q186" s="9">
        <f t="shared" si="34"/>
        <v>19499.9999999999</v>
      </c>
      <c r="R186" s="13">
        <f t="shared" si="35"/>
        <v>0</v>
      </c>
    </row>
    <row r="187" spans="1:18">
      <c r="A187" s="14">
        <v>46022</v>
      </c>
      <c r="B187" s="4">
        <f>Data_Entry!X277</f>
        <v>17200.0000000003</v>
      </c>
      <c r="C187" s="4">
        <v>0</v>
      </c>
      <c r="D187" s="5">
        <f>Data_Entry!AD277</f>
        <v>3.13</v>
      </c>
      <c r="E187" s="6">
        <f t="shared" si="27"/>
        <v>0.173737373737376</v>
      </c>
      <c r="F187" s="7">
        <v>0</v>
      </c>
      <c r="G187" s="7">
        <v>0</v>
      </c>
      <c r="H187" s="8">
        <f t="shared" si="28"/>
        <v>0</v>
      </c>
      <c r="I187" s="8">
        <f t="shared" si="29"/>
        <v>0</v>
      </c>
      <c r="J187" s="9">
        <v>4125</v>
      </c>
      <c r="K187" s="10"/>
      <c r="L187" s="9">
        <f t="shared" si="30"/>
        <v>49500</v>
      </c>
      <c r="M187" s="8">
        <f t="shared" si="31"/>
        <v>0</v>
      </c>
      <c r="N187" s="11">
        <f t="shared" si="32"/>
        <v>1</v>
      </c>
      <c r="O187" s="12">
        <f t="shared" si="33"/>
        <v>0.173737373737376</v>
      </c>
      <c r="P187" s="12"/>
      <c r="Q187" s="9">
        <f t="shared" si="34"/>
        <v>17200.0000000003</v>
      </c>
      <c r="R187" s="13">
        <f t="shared" si="35"/>
        <v>0</v>
      </c>
    </row>
    <row r="188" spans="1:18">
      <c r="A188" s="14">
        <v>46023</v>
      </c>
      <c r="B188" s="4">
        <f>Data_Entry!X278</f>
        <v>20450.0000000002</v>
      </c>
      <c r="C188" s="4">
        <v>0</v>
      </c>
      <c r="D188" s="5">
        <f>Data_Entry!AD278</f>
        <v>3.37</v>
      </c>
      <c r="E188" s="6">
        <f t="shared" si="27"/>
        <v>0.206565656565658</v>
      </c>
      <c r="F188" s="7">
        <v>0</v>
      </c>
      <c r="G188" s="7">
        <v>0</v>
      </c>
      <c r="H188" s="8">
        <f t="shared" si="28"/>
        <v>0</v>
      </c>
      <c r="I188" s="8">
        <f t="shared" si="29"/>
        <v>0</v>
      </c>
      <c r="J188" s="9">
        <v>4125</v>
      </c>
      <c r="K188" s="10"/>
      <c r="L188" s="9">
        <f t="shared" si="30"/>
        <v>49500</v>
      </c>
      <c r="M188" s="8">
        <f t="shared" si="31"/>
        <v>0</v>
      </c>
      <c r="N188" s="11">
        <f t="shared" si="32"/>
        <v>1</v>
      </c>
      <c r="O188" s="12">
        <f t="shared" si="33"/>
        <v>0.206565656565658</v>
      </c>
      <c r="P188" s="12"/>
      <c r="Q188" s="9">
        <f t="shared" si="34"/>
        <v>20450.0000000002</v>
      </c>
      <c r="R188" s="13">
        <f t="shared" si="35"/>
        <v>0</v>
      </c>
    </row>
    <row r="189" spans="1:18">
      <c r="A189" s="14">
        <v>46024</v>
      </c>
      <c r="B189" s="4">
        <f>Data_Entry!X279</f>
        <v>21900</v>
      </c>
      <c r="C189" s="4">
        <v>0</v>
      </c>
      <c r="D189" s="5">
        <f>Data_Entry!AD279</f>
        <v>3.89</v>
      </c>
      <c r="E189" s="6">
        <f t="shared" si="27"/>
        <v>0.221212121212121</v>
      </c>
      <c r="F189" s="7">
        <v>0</v>
      </c>
      <c r="G189" s="7">
        <v>0</v>
      </c>
      <c r="H189" s="8">
        <f t="shared" si="28"/>
        <v>0</v>
      </c>
      <c r="I189" s="8">
        <f t="shared" si="29"/>
        <v>0</v>
      </c>
      <c r="J189" s="9">
        <v>4125</v>
      </c>
      <c r="K189" s="10"/>
      <c r="L189" s="9">
        <f t="shared" si="30"/>
        <v>49500</v>
      </c>
      <c r="M189" s="8">
        <f t="shared" si="31"/>
        <v>0</v>
      </c>
      <c r="N189" s="11">
        <f t="shared" si="32"/>
        <v>1</v>
      </c>
      <c r="O189" s="12">
        <f t="shared" si="33"/>
        <v>0.221212121212121</v>
      </c>
      <c r="P189" s="12"/>
      <c r="Q189" s="9">
        <f t="shared" si="34"/>
        <v>21900</v>
      </c>
      <c r="R189" s="13">
        <f t="shared" si="35"/>
        <v>0</v>
      </c>
    </row>
    <row r="190" spans="1:18">
      <c r="A190" s="14">
        <v>46025</v>
      </c>
      <c r="B190" s="4">
        <f>Data_Entry!X280</f>
        <v>21300</v>
      </c>
      <c r="C190" s="4">
        <v>0</v>
      </c>
      <c r="D190" s="5">
        <f>Data_Entry!AD280</f>
        <v>4.04</v>
      </c>
      <c r="E190" s="6">
        <f t="shared" si="27"/>
        <v>0.215151515151515</v>
      </c>
      <c r="F190" s="7">
        <v>0</v>
      </c>
      <c r="G190" s="7">
        <v>0</v>
      </c>
      <c r="H190" s="8">
        <f t="shared" si="28"/>
        <v>0</v>
      </c>
      <c r="I190" s="8">
        <f t="shared" si="29"/>
        <v>0</v>
      </c>
      <c r="J190" s="9">
        <v>4125</v>
      </c>
      <c r="K190" s="10"/>
      <c r="L190" s="9">
        <f t="shared" si="30"/>
        <v>49500</v>
      </c>
      <c r="M190" s="8">
        <f t="shared" si="31"/>
        <v>0</v>
      </c>
      <c r="N190" s="11">
        <f t="shared" si="32"/>
        <v>1</v>
      </c>
      <c r="O190" s="12">
        <f t="shared" si="33"/>
        <v>0.215151515151515</v>
      </c>
      <c r="P190" s="12"/>
      <c r="Q190" s="9">
        <f t="shared" si="34"/>
        <v>21300</v>
      </c>
      <c r="R190" s="13">
        <f t="shared" si="35"/>
        <v>0</v>
      </c>
    </row>
    <row r="191" spans="1:18">
      <c r="A191" s="14">
        <v>46026</v>
      </c>
      <c r="B191" s="4">
        <f>Data_Entry!X281</f>
        <v>24199.9999999996</v>
      </c>
      <c r="C191" s="4">
        <v>0</v>
      </c>
      <c r="D191" s="5">
        <f>Data_Entry!AD281</f>
        <v>4.01</v>
      </c>
      <c r="E191" s="6">
        <f t="shared" si="27"/>
        <v>0.24444444444444</v>
      </c>
      <c r="F191" s="7">
        <v>0</v>
      </c>
      <c r="G191" s="7">
        <v>0</v>
      </c>
      <c r="H191" s="8">
        <f t="shared" si="28"/>
        <v>0</v>
      </c>
      <c r="I191" s="8">
        <f t="shared" si="29"/>
        <v>0</v>
      </c>
      <c r="J191" s="9">
        <v>4125</v>
      </c>
      <c r="K191" s="10"/>
      <c r="L191" s="9">
        <f t="shared" si="30"/>
        <v>49500</v>
      </c>
      <c r="M191" s="8">
        <f t="shared" si="31"/>
        <v>0</v>
      </c>
      <c r="N191" s="11">
        <f t="shared" si="32"/>
        <v>1</v>
      </c>
      <c r="O191" s="12">
        <f t="shared" si="33"/>
        <v>0.24444444444444</v>
      </c>
      <c r="P191" s="12"/>
      <c r="Q191" s="9">
        <f t="shared" si="34"/>
        <v>24199.9999999996</v>
      </c>
      <c r="R191" s="13">
        <f t="shared" si="35"/>
        <v>0</v>
      </c>
    </row>
    <row r="192" spans="1:18">
      <c r="A192" s="14">
        <v>46027</v>
      </c>
      <c r="B192" s="4">
        <f>Data_Entry!X282</f>
        <v>21850</v>
      </c>
      <c r="C192" s="4">
        <v>0</v>
      </c>
      <c r="D192" s="5">
        <f>Data_Entry!AD282</f>
        <v>3.99</v>
      </c>
      <c r="E192" s="6">
        <f t="shared" si="27"/>
        <v>0.220707070707071</v>
      </c>
      <c r="F192" s="7">
        <v>0</v>
      </c>
      <c r="G192" s="7">
        <v>0</v>
      </c>
      <c r="H192" s="8">
        <f t="shared" si="28"/>
        <v>0</v>
      </c>
      <c r="I192" s="8">
        <f t="shared" si="29"/>
        <v>0</v>
      </c>
      <c r="J192" s="9">
        <v>4125</v>
      </c>
      <c r="K192" s="10"/>
      <c r="L192" s="9">
        <f t="shared" si="30"/>
        <v>49500</v>
      </c>
      <c r="M192" s="8">
        <f t="shared" si="31"/>
        <v>0</v>
      </c>
      <c r="N192" s="11">
        <f t="shared" si="32"/>
        <v>1</v>
      </c>
      <c r="O192" s="12">
        <f t="shared" si="33"/>
        <v>0.220707070707071</v>
      </c>
      <c r="P192" s="12"/>
      <c r="Q192" s="9">
        <f t="shared" si="34"/>
        <v>21850</v>
      </c>
      <c r="R192" s="13">
        <f t="shared" si="35"/>
        <v>0</v>
      </c>
    </row>
    <row r="193" spans="1:18">
      <c r="A193" s="14">
        <v>46028</v>
      </c>
      <c r="B193" s="4">
        <f>Data_Entry!X283</f>
        <v>21300</v>
      </c>
      <c r="C193" s="4">
        <v>0</v>
      </c>
      <c r="D193" s="5">
        <f>Data_Entry!AD283</f>
        <v>4.01</v>
      </c>
      <c r="E193" s="6">
        <f t="shared" si="27"/>
        <v>0.215151515151515</v>
      </c>
      <c r="F193" s="7">
        <v>0</v>
      </c>
      <c r="G193" s="7">
        <v>0</v>
      </c>
      <c r="H193" s="8">
        <f t="shared" si="28"/>
        <v>0</v>
      </c>
      <c r="I193" s="8">
        <f t="shared" si="29"/>
        <v>0</v>
      </c>
      <c r="J193" s="9">
        <v>4125</v>
      </c>
      <c r="K193" s="10"/>
      <c r="L193" s="9">
        <f t="shared" si="30"/>
        <v>49500</v>
      </c>
      <c r="M193" s="8">
        <f t="shared" si="31"/>
        <v>0</v>
      </c>
      <c r="N193" s="11">
        <f t="shared" si="32"/>
        <v>1</v>
      </c>
      <c r="O193" s="12">
        <f t="shared" si="33"/>
        <v>0.215151515151515</v>
      </c>
      <c r="P193" s="12"/>
      <c r="Q193" s="9">
        <f t="shared" si="34"/>
        <v>21300</v>
      </c>
      <c r="R193" s="13">
        <f t="shared" si="35"/>
        <v>0</v>
      </c>
    </row>
    <row r="194" spans="1:18">
      <c r="A194" s="14">
        <v>46029</v>
      </c>
      <c r="B194" s="4">
        <f>Data_Entry!X284</f>
        <v>21900</v>
      </c>
      <c r="C194" s="4">
        <v>0</v>
      </c>
      <c r="D194" s="5">
        <f>Data_Entry!AD284</f>
        <v>3.81</v>
      </c>
      <c r="E194" s="6">
        <f t="shared" si="27"/>
        <v>0.221212121212121</v>
      </c>
      <c r="F194" s="7">
        <v>0</v>
      </c>
      <c r="G194" s="7">
        <v>0</v>
      </c>
      <c r="H194" s="8">
        <f t="shared" si="28"/>
        <v>0</v>
      </c>
      <c r="I194" s="8">
        <f t="shared" si="29"/>
        <v>0</v>
      </c>
      <c r="J194" s="9">
        <v>4125</v>
      </c>
      <c r="K194" s="10"/>
      <c r="L194" s="9">
        <f t="shared" si="30"/>
        <v>49500</v>
      </c>
      <c r="M194" s="8">
        <f t="shared" si="31"/>
        <v>0</v>
      </c>
      <c r="N194" s="11">
        <f t="shared" si="32"/>
        <v>1</v>
      </c>
      <c r="O194" s="12">
        <f t="shared" si="33"/>
        <v>0.221212121212121</v>
      </c>
      <c r="P194" s="12"/>
      <c r="Q194" s="9">
        <f t="shared" si="34"/>
        <v>21900</v>
      </c>
      <c r="R194" s="13">
        <f t="shared" si="35"/>
        <v>0</v>
      </c>
    </row>
    <row r="195" spans="1:18">
      <c r="A195" s="14">
        <v>46030</v>
      </c>
      <c r="B195" s="4">
        <f>Data_Entry!X285</f>
        <v>20150.0000000004</v>
      </c>
      <c r="C195" s="4">
        <v>0</v>
      </c>
      <c r="D195" s="5">
        <f>Data_Entry!AD285</f>
        <v>3.81</v>
      </c>
      <c r="E195" s="6">
        <f t="shared" si="27"/>
        <v>0.203535353535358</v>
      </c>
      <c r="F195" s="7">
        <v>0</v>
      </c>
      <c r="G195" s="7">
        <v>0</v>
      </c>
      <c r="H195" s="8">
        <f t="shared" si="28"/>
        <v>0</v>
      </c>
      <c r="I195" s="8">
        <f t="shared" si="29"/>
        <v>0</v>
      </c>
      <c r="J195" s="9">
        <v>4125</v>
      </c>
      <c r="K195" s="10"/>
      <c r="L195" s="9">
        <f t="shared" si="30"/>
        <v>49500</v>
      </c>
      <c r="M195" s="8">
        <f t="shared" si="31"/>
        <v>0</v>
      </c>
      <c r="N195" s="11">
        <f t="shared" si="32"/>
        <v>1</v>
      </c>
      <c r="O195" s="12">
        <f t="shared" si="33"/>
        <v>0.203535353535358</v>
      </c>
      <c r="P195" s="12"/>
      <c r="Q195" s="9">
        <f t="shared" si="34"/>
        <v>20150.0000000004</v>
      </c>
      <c r="R195" s="13">
        <f t="shared" si="35"/>
        <v>0</v>
      </c>
    </row>
    <row r="196" spans="1:18">
      <c r="A196" s="14">
        <v>46031</v>
      </c>
      <c r="B196" s="4">
        <f>Data_Entry!X286</f>
        <v>21699.9999999996</v>
      </c>
      <c r="C196" s="4">
        <v>0</v>
      </c>
      <c r="D196" s="5">
        <f>Data_Entry!AD286</f>
        <v>3.98</v>
      </c>
      <c r="E196" s="6">
        <f t="shared" si="27"/>
        <v>0.219191919191915</v>
      </c>
      <c r="F196" s="7">
        <v>0</v>
      </c>
      <c r="G196" s="7">
        <v>0</v>
      </c>
      <c r="H196" s="8">
        <f t="shared" si="28"/>
        <v>0</v>
      </c>
      <c r="I196" s="8">
        <f t="shared" si="29"/>
        <v>0</v>
      </c>
      <c r="J196" s="9">
        <v>4125</v>
      </c>
      <c r="K196" s="10"/>
      <c r="L196" s="9">
        <f t="shared" si="30"/>
        <v>49500</v>
      </c>
      <c r="M196" s="8">
        <f t="shared" si="31"/>
        <v>0</v>
      </c>
      <c r="N196" s="11">
        <f t="shared" si="32"/>
        <v>1</v>
      </c>
      <c r="O196" s="12">
        <f t="shared" si="33"/>
        <v>0.219191919191915</v>
      </c>
      <c r="P196" s="12"/>
      <c r="Q196" s="9">
        <f t="shared" si="34"/>
        <v>21699.9999999996</v>
      </c>
      <c r="R196" s="13">
        <f t="shared" si="35"/>
        <v>0</v>
      </c>
    </row>
    <row r="197" spans="1:18">
      <c r="A197" s="14">
        <v>46032</v>
      </c>
      <c r="B197" s="4">
        <f>Data_Entry!X287</f>
        <v>22400.0000000001</v>
      </c>
      <c r="C197" s="4">
        <v>0</v>
      </c>
      <c r="D197" s="5">
        <f>Data_Entry!AD287</f>
        <v>4.11</v>
      </c>
      <c r="E197" s="6">
        <f t="shared" si="27"/>
        <v>0.226262626262627</v>
      </c>
      <c r="F197" s="7">
        <v>0</v>
      </c>
      <c r="G197" s="7">
        <v>0</v>
      </c>
      <c r="H197" s="8">
        <f t="shared" si="28"/>
        <v>0</v>
      </c>
      <c r="I197" s="8">
        <f t="shared" si="29"/>
        <v>0</v>
      </c>
      <c r="J197" s="9">
        <v>4125</v>
      </c>
      <c r="K197" s="10"/>
      <c r="L197" s="9">
        <f t="shared" si="30"/>
        <v>49500</v>
      </c>
      <c r="M197" s="8">
        <f t="shared" si="31"/>
        <v>0</v>
      </c>
      <c r="N197" s="11">
        <f t="shared" si="32"/>
        <v>1</v>
      </c>
      <c r="O197" s="12">
        <f t="shared" si="33"/>
        <v>0.226262626262627</v>
      </c>
      <c r="P197" s="12"/>
      <c r="Q197" s="9">
        <f t="shared" si="34"/>
        <v>22400.0000000001</v>
      </c>
      <c r="R197" s="13">
        <f t="shared" si="35"/>
        <v>0</v>
      </c>
    </row>
    <row r="198" spans="1:18">
      <c r="A198" s="14">
        <v>46033</v>
      </c>
      <c r="B198" s="4">
        <f>Data_Entry!X288</f>
        <v>21850</v>
      </c>
      <c r="C198" s="4">
        <v>0</v>
      </c>
      <c r="D198" s="5">
        <f>Data_Entry!AD288</f>
        <v>4.08</v>
      </c>
      <c r="E198" s="6">
        <f t="shared" si="27"/>
        <v>0.220707070707071</v>
      </c>
      <c r="F198" s="7">
        <v>0</v>
      </c>
      <c r="G198" s="7">
        <v>0</v>
      </c>
      <c r="H198" s="8">
        <f t="shared" si="28"/>
        <v>0</v>
      </c>
      <c r="I198" s="8">
        <f t="shared" si="29"/>
        <v>0</v>
      </c>
      <c r="J198" s="9">
        <v>4125</v>
      </c>
      <c r="K198" s="10"/>
      <c r="L198" s="9">
        <f t="shared" si="30"/>
        <v>49500</v>
      </c>
      <c r="M198" s="8">
        <f t="shared" si="31"/>
        <v>0</v>
      </c>
      <c r="N198" s="11">
        <f t="shared" si="32"/>
        <v>1</v>
      </c>
      <c r="O198" s="12">
        <f t="shared" si="33"/>
        <v>0.220707070707071</v>
      </c>
      <c r="P198" s="12"/>
      <c r="Q198" s="9">
        <f t="shared" si="34"/>
        <v>21850</v>
      </c>
      <c r="R198" s="13">
        <f t="shared" si="35"/>
        <v>0</v>
      </c>
    </row>
    <row r="199" spans="1:18">
      <c r="A199" s="14">
        <v>46034</v>
      </c>
      <c r="B199" s="4">
        <f>Data_Entry!X289</f>
        <v>21100.0000000001</v>
      </c>
      <c r="C199" s="4">
        <v>0</v>
      </c>
      <c r="D199" s="5">
        <f>Data_Entry!AD289</f>
        <v>3.95</v>
      </c>
      <c r="E199" s="6">
        <f t="shared" si="27"/>
        <v>0.213131313131315</v>
      </c>
      <c r="F199" s="7">
        <v>0</v>
      </c>
      <c r="G199" s="7">
        <v>0</v>
      </c>
      <c r="H199" s="8">
        <f t="shared" si="28"/>
        <v>0</v>
      </c>
      <c r="I199" s="8">
        <f t="shared" si="29"/>
        <v>0</v>
      </c>
      <c r="J199" s="9">
        <v>4125</v>
      </c>
      <c r="K199" s="10"/>
      <c r="L199" s="9">
        <f t="shared" si="30"/>
        <v>49500</v>
      </c>
      <c r="M199" s="8">
        <f t="shared" si="31"/>
        <v>0</v>
      </c>
      <c r="N199" s="11">
        <f t="shared" si="32"/>
        <v>1</v>
      </c>
      <c r="O199" s="12">
        <f t="shared" si="33"/>
        <v>0.213131313131315</v>
      </c>
      <c r="P199" s="12"/>
      <c r="Q199" s="9">
        <f t="shared" si="34"/>
        <v>21100.0000000001</v>
      </c>
      <c r="R199" s="13">
        <f t="shared" si="35"/>
        <v>0</v>
      </c>
    </row>
    <row r="200" spans="1:18">
      <c r="A200" s="14">
        <v>46035</v>
      </c>
      <c r="B200" s="4">
        <f>Data_Entry!X290</f>
        <v>20749.9999999999</v>
      </c>
      <c r="C200" s="4">
        <v>0</v>
      </c>
      <c r="D200" s="5">
        <f>Data_Entry!AD290</f>
        <v>3.88</v>
      </c>
      <c r="E200" s="6">
        <f t="shared" ref="E200:E226" si="36">B200/(24*J200)</f>
        <v>0.209595959595958</v>
      </c>
      <c r="F200" s="7">
        <v>0</v>
      </c>
      <c r="G200" s="7">
        <v>0</v>
      </c>
      <c r="H200" s="8">
        <f t="shared" ref="H200:H226" si="37">(G200-F200)*24*60</f>
        <v>0</v>
      </c>
      <c r="I200" s="8">
        <f t="shared" ref="I200:I226" si="38">H200/60</f>
        <v>0</v>
      </c>
      <c r="J200" s="9">
        <v>4125</v>
      </c>
      <c r="K200" s="10"/>
      <c r="L200" s="9">
        <f t="shared" ref="L200:L226" si="39">J200*12</f>
        <v>49500</v>
      </c>
      <c r="M200" s="8">
        <f t="shared" ref="M200:M226" si="40">K200*I200</f>
        <v>0</v>
      </c>
      <c r="N200" s="11">
        <f t="shared" ref="N200:N226" si="41">(L200-M200)/L200</f>
        <v>1</v>
      </c>
      <c r="O200" s="12">
        <f t="shared" ref="O200:O226" si="42">E200/N200</f>
        <v>0.209595959595958</v>
      </c>
      <c r="P200" s="12"/>
      <c r="Q200" s="9">
        <f t="shared" ref="Q200:Q226" si="43">O200*J200*24</f>
        <v>20749.9999999999</v>
      </c>
      <c r="R200" s="13">
        <f t="shared" ref="R200:R226" si="44">Q200-B200</f>
        <v>0</v>
      </c>
    </row>
    <row r="201" spans="1:18">
      <c r="A201" s="14">
        <v>46036</v>
      </c>
      <c r="B201" s="4">
        <f>Data_Entry!X291</f>
        <v>23700</v>
      </c>
      <c r="C201" s="4">
        <v>0</v>
      </c>
      <c r="D201" s="5">
        <f>Data_Entry!AD291</f>
        <v>4.39</v>
      </c>
      <c r="E201" s="6">
        <f t="shared" si="36"/>
        <v>0.23939393939394</v>
      </c>
      <c r="F201" s="7">
        <v>0</v>
      </c>
      <c r="G201" s="7">
        <v>0</v>
      </c>
      <c r="H201" s="8">
        <f t="shared" si="37"/>
        <v>0</v>
      </c>
      <c r="I201" s="8">
        <f t="shared" si="38"/>
        <v>0</v>
      </c>
      <c r="J201" s="9">
        <v>4125</v>
      </c>
      <c r="K201" s="10"/>
      <c r="L201" s="9">
        <f t="shared" si="39"/>
        <v>49500</v>
      </c>
      <c r="M201" s="8">
        <f t="shared" si="40"/>
        <v>0</v>
      </c>
      <c r="N201" s="11">
        <f t="shared" si="41"/>
        <v>1</v>
      </c>
      <c r="O201" s="12">
        <f t="shared" si="42"/>
        <v>0.23939393939394</v>
      </c>
      <c r="P201" s="12"/>
      <c r="Q201" s="9">
        <f t="shared" si="43"/>
        <v>23700</v>
      </c>
      <c r="R201" s="13">
        <f t="shared" si="44"/>
        <v>0</v>
      </c>
    </row>
    <row r="202" spans="1:18">
      <c r="A202" s="14">
        <v>46037</v>
      </c>
      <c r="B202" s="4">
        <f>Data_Entry!X292</f>
        <v>23600.0000000001</v>
      </c>
      <c r="C202" s="4">
        <v>0</v>
      </c>
      <c r="D202" s="5">
        <f>Data_Entry!AD292</f>
        <v>4.37</v>
      </c>
      <c r="E202" s="6">
        <f t="shared" si="36"/>
        <v>0.23838383838384</v>
      </c>
      <c r="F202" s="7">
        <v>0</v>
      </c>
      <c r="G202" s="7">
        <v>0</v>
      </c>
      <c r="H202" s="8">
        <f t="shared" si="37"/>
        <v>0</v>
      </c>
      <c r="I202" s="8">
        <f t="shared" si="38"/>
        <v>0</v>
      </c>
      <c r="J202" s="9">
        <v>4125</v>
      </c>
      <c r="K202" s="10"/>
      <c r="L202" s="9">
        <f t="shared" si="39"/>
        <v>49500</v>
      </c>
      <c r="M202" s="8">
        <f t="shared" si="40"/>
        <v>0</v>
      </c>
      <c r="N202" s="11">
        <f t="shared" si="41"/>
        <v>1</v>
      </c>
      <c r="O202" s="12">
        <f t="shared" si="42"/>
        <v>0.23838383838384</v>
      </c>
      <c r="P202" s="12"/>
      <c r="Q202" s="9">
        <f t="shared" si="43"/>
        <v>23600.0000000001</v>
      </c>
      <c r="R202" s="13">
        <f t="shared" si="44"/>
        <v>0</v>
      </c>
    </row>
    <row r="203" spans="1:18">
      <c r="A203" s="14">
        <v>46038</v>
      </c>
      <c r="B203" s="4">
        <f>Data_Entry!X293</f>
        <v>22450</v>
      </c>
      <c r="C203" s="4">
        <v>0</v>
      </c>
      <c r="D203" s="5">
        <f>Data_Entry!AD293</f>
        <v>4.27</v>
      </c>
      <c r="E203" s="6">
        <f t="shared" si="36"/>
        <v>0.226767676767677</v>
      </c>
      <c r="F203" s="7">
        <v>0</v>
      </c>
      <c r="G203" s="7">
        <v>0</v>
      </c>
      <c r="H203" s="8">
        <f t="shared" si="37"/>
        <v>0</v>
      </c>
      <c r="I203" s="8">
        <f t="shared" si="38"/>
        <v>0</v>
      </c>
      <c r="J203" s="9">
        <v>4125</v>
      </c>
      <c r="K203" s="10"/>
      <c r="L203" s="9">
        <f t="shared" si="39"/>
        <v>49500</v>
      </c>
      <c r="M203" s="8">
        <f t="shared" si="40"/>
        <v>0</v>
      </c>
      <c r="N203" s="11">
        <f t="shared" si="41"/>
        <v>1</v>
      </c>
      <c r="O203" s="12">
        <f t="shared" si="42"/>
        <v>0.226767676767677</v>
      </c>
      <c r="P203" s="12"/>
      <c r="Q203" s="9">
        <f t="shared" si="43"/>
        <v>22450</v>
      </c>
      <c r="R203" s="13">
        <f t="shared" si="44"/>
        <v>0</v>
      </c>
    </row>
    <row r="204" spans="1:18">
      <c r="A204" s="14">
        <v>46039</v>
      </c>
      <c r="B204" s="4">
        <f>Data_Entry!X294</f>
        <v>21999.9999999999</v>
      </c>
      <c r="C204" s="4">
        <v>0</v>
      </c>
      <c r="D204" s="5">
        <f>Data_Entry!AD294</f>
        <v>4.07</v>
      </c>
      <c r="E204" s="6">
        <f t="shared" si="36"/>
        <v>0.222222222222221</v>
      </c>
      <c r="F204" s="7">
        <v>0</v>
      </c>
      <c r="G204" s="7">
        <v>0</v>
      </c>
      <c r="H204" s="8">
        <f t="shared" si="37"/>
        <v>0</v>
      </c>
      <c r="I204" s="8">
        <f t="shared" si="38"/>
        <v>0</v>
      </c>
      <c r="J204" s="9">
        <v>4125</v>
      </c>
      <c r="K204" s="10"/>
      <c r="L204" s="9">
        <f t="shared" si="39"/>
        <v>49500</v>
      </c>
      <c r="M204" s="8">
        <f t="shared" si="40"/>
        <v>0</v>
      </c>
      <c r="N204" s="11">
        <f t="shared" si="41"/>
        <v>1</v>
      </c>
      <c r="O204" s="12">
        <f t="shared" si="42"/>
        <v>0.222222222222221</v>
      </c>
      <c r="P204" s="12"/>
      <c r="Q204" s="9">
        <f t="shared" si="43"/>
        <v>21999.9999999999</v>
      </c>
      <c r="R204" s="13">
        <f t="shared" si="44"/>
        <v>0</v>
      </c>
    </row>
    <row r="205" spans="1:18">
      <c r="A205" s="14">
        <v>46040</v>
      </c>
      <c r="B205" s="4">
        <f>Data_Entry!X295</f>
        <v>22649.9999999999</v>
      </c>
      <c r="C205" s="4">
        <v>0</v>
      </c>
      <c r="D205" s="5">
        <f>Data_Entry!AD295</f>
        <v>3.92</v>
      </c>
      <c r="E205" s="6">
        <f t="shared" si="36"/>
        <v>0.228787878787877</v>
      </c>
      <c r="F205" s="7">
        <v>0</v>
      </c>
      <c r="G205" s="7">
        <v>0</v>
      </c>
      <c r="H205" s="8">
        <f t="shared" si="37"/>
        <v>0</v>
      </c>
      <c r="I205" s="8">
        <f t="shared" si="38"/>
        <v>0</v>
      </c>
      <c r="J205" s="9">
        <v>4125</v>
      </c>
      <c r="K205" s="10"/>
      <c r="L205" s="9">
        <f t="shared" si="39"/>
        <v>49500</v>
      </c>
      <c r="M205" s="8">
        <f t="shared" si="40"/>
        <v>0</v>
      </c>
      <c r="N205" s="11">
        <f t="shared" si="41"/>
        <v>1</v>
      </c>
      <c r="O205" s="12">
        <f t="shared" si="42"/>
        <v>0.228787878787877</v>
      </c>
      <c r="P205" s="12"/>
      <c r="Q205" s="9">
        <f t="shared" si="43"/>
        <v>22649.9999999999</v>
      </c>
      <c r="R205" s="13">
        <f t="shared" si="44"/>
        <v>0</v>
      </c>
    </row>
    <row r="206" spans="1:18">
      <c r="A206" s="14">
        <v>46041</v>
      </c>
      <c r="B206" s="4">
        <f>Data_Entry!X296</f>
        <v>23849.9999999999</v>
      </c>
      <c r="C206" s="4">
        <v>0</v>
      </c>
      <c r="D206" s="5">
        <f>Data_Entry!AD296</f>
        <v>4.15</v>
      </c>
      <c r="E206" s="6">
        <f t="shared" si="36"/>
        <v>0.24090909090909</v>
      </c>
      <c r="F206" s="7">
        <v>0</v>
      </c>
      <c r="G206" s="7">
        <v>0</v>
      </c>
      <c r="H206" s="8">
        <f t="shared" si="37"/>
        <v>0</v>
      </c>
      <c r="I206" s="8">
        <f t="shared" si="38"/>
        <v>0</v>
      </c>
      <c r="J206" s="9">
        <v>4125</v>
      </c>
      <c r="K206" s="10"/>
      <c r="L206" s="9">
        <f t="shared" si="39"/>
        <v>49500</v>
      </c>
      <c r="M206" s="8">
        <f t="shared" si="40"/>
        <v>0</v>
      </c>
      <c r="N206" s="11">
        <f t="shared" si="41"/>
        <v>1</v>
      </c>
      <c r="O206" s="12">
        <f t="shared" si="42"/>
        <v>0.24090909090909</v>
      </c>
      <c r="P206" s="12"/>
      <c r="Q206" s="9">
        <f t="shared" si="43"/>
        <v>23849.9999999999</v>
      </c>
      <c r="R206" s="13">
        <f t="shared" si="44"/>
        <v>0</v>
      </c>
    </row>
    <row r="207" spans="1:18">
      <c r="A207" s="14">
        <v>46042</v>
      </c>
      <c r="B207" s="4">
        <f>Data_Entry!X297</f>
        <v>23450.0000000003</v>
      </c>
      <c r="C207" s="4">
        <v>0</v>
      </c>
      <c r="D207" s="5">
        <f>Data_Entry!AD297</f>
        <v>4.08</v>
      </c>
      <c r="E207" s="6">
        <f t="shared" si="36"/>
        <v>0.23686868686869</v>
      </c>
      <c r="F207" s="7">
        <v>0</v>
      </c>
      <c r="G207" s="7">
        <v>0</v>
      </c>
      <c r="H207" s="8">
        <f t="shared" si="37"/>
        <v>0</v>
      </c>
      <c r="I207" s="8">
        <f t="shared" si="38"/>
        <v>0</v>
      </c>
      <c r="J207" s="9">
        <v>4125</v>
      </c>
      <c r="K207" s="10"/>
      <c r="L207" s="9">
        <f t="shared" si="39"/>
        <v>49500</v>
      </c>
      <c r="M207" s="8">
        <f t="shared" si="40"/>
        <v>0</v>
      </c>
      <c r="N207" s="11">
        <f t="shared" si="41"/>
        <v>1</v>
      </c>
      <c r="O207" s="12">
        <f t="shared" si="42"/>
        <v>0.23686868686869</v>
      </c>
      <c r="P207" s="12"/>
      <c r="Q207" s="9">
        <f t="shared" si="43"/>
        <v>23450.0000000003</v>
      </c>
      <c r="R207" s="13">
        <f t="shared" si="44"/>
        <v>0</v>
      </c>
    </row>
    <row r="208" spans="1:18">
      <c r="A208" s="14">
        <v>46043</v>
      </c>
      <c r="B208" s="4">
        <f>Data_Entry!X298</f>
        <v>22550</v>
      </c>
      <c r="C208" s="4">
        <v>0</v>
      </c>
      <c r="D208" s="5">
        <f>Data_Entry!AD298</f>
        <v>3.84</v>
      </c>
      <c r="E208" s="6">
        <f t="shared" si="36"/>
        <v>0.227777777777777</v>
      </c>
      <c r="F208" s="7">
        <v>0</v>
      </c>
      <c r="G208" s="7">
        <v>0</v>
      </c>
      <c r="H208" s="8">
        <f t="shared" si="37"/>
        <v>0</v>
      </c>
      <c r="I208" s="8">
        <f t="shared" si="38"/>
        <v>0</v>
      </c>
      <c r="J208" s="9">
        <v>4125</v>
      </c>
      <c r="K208" s="10"/>
      <c r="L208" s="9">
        <f t="shared" si="39"/>
        <v>49500</v>
      </c>
      <c r="M208" s="8">
        <f t="shared" si="40"/>
        <v>0</v>
      </c>
      <c r="N208" s="11">
        <f t="shared" si="41"/>
        <v>1</v>
      </c>
      <c r="O208" s="12">
        <f t="shared" si="42"/>
        <v>0.227777777777777</v>
      </c>
      <c r="P208" s="12"/>
      <c r="Q208" s="9">
        <f t="shared" si="43"/>
        <v>22550</v>
      </c>
      <c r="R208" s="13">
        <f t="shared" si="44"/>
        <v>0</v>
      </c>
    </row>
    <row r="209" spans="1:18">
      <c r="A209" s="14">
        <v>46044</v>
      </c>
      <c r="B209" s="4">
        <f>Data_Entry!X299</f>
        <v>22099.9999999998</v>
      </c>
      <c r="C209" s="4">
        <v>0</v>
      </c>
      <c r="D209" s="5">
        <f>Data_Entry!AD299</f>
        <v>3.81</v>
      </c>
      <c r="E209" s="6">
        <f t="shared" si="36"/>
        <v>0.223232323232321</v>
      </c>
      <c r="F209" s="7">
        <v>0</v>
      </c>
      <c r="G209" s="7">
        <v>0</v>
      </c>
      <c r="H209" s="8">
        <f t="shared" si="37"/>
        <v>0</v>
      </c>
      <c r="I209" s="8">
        <f t="shared" si="38"/>
        <v>0</v>
      </c>
      <c r="J209" s="9">
        <v>4125</v>
      </c>
      <c r="K209" s="10"/>
      <c r="L209" s="9">
        <f t="shared" si="39"/>
        <v>49500</v>
      </c>
      <c r="M209" s="8">
        <f t="shared" si="40"/>
        <v>0</v>
      </c>
      <c r="N209" s="11">
        <f t="shared" si="41"/>
        <v>1</v>
      </c>
      <c r="O209" s="12">
        <f t="shared" si="42"/>
        <v>0.223232323232321</v>
      </c>
      <c r="P209" s="12"/>
      <c r="Q209" s="9">
        <f t="shared" si="43"/>
        <v>22099.9999999998</v>
      </c>
      <c r="R209" s="13">
        <f t="shared" si="44"/>
        <v>0</v>
      </c>
    </row>
    <row r="210" spans="1:18">
      <c r="A210" s="14">
        <v>46045</v>
      </c>
      <c r="B210" s="4">
        <f>Data_Entry!X300</f>
        <v>20900.0000000003</v>
      </c>
      <c r="C210" s="4">
        <v>0</v>
      </c>
      <c r="D210" s="5">
        <f>Data_Entry!AD300</f>
        <v>3.73</v>
      </c>
      <c r="E210" s="6">
        <f t="shared" si="36"/>
        <v>0.211111111111114</v>
      </c>
      <c r="F210" s="7">
        <v>0</v>
      </c>
      <c r="G210" s="7">
        <v>0</v>
      </c>
      <c r="H210" s="8">
        <f t="shared" si="37"/>
        <v>0</v>
      </c>
      <c r="I210" s="8">
        <f t="shared" si="38"/>
        <v>0</v>
      </c>
      <c r="J210" s="9">
        <v>4125</v>
      </c>
      <c r="K210" s="10"/>
      <c r="L210" s="9">
        <f t="shared" si="39"/>
        <v>49500</v>
      </c>
      <c r="M210" s="8">
        <f t="shared" si="40"/>
        <v>0</v>
      </c>
      <c r="N210" s="11">
        <f t="shared" si="41"/>
        <v>1</v>
      </c>
      <c r="O210" s="12">
        <f t="shared" si="42"/>
        <v>0.211111111111114</v>
      </c>
      <c r="P210" s="12"/>
      <c r="Q210" s="9">
        <f t="shared" si="43"/>
        <v>20900.0000000003</v>
      </c>
      <c r="R210" s="13">
        <f t="shared" si="44"/>
        <v>0</v>
      </c>
    </row>
    <row r="211" spans="1:18">
      <c r="A211" s="14">
        <v>46046</v>
      </c>
      <c r="B211" s="4">
        <f>Data_Entry!X301</f>
        <v>23100</v>
      </c>
      <c r="C211" s="4">
        <v>0</v>
      </c>
      <c r="D211" s="5">
        <f>Data_Entry!AD301</f>
        <v>3.82</v>
      </c>
      <c r="E211" s="6">
        <f t="shared" si="36"/>
        <v>0.233333333333334</v>
      </c>
      <c r="F211" s="7">
        <v>0</v>
      </c>
      <c r="G211" s="7">
        <v>0</v>
      </c>
      <c r="H211" s="8">
        <f t="shared" si="37"/>
        <v>0</v>
      </c>
      <c r="I211" s="8">
        <f t="shared" si="38"/>
        <v>0</v>
      </c>
      <c r="J211" s="9">
        <v>4125</v>
      </c>
      <c r="K211" s="10"/>
      <c r="L211" s="9">
        <f t="shared" si="39"/>
        <v>49500</v>
      </c>
      <c r="M211" s="8">
        <f t="shared" si="40"/>
        <v>0</v>
      </c>
      <c r="N211" s="11">
        <f t="shared" si="41"/>
        <v>1</v>
      </c>
      <c r="O211" s="12">
        <f t="shared" si="42"/>
        <v>0.233333333333334</v>
      </c>
      <c r="P211" s="12"/>
      <c r="Q211" s="9">
        <f t="shared" si="43"/>
        <v>23100</v>
      </c>
      <c r="R211" s="13">
        <f t="shared" si="44"/>
        <v>0</v>
      </c>
    </row>
    <row r="212" spans="1:18">
      <c r="A212" s="14">
        <v>46047</v>
      </c>
      <c r="B212" s="4">
        <f>Data_Entry!X302</f>
        <v>22799.9999999997</v>
      </c>
      <c r="C212" s="4">
        <v>0</v>
      </c>
      <c r="D212" s="5">
        <f>Data_Entry!AD302</f>
        <v>3.65</v>
      </c>
      <c r="E212" s="6">
        <f t="shared" si="36"/>
        <v>0.230303030303028</v>
      </c>
      <c r="F212" s="7">
        <v>0</v>
      </c>
      <c r="G212" s="7">
        <v>0</v>
      </c>
      <c r="H212" s="8">
        <f t="shared" si="37"/>
        <v>0</v>
      </c>
      <c r="I212" s="8">
        <f t="shared" si="38"/>
        <v>0</v>
      </c>
      <c r="J212" s="9">
        <v>4125</v>
      </c>
      <c r="K212" s="10"/>
      <c r="L212" s="9">
        <f t="shared" si="39"/>
        <v>49500</v>
      </c>
      <c r="M212" s="8">
        <f t="shared" si="40"/>
        <v>0</v>
      </c>
      <c r="N212" s="11">
        <f t="shared" si="41"/>
        <v>1</v>
      </c>
      <c r="O212" s="12">
        <f t="shared" si="42"/>
        <v>0.230303030303028</v>
      </c>
      <c r="P212" s="12"/>
      <c r="Q212" s="9">
        <f t="shared" si="43"/>
        <v>22799.9999999997</v>
      </c>
      <c r="R212" s="13">
        <f t="shared" si="44"/>
        <v>0</v>
      </c>
    </row>
    <row r="213" spans="1:18">
      <c r="A213" s="14">
        <v>46048</v>
      </c>
      <c r="B213" s="4">
        <f>Data_Entry!X303</f>
        <v>23050.0000000001</v>
      </c>
      <c r="C213" s="4">
        <v>0</v>
      </c>
      <c r="D213" s="5">
        <f>Data_Entry!AD303</f>
        <v>3.9</v>
      </c>
      <c r="E213" s="6">
        <f t="shared" si="36"/>
        <v>0.232828282828284</v>
      </c>
      <c r="F213" s="7">
        <v>0</v>
      </c>
      <c r="G213" s="7">
        <v>0</v>
      </c>
      <c r="H213" s="8">
        <f t="shared" si="37"/>
        <v>0</v>
      </c>
      <c r="I213" s="8">
        <f t="shared" si="38"/>
        <v>0</v>
      </c>
      <c r="J213" s="9">
        <v>4125</v>
      </c>
      <c r="K213" s="10"/>
      <c r="L213" s="9">
        <f t="shared" si="39"/>
        <v>49500</v>
      </c>
      <c r="M213" s="8">
        <f t="shared" si="40"/>
        <v>0</v>
      </c>
      <c r="N213" s="11">
        <f t="shared" si="41"/>
        <v>1</v>
      </c>
      <c r="O213" s="12">
        <f t="shared" si="42"/>
        <v>0.232828282828284</v>
      </c>
      <c r="P213" s="12"/>
      <c r="Q213" s="9">
        <f t="shared" si="43"/>
        <v>23050.0000000001</v>
      </c>
      <c r="R213" s="13">
        <f t="shared" si="44"/>
        <v>0</v>
      </c>
    </row>
    <row r="214" spans="1:18">
      <c r="A214" s="14">
        <v>46049</v>
      </c>
      <c r="B214" s="4">
        <f>Data_Entry!X304</f>
        <v>26150.0000000001</v>
      </c>
      <c r="C214" s="4">
        <v>0</v>
      </c>
      <c r="D214" s="5">
        <f>Data_Entry!AD304</f>
        <v>5.94</v>
      </c>
      <c r="E214" s="6">
        <f t="shared" si="36"/>
        <v>0.264141414141415</v>
      </c>
      <c r="F214" s="7">
        <v>0</v>
      </c>
      <c r="G214" s="7">
        <v>0</v>
      </c>
      <c r="H214" s="8">
        <f t="shared" si="37"/>
        <v>0</v>
      </c>
      <c r="I214" s="8">
        <f t="shared" si="38"/>
        <v>0</v>
      </c>
      <c r="J214" s="9">
        <v>4125</v>
      </c>
      <c r="K214" s="10"/>
      <c r="L214" s="9">
        <f t="shared" si="39"/>
        <v>49500</v>
      </c>
      <c r="M214" s="8">
        <f t="shared" si="40"/>
        <v>0</v>
      </c>
      <c r="N214" s="11">
        <f t="shared" si="41"/>
        <v>1</v>
      </c>
      <c r="O214" s="12">
        <f t="shared" si="42"/>
        <v>0.264141414141415</v>
      </c>
      <c r="P214" s="12"/>
      <c r="Q214" s="9">
        <f t="shared" si="43"/>
        <v>26150.0000000001</v>
      </c>
      <c r="R214" s="13">
        <f t="shared" si="44"/>
        <v>0</v>
      </c>
    </row>
    <row r="215" spans="1:18">
      <c r="A215" s="14">
        <v>46050</v>
      </c>
      <c r="B215" s="4">
        <f>Data_Entry!X305</f>
        <v>27500</v>
      </c>
      <c r="C215" s="4">
        <v>0</v>
      </c>
      <c r="D215" s="5">
        <f>Data_Entry!AD305</f>
        <v>4.43</v>
      </c>
      <c r="E215" s="6">
        <f t="shared" si="36"/>
        <v>0.277777777777778</v>
      </c>
      <c r="F215" s="7">
        <v>0.541666666666667</v>
      </c>
      <c r="G215" s="7">
        <v>0.597222222222222</v>
      </c>
      <c r="H215" s="8">
        <f t="shared" si="37"/>
        <v>79.9999999999992</v>
      </c>
      <c r="I215" s="8">
        <f t="shared" si="38"/>
        <v>1.33333333333332</v>
      </c>
      <c r="J215" s="9">
        <v>4125</v>
      </c>
      <c r="K215" s="10">
        <v>137.07</v>
      </c>
      <c r="L215" s="9">
        <f t="shared" si="39"/>
        <v>49500</v>
      </c>
      <c r="M215" s="8">
        <f t="shared" si="40"/>
        <v>182.759999999998</v>
      </c>
      <c r="N215" s="11">
        <f t="shared" si="41"/>
        <v>0.996307878787879</v>
      </c>
      <c r="O215" s="12">
        <f t="shared" si="42"/>
        <v>0.278807167635496</v>
      </c>
      <c r="P215" s="12" t="s">
        <v>251</v>
      </c>
      <c r="Q215" s="9">
        <f t="shared" si="43"/>
        <v>27601.9095959141</v>
      </c>
      <c r="R215" s="13">
        <f t="shared" si="44"/>
        <v>101.909595914127</v>
      </c>
    </row>
    <row r="216" spans="1:18">
      <c r="A216" s="14">
        <v>46051</v>
      </c>
      <c r="B216" s="4">
        <f>Data_Entry!X306</f>
        <v>25099.9999999999</v>
      </c>
      <c r="C216" s="4">
        <v>0</v>
      </c>
      <c r="D216" s="5">
        <f>Data_Entry!AD306</f>
        <v>4.28</v>
      </c>
      <c r="E216" s="6">
        <f t="shared" si="36"/>
        <v>0.253535353535353</v>
      </c>
      <c r="F216" s="7">
        <v>0</v>
      </c>
      <c r="G216" s="7">
        <v>0</v>
      </c>
      <c r="H216" s="8">
        <f t="shared" si="37"/>
        <v>0</v>
      </c>
      <c r="I216" s="8">
        <f t="shared" si="38"/>
        <v>0</v>
      </c>
      <c r="J216" s="9">
        <v>4125</v>
      </c>
      <c r="K216" s="10"/>
      <c r="L216" s="9">
        <f t="shared" si="39"/>
        <v>49500</v>
      </c>
      <c r="M216" s="8">
        <f t="shared" si="40"/>
        <v>0</v>
      </c>
      <c r="N216" s="11">
        <f t="shared" si="41"/>
        <v>1</v>
      </c>
      <c r="O216" s="12">
        <f t="shared" si="42"/>
        <v>0.253535353535353</v>
      </c>
      <c r="P216" s="12"/>
      <c r="Q216" s="9">
        <f t="shared" si="43"/>
        <v>25099.9999999999</v>
      </c>
      <c r="R216" s="13">
        <f t="shared" si="44"/>
        <v>0</v>
      </c>
    </row>
    <row r="217" spans="1:18">
      <c r="A217" s="14">
        <v>46052</v>
      </c>
      <c r="B217" s="4">
        <f>Data_Entry!X307</f>
        <v>20550.0000000001</v>
      </c>
      <c r="C217" s="4">
        <v>0</v>
      </c>
      <c r="D217" s="5">
        <f>Data_Entry!AD307</f>
        <v>3.59</v>
      </c>
      <c r="E217" s="6">
        <f t="shared" si="36"/>
        <v>0.207575757575758</v>
      </c>
      <c r="F217" s="7">
        <v>0</v>
      </c>
      <c r="G217" s="7">
        <v>0</v>
      </c>
      <c r="H217" s="8">
        <f t="shared" si="37"/>
        <v>0</v>
      </c>
      <c r="I217" s="8">
        <f t="shared" si="38"/>
        <v>0</v>
      </c>
      <c r="J217" s="9">
        <v>4125</v>
      </c>
      <c r="K217" s="10"/>
      <c r="L217" s="9">
        <f t="shared" si="39"/>
        <v>49500</v>
      </c>
      <c r="M217" s="8">
        <f t="shared" si="40"/>
        <v>0</v>
      </c>
      <c r="N217" s="11">
        <f t="shared" si="41"/>
        <v>1</v>
      </c>
      <c r="O217" s="12">
        <f t="shared" si="42"/>
        <v>0.207575757575758</v>
      </c>
      <c r="P217" s="12"/>
      <c r="Q217" s="9">
        <f t="shared" si="43"/>
        <v>20550.0000000001</v>
      </c>
      <c r="R217" s="13">
        <f t="shared" si="44"/>
        <v>0</v>
      </c>
    </row>
    <row r="218" spans="1:18">
      <c r="A218" s="14">
        <v>46053</v>
      </c>
      <c r="B218" s="4">
        <f>Data_Entry!X308</f>
        <v>14649.9999999997</v>
      </c>
      <c r="C218" s="4">
        <v>0</v>
      </c>
      <c r="D218" s="5">
        <f>Data_Entry!AD308</f>
        <v>2.26</v>
      </c>
      <c r="E218" s="6">
        <f t="shared" si="36"/>
        <v>0.147979797979795</v>
      </c>
      <c r="F218" s="7">
        <v>0</v>
      </c>
      <c r="G218" s="7">
        <v>0</v>
      </c>
      <c r="H218" s="8">
        <f t="shared" si="37"/>
        <v>0</v>
      </c>
      <c r="I218" s="8">
        <f t="shared" si="38"/>
        <v>0</v>
      </c>
      <c r="J218" s="9">
        <v>4125</v>
      </c>
      <c r="K218" s="10"/>
      <c r="L218" s="9">
        <f t="shared" si="39"/>
        <v>49500</v>
      </c>
      <c r="M218" s="8">
        <f t="shared" si="40"/>
        <v>0</v>
      </c>
      <c r="N218" s="11">
        <f t="shared" si="41"/>
        <v>1</v>
      </c>
      <c r="O218" s="12">
        <f t="shared" si="42"/>
        <v>0.147979797979795</v>
      </c>
      <c r="P218" s="12"/>
      <c r="Q218" s="9">
        <f t="shared" si="43"/>
        <v>14649.9999999997</v>
      </c>
      <c r="R218" s="13">
        <f t="shared" si="44"/>
        <v>0</v>
      </c>
    </row>
    <row r="219" spans="1:18">
      <c r="A219" s="14">
        <v>46054</v>
      </c>
      <c r="B219" s="4">
        <f>Data_Entry!X309</f>
        <v>19600.0000000004</v>
      </c>
      <c r="C219" s="4">
        <v>0</v>
      </c>
      <c r="D219" s="5">
        <f>Data_Entry!AD309</f>
        <v>3.4</v>
      </c>
      <c r="E219" s="6">
        <f t="shared" si="36"/>
        <v>0.197979797979802</v>
      </c>
      <c r="F219" s="7">
        <v>0</v>
      </c>
      <c r="G219" s="7">
        <v>0</v>
      </c>
      <c r="H219" s="8">
        <f t="shared" si="37"/>
        <v>0</v>
      </c>
      <c r="I219" s="8">
        <f t="shared" si="38"/>
        <v>0</v>
      </c>
      <c r="J219" s="9">
        <v>4125</v>
      </c>
      <c r="K219" s="10"/>
      <c r="L219" s="9">
        <f t="shared" si="39"/>
        <v>49500</v>
      </c>
      <c r="M219" s="8">
        <f t="shared" si="40"/>
        <v>0</v>
      </c>
      <c r="N219" s="11">
        <f t="shared" si="41"/>
        <v>1</v>
      </c>
      <c r="O219" s="12">
        <f t="shared" si="42"/>
        <v>0.197979797979802</v>
      </c>
      <c r="P219" s="12"/>
      <c r="Q219" s="9">
        <f t="shared" si="43"/>
        <v>19600.0000000004</v>
      </c>
      <c r="R219" s="13">
        <f t="shared" si="44"/>
        <v>0</v>
      </c>
    </row>
    <row r="220" spans="1:18">
      <c r="A220" s="14">
        <v>46055</v>
      </c>
      <c r="B220" s="4">
        <f>Data_Entry!X310</f>
        <v>19400</v>
      </c>
      <c r="C220" s="4">
        <v>0</v>
      </c>
      <c r="D220" s="5">
        <f>Data_Entry!AD310</f>
        <v>3.51</v>
      </c>
      <c r="E220" s="6">
        <f t="shared" si="36"/>
        <v>0.195959595959596</v>
      </c>
      <c r="F220" s="7">
        <v>0</v>
      </c>
      <c r="G220" s="7">
        <v>0</v>
      </c>
      <c r="H220" s="8">
        <f t="shared" si="37"/>
        <v>0</v>
      </c>
      <c r="I220" s="8">
        <f t="shared" si="38"/>
        <v>0</v>
      </c>
      <c r="J220" s="9">
        <v>4125</v>
      </c>
      <c r="K220" s="10"/>
      <c r="L220" s="9">
        <f t="shared" si="39"/>
        <v>49500</v>
      </c>
      <c r="M220" s="8">
        <f t="shared" si="40"/>
        <v>0</v>
      </c>
      <c r="N220" s="11">
        <f t="shared" si="41"/>
        <v>1</v>
      </c>
      <c r="O220" s="12">
        <f t="shared" si="42"/>
        <v>0.195959595959596</v>
      </c>
      <c r="P220" s="12"/>
      <c r="Q220" s="9">
        <f t="shared" si="43"/>
        <v>19400</v>
      </c>
      <c r="R220" s="13">
        <f t="shared" si="44"/>
        <v>0</v>
      </c>
    </row>
    <row r="221" spans="1:18">
      <c r="A221" s="14">
        <v>46056</v>
      </c>
      <c r="B221" s="4">
        <f>Data_Entry!X311</f>
        <v>20999.9999999997</v>
      </c>
      <c r="C221" s="4">
        <v>0</v>
      </c>
      <c r="D221" s="5">
        <f>Data_Entry!AD311</f>
        <v>3.67</v>
      </c>
      <c r="E221" s="6">
        <f t="shared" si="36"/>
        <v>0.212121212121209</v>
      </c>
      <c r="F221" s="7">
        <v>0</v>
      </c>
      <c r="G221" s="7">
        <v>0</v>
      </c>
      <c r="H221" s="8">
        <f t="shared" si="37"/>
        <v>0</v>
      </c>
      <c r="I221" s="8">
        <f t="shared" si="38"/>
        <v>0</v>
      </c>
      <c r="J221" s="9">
        <v>4125</v>
      </c>
      <c r="K221" s="10"/>
      <c r="L221" s="9">
        <f t="shared" si="39"/>
        <v>49500</v>
      </c>
      <c r="M221" s="8">
        <f t="shared" si="40"/>
        <v>0</v>
      </c>
      <c r="N221" s="11">
        <f t="shared" si="41"/>
        <v>1</v>
      </c>
      <c r="O221" s="12">
        <f t="shared" si="42"/>
        <v>0.212121212121209</v>
      </c>
      <c r="P221" s="12"/>
      <c r="Q221" s="9">
        <f t="shared" si="43"/>
        <v>20999.9999999997</v>
      </c>
      <c r="R221" s="13">
        <f t="shared" si="44"/>
        <v>0</v>
      </c>
    </row>
    <row r="222" spans="1:18">
      <c r="A222" s="14">
        <v>46057</v>
      </c>
      <c r="B222" s="4">
        <f>Data_Entry!X312</f>
        <v>20900.0000000003</v>
      </c>
      <c r="C222" s="4">
        <v>0</v>
      </c>
      <c r="D222" s="5">
        <f>Data_Entry!AD312</f>
        <v>3.73</v>
      </c>
      <c r="E222" s="6">
        <f t="shared" si="36"/>
        <v>0.211111111111114</v>
      </c>
      <c r="F222" s="7">
        <v>0</v>
      </c>
      <c r="G222" s="7">
        <v>0</v>
      </c>
      <c r="H222" s="8">
        <f t="shared" si="37"/>
        <v>0</v>
      </c>
      <c r="I222" s="8">
        <f t="shared" si="38"/>
        <v>0</v>
      </c>
      <c r="J222" s="9">
        <v>4125</v>
      </c>
      <c r="K222" s="10"/>
      <c r="L222" s="9">
        <f t="shared" si="39"/>
        <v>49500</v>
      </c>
      <c r="M222" s="8">
        <f t="shared" si="40"/>
        <v>0</v>
      </c>
      <c r="N222" s="11">
        <f t="shared" si="41"/>
        <v>1</v>
      </c>
      <c r="O222" s="12">
        <f t="shared" si="42"/>
        <v>0.211111111111114</v>
      </c>
      <c r="P222" s="12"/>
      <c r="Q222" s="9">
        <f t="shared" si="43"/>
        <v>20900.0000000003</v>
      </c>
      <c r="R222" s="13">
        <f t="shared" si="44"/>
        <v>0</v>
      </c>
    </row>
    <row r="223" spans="1:18">
      <c r="A223" s="14">
        <v>46058</v>
      </c>
      <c r="B223" s="4">
        <f>Data_Entry!X313</f>
        <v>23100</v>
      </c>
      <c r="C223" s="4">
        <v>0</v>
      </c>
      <c r="D223" s="5">
        <f>Data_Entry!AD313</f>
        <v>4.02</v>
      </c>
      <c r="E223" s="6">
        <f t="shared" si="36"/>
        <v>0.233333333333334</v>
      </c>
      <c r="F223" s="7">
        <v>0</v>
      </c>
      <c r="G223" s="7">
        <v>0</v>
      </c>
      <c r="H223" s="8">
        <f t="shared" si="37"/>
        <v>0</v>
      </c>
      <c r="I223" s="8">
        <f t="shared" si="38"/>
        <v>0</v>
      </c>
      <c r="J223" s="9">
        <v>4125</v>
      </c>
      <c r="K223" s="10"/>
      <c r="L223" s="9">
        <f t="shared" si="39"/>
        <v>49500</v>
      </c>
      <c r="M223" s="8">
        <f t="shared" si="40"/>
        <v>0</v>
      </c>
      <c r="N223" s="11">
        <f t="shared" si="41"/>
        <v>1</v>
      </c>
      <c r="O223" s="12">
        <f t="shared" si="42"/>
        <v>0.233333333333334</v>
      </c>
      <c r="P223" s="12"/>
      <c r="Q223" s="9">
        <f t="shared" si="43"/>
        <v>23100</v>
      </c>
      <c r="R223" s="13">
        <f t="shared" si="44"/>
        <v>0</v>
      </c>
    </row>
    <row r="224" spans="1:18">
      <c r="A224" s="14">
        <v>46059</v>
      </c>
      <c r="B224" s="4">
        <f>Data_Entry!X314</f>
        <v>24699.9999999997</v>
      </c>
      <c r="C224" s="4">
        <v>0</v>
      </c>
      <c r="D224" s="5">
        <f>Data_Entry!AD314</f>
        <v>4.2</v>
      </c>
      <c r="E224" s="6">
        <f t="shared" si="36"/>
        <v>0.249494949494947</v>
      </c>
      <c r="F224" s="7">
        <v>0</v>
      </c>
      <c r="G224" s="7">
        <v>0</v>
      </c>
      <c r="H224" s="8">
        <f t="shared" si="37"/>
        <v>0</v>
      </c>
      <c r="I224" s="8">
        <f t="shared" si="38"/>
        <v>0</v>
      </c>
      <c r="J224" s="9">
        <v>4125</v>
      </c>
      <c r="K224" s="10"/>
      <c r="L224" s="9">
        <f t="shared" si="39"/>
        <v>49500</v>
      </c>
      <c r="M224" s="8">
        <f t="shared" si="40"/>
        <v>0</v>
      </c>
      <c r="N224" s="11">
        <f t="shared" si="41"/>
        <v>1</v>
      </c>
      <c r="O224" s="12">
        <f t="shared" si="42"/>
        <v>0.249494949494947</v>
      </c>
      <c r="P224" s="12"/>
      <c r="Q224" s="9">
        <f t="shared" si="43"/>
        <v>24699.9999999997</v>
      </c>
      <c r="R224" s="13">
        <f t="shared" si="44"/>
        <v>0</v>
      </c>
    </row>
    <row r="225" spans="1:18">
      <c r="A225" s="14">
        <v>46060</v>
      </c>
      <c r="B225" s="4">
        <f>Data_Entry!X315</f>
        <v>23150</v>
      </c>
      <c r="C225" s="4">
        <v>0</v>
      </c>
      <c r="D225" s="5">
        <f>Data_Entry!AD315</f>
        <v>4.08</v>
      </c>
      <c r="E225" s="6">
        <f t="shared" si="36"/>
        <v>0.233838383838384</v>
      </c>
      <c r="F225" s="7">
        <v>0</v>
      </c>
      <c r="G225" s="7">
        <v>0</v>
      </c>
      <c r="H225" s="8">
        <f t="shared" si="37"/>
        <v>0</v>
      </c>
      <c r="I225" s="8">
        <f t="shared" si="38"/>
        <v>0</v>
      </c>
      <c r="J225" s="9">
        <v>4125</v>
      </c>
      <c r="K225" s="10"/>
      <c r="L225" s="9">
        <f t="shared" si="39"/>
        <v>49500</v>
      </c>
      <c r="M225" s="8">
        <f t="shared" si="40"/>
        <v>0</v>
      </c>
      <c r="N225" s="11">
        <f t="shared" si="41"/>
        <v>1</v>
      </c>
      <c r="O225" s="12">
        <f t="shared" si="42"/>
        <v>0.233838383838384</v>
      </c>
      <c r="P225" s="12"/>
      <c r="Q225" s="9">
        <f t="shared" si="43"/>
        <v>23150</v>
      </c>
      <c r="R225" s="13">
        <f t="shared" si="44"/>
        <v>0</v>
      </c>
    </row>
    <row r="226" spans="1:18">
      <c r="A226" s="14">
        <v>46061</v>
      </c>
      <c r="B226" s="4">
        <f>Data_Entry!X316</f>
        <v>21949.9999999999</v>
      </c>
      <c r="C226" s="4">
        <v>0</v>
      </c>
      <c r="D226" s="5">
        <f>Data_Entry!AD316</f>
        <v>4.05</v>
      </c>
      <c r="E226" s="6">
        <f t="shared" si="36"/>
        <v>0.221717171717171</v>
      </c>
      <c r="F226" s="7">
        <v>0</v>
      </c>
      <c r="G226" s="7">
        <v>0</v>
      </c>
      <c r="H226" s="8">
        <f t="shared" si="37"/>
        <v>0</v>
      </c>
      <c r="I226" s="8">
        <f t="shared" si="38"/>
        <v>0</v>
      </c>
      <c r="J226" s="9">
        <v>4125</v>
      </c>
      <c r="K226" s="10"/>
      <c r="L226" s="9">
        <f t="shared" si="39"/>
        <v>49500</v>
      </c>
      <c r="M226" s="8">
        <f t="shared" si="40"/>
        <v>0</v>
      </c>
      <c r="N226" s="11">
        <f t="shared" si="41"/>
        <v>1</v>
      </c>
      <c r="O226" s="12">
        <f t="shared" si="42"/>
        <v>0.221717171717171</v>
      </c>
      <c r="P226" s="12"/>
      <c r="Q226" s="9">
        <f t="shared" si="43"/>
        <v>21949.9999999999</v>
      </c>
      <c r="R226" s="13">
        <f t="shared" si="44"/>
        <v>0</v>
      </c>
    </row>
    <row r="227" spans="1:18">
      <c r="A227" s="14">
        <v>46062</v>
      </c>
      <c r="B227" s="4">
        <f>Data_Entry!X317</f>
        <v>24650.0000000003</v>
      </c>
      <c r="C227" s="4">
        <v>0</v>
      </c>
      <c r="D227" s="5">
        <f>Data_Entry!AD317</f>
        <v>4.27</v>
      </c>
      <c r="E227" s="6">
        <f t="shared" ref="E227:E262" si="45">B227/(24*J227)</f>
        <v>0.248989898989902</v>
      </c>
      <c r="F227" s="7">
        <v>0</v>
      </c>
      <c r="G227" s="7">
        <v>0</v>
      </c>
      <c r="H227" s="8">
        <f t="shared" ref="H227:H262" si="46">(G227-F227)*24*60</f>
        <v>0</v>
      </c>
      <c r="I227" s="8">
        <f t="shared" ref="I227:I262" si="47">H227/60</f>
        <v>0</v>
      </c>
      <c r="J227" s="9">
        <v>4125</v>
      </c>
      <c r="K227" s="10"/>
      <c r="L227" s="9">
        <f t="shared" ref="L227:L262" si="48">J227*12</f>
        <v>49500</v>
      </c>
      <c r="M227" s="8">
        <f t="shared" ref="M227:M262" si="49">K227*I227</f>
        <v>0</v>
      </c>
      <c r="N227" s="11">
        <f t="shared" ref="N227:N262" si="50">(L227-M227)/L227</f>
        <v>1</v>
      </c>
      <c r="O227" s="12">
        <f t="shared" ref="O227:O262" si="51">E227/N227</f>
        <v>0.248989898989902</v>
      </c>
      <c r="P227" s="12"/>
      <c r="Q227" s="9">
        <f t="shared" ref="Q227:Q262" si="52">O227*J227*24</f>
        <v>24650.0000000003</v>
      </c>
      <c r="R227" s="13">
        <f t="shared" ref="R227:R262" si="53">Q227-B227</f>
        <v>0</v>
      </c>
    </row>
    <row r="228" spans="1:18">
      <c r="A228" s="14">
        <v>46063</v>
      </c>
      <c r="B228" s="4">
        <f>Data_Entry!X318</f>
        <v>26999.9999999999</v>
      </c>
      <c r="C228" s="4">
        <v>0</v>
      </c>
      <c r="D228" s="5">
        <f>Data_Entry!AD318</f>
        <v>4.45</v>
      </c>
      <c r="E228" s="6">
        <f t="shared" si="45"/>
        <v>0.272727272727272</v>
      </c>
      <c r="F228" s="7">
        <v>0</v>
      </c>
      <c r="G228" s="7">
        <v>0</v>
      </c>
      <c r="H228" s="8">
        <f t="shared" si="46"/>
        <v>0</v>
      </c>
      <c r="I228" s="8">
        <f t="shared" si="47"/>
        <v>0</v>
      </c>
      <c r="J228" s="9">
        <v>4125</v>
      </c>
      <c r="K228" s="10"/>
      <c r="L228" s="9">
        <f t="shared" si="48"/>
        <v>49500</v>
      </c>
      <c r="M228" s="8">
        <f t="shared" si="49"/>
        <v>0</v>
      </c>
      <c r="N228" s="11">
        <f t="shared" si="50"/>
        <v>1</v>
      </c>
      <c r="O228" s="12">
        <f t="shared" si="51"/>
        <v>0.272727272727272</v>
      </c>
      <c r="P228" s="12"/>
      <c r="Q228" s="9">
        <f t="shared" si="52"/>
        <v>26999.9999999999</v>
      </c>
      <c r="R228" s="13">
        <f t="shared" si="53"/>
        <v>0</v>
      </c>
    </row>
    <row r="229" spans="1:18">
      <c r="A229" s="14">
        <v>46064</v>
      </c>
      <c r="B229" s="4">
        <f>Data_Entry!X319</f>
        <v>27049.9999999998</v>
      </c>
      <c r="C229" s="4">
        <v>0</v>
      </c>
      <c r="D229" s="5">
        <f>Data_Entry!AD319</f>
        <v>4.39</v>
      </c>
      <c r="E229" s="6">
        <f t="shared" si="45"/>
        <v>0.273232323232322</v>
      </c>
      <c r="F229" s="7">
        <v>0</v>
      </c>
      <c r="G229" s="7">
        <v>0</v>
      </c>
      <c r="H229" s="8">
        <f t="shared" si="46"/>
        <v>0</v>
      </c>
      <c r="I229" s="8">
        <f t="shared" si="47"/>
        <v>0</v>
      </c>
      <c r="J229" s="9">
        <v>4125</v>
      </c>
      <c r="K229" s="10"/>
      <c r="L229" s="9">
        <f t="shared" si="48"/>
        <v>49500</v>
      </c>
      <c r="M229" s="8">
        <f t="shared" si="49"/>
        <v>0</v>
      </c>
      <c r="N229" s="11">
        <f t="shared" si="50"/>
        <v>1</v>
      </c>
      <c r="O229" s="12">
        <f t="shared" si="51"/>
        <v>0.273232323232322</v>
      </c>
      <c r="P229" s="12"/>
      <c r="Q229" s="9">
        <f t="shared" si="52"/>
        <v>27049.9999999998</v>
      </c>
      <c r="R229" s="13">
        <f t="shared" si="53"/>
        <v>0</v>
      </c>
    </row>
    <row r="230" spans="1:18">
      <c r="A230" s="14">
        <v>46065</v>
      </c>
      <c r="B230" s="4">
        <f>Data_Entry!X320</f>
        <v>27300.0000000002</v>
      </c>
      <c r="C230" s="4">
        <v>0</v>
      </c>
      <c r="D230" s="5">
        <f>Data_Entry!AD320</f>
        <v>4.45</v>
      </c>
      <c r="E230" s="6">
        <f t="shared" si="45"/>
        <v>0.275757575757578</v>
      </c>
      <c r="F230" s="7">
        <v>0</v>
      </c>
      <c r="G230" s="7">
        <v>0</v>
      </c>
      <c r="H230" s="8">
        <f t="shared" si="46"/>
        <v>0</v>
      </c>
      <c r="I230" s="8">
        <f t="shared" si="47"/>
        <v>0</v>
      </c>
      <c r="J230" s="9">
        <v>4125</v>
      </c>
      <c r="K230" s="10"/>
      <c r="L230" s="9">
        <f t="shared" si="48"/>
        <v>49500</v>
      </c>
      <c r="M230" s="8">
        <f t="shared" si="49"/>
        <v>0</v>
      </c>
      <c r="N230" s="11">
        <f t="shared" si="50"/>
        <v>1</v>
      </c>
      <c r="O230" s="12">
        <f t="shared" si="51"/>
        <v>0.275757575757578</v>
      </c>
      <c r="P230" s="12"/>
      <c r="Q230" s="9">
        <f t="shared" si="52"/>
        <v>27300.0000000002</v>
      </c>
      <c r="R230" s="13">
        <f t="shared" si="53"/>
        <v>0</v>
      </c>
    </row>
    <row r="231" spans="1:18">
      <c r="A231" s="14">
        <v>46066</v>
      </c>
      <c r="B231" s="4">
        <f>Data_Entry!X321</f>
        <v>24100.0000000003</v>
      </c>
      <c r="C231" s="4">
        <v>0</v>
      </c>
      <c r="D231" s="5">
        <f>Data_Entry!AD321</f>
        <v>4.09</v>
      </c>
      <c r="E231" s="6">
        <f t="shared" si="45"/>
        <v>0.243434343434346</v>
      </c>
      <c r="F231" s="7">
        <v>0</v>
      </c>
      <c r="G231" s="7">
        <v>0</v>
      </c>
      <c r="H231" s="8">
        <f t="shared" si="46"/>
        <v>0</v>
      </c>
      <c r="I231" s="8">
        <f t="shared" si="47"/>
        <v>0</v>
      </c>
      <c r="J231" s="9">
        <v>4125</v>
      </c>
      <c r="K231" s="10"/>
      <c r="L231" s="9">
        <f t="shared" si="48"/>
        <v>49500</v>
      </c>
      <c r="M231" s="8">
        <f t="shared" si="49"/>
        <v>0</v>
      </c>
      <c r="N231" s="11">
        <f t="shared" si="50"/>
        <v>1</v>
      </c>
      <c r="O231" s="12">
        <f t="shared" si="51"/>
        <v>0.243434343434346</v>
      </c>
      <c r="P231" s="12"/>
      <c r="Q231" s="9">
        <f t="shared" si="52"/>
        <v>24100.0000000003</v>
      </c>
      <c r="R231" s="13">
        <f t="shared" si="53"/>
        <v>0</v>
      </c>
    </row>
    <row r="232" spans="1:18">
      <c r="A232" s="14">
        <v>46067</v>
      </c>
      <c r="B232" s="4">
        <f>Data_Entry!X322</f>
        <v>24350</v>
      </c>
      <c r="C232" s="4">
        <v>0</v>
      </c>
      <c r="D232" s="5">
        <f>Data_Entry!AD322</f>
        <v>4.16</v>
      </c>
      <c r="E232" s="6">
        <f t="shared" si="45"/>
        <v>0.245959595959596</v>
      </c>
      <c r="F232" s="7">
        <v>0</v>
      </c>
      <c r="G232" s="7">
        <v>0</v>
      </c>
      <c r="H232" s="8">
        <f t="shared" si="46"/>
        <v>0</v>
      </c>
      <c r="I232" s="8">
        <f t="shared" si="47"/>
        <v>0</v>
      </c>
      <c r="J232" s="9">
        <v>4125</v>
      </c>
      <c r="K232" s="10"/>
      <c r="L232" s="9">
        <f t="shared" si="48"/>
        <v>49500</v>
      </c>
      <c r="M232" s="8">
        <f t="shared" si="49"/>
        <v>0</v>
      </c>
      <c r="N232" s="11">
        <f t="shared" si="50"/>
        <v>1</v>
      </c>
      <c r="O232" s="12">
        <f t="shared" si="51"/>
        <v>0.245959595959596</v>
      </c>
      <c r="P232" s="12"/>
      <c r="Q232" s="9">
        <f t="shared" si="52"/>
        <v>24350</v>
      </c>
      <c r="R232" s="13">
        <f t="shared" si="53"/>
        <v>0</v>
      </c>
    </row>
    <row r="233" spans="1:18">
      <c r="A233" s="14">
        <v>46068</v>
      </c>
      <c r="B233" s="4">
        <f>Data_Entry!X323</f>
        <v>25999.9999999997</v>
      </c>
      <c r="C233" s="4">
        <v>0</v>
      </c>
      <c r="D233" s="5">
        <f>Data_Entry!AD323</f>
        <v>4.36</v>
      </c>
      <c r="E233" s="6">
        <f t="shared" si="45"/>
        <v>0.262626262626259</v>
      </c>
      <c r="F233" s="7">
        <v>0</v>
      </c>
      <c r="G233" s="7">
        <v>0</v>
      </c>
      <c r="H233" s="8">
        <f t="shared" si="46"/>
        <v>0</v>
      </c>
      <c r="I233" s="8">
        <f t="shared" si="47"/>
        <v>0</v>
      </c>
      <c r="J233" s="9">
        <v>4125</v>
      </c>
      <c r="K233" s="10"/>
      <c r="L233" s="9">
        <f t="shared" si="48"/>
        <v>49500</v>
      </c>
      <c r="M233" s="8">
        <f t="shared" si="49"/>
        <v>0</v>
      </c>
      <c r="N233" s="11">
        <f t="shared" si="50"/>
        <v>1</v>
      </c>
      <c r="O233" s="12">
        <f t="shared" si="51"/>
        <v>0.262626262626259</v>
      </c>
      <c r="P233" s="12"/>
      <c r="Q233" s="9">
        <f t="shared" si="52"/>
        <v>25999.9999999997</v>
      </c>
      <c r="R233" s="13">
        <f t="shared" si="53"/>
        <v>0</v>
      </c>
    </row>
    <row r="234" spans="1:18">
      <c r="A234" s="14">
        <v>46069</v>
      </c>
      <c r="B234" s="4">
        <f>Data_Entry!X324</f>
        <v>25900.0000000003</v>
      </c>
      <c r="C234" s="4">
        <v>0</v>
      </c>
      <c r="D234" s="5">
        <f>Data_Entry!AD324</f>
        <v>4.55</v>
      </c>
      <c r="E234" s="6">
        <f t="shared" si="45"/>
        <v>0.261616161616165</v>
      </c>
      <c r="F234" s="7">
        <v>0</v>
      </c>
      <c r="G234" s="7">
        <v>0</v>
      </c>
      <c r="H234" s="8">
        <f t="shared" si="46"/>
        <v>0</v>
      </c>
      <c r="I234" s="8">
        <f t="shared" si="47"/>
        <v>0</v>
      </c>
      <c r="J234" s="9">
        <v>4125</v>
      </c>
      <c r="K234" s="10"/>
      <c r="L234" s="9">
        <f t="shared" si="48"/>
        <v>49500</v>
      </c>
      <c r="M234" s="8">
        <f t="shared" si="49"/>
        <v>0</v>
      </c>
      <c r="N234" s="11">
        <f t="shared" si="50"/>
        <v>1</v>
      </c>
      <c r="O234" s="12">
        <f t="shared" si="51"/>
        <v>0.261616161616165</v>
      </c>
      <c r="P234" s="12"/>
      <c r="Q234" s="9">
        <f t="shared" si="52"/>
        <v>25900.0000000003</v>
      </c>
      <c r="R234" s="13">
        <f t="shared" si="53"/>
        <v>0</v>
      </c>
    </row>
    <row r="235" spans="1:18">
      <c r="A235" s="14">
        <v>46070</v>
      </c>
      <c r="B235" s="4">
        <f>Data_Entry!X325</f>
        <v>27899.9999999996</v>
      </c>
      <c r="C235" s="4">
        <v>0</v>
      </c>
      <c r="D235" s="5">
        <f>Data_Entry!AD325</f>
        <v>4.76</v>
      </c>
      <c r="E235" s="6">
        <f t="shared" si="45"/>
        <v>0.281818181818178</v>
      </c>
      <c r="F235" s="7">
        <v>0</v>
      </c>
      <c r="G235" s="7">
        <v>0</v>
      </c>
      <c r="H235" s="8">
        <f t="shared" si="46"/>
        <v>0</v>
      </c>
      <c r="I235" s="8">
        <f t="shared" si="47"/>
        <v>0</v>
      </c>
      <c r="J235" s="9">
        <v>4125</v>
      </c>
      <c r="K235" s="10"/>
      <c r="L235" s="9">
        <f t="shared" si="48"/>
        <v>49500</v>
      </c>
      <c r="M235" s="8">
        <f t="shared" si="49"/>
        <v>0</v>
      </c>
      <c r="N235" s="11">
        <f t="shared" si="50"/>
        <v>1</v>
      </c>
      <c r="O235" s="12">
        <f t="shared" si="51"/>
        <v>0.281818181818178</v>
      </c>
      <c r="P235" s="12"/>
      <c r="Q235" s="9">
        <f t="shared" si="52"/>
        <v>27899.9999999996</v>
      </c>
      <c r="R235" s="13">
        <f t="shared" si="53"/>
        <v>0</v>
      </c>
    </row>
    <row r="236" spans="1:18">
      <c r="A236" s="14">
        <v>46071</v>
      </c>
      <c r="B236" s="4">
        <f>Data_Entry!X326</f>
        <v>27250.0000000002</v>
      </c>
      <c r="C236" s="4">
        <v>0</v>
      </c>
      <c r="D236" s="5">
        <f>Data_Entry!AD326</f>
        <v>4.6</v>
      </c>
      <c r="E236" s="6">
        <f t="shared" si="45"/>
        <v>0.275252525252528</v>
      </c>
      <c r="F236" s="7">
        <v>0</v>
      </c>
      <c r="G236" s="7">
        <v>0</v>
      </c>
      <c r="H236" s="8">
        <f t="shared" si="46"/>
        <v>0</v>
      </c>
      <c r="I236" s="8">
        <f t="shared" si="47"/>
        <v>0</v>
      </c>
      <c r="J236" s="9">
        <v>4125</v>
      </c>
      <c r="K236" s="10"/>
      <c r="L236" s="9">
        <f t="shared" si="48"/>
        <v>49500</v>
      </c>
      <c r="M236" s="8">
        <f t="shared" si="49"/>
        <v>0</v>
      </c>
      <c r="N236" s="11">
        <f t="shared" si="50"/>
        <v>1</v>
      </c>
      <c r="O236" s="12">
        <f t="shared" si="51"/>
        <v>0.275252525252528</v>
      </c>
      <c r="P236" s="12"/>
      <c r="Q236" s="9">
        <f t="shared" si="52"/>
        <v>27250.0000000002</v>
      </c>
      <c r="R236" s="13">
        <f t="shared" si="53"/>
        <v>0</v>
      </c>
    </row>
    <row r="237" spans="1:18">
      <c r="A237" s="14">
        <v>46072</v>
      </c>
      <c r="B237" s="4">
        <f>Data_Entry!X327</f>
        <v>25999.9999999997</v>
      </c>
      <c r="C237" s="4">
        <v>0</v>
      </c>
      <c r="D237" s="5">
        <f>Data_Entry!AD327</f>
        <v>4.47</v>
      </c>
      <c r="E237" s="6">
        <f t="shared" si="45"/>
        <v>0.262626262626259</v>
      </c>
      <c r="F237" s="7">
        <v>0</v>
      </c>
      <c r="G237" s="7">
        <v>0</v>
      </c>
      <c r="H237" s="8">
        <f t="shared" si="46"/>
        <v>0</v>
      </c>
      <c r="I237" s="8">
        <f t="shared" si="47"/>
        <v>0</v>
      </c>
      <c r="J237" s="9">
        <v>4125</v>
      </c>
      <c r="K237" s="10"/>
      <c r="L237" s="9">
        <f t="shared" si="48"/>
        <v>49500</v>
      </c>
      <c r="M237" s="8">
        <f t="shared" si="49"/>
        <v>0</v>
      </c>
      <c r="N237" s="11">
        <f t="shared" si="50"/>
        <v>1</v>
      </c>
      <c r="O237" s="12">
        <f t="shared" si="51"/>
        <v>0.262626262626259</v>
      </c>
      <c r="P237" s="12"/>
      <c r="Q237" s="9">
        <f t="shared" si="52"/>
        <v>25999.9999999997</v>
      </c>
      <c r="R237" s="13">
        <f t="shared" si="53"/>
        <v>0</v>
      </c>
    </row>
    <row r="238" spans="1:18">
      <c r="A238" s="14">
        <v>46073</v>
      </c>
      <c r="B238" s="4">
        <f>Data_Entry!X328</f>
        <v>24700.0000000003</v>
      </c>
      <c r="C238" s="4">
        <v>0</v>
      </c>
      <c r="D238" s="5">
        <f>Data_Entry!AD328</f>
        <v>4.36</v>
      </c>
      <c r="E238" s="6">
        <f t="shared" si="45"/>
        <v>0.249494949494952</v>
      </c>
      <c r="F238" s="7">
        <v>0</v>
      </c>
      <c r="G238" s="7">
        <v>0</v>
      </c>
      <c r="H238" s="8">
        <f t="shared" si="46"/>
        <v>0</v>
      </c>
      <c r="I238" s="8">
        <f t="shared" si="47"/>
        <v>0</v>
      </c>
      <c r="J238" s="9">
        <v>4125</v>
      </c>
      <c r="K238" s="10"/>
      <c r="L238" s="9">
        <f t="shared" si="48"/>
        <v>49500</v>
      </c>
      <c r="M238" s="8">
        <f t="shared" si="49"/>
        <v>0</v>
      </c>
      <c r="N238" s="11">
        <f t="shared" si="50"/>
        <v>1</v>
      </c>
      <c r="O238" s="12">
        <f t="shared" si="51"/>
        <v>0.249494949494952</v>
      </c>
      <c r="P238" s="12"/>
      <c r="Q238" s="9">
        <f t="shared" si="52"/>
        <v>24700.0000000003</v>
      </c>
      <c r="R238" s="13">
        <f t="shared" si="53"/>
        <v>0</v>
      </c>
    </row>
    <row r="239" spans="1:18">
      <c r="A239" s="14">
        <v>46074</v>
      </c>
      <c r="B239" s="4">
        <f>Data_Entry!X329</f>
        <v>25650</v>
      </c>
      <c r="C239" s="4">
        <v>0</v>
      </c>
      <c r="D239" s="5">
        <f>Data_Entry!AD329</f>
        <v>4.5</v>
      </c>
      <c r="E239" s="6">
        <f t="shared" si="45"/>
        <v>0.259090909090909</v>
      </c>
      <c r="F239" s="7">
        <v>0</v>
      </c>
      <c r="G239" s="7">
        <v>0</v>
      </c>
      <c r="H239" s="8">
        <f t="shared" si="46"/>
        <v>0</v>
      </c>
      <c r="I239" s="8">
        <f t="shared" si="47"/>
        <v>0</v>
      </c>
      <c r="J239" s="9">
        <v>4125</v>
      </c>
      <c r="K239" s="10"/>
      <c r="L239" s="9">
        <f t="shared" si="48"/>
        <v>49500</v>
      </c>
      <c r="M239" s="8">
        <f t="shared" si="49"/>
        <v>0</v>
      </c>
      <c r="N239" s="11">
        <f t="shared" si="50"/>
        <v>1</v>
      </c>
      <c r="O239" s="12">
        <f t="shared" si="51"/>
        <v>0.259090909090909</v>
      </c>
      <c r="P239" s="12"/>
      <c r="Q239" s="9">
        <f t="shared" si="52"/>
        <v>25650</v>
      </c>
      <c r="R239" s="13">
        <f t="shared" si="53"/>
        <v>0</v>
      </c>
    </row>
    <row r="240" spans="1:18">
      <c r="A240" s="14">
        <v>46075</v>
      </c>
      <c r="B240" s="4">
        <f>Data_Entry!X330</f>
        <v>21700.0000000002</v>
      </c>
      <c r="C240" s="4">
        <v>0</v>
      </c>
      <c r="D240" s="5">
        <f>Data_Entry!AD330</f>
        <v>3.99</v>
      </c>
      <c r="E240" s="6">
        <f t="shared" si="45"/>
        <v>0.219191919191921</v>
      </c>
      <c r="F240" s="7">
        <v>0</v>
      </c>
      <c r="G240" s="7">
        <v>0</v>
      </c>
      <c r="H240" s="8">
        <f t="shared" si="46"/>
        <v>0</v>
      </c>
      <c r="I240" s="8">
        <f t="shared" si="47"/>
        <v>0</v>
      </c>
      <c r="J240" s="9">
        <v>4125</v>
      </c>
      <c r="K240" s="10"/>
      <c r="L240" s="9">
        <f t="shared" si="48"/>
        <v>49500</v>
      </c>
      <c r="M240" s="8">
        <f t="shared" si="49"/>
        <v>0</v>
      </c>
      <c r="N240" s="11">
        <f t="shared" si="50"/>
        <v>1</v>
      </c>
      <c r="O240" s="12">
        <f t="shared" si="51"/>
        <v>0.219191919191921</v>
      </c>
      <c r="P240" s="12"/>
      <c r="Q240" s="9">
        <f t="shared" si="52"/>
        <v>21700.0000000002</v>
      </c>
      <c r="R240" s="13">
        <f t="shared" si="53"/>
        <v>0</v>
      </c>
    </row>
    <row r="241" spans="1:18">
      <c r="A241" s="14">
        <v>46076</v>
      </c>
      <c r="B241" s="4">
        <f>Data_Entry!X331</f>
        <v>17899.9999999996</v>
      </c>
      <c r="C241" s="4">
        <v>0</v>
      </c>
      <c r="D241" s="5">
        <f>Data_Entry!AD331</f>
        <v>3.36</v>
      </c>
      <c r="E241" s="6">
        <f t="shared" si="45"/>
        <v>0.180808080808077</v>
      </c>
      <c r="F241" s="7">
        <v>0</v>
      </c>
      <c r="G241" s="7">
        <v>0</v>
      </c>
      <c r="H241" s="8">
        <f t="shared" si="46"/>
        <v>0</v>
      </c>
      <c r="I241" s="8">
        <f t="shared" si="47"/>
        <v>0</v>
      </c>
      <c r="J241" s="9">
        <v>4125</v>
      </c>
      <c r="K241" s="10"/>
      <c r="L241" s="9">
        <f t="shared" si="48"/>
        <v>49500</v>
      </c>
      <c r="M241" s="8">
        <f t="shared" si="49"/>
        <v>0</v>
      </c>
      <c r="N241" s="11">
        <f t="shared" si="50"/>
        <v>1</v>
      </c>
      <c r="O241" s="12">
        <f t="shared" si="51"/>
        <v>0.180808080808077</v>
      </c>
      <c r="P241" s="12"/>
      <c r="Q241" s="9">
        <f t="shared" si="52"/>
        <v>17899.9999999996</v>
      </c>
      <c r="R241" s="13">
        <f t="shared" si="53"/>
        <v>0</v>
      </c>
    </row>
    <row r="242" spans="1:18">
      <c r="A242" s="14">
        <v>46077</v>
      </c>
      <c r="B242" s="4">
        <f>Data_Entry!X332</f>
        <v>25600</v>
      </c>
      <c r="C242" s="4">
        <v>0</v>
      </c>
      <c r="D242" s="5">
        <f>Data_Entry!AD332</f>
        <v>4.35</v>
      </c>
      <c r="E242" s="6">
        <f t="shared" si="45"/>
        <v>0.258585858585859</v>
      </c>
      <c r="F242" s="7">
        <v>0</v>
      </c>
      <c r="G242" s="7">
        <v>0</v>
      </c>
      <c r="H242" s="8">
        <f t="shared" si="46"/>
        <v>0</v>
      </c>
      <c r="I242" s="8">
        <f t="shared" si="47"/>
        <v>0</v>
      </c>
      <c r="J242" s="9">
        <v>4125</v>
      </c>
      <c r="K242" s="10"/>
      <c r="L242" s="9">
        <f t="shared" si="48"/>
        <v>49500</v>
      </c>
      <c r="M242" s="8">
        <f t="shared" si="49"/>
        <v>0</v>
      </c>
      <c r="N242" s="11">
        <f t="shared" si="50"/>
        <v>1</v>
      </c>
      <c r="O242" s="12">
        <f t="shared" si="51"/>
        <v>0.258585858585859</v>
      </c>
      <c r="P242" s="12"/>
      <c r="Q242" s="9">
        <f t="shared" si="52"/>
        <v>25600</v>
      </c>
      <c r="R242" s="13">
        <f t="shared" si="53"/>
        <v>0</v>
      </c>
    </row>
    <row r="243" spans="1:18">
      <c r="A243" s="14">
        <v>46078</v>
      </c>
      <c r="B243" s="4">
        <f>Data_Entry!X333</f>
        <v>27450</v>
      </c>
      <c r="C243" s="4">
        <v>0</v>
      </c>
      <c r="D243" s="5">
        <f>Data_Entry!AD333</f>
        <v>4.76</v>
      </c>
      <c r="E243" s="6">
        <f t="shared" si="45"/>
        <v>0.277272727272728</v>
      </c>
      <c r="F243" s="7">
        <v>0</v>
      </c>
      <c r="G243" s="7">
        <v>0</v>
      </c>
      <c r="H243" s="8">
        <f t="shared" si="46"/>
        <v>0</v>
      </c>
      <c r="I243" s="8">
        <f t="shared" si="47"/>
        <v>0</v>
      </c>
      <c r="J243" s="9">
        <v>4125</v>
      </c>
      <c r="K243" s="10"/>
      <c r="L243" s="9">
        <f t="shared" si="48"/>
        <v>49500</v>
      </c>
      <c r="M243" s="8">
        <f t="shared" si="49"/>
        <v>0</v>
      </c>
      <c r="N243" s="11">
        <f t="shared" si="50"/>
        <v>1</v>
      </c>
      <c r="O243" s="12">
        <f t="shared" si="51"/>
        <v>0.277272727272728</v>
      </c>
      <c r="P243" s="12"/>
      <c r="Q243" s="9">
        <f t="shared" si="52"/>
        <v>27450</v>
      </c>
      <c r="R243" s="13">
        <f t="shared" si="53"/>
        <v>0</v>
      </c>
    </row>
    <row r="244" spans="1:18">
      <c r="A244" s="14">
        <v>46079</v>
      </c>
      <c r="B244" s="4">
        <f>Data_Entry!X334</f>
        <v>13950.0000000004</v>
      </c>
      <c r="C244" s="4">
        <v>0</v>
      </c>
      <c r="D244" s="5">
        <f>Data_Entry!AD334</f>
        <v>2.72</v>
      </c>
      <c r="E244" s="6">
        <f t="shared" si="45"/>
        <v>0.140909090909095</v>
      </c>
      <c r="F244" s="7">
        <v>0</v>
      </c>
      <c r="G244" s="7">
        <v>0</v>
      </c>
      <c r="H244" s="8">
        <f t="shared" si="46"/>
        <v>0</v>
      </c>
      <c r="I244" s="8">
        <f t="shared" si="47"/>
        <v>0</v>
      </c>
      <c r="J244" s="9">
        <v>4125</v>
      </c>
      <c r="K244" s="10"/>
      <c r="L244" s="9">
        <f t="shared" si="48"/>
        <v>49500</v>
      </c>
      <c r="M244" s="8">
        <f t="shared" si="49"/>
        <v>0</v>
      </c>
      <c r="N244" s="11">
        <f t="shared" si="50"/>
        <v>1</v>
      </c>
      <c r="O244" s="12">
        <f t="shared" si="51"/>
        <v>0.140909090909095</v>
      </c>
      <c r="P244" s="12"/>
      <c r="Q244" s="9">
        <f t="shared" si="52"/>
        <v>13950.0000000004</v>
      </c>
      <c r="R244" s="13">
        <f t="shared" si="53"/>
        <v>0</v>
      </c>
    </row>
    <row r="245" spans="1:18">
      <c r="A245" s="14">
        <v>46080</v>
      </c>
      <c r="B245" s="4">
        <f>Data_Entry!X335</f>
        <v>22799.9999999997</v>
      </c>
      <c r="C245" s="4">
        <v>0</v>
      </c>
      <c r="D245" s="5">
        <f>Data_Entry!AD335</f>
        <v>4.51</v>
      </c>
      <c r="E245" s="6">
        <f t="shared" si="45"/>
        <v>0.230303030303028</v>
      </c>
      <c r="F245" s="7">
        <v>0</v>
      </c>
      <c r="G245" s="7">
        <v>0</v>
      </c>
      <c r="H245" s="8">
        <f t="shared" si="46"/>
        <v>0</v>
      </c>
      <c r="I245" s="8">
        <f t="shared" si="47"/>
        <v>0</v>
      </c>
      <c r="J245" s="9">
        <v>4125</v>
      </c>
      <c r="K245" s="10"/>
      <c r="L245" s="9">
        <f t="shared" si="48"/>
        <v>49500</v>
      </c>
      <c r="M245" s="8">
        <f t="shared" si="49"/>
        <v>0</v>
      </c>
      <c r="N245" s="11">
        <f t="shared" si="50"/>
        <v>1</v>
      </c>
      <c r="O245" s="12">
        <f t="shared" si="51"/>
        <v>0.230303030303028</v>
      </c>
      <c r="P245" s="12"/>
      <c r="Q245" s="9">
        <f t="shared" si="52"/>
        <v>22799.9999999997</v>
      </c>
      <c r="R245" s="13">
        <f t="shared" si="53"/>
        <v>0</v>
      </c>
    </row>
    <row r="246" spans="1:18">
      <c r="A246" s="14">
        <v>46081</v>
      </c>
      <c r="B246" s="4">
        <f>Data_Entry!X336</f>
        <v>25749.9999999999</v>
      </c>
      <c r="C246" s="4">
        <v>0</v>
      </c>
      <c r="D246" s="5">
        <f>Data_Entry!AD336</f>
        <v>4.32</v>
      </c>
      <c r="E246" s="6">
        <f t="shared" si="45"/>
        <v>0.260101010101009</v>
      </c>
      <c r="F246" s="7">
        <v>0</v>
      </c>
      <c r="G246" s="7">
        <v>0</v>
      </c>
      <c r="H246" s="8">
        <f t="shared" si="46"/>
        <v>0</v>
      </c>
      <c r="I246" s="8">
        <f t="shared" si="47"/>
        <v>0</v>
      </c>
      <c r="J246" s="9">
        <v>4125</v>
      </c>
      <c r="K246" s="10"/>
      <c r="L246" s="9">
        <f t="shared" si="48"/>
        <v>49500</v>
      </c>
      <c r="M246" s="8">
        <f t="shared" si="49"/>
        <v>0</v>
      </c>
      <c r="N246" s="11">
        <f t="shared" si="50"/>
        <v>1</v>
      </c>
      <c r="O246" s="12">
        <f t="shared" si="51"/>
        <v>0.260101010101009</v>
      </c>
      <c r="P246" s="12"/>
      <c r="Q246" s="9">
        <f t="shared" si="52"/>
        <v>25749.9999999999</v>
      </c>
      <c r="R246" s="13">
        <f t="shared" si="53"/>
        <v>0</v>
      </c>
    </row>
    <row r="247" spans="1:18">
      <c r="A247" s="14">
        <v>46082</v>
      </c>
      <c r="B247" s="4">
        <f>Data_Entry!X337</f>
        <v>27700.0000000004</v>
      </c>
      <c r="C247" s="4">
        <v>0</v>
      </c>
      <c r="D247" s="5">
        <f>Data_Entry!AD337</f>
        <v>4.83</v>
      </c>
      <c r="E247" s="6">
        <f t="shared" si="45"/>
        <v>0.279797979797984</v>
      </c>
      <c r="F247" s="7">
        <v>0</v>
      </c>
      <c r="G247" s="7">
        <v>0</v>
      </c>
      <c r="H247" s="8">
        <f t="shared" si="46"/>
        <v>0</v>
      </c>
      <c r="I247" s="8">
        <f t="shared" si="47"/>
        <v>0</v>
      </c>
      <c r="J247" s="9">
        <v>4125</v>
      </c>
      <c r="K247" s="10"/>
      <c r="L247" s="9">
        <f t="shared" si="48"/>
        <v>49500</v>
      </c>
      <c r="M247" s="8">
        <f t="shared" si="49"/>
        <v>0</v>
      </c>
      <c r="N247" s="11">
        <f t="shared" si="50"/>
        <v>1</v>
      </c>
      <c r="O247" s="12">
        <f t="shared" si="51"/>
        <v>0.279797979797984</v>
      </c>
      <c r="P247" s="12"/>
      <c r="Q247" s="9">
        <f t="shared" si="52"/>
        <v>27700.0000000004</v>
      </c>
      <c r="R247" s="13">
        <f t="shared" si="53"/>
        <v>0</v>
      </c>
    </row>
    <row r="248" spans="1:18">
      <c r="A248" s="14">
        <v>46083</v>
      </c>
      <c r="B248" s="4">
        <f>Data_Entry!X338</f>
        <v>28049.9999999995</v>
      </c>
      <c r="C248" s="4">
        <v>0</v>
      </c>
      <c r="D248" s="5">
        <f>Data_Entry!AD338</f>
        <v>4.89</v>
      </c>
      <c r="E248" s="6">
        <f t="shared" si="45"/>
        <v>0.283333333333328</v>
      </c>
      <c r="F248" s="7">
        <v>0</v>
      </c>
      <c r="G248" s="7">
        <v>0</v>
      </c>
      <c r="H248" s="8">
        <f t="shared" si="46"/>
        <v>0</v>
      </c>
      <c r="I248" s="8">
        <f t="shared" si="47"/>
        <v>0</v>
      </c>
      <c r="J248" s="9">
        <v>4125</v>
      </c>
      <c r="K248" s="10"/>
      <c r="L248" s="9">
        <f t="shared" si="48"/>
        <v>49500</v>
      </c>
      <c r="M248" s="8">
        <f t="shared" si="49"/>
        <v>0</v>
      </c>
      <c r="N248" s="11">
        <f t="shared" si="50"/>
        <v>1</v>
      </c>
      <c r="O248" s="12">
        <f t="shared" si="51"/>
        <v>0.283333333333328</v>
      </c>
      <c r="P248" s="12"/>
      <c r="Q248" s="9">
        <f t="shared" si="52"/>
        <v>28049.9999999995</v>
      </c>
      <c r="R248" s="13">
        <f t="shared" si="53"/>
        <v>0</v>
      </c>
    </row>
    <row r="249" spans="1:18">
      <c r="A249" s="14">
        <v>46084</v>
      </c>
      <c r="B249" s="4">
        <f>Data_Entry!X339</f>
        <v>20300.0000000003</v>
      </c>
      <c r="C249" s="4">
        <v>0</v>
      </c>
      <c r="D249" s="5">
        <f>Data_Entry!AD339</f>
        <v>3.73</v>
      </c>
      <c r="E249" s="6">
        <f t="shared" si="45"/>
        <v>0.205050505050508</v>
      </c>
      <c r="F249" s="7">
        <v>0</v>
      </c>
      <c r="G249" s="7">
        <v>0</v>
      </c>
      <c r="H249" s="8">
        <f t="shared" si="46"/>
        <v>0</v>
      </c>
      <c r="I249" s="8">
        <f t="shared" si="47"/>
        <v>0</v>
      </c>
      <c r="J249" s="9">
        <v>4125</v>
      </c>
      <c r="K249" s="10"/>
      <c r="L249" s="9">
        <f t="shared" si="48"/>
        <v>49500</v>
      </c>
      <c r="M249" s="8">
        <f t="shared" si="49"/>
        <v>0</v>
      </c>
      <c r="N249" s="11">
        <f t="shared" si="50"/>
        <v>1</v>
      </c>
      <c r="O249" s="12">
        <f t="shared" si="51"/>
        <v>0.205050505050508</v>
      </c>
      <c r="P249" s="12"/>
      <c r="Q249" s="9">
        <f t="shared" si="52"/>
        <v>20300.0000000003</v>
      </c>
      <c r="R249" s="13">
        <f t="shared" si="53"/>
        <v>0</v>
      </c>
    </row>
    <row r="250" spans="1:18">
      <c r="A250" s="14">
        <v>46085</v>
      </c>
      <c r="B250" s="4">
        <f>Data_Entry!X340</f>
        <v>25899.9999999997</v>
      </c>
      <c r="C250" s="4">
        <v>0</v>
      </c>
      <c r="D250" s="5">
        <f>Data_Entry!AD340</f>
        <v>4.66</v>
      </c>
      <c r="E250" s="6">
        <f t="shared" si="45"/>
        <v>0.261616161616159</v>
      </c>
      <c r="F250" s="7">
        <v>0</v>
      </c>
      <c r="G250" s="7">
        <v>0</v>
      </c>
      <c r="H250" s="8">
        <f t="shared" si="46"/>
        <v>0</v>
      </c>
      <c r="I250" s="8">
        <f t="shared" si="47"/>
        <v>0</v>
      </c>
      <c r="J250" s="9">
        <v>4125</v>
      </c>
      <c r="K250" s="10"/>
      <c r="L250" s="9">
        <f t="shared" si="48"/>
        <v>49500</v>
      </c>
      <c r="M250" s="8">
        <f t="shared" si="49"/>
        <v>0</v>
      </c>
      <c r="N250" s="11">
        <f t="shared" si="50"/>
        <v>1</v>
      </c>
      <c r="O250" s="12">
        <f t="shared" si="51"/>
        <v>0.261616161616159</v>
      </c>
      <c r="P250" s="12"/>
      <c r="Q250" s="9">
        <f t="shared" si="52"/>
        <v>25899.9999999998</v>
      </c>
      <c r="R250" s="13">
        <f t="shared" si="53"/>
        <v>0</v>
      </c>
    </row>
    <row r="251" spans="1:18">
      <c r="A251" s="14">
        <v>46086</v>
      </c>
      <c r="B251" s="4">
        <f>Data_Entry!X341</f>
        <v>27550</v>
      </c>
      <c r="C251" s="4">
        <v>0</v>
      </c>
      <c r="D251" s="5">
        <f>Data_Entry!AD341</f>
        <v>4.82</v>
      </c>
      <c r="E251" s="6">
        <f t="shared" si="45"/>
        <v>0.278282828282828</v>
      </c>
      <c r="F251" s="7">
        <v>0</v>
      </c>
      <c r="G251" s="7">
        <v>0</v>
      </c>
      <c r="H251" s="8">
        <f t="shared" si="46"/>
        <v>0</v>
      </c>
      <c r="I251" s="8">
        <f t="shared" si="47"/>
        <v>0</v>
      </c>
      <c r="J251" s="9">
        <v>4125</v>
      </c>
      <c r="K251" s="10"/>
      <c r="L251" s="9">
        <f t="shared" si="48"/>
        <v>49500</v>
      </c>
      <c r="M251" s="8">
        <f t="shared" si="49"/>
        <v>0</v>
      </c>
      <c r="N251" s="11">
        <f t="shared" si="50"/>
        <v>1</v>
      </c>
      <c r="O251" s="12">
        <f t="shared" si="51"/>
        <v>0.278282828282828</v>
      </c>
      <c r="P251" s="12"/>
      <c r="Q251" s="9">
        <f t="shared" si="52"/>
        <v>27550</v>
      </c>
      <c r="R251" s="13">
        <f t="shared" si="53"/>
        <v>0</v>
      </c>
    </row>
    <row r="252" spans="1:18">
      <c r="A252" s="14">
        <v>46087</v>
      </c>
      <c r="B252" s="4">
        <f>Data_Entry!X342</f>
        <v>29750.0000000002</v>
      </c>
      <c r="C252" s="4">
        <v>0</v>
      </c>
      <c r="D252" s="5">
        <f>Data_Entry!AD342</f>
        <v>4.59</v>
      </c>
      <c r="E252" s="6">
        <f t="shared" si="45"/>
        <v>0.300505050505053</v>
      </c>
      <c r="F252" s="7">
        <v>0</v>
      </c>
      <c r="G252" s="7">
        <v>0</v>
      </c>
      <c r="H252" s="8">
        <f t="shared" si="46"/>
        <v>0</v>
      </c>
      <c r="I252" s="8">
        <f t="shared" si="47"/>
        <v>0</v>
      </c>
      <c r="J252" s="9">
        <v>4125</v>
      </c>
      <c r="K252" s="10"/>
      <c r="L252" s="9">
        <f t="shared" si="48"/>
        <v>49500</v>
      </c>
      <c r="M252" s="8">
        <f t="shared" si="49"/>
        <v>0</v>
      </c>
      <c r="N252" s="11">
        <f t="shared" si="50"/>
        <v>1</v>
      </c>
      <c r="O252" s="12">
        <f t="shared" si="51"/>
        <v>0.300505050505053</v>
      </c>
      <c r="P252" s="12"/>
      <c r="Q252" s="9">
        <f t="shared" si="52"/>
        <v>29750.0000000002</v>
      </c>
      <c r="R252" s="13">
        <f t="shared" si="53"/>
        <v>0</v>
      </c>
    </row>
    <row r="253" spans="1:18">
      <c r="A253" s="14">
        <v>46088</v>
      </c>
      <c r="B253" s="4">
        <f>Data_Entry!X343</f>
        <v>19950</v>
      </c>
      <c r="C253" s="4">
        <v>0</v>
      </c>
      <c r="D253" s="5">
        <f>Data_Entry!AD343</f>
        <v>3.63</v>
      </c>
      <c r="E253" s="6">
        <f t="shared" si="45"/>
        <v>0.201515151515152</v>
      </c>
      <c r="F253" s="7">
        <v>0</v>
      </c>
      <c r="G253" s="7">
        <v>0</v>
      </c>
      <c r="H253" s="8">
        <f t="shared" si="46"/>
        <v>0</v>
      </c>
      <c r="I253" s="8">
        <f t="shared" si="47"/>
        <v>0</v>
      </c>
      <c r="J253" s="9">
        <v>4125</v>
      </c>
      <c r="K253" s="10"/>
      <c r="L253" s="9">
        <f t="shared" si="48"/>
        <v>49500</v>
      </c>
      <c r="M253" s="8">
        <f t="shared" si="49"/>
        <v>0</v>
      </c>
      <c r="N253" s="11">
        <f t="shared" si="50"/>
        <v>1</v>
      </c>
      <c r="O253" s="12">
        <f t="shared" si="51"/>
        <v>0.201515151515152</v>
      </c>
      <c r="P253" s="12"/>
      <c r="Q253" s="9">
        <f t="shared" si="52"/>
        <v>19950</v>
      </c>
      <c r="R253" s="13">
        <f t="shared" si="53"/>
        <v>0</v>
      </c>
    </row>
    <row r="254" spans="1:18">
      <c r="A254" s="14">
        <v>46089</v>
      </c>
      <c r="B254" s="4">
        <f>Data_Entry!X344</f>
        <v>27200.0000000003</v>
      </c>
      <c r="C254" s="4">
        <v>0</v>
      </c>
      <c r="D254" s="5">
        <f>Data_Entry!AD344</f>
        <v>4.86</v>
      </c>
      <c r="E254" s="6">
        <f t="shared" si="45"/>
        <v>0.274747474747478</v>
      </c>
      <c r="F254" s="7">
        <v>0</v>
      </c>
      <c r="G254" s="7">
        <v>0</v>
      </c>
      <c r="H254" s="8">
        <f t="shared" si="46"/>
        <v>0</v>
      </c>
      <c r="I254" s="8">
        <f t="shared" si="47"/>
        <v>0</v>
      </c>
      <c r="J254" s="9">
        <v>4125</v>
      </c>
      <c r="K254" s="10"/>
      <c r="L254" s="9">
        <f t="shared" si="48"/>
        <v>49500</v>
      </c>
      <c r="M254" s="8">
        <f t="shared" si="49"/>
        <v>0</v>
      </c>
      <c r="N254" s="11">
        <f t="shared" si="50"/>
        <v>1</v>
      </c>
      <c r="O254" s="12">
        <f t="shared" si="51"/>
        <v>0.274747474747478</v>
      </c>
      <c r="P254" s="12"/>
      <c r="Q254" s="9">
        <f t="shared" si="52"/>
        <v>27200.0000000003</v>
      </c>
      <c r="R254" s="13">
        <f t="shared" si="53"/>
        <v>0</v>
      </c>
    </row>
    <row r="255" spans="1:18">
      <c r="A255" s="14">
        <v>46090</v>
      </c>
      <c r="B255" s="4">
        <f>Data_Entry!X345</f>
        <v>27149.9999999997</v>
      </c>
      <c r="C255" s="4">
        <v>0</v>
      </c>
      <c r="D255" s="5">
        <f>Data_Entry!AD345</f>
        <v>4.92</v>
      </c>
      <c r="E255" s="6">
        <f t="shared" si="45"/>
        <v>0.274242424242422</v>
      </c>
      <c r="F255" s="7">
        <v>0</v>
      </c>
      <c r="G255" s="7">
        <v>0</v>
      </c>
      <c r="H255" s="8">
        <f t="shared" si="46"/>
        <v>0</v>
      </c>
      <c r="I255" s="8">
        <f t="shared" si="47"/>
        <v>0</v>
      </c>
      <c r="J255" s="9">
        <v>4125</v>
      </c>
      <c r="K255" s="10"/>
      <c r="L255" s="9">
        <f t="shared" si="48"/>
        <v>49500</v>
      </c>
      <c r="M255" s="8">
        <f t="shared" si="49"/>
        <v>0</v>
      </c>
      <c r="N255" s="11">
        <f t="shared" si="50"/>
        <v>1</v>
      </c>
      <c r="O255" s="12">
        <f t="shared" si="51"/>
        <v>0.274242424242422</v>
      </c>
      <c r="P255" s="12"/>
      <c r="Q255" s="9">
        <f t="shared" si="52"/>
        <v>27149.9999999997</v>
      </c>
      <c r="R255" s="13">
        <f t="shared" si="53"/>
        <v>0</v>
      </c>
    </row>
    <row r="256" spans="1:18">
      <c r="A256" s="14">
        <v>46091</v>
      </c>
      <c r="B256" s="4">
        <f>Data_Entry!X346</f>
        <v>26949.9999999999</v>
      </c>
      <c r="C256" s="4">
        <v>0</v>
      </c>
      <c r="D256" s="5">
        <f>Data_Entry!AD346</f>
        <v>4.93</v>
      </c>
      <c r="E256" s="6">
        <f t="shared" si="45"/>
        <v>0.272222222222222</v>
      </c>
      <c r="F256" s="7">
        <v>0</v>
      </c>
      <c r="G256" s="7">
        <v>0</v>
      </c>
      <c r="H256" s="8">
        <f t="shared" si="46"/>
        <v>0</v>
      </c>
      <c r="I256" s="8">
        <f t="shared" si="47"/>
        <v>0</v>
      </c>
      <c r="J256" s="9">
        <v>4125</v>
      </c>
      <c r="K256" s="10"/>
      <c r="L256" s="9">
        <f t="shared" si="48"/>
        <v>49500</v>
      </c>
      <c r="M256" s="8">
        <f t="shared" si="49"/>
        <v>0</v>
      </c>
      <c r="N256" s="11">
        <f t="shared" si="50"/>
        <v>1</v>
      </c>
      <c r="O256" s="12">
        <f t="shared" si="51"/>
        <v>0.272222222222222</v>
      </c>
      <c r="P256" s="12"/>
      <c r="Q256" s="9">
        <f t="shared" si="52"/>
        <v>26949.9999999999</v>
      </c>
      <c r="R256" s="13">
        <f t="shared" si="53"/>
        <v>0</v>
      </c>
    </row>
    <row r="257" spans="1:18">
      <c r="A257" s="14">
        <v>46092</v>
      </c>
      <c r="B257" s="4">
        <f>Data_Entry!X347</f>
        <v>26550.0000000003</v>
      </c>
      <c r="C257" s="4">
        <v>0</v>
      </c>
      <c r="D257" s="5">
        <f>Data_Entry!AD347</f>
        <v>4.85</v>
      </c>
      <c r="E257" s="6">
        <f t="shared" si="45"/>
        <v>0.268181818181821</v>
      </c>
      <c r="F257" s="7">
        <v>0</v>
      </c>
      <c r="G257" s="7">
        <v>0</v>
      </c>
      <c r="H257" s="8">
        <f t="shared" si="46"/>
        <v>0</v>
      </c>
      <c r="I257" s="8">
        <f t="shared" si="47"/>
        <v>0</v>
      </c>
      <c r="J257" s="9">
        <v>4125</v>
      </c>
      <c r="K257" s="10"/>
      <c r="L257" s="9">
        <f t="shared" si="48"/>
        <v>49500</v>
      </c>
      <c r="M257" s="8">
        <f t="shared" si="49"/>
        <v>0</v>
      </c>
      <c r="N257" s="11">
        <f t="shared" si="50"/>
        <v>1</v>
      </c>
      <c r="O257" s="12">
        <f t="shared" si="51"/>
        <v>0.268181818181821</v>
      </c>
      <c r="P257" s="12"/>
      <c r="Q257" s="9">
        <f t="shared" si="52"/>
        <v>26550.0000000003</v>
      </c>
      <c r="R257" s="13">
        <f t="shared" si="53"/>
        <v>0</v>
      </c>
    </row>
    <row r="258" spans="1:18">
      <c r="A258" s="14">
        <v>46093</v>
      </c>
      <c r="B258" s="4">
        <f>Data_Entry!X348</f>
        <v>26399.9999999999</v>
      </c>
      <c r="C258" s="4">
        <v>0</v>
      </c>
      <c r="D258" s="5">
        <f>Data_Entry!AD348</f>
        <v>4.88</v>
      </c>
      <c r="E258" s="6">
        <f t="shared" si="45"/>
        <v>0.266666666666665</v>
      </c>
      <c r="F258" s="7">
        <v>0</v>
      </c>
      <c r="G258" s="7">
        <v>0</v>
      </c>
      <c r="H258" s="8">
        <f t="shared" si="46"/>
        <v>0</v>
      </c>
      <c r="I258" s="8">
        <f t="shared" si="47"/>
        <v>0</v>
      </c>
      <c r="J258" s="9">
        <v>4125</v>
      </c>
      <c r="K258" s="10"/>
      <c r="L258" s="9">
        <f t="shared" si="48"/>
        <v>49500</v>
      </c>
      <c r="M258" s="8">
        <f t="shared" si="49"/>
        <v>0</v>
      </c>
      <c r="N258" s="11">
        <f t="shared" si="50"/>
        <v>1</v>
      </c>
      <c r="O258" s="12">
        <f t="shared" si="51"/>
        <v>0.266666666666665</v>
      </c>
      <c r="P258" s="12"/>
      <c r="Q258" s="9">
        <f t="shared" si="52"/>
        <v>26399.9999999999</v>
      </c>
      <c r="R258" s="13">
        <f t="shared" si="53"/>
        <v>0</v>
      </c>
    </row>
    <row r="259" spans="1:18">
      <c r="A259" s="14">
        <v>46094</v>
      </c>
      <c r="B259" s="4">
        <f>Data_Entry!X349</f>
        <v>26349.9999999999</v>
      </c>
      <c r="C259" s="4">
        <v>0</v>
      </c>
      <c r="D259" s="5">
        <f>Data_Entry!AD349</f>
        <v>5.02</v>
      </c>
      <c r="E259" s="6">
        <f t="shared" si="45"/>
        <v>0.266161616161615</v>
      </c>
      <c r="F259" s="7">
        <v>0</v>
      </c>
      <c r="G259" s="7">
        <v>0</v>
      </c>
      <c r="H259" s="8">
        <f t="shared" si="46"/>
        <v>0</v>
      </c>
      <c r="I259" s="8">
        <f t="shared" si="47"/>
        <v>0</v>
      </c>
      <c r="J259" s="9">
        <v>4125</v>
      </c>
      <c r="K259" s="10"/>
      <c r="L259" s="9">
        <f t="shared" si="48"/>
        <v>49500</v>
      </c>
      <c r="M259" s="8">
        <f t="shared" si="49"/>
        <v>0</v>
      </c>
      <c r="N259" s="11">
        <f t="shared" si="50"/>
        <v>1</v>
      </c>
      <c r="O259" s="12">
        <f t="shared" si="51"/>
        <v>0.266161616161615</v>
      </c>
      <c r="P259" s="12"/>
      <c r="Q259" s="9">
        <f t="shared" si="52"/>
        <v>26349.9999999999</v>
      </c>
      <c r="R259" s="13">
        <f t="shared" si="53"/>
        <v>0</v>
      </c>
    </row>
    <row r="260" spans="1:18">
      <c r="A260" s="14">
        <v>46095</v>
      </c>
      <c r="B260" s="4">
        <f>Data_Entry!X350</f>
        <v>27250.0000000002</v>
      </c>
      <c r="C260" s="4">
        <v>0</v>
      </c>
      <c r="D260" s="5">
        <f>Data_Entry!AD350</f>
        <v>5.34</v>
      </c>
      <c r="E260" s="6">
        <f t="shared" si="45"/>
        <v>0.275252525252528</v>
      </c>
      <c r="F260" s="7">
        <v>0</v>
      </c>
      <c r="G260" s="7">
        <v>0</v>
      </c>
      <c r="H260" s="8">
        <f t="shared" si="46"/>
        <v>0</v>
      </c>
      <c r="I260" s="8">
        <f t="shared" si="47"/>
        <v>0</v>
      </c>
      <c r="J260" s="9">
        <v>4125</v>
      </c>
      <c r="K260" s="10"/>
      <c r="L260" s="9">
        <f t="shared" si="48"/>
        <v>49500</v>
      </c>
      <c r="M260" s="8">
        <f t="shared" si="49"/>
        <v>0</v>
      </c>
      <c r="N260" s="11">
        <f t="shared" si="50"/>
        <v>1</v>
      </c>
      <c r="O260" s="12">
        <f t="shared" si="51"/>
        <v>0.275252525252528</v>
      </c>
      <c r="P260" s="12"/>
      <c r="Q260" s="9">
        <f t="shared" si="52"/>
        <v>27250.0000000002</v>
      </c>
      <c r="R260" s="13">
        <f t="shared" si="53"/>
        <v>0</v>
      </c>
    </row>
    <row r="261" spans="1:18">
      <c r="A261" s="14">
        <v>46096</v>
      </c>
      <c r="B261" s="4">
        <f>Data_Entry!X351</f>
        <v>26599.9999999997</v>
      </c>
      <c r="C261" s="4">
        <v>0</v>
      </c>
      <c r="D261" s="5">
        <f>Data_Entry!AD351</f>
        <v>5.09</v>
      </c>
      <c r="E261" s="6">
        <f t="shared" si="45"/>
        <v>0.268686868686865</v>
      </c>
      <c r="F261" s="7">
        <v>0</v>
      </c>
      <c r="G261" s="7">
        <v>0</v>
      </c>
      <c r="H261" s="8">
        <f t="shared" si="46"/>
        <v>0</v>
      </c>
      <c r="I261" s="8">
        <f t="shared" si="47"/>
        <v>0</v>
      </c>
      <c r="J261" s="9">
        <v>4125</v>
      </c>
      <c r="K261" s="10"/>
      <c r="L261" s="9">
        <f t="shared" si="48"/>
        <v>49500</v>
      </c>
      <c r="M261" s="8">
        <f t="shared" si="49"/>
        <v>0</v>
      </c>
      <c r="N261" s="11">
        <f t="shared" si="50"/>
        <v>1</v>
      </c>
      <c r="O261" s="12">
        <f t="shared" si="51"/>
        <v>0.268686868686865</v>
      </c>
      <c r="P261" s="12"/>
      <c r="Q261" s="9">
        <f t="shared" si="52"/>
        <v>26599.9999999997</v>
      </c>
      <c r="R261" s="13">
        <f t="shared" si="53"/>
        <v>0</v>
      </c>
    </row>
    <row r="262" spans="1:18">
      <c r="A262" s="14">
        <v>46097</v>
      </c>
      <c r="B262" s="4">
        <f>Data_Entry!X352</f>
        <v>26900</v>
      </c>
      <c r="C262" s="4">
        <v>0</v>
      </c>
      <c r="D262" s="5">
        <f>Data_Entry!AD352</f>
        <v>5.32</v>
      </c>
      <c r="E262" s="6">
        <f t="shared" si="45"/>
        <v>0.271717171717172</v>
      </c>
      <c r="F262" s="7">
        <v>0.554166666666667</v>
      </c>
      <c r="G262" s="7">
        <v>0.588888888888889</v>
      </c>
      <c r="H262" s="8">
        <f t="shared" si="46"/>
        <v>49.9999999999997</v>
      </c>
      <c r="I262" s="8">
        <f t="shared" si="47"/>
        <v>0.833333333333328</v>
      </c>
      <c r="J262" s="9">
        <v>4125</v>
      </c>
      <c r="K262" s="10">
        <v>137.34</v>
      </c>
      <c r="L262" s="9">
        <f t="shared" si="48"/>
        <v>49500</v>
      </c>
      <c r="M262" s="8">
        <f t="shared" si="49"/>
        <v>114.449999999999</v>
      </c>
      <c r="N262" s="11">
        <f t="shared" si="50"/>
        <v>0.997687878787879</v>
      </c>
      <c r="O262" s="12">
        <f t="shared" si="51"/>
        <v>0.272346870693958</v>
      </c>
      <c r="P262" s="12" t="s">
        <v>251</v>
      </c>
      <c r="Q262" s="9">
        <f t="shared" si="52"/>
        <v>26962.3401987018</v>
      </c>
      <c r="R262" s="13">
        <f t="shared" si="53"/>
        <v>62.3401987018442</v>
      </c>
    </row>
    <row r="263" spans="1:18">
      <c r="A263" s="14">
        <v>46098</v>
      </c>
      <c r="B263" s="4">
        <f>Data_Entry!X353</f>
        <v>26750.0000000001</v>
      </c>
      <c r="C263" s="4">
        <v>0</v>
      </c>
      <c r="D263" s="5">
        <f>Data_Entry!AD353</f>
        <v>5.27</v>
      </c>
      <c r="E263" s="6">
        <f t="shared" ref="E263:E292" si="54">B263/(24*J263)</f>
        <v>0.270202020202021</v>
      </c>
      <c r="F263" s="7">
        <v>0.524305555555556</v>
      </c>
      <c r="G263" s="7">
        <v>0.538194444444444</v>
      </c>
      <c r="H263" s="8">
        <f t="shared" ref="H263:H292" si="55">(G263-F263)*24*60</f>
        <v>19.9999999999986</v>
      </c>
      <c r="I263" s="8">
        <f t="shared" ref="I263:I292" si="56">H263/60</f>
        <v>0.333333333333311</v>
      </c>
      <c r="J263" s="9">
        <v>4125</v>
      </c>
      <c r="K263" s="10">
        <v>137.34</v>
      </c>
      <c r="L263" s="9">
        <f t="shared" ref="L263:L292" si="57">J263*12</f>
        <v>49500</v>
      </c>
      <c r="M263" s="8">
        <f t="shared" ref="M263:M292" si="58">K263*I263</f>
        <v>45.7799999999969</v>
      </c>
      <c r="N263" s="11">
        <f t="shared" ref="N263:N292" si="59">(L263-M263)/L263</f>
        <v>0.999075151515152</v>
      </c>
      <c r="O263" s="12">
        <f t="shared" ref="O263:O292" si="60">E263/N263</f>
        <v>0.270452147460824</v>
      </c>
      <c r="P263" s="12" t="s">
        <v>251</v>
      </c>
      <c r="Q263" s="9">
        <f t="shared" ref="Q263:Q292" si="61">O263*J263*24</f>
        <v>26774.7625986216</v>
      </c>
      <c r="R263" s="13">
        <f t="shared" ref="R263:R292" si="62">Q263-B263</f>
        <v>24.7625986215098</v>
      </c>
    </row>
    <row r="264" spans="1:18">
      <c r="A264" s="14">
        <v>46099</v>
      </c>
      <c r="B264" s="4">
        <f>Data_Entry!X354</f>
        <v>24549.9999999998</v>
      </c>
      <c r="C264" s="4">
        <v>0</v>
      </c>
      <c r="D264" s="5">
        <f>Data_Entry!AD354</f>
        <v>4.93</v>
      </c>
      <c r="E264" s="6">
        <f t="shared" si="54"/>
        <v>0.247979797979796</v>
      </c>
      <c r="F264" s="7">
        <v>0</v>
      </c>
      <c r="G264" s="7">
        <v>0</v>
      </c>
      <c r="H264" s="8">
        <f t="shared" si="55"/>
        <v>0</v>
      </c>
      <c r="I264" s="8">
        <f t="shared" si="56"/>
        <v>0</v>
      </c>
      <c r="J264" s="9">
        <v>4125</v>
      </c>
      <c r="K264" s="10"/>
      <c r="L264" s="9">
        <f t="shared" si="57"/>
        <v>49500</v>
      </c>
      <c r="M264" s="8">
        <f t="shared" si="58"/>
        <v>0</v>
      </c>
      <c r="N264" s="11">
        <f t="shared" si="59"/>
        <v>1</v>
      </c>
      <c r="O264" s="12">
        <f t="shared" si="60"/>
        <v>0.247979797979796</v>
      </c>
      <c r="P264" s="12"/>
      <c r="Q264" s="9">
        <f t="shared" si="61"/>
        <v>24549.9999999998</v>
      </c>
      <c r="R264" s="13">
        <f t="shared" si="62"/>
        <v>0</v>
      </c>
    </row>
    <row r="265" spans="1:18">
      <c r="A265" s="14">
        <v>46100</v>
      </c>
      <c r="B265" s="4">
        <f>Data_Entry!X355</f>
        <v>17100.0000000004</v>
      </c>
      <c r="C265" s="4">
        <v>0</v>
      </c>
      <c r="D265" s="5">
        <f>Data_Entry!AD355</f>
        <v>3.26</v>
      </c>
      <c r="E265" s="6">
        <f t="shared" si="54"/>
        <v>0.172727272727276</v>
      </c>
      <c r="F265" s="7">
        <v>0</v>
      </c>
      <c r="G265" s="7">
        <v>0</v>
      </c>
      <c r="H265" s="8">
        <f t="shared" si="55"/>
        <v>0</v>
      </c>
      <c r="I265" s="8">
        <f t="shared" si="56"/>
        <v>0</v>
      </c>
      <c r="J265" s="9">
        <v>4125</v>
      </c>
      <c r="K265" s="10"/>
      <c r="L265" s="9">
        <f t="shared" si="57"/>
        <v>49500</v>
      </c>
      <c r="M265" s="8">
        <f t="shared" si="58"/>
        <v>0</v>
      </c>
      <c r="N265" s="11">
        <f t="shared" si="59"/>
        <v>1</v>
      </c>
      <c r="O265" s="12">
        <f t="shared" si="60"/>
        <v>0.172727272727276</v>
      </c>
      <c r="P265" s="12"/>
      <c r="Q265" s="9">
        <f t="shared" si="61"/>
        <v>17100.0000000004</v>
      </c>
      <c r="R265" s="13">
        <f t="shared" si="62"/>
        <v>0</v>
      </c>
    </row>
    <row r="266" spans="1:18">
      <c r="A266" s="14">
        <v>46101</v>
      </c>
      <c r="B266" s="4">
        <f>Data_Entry!X356</f>
        <v>23349.9999999998</v>
      </c>
      <c r="C266" s="4">
        <v>0</v>
      </c>
      <c r="D266" s="5">
        <f>Data_Entry!AD356</f>
        <v>3.71</v>
      </c>
      <c r="E266" s="6">
        <f t="shared" si="54"/>
        <v>0.235858585858584</v>
      </c>
      <c r="F266" s="7">
        <v>0</v>
      </c>
      <c r="G266" s="7">
        <v>0</v>
      </c>
      <c r="H266" s="8">
        <f t="shared" si="55"/>
        <v>0</v>
      </c>
      <c r="I266" s="8">
        <f t="shared" si="56"/>
        <v>0</v>
      </c>
      <c r="J266" s="9">
        <v>4125</v>
      </c>
      <c r="K266" s="10"/>
      <c r="L266" s="9">
        <f t="shared" si="57"/>
        <v>49500</v>
      </c>
      <c r="M266" s="8">
        <f t="shared" si="58"/>
        <v>0</v>
      </c>
      <c r="N266" s="11">
        <f t="shared" si="59"/>
        <v>1</v>
      </c>
      <c r="O266" s="12">
        <f t="shared" si="60"/>
        <v>0.235858585858584</v>
      </c>
      <c r="P266" s="12"/>
      <c r="Q266" s="9">
        <f t="shared" si="61"/>
        <v>23349.9999999998</v>
      </c>
      <c r="R266" s="13">
        <f t="shared" si="62"/>
        <v>0</v>
      </c>
    </row>
    <row r="267" spans="1:18">
      <c r="A267" s="14">
        <v>46102</v>
      </c>
      <c r="B267" s="4">
        <f>Data_Entry!X357</f>
        <v>25550.0000000001</v>
      </c>
      <c r="C267" s="4">
        <v>0</v>
      </c>
      <c r="D267" s="5">
        <f>Data_Entry!AD357</f>
        <v>4.67</v>
      </c>
      <c r="E267" s="6">
        <f t="shared" si="54"/>
        <v>0.258080808080809</v>
      </c>
      <c r="F267" s="7">
        <v>0</v>
      </c>
      <c r="G267" s="7">
        <v>0</v>
      </c>
      <c r="H267" s="8">
        <f t="shared" si="55"/>
        <v>0</v>
      </c>
      <c r="I267" s="8">
        <f t="shared" si="56"/>
        <v>0</v>
      </c>
      <c r="J267" s="9">
        <v>4125</v>
      </c>
      <c r="K267" s="10"/>
      <c r="L267" s="9">
        <f t="shared" si="57"/>
        <v>49500</v>
      </c>
      <c r="M267" s="8">
        <f t="shared" si="58"/>
        <v>0</v>
      </c>
      <c r="N267" s="11">
        <f t="shared" si="59"/>
        <v>1</v>
      </c>
      <c r="O267" s="12">
        <f t="shared" si="60"/>
        <v>0.258080808080809</v>
      </c>
      <c r="P267" s="12"/>
      <c r="Q267" s="9">
        <f t="shared" si="61"/>
        <v>25550.0000000001</v>
      </c>
      <c r="R267" s="13">
        <f t="shared" si="62"/>
        <v>0</v>
      </c>
    </row>
    <row r="268" spans="1:18">
      <c r="A268" s="14">
        <v>46103</v>
      </c>
      <c r="B268" s="4">
        <f>Data_Entry!X358</f>
        <v>26300</v>
      </c>
      <c r="C268" s="4">
        <v>0</v>
      </c>
      <c r="D268" s="5">
        <f>Data_Entry!AD358</f>
        <v>4.81</v>
      </c>
      <c r="E268" s="6">
        <f t="shared" si="54"/>
        <v>0.265656565656565</v>
      </c>
      <c r="F268" s="7">
        <v>0.515277777777778</v>
      </c>
      <c r="G268" s="7">
        <v>0.534722222222222</v>
      </c>
      <c r="H268" s="8">
        <f t="shared" si="55"/>
        <v>27.9999999999994</v>
      </c>
      <c r="I268" s="8">
        <f t="shared" si="56"/>
        <v>0.466666666666657</v>
      </c>
      <c r="J268" s="9">
        <v>4125</v>
      </c>
      <c r="K268" s="10">
        <v>137.34</v>
      </c>
      <c r="L268" s="9">
        <f t="shared" si="57"/>
        <v>49500</v>
      </c>
      <c r="M268" s="8">
        <f t="shared" si="58"/>
        <v>64.0919999999987</v>
      </c>
      <c r="N268" s="11">
        <f t="shared" si="59"/>
        <v>0.998705212121212</v>
      </c>
      <c r="O268" s="12">
        <f t="shared" si="60"/>
        <v>0.266000980501865</v>
      </c>
      <c r="P268" s="12" t="s">
        <v>251</v>
      </c>
      <c r="Q268" s="9">
        <f t="shared" si="61"/>
        <v>26334.0970696846</v>
      </c>
      <c r="R268" s="13">
        <f t="shared" si="62"/>
        <v>34.0970696846489</v>
      </c>
    </row>
    <row r="269" spans="1:18">
      <c r="A269" s="14">
        <v>46104</v>
      </c>
      <c r="B269" s="4">
        <f>Data_Entry!X359</f>
        <v>27300.0000000002</v>
      </c>
      <c r="C269" s="4">
        <v>0</v>
      </c>
      <c r="D269" s="5">
        <f>Data_Entry!AD359</f>
        <v>5.1</v>
      </c>
      <c r="E269" s="6">
        <f t="shared" si="54"/>
        <v>0.275757575757578</v>
      </c>
      <c r="F269" s="7">
        <v>0.53125</v>
      </c>
      <c r="G269" s="7">
        <v>0.554166666666667</v>
      </c>
      <c r="H269" s="8">
        <f t="shared" si="55"/>
        <v>33.0000000000005</v>
      </c>
      <c r="I269" s="8">
        <f t="shared" si="56"/>
        <v>0.550000000000009</v>
      </c>
      <c r="J269" s="9">
        <v>4125</v>
      </c>
      <c r="K269" s="10">
        <v>137.34</v>
      </c>
      <c r="L269" s="9">
        <f t="shared" si="57"/>
        <v>49500</v>
      </c>
      <c r="M269" s="8">
        <f t="shared" si="58"/>
        <v>75.5370000000012</v>
      </c>
      <c r="N269" s="11">
        <f t="shared" si="59"/>
        <v>0.998474</v>
      </c>
      <c r="O269" s="12">
        <f t="shared" si="60"/>
        <v>0.276179024949651</v>
      </c>
      <c r="P269" s="12" t="s">
        <v>251</v>
      </c>
      <c r="Q269" s="9">
        <f t="shared" si="61"/>
        <v>27341.7234700154</v>
      </c>
      <c r="R269" s="13">
        <f t="shared" si="62"/>
        <v>41.7234700152439</v>
      </c>
    </row>
    <row r="270" spans="1:18">
      <c r="A270" s="14">
        <v>46105</v>
      </c>
      <c r="B270" s="4">
        <f>Data_Entry!X360</f>
        <v>24249.9999999995</v>
      </c>
      <c r="C270" s="4">
        <v>0</v>
      </c>
      <c r="D270" s="5">
        <f>Data_Entry!AD360</f>
        <v>4.35</v>
      </c>
      <c r="E270" s="6">
        <f t="shared" si="54"/>
        <v>0.24494949494949</v>
      </c>
      <c r="F270" s="7">
        <v>0</v>
      </c>
      <c r="G270" s="7">
        <v>0</v>
      </c>
      <c r="H270" s="8">
        <f t="shared" si="55"/>
        <v>0</v>
      </c>
      <c r="I270" s="8">
        <f t="shared" si="56"/>
        <v>0</v>
      </c>
      <c r="J270" s="9">
        <v>4125</v>
      </c>
      <c r="K270" s="10"/>
      <c r="L270" s="9">
        <f t="shared" si="57"/>
        <v>49500</v>
      </c>
      <c r="M270" s="8">
        <f t="shared" si="58"/>
        <v>0</v>
      </c>
      <c r="N270" s="11">
        <f t="shared" si="59"/>
        <v>1</v>
      </c>
      <c r="O270" s="12">
        <f t="shared" si="60"/>
        <v>0.24494949494949</v>
      </c>
      <c r="P270" s="12"/>
      <c r="Q270" s="9">
        <f t="shared" si="61"/>
        <v>24249.9999999995</v>
      </c>
      <c r="R270" s="13">
        <f t="shared" si="62"/>
        <v>0</v>
      </c>
    </row>
    <row r="271" spans="1:18">
      <c r="A271" s="14">
        <v>46106</v>
      </c>
      <c r="B271" s="4">
        <f>Data_Entry!X361</f>
        <v>26499.9999999998</v>
      </c>
      <c r="C271" s="4">
        <v>0</v>
      </c>
      <c r="D271" s="5">
        <f>Data_Entry!AD361</f>
        <v>5.09</v>
      </c>
      <c r="E271" s="6">
        <f t="shared" si="54"/>
        <v>0.267676767676765</v>
      </c>
      <c r="F271" s="7">
        <v>0</v>
      </c>
      <c r="G271" s="7">
        <v>0</v>
      </c>
      <c r="H271" s="8">
        <f t="shared" si="55"/>
        <v>0</v>
      </c>
      <c r="I271" s="8">
        <f t="shared" si="56"/>
        <v>0</v>
      </c>
      <c r="J271" s="9">
        <v>4125</v>
      </c>
      <c r="K271" s="10"/>
      <c r="L271" s="9">
        <f t="shared" si="57"/>
        <v>49500</v>
      </c>
      <c r="M271" s="8">
        <f t="shared" si="58"/>
        <v>0</v>
      </c>
      <c r="N271" s="11">
        <f t="shared" si="59"/>
        <v>1</v>
      </c>
      <c r="O271" s="12">
        <f t="shared" si="60"/>
        <v>0.267676767676765</v>
      </c>
      <c r="P271" s="12"/>
      <c r="Q271" s="9">
        <f t="shared" si="61"/>
        <v>26499.9999999998</v>
      </c>
      <c r="R271" s="13">
        <f t="shared" si="62"/>
        <v>0</v>
      </c>
    </row>
    <row r="272" spans="1:18">
      <c r="A272" s="14">
        <v>46107</v>
      </c>
      <c r="B272" s="4">
        <f>Data_Entry!X362</f>
        <v>28050.0000000006</v>
      </c>
      <c r="C272" s="4">
        <v>0</v>
      </c>
      <c r="D272" s="5">
        <f>Data_Entry!AD362</f>
        <v>5.05</v>
      </c>
      <c r="E272" s="6">
        <f t="shared" si="54"/>
        <v>0.28333333333334</v>
      </c>
      <c r="F272" s="7">
        <v>0</v>
      </c>
      <c r="G272" s="7">
        <v>0</v>
      </c>
      <c r="H272" s="8">
        <f t="shared" si="55"/>
        <v>0</v>
      </c>
      <c r="I272" s="8">
        <f t="shared" si="56"/>
        <v>0</v>
      </c>
      <c r="J272" s="9">
        <v>4125</v>
      </c>
      <c r="K272" s="10"/>
      <c r="L272" s="9">
        <f t="shared" si="57"/>
        <v>49500</v>
      </c>
      <c r="M272" s="8">
        <f t="shared" si="58"/>
        <v>0</v>
      </c>
      <c r="N272" s="11">
        <f t="shared" si="59"/>
        <v>1</v>
      </c>
      <c r="O272" s="12">
        <f t="shared" si="60"/>
        <v>0.28333333333334</v>
      </c>
      <c r="P272" s="12"/>
      <c r="Q272" s="9">
        <f t="shared" si="61"/>
        <v>28050.0000000006</v>
      </c>
      <c r="R272" s="13">
        <f t="shared" si="62"/>
        <v>0</v>
      </c>
    </row>
    <row r="273" spans="1:18">
      <c r="A273" s="14">
        <v>46108</v>
      </c>
      <c r="B273" s="4">
        <f>Data_Entry!X363</f>
        <v>28750</v>
      </c>
      <c r="C273" s="4">
        <v>0</v>
      </c>
      <c r="D273" s="5">
        <f>Data_Entry!AD363</f>
        <v>5.34</v>
      </c>
      <c r="E273" s="6">
        <f t="shared" si="54"/>
        <v>0.29040404040404</v>
      </c>
      <c r="F273" s="7">
        <v>0.589583333333333</v>
      </c>
      <c r="G273" s="7">
        <v>0.614583333333333</v>
      </c>
      <c r="H273" s="8">
        <f t="shared" si="55"/>
        <v>36</v>
      </c>
      <c r="I273" s="8">
        <f t="shared" si="56"/>
        <v>0.6</v>
      </c>
      <c r="J273" s="9">
        <v>4125</v>
      </c>
      <c r="K273" s="10">
        <v>137.34</v>
      </c>
      <c r="L273" s="9">
        <f t="shared" si="57"/>
        <v>49500</v>
      </c>
      <c r="M273" s="8">
        <f t="shared" si="58"/>
        <v>82.4040000000001</v>
      </c>
      <c r="N273" s="11">
        <f t="shared" si="59"/>
        <v>0.998335272727273</v>
      </c>
      <c r="O273" s="12">
        <f t="shared" si="60"/>
        <v>0.290888290073843</v>
      </c>
      <c r="P273" s="12" t="s">
        <v>251</v>
      </c>
      <c r="Q273" s="9">
        <f t="shared" si="61"/>
        <v>28797.9407173105</v>
      </c>
      <c r="R273" s="13">
        <f t="shared" si="62"/>
        <v>47.9407173104919</v>
      </c>
    </row>
    <row r="274" spans="1:18">
      <c r="A274" s="14">
        <v>46109</v>
      </c>
      <c r="B274" s="4">
        <f>Data_Entry!X364</f>
        <v>27350.0000000001</v>
      </c>
      <c r="C274" s="4">
        <v>0</v>
      </c>
      <c r="D274" s="5">
        <f>Data_Entry!AD364</f>
        <v>4.98</v>
      </c>
      <c r="E274" s="6">
        <f t="shared" si="54"/>
        <v>0.276262626262628</v>
      </c>
      <c r="F274" s="7">
        <v>0.388888888888889</v>
      </c>
      <c r="G274" s="7">
        <v>0.436111111111111</v>
      </c>
      <c r="H274" s="8">
        <f t="shared" si="55"/>
        <v>67.9999999999997</v>
      </c>
      <c r="I274" s="8">
        <f t="shared" si="56"/>
        <v>1.13333333333333</v>
      </c>
      <c r="J274" s="9">
        <v>4125</v>
      </c>
      <c r="K274" s="10">
        <v>137.34</v>
      </c>
      <c r="L274" s="9">
        <f t="shared" si="57"/>
        <v>49500</v>
      </c>
      <c r="M274" s="8">
        <f t="shared" si="58"/>
        <v>155.651999999999</v>
      </c>
      <c r="N274" s="11">
        <f t="shared" si="59"/>
        <v>0.996855515151515</v>
      </c>
      <c r="O274" s="12">
        <f t="shared" si="60"/>
        <v>0.277134070147204</v>
      </c>
      <c r="P274" s="12" t="s">
        <v>251</v>
      </c>
      <c r="Q274" s="9">
        <f t="shared" si="61"/>
        <v>27436.2729445732</v>
      </c>
      <c r="R274" s="13">
        <f t="shared" si="62"/>
        <v>86.2729445731056</v>
      </c>
    </row>
    <row r="275" spans="1:18">
      <c r="A275" s="14">
        <v>46110</v>
      </c>
      <c r="B275" s="4">
        <f>Data_Entry!X365</f>
        <v>24850.0000000001</v>
      </c>
      <c r="C275" s="4">
        <v>0</v>
      </c>
      <c r="D275" s="5">
        <f>Data_Entry!AD365</f>
        <v>4.94</v>
      </c>
      <c r="E275" s="6">
        <f t="shared" si="54"/>
        <v>0.251010101010102</v>
      </c>
      <c r="F275" s="7">
        <v>0</v>
      </c>
      <c r="G275" s="7">
        <v>0</v>
      </c>
      <c r="H275" s="8">
        <f t="shared" si="55"/>
        <v>0</v>
      </c>
      <c r="I275" s="8">
        <f t="shared" si="56"/>
        <v>0</v>
      </c>
      <c r="J275" s="9">
        <v>4125</v>
      </c>
      <c r="K275" s="10"/>
      <c r="L275" s="9">
        <f t="shared" si="57"/>
        <v>49500</v>
      </c>
      <c r="M275" s="8">
        <f t="shared" si="58"/>
        <v>0</v>
      </c>
      <c r="N275" s="11">
        <f t="shared" si="59"/>
        <v>1</v>
      </c>
      <c r="O275" s="12">
        <f t="shared" si="60"/>
        <v>0.251010101010102</v>
      </c>
      <c r="P275" s="12"/>
      <c r="Q275" s="9">
        <f t="shared" si="61"/>
        <v>24850.0000000001</v>
      </c>
      <c r="R275" s="13">
        <f t="shared" si="62"/>
        <v>0</v>
      </c>
    </row>
    <row r="276" spans="1:18">
      <c r="A276" s="14">
        <v>46111</v>
      </c>
      <c r="B276" s="4">
        <f>Data_Entry!X366</f>
        <v>29299.9999999995</v>
      </c>
      <c r="C276" s="4">
        <v>0</v>
      </c>
      <c r="D276" s="5">
        <f>Data_Entry!AD366</f>
        <v>4.89</v>
      </c>
      <c r="E276" s="6">
        <f t="shared" si="54"/>
        <v>0.295959595959591</v>
      </c>
      <c r="F276" s="7">
        <v>0</v>
      </c>
      <c r="G276" s="7">
        <v>0</v>
      </c>
      <c r="H276" s="8">
        <f t="shared" si="55"/>
        <v>0</v>
      </c>
      <c r="I276" s="8">
        <f t="shared" si="56"/>
        <v>0</v>
      </c>
      <c r="J276" s="9">
        <v>4125</v>
      </c>
      <c r="K276" s="10"/>
      <c r="L276" s="9">
        <f t="shared" si="57"/>
        <v>49500</v>
      </c>
      <c r="M276" s="8">
        <f t="shared" si="58"/>
        <v>0</v>
      </c>
      <c r="N276" s="11">
        <f t="shared" si="59"/>
        <v>1</v>
      </c>
      <c r="O276" s="12">
        <f t="shared" si="60"/>
        <v>0.295959595959591</v>
      </c>
      <c r="P276" s="12"/>
      <c r="Q276" s="9">
        <f t="shared" si="61"/>
        <v>29299.9999999995</v>
      </c>
      <c r="R276" s="13">
        <f t="shared" si="62"/>
        <v>0</v>
      </c>
    </row>
    <row r="277" spans="1:18">
      <c r="A277" s="14">
        <v>46112</v>
      </c>
      <c r="B277" s="4">
        <f>Data_Entry!X367</f>
        <v>27450</v>
      </c>
      <c r="C277" s="4">
        <v>0</v>
      </c>
      <c r="D277" s="5">
        <f>Data_Entry!AD367</f>
        <v>5.4</v>
      </c>
      <c r="E277" s="6">
        <f t="shared" si="54"/>
        <v>0.277272727272728</v>
      </c>
      <c r="F277" s="7">
        <v>0</v>
      </c>
      <c r="G277" s="7">
        <v>0</v>
      </c>
      <c r="H277" s="8">
        <f t="shared" si="55"/>
        <v>0</v>
      </c>
      <c r="I277" s="8">
        <f t="shared" si="56"/>
        <v>0</v>
      </c>
      <c r="J277" s="9">
        <v>4125</v>
      </c>
      <c r="K277" s="10"/>
      <c r="L277" s="9">
        <f t="shared" si="57"/>
        <v>49500</v>
      </c>
      <c r="M277" s="8">
        <f t="shared" si="58"/>
        <v>0</v>
      </c>
      <c r="N277" s="11">
        <f t="shared" si="59"/>
        <v>1</v>
      </c>
      <c r="O277" s="12">
        <f t="shared" si="60"/>
        <v>0.277272727272728</v>
      </c>
      <c r="P277" s="12"/>
      <c r="Q277" s="9">
        <f t="shared" si="61"/>
        <v>27450</v>
      </c>
      <c r="R277" s="13">
        <f t="shared" si="62"/>
        <v>0</v>
      </c>
    </row>
    <row r="278" spans="1:18">
      <c r="A278" s="14">
        <v>46113</v>
      </c>
      <c r="B278" s="4">
        <f>Data_Entry!X368</f>
        <v>26749.9999999995</v>
      </c>
      <c r="C278" s="4">
        <v>0</v>
      </c>
      <c r="D278" s="5">
        <f>Data_Entry!AD368</f>
        <v>5.12</v>
      </c>
      <c r="E278" s="6">
        <f t="shared" si="54"/>
        <v>0.270202020202016</v>
      </c>
      <c r="F278" s="7">
        <v>0.486111111111111</v>
      </c>
      <c r="G278" s="7">
        <v>0.489583333333333</v>
      </c>
      <c r="H278" s="8">
        <f t="shared" si="55"/>
        <v>4.99999999999966</v>
      </c>
      <c r="I278" s="8">
        <f t="shared" si="56"/>
        <v>0.0833333333333277</v>
      </c>
      <c r="J278" s="9">
        <v>4125</v>
      </c>
      <c r="K278" s="10">
        <v>137.34</v>
      </c>
      <c r="L278" s="9">
        <f t="shared" si="57"/>
        <v>49500</v>
      </c>
      <c r="M278" s="8">
        <f t="shared" si="58"/>
        <v>11.4449999999992</v>
      </c>
      <c r="N278" s="11">
        <f t="shared" si="59"/>
        <v>0.999768787878788</v>
      </c>
      <c r="O278" s="12">
        <f t="shared" si="60"/>
        <v>0.270264508632345</v>
      </c>
      <c r="P278" s="12" t="s">
        <v>251</v>
      </c>
      <c r="Q278" s="9">
        <f t="shared" si="61"/>
        <v>26756.1863546021</v>
      </c>
      <c r="R278" s="13">
        <f t="shared" si="62"/>
        <v>6.18635460259611</v>
      </c>
    </row>
    <row r="279" spans="1:18">
      <c r="A279" s="14">
        <v>46114</v>
      </c>
      <c r="B279" s="4">
        <f>Data_Entry!X369</f>
        <v>23300.0000000004</v>
      </c>
      <c r="C279" s="4">
        <v>0</v>
      </c>
      <c r="D279" s="5">
        <f>Data_Entry!AD369</f>
        <v>4.03</v>
      </c>
      <c r="E279" s="6">
        <f t="shared" si="54"/>
        <v>0.235353535353539</v>
      </c>
      <c r="F279" s="7">
        <v>0.447916666666667</v>
      </c>
      <c r="G279" s="7">
        <v>0.508333333333333</v>
      </c>
      <c r="H279" s="8">
        <f t="shared" si="55"/>
        <v>86.999999999999</v>
      </c>
      <c r="I279" s="8">
        <f t="shared" si="56"/>
        <v>1.44999999999998</v>
      </c>
      <c r="J279" s="9">
        <v>4125</v>
      </c>
      <c r="K279" s="10">
        <v>137.34</v>
      </c>
      <c r="L279" s="9">
        <f t="shared" si="57"/>
        <v>49500</v>
      </c>
      <c r="M279" s="8">
        <f t="shared" si="58"/>
        <v>199.142999999998</v>
      </c>
      <c r="N279" s="11">
        <f t="shared" si="59"/>
        <v>0.995976909090909</v>
      </c>
      <c r="O279" s="12">
        <f t="shared" si="60"/>
        <v>0.236304208667208</v>
      </c>
      <c r="P279" s="12" t="s">
        <v>251</v>
      </c>
      <c r="Q279" s="9">
        <f t="shared" si="61"/>
        <v>23394.1166580536</v>
      </c>
      <c r="R279" s="13">
        <f t="shared" si="62"/>
        <v>94.1166580532226</v>
      </c>
    </row>
    <row r="280" spans="1:18">
      <c r="A280" s="14">
        <v>46115</v>
      </c>
      <c r="B280" s="4">
        <f>Data_Entry!X370</f>
        <v>15850.0000000004</v>
      </c>
      <c r="C280" s="4">
        <v>0</v>
      </c>
      <c r="D280" s="5">
        <f>Data_Entry!AD370</f>
        <v>2.6</v>
      </c>
      <c r="E280" s="6">
        <f t="shared" si="54"/>
        <v>0.160101010101014</v>
      </c>
      <c r="F280" s="7">
        <v>0</v>
      </c>
      <c r="G280" s="7">
        <v>0</v>
      </c>
      <c r="H280" s="8">
        <f t="shared" si="55"/>
        <v>0</v>
      </c>
      <c r="I280" s="8">
        <f t="shared" si="56"/>
        <v>0</v>
      </c>
      <c r="J280" s="9">
        <v>4125</v>
      </c>
      <c r="K280" s="10"/>
      <c r="L280" s="9">
        <f t="shared" si="57"/>
        <v>49500</v>
      </c>
      <c r="M280" s="8">
        <f t="shared" si="58"/>
        <v>0</v>
      </c>
      <c r="N280" s="11">
        <f t="shared" si="59"/>
        <v>1</v>
      </c>
      <c r="O280" s="12">
        <f t="shared" si="60"/>
        <v>0.160101010101014</v>
      </c>
      <c r="P280" s="12"/>
      <c r="Q280" s="9">
        <f t="shared" si="61"/>
        <v>15850.0000000004</v>
      </c>
      <c r="R280" s="13">
        <f t="shared" si="62"/>
        <v>0</v>
      </c>
    </row>
    <row r="281" spans="1:18">
      <c r="A281" s="14">
        <v>46116</v>
      </c>
      <c r="B281" s="4">
        <f>Data_Entry!X371</f>
        <v>29049.9999999997</v>
      </c>
      <c r="C281" s="4">
        <v>0</v>
      </c>
      <c r="D281" s="5">
        <f>Data_Entry!AD371</f>
        <v>5.3</v>
      </c>
      <c r="E281" s="6">
        <f t="shared" si="54"/>
        <v>0.293434343434341</v>
      </c>
      <c r="F281" s="7">
        <v>0</v>
      </c>
      <c r="G281" s="7">
        <v>0</v>
      </c>
      <c r="H281" s="8">
        <f t="shared" si="55"/>
        <v>0</v>
      </c>
      <c r="I281" s="8">
        <f t="shared" si="56"/>
        <v>0</v>
      </c>
      <c r="J281" s="9">
        <v>4125</v>
      </c>
      <c r="K281" s="10"/>
      <c r="L281" s="9">
        <f t="shared" si="57"/>
        <v>49500</v>
      </c>
      <c r="M281" s="8">
        <f t="shared" si="58"/>
        <v>0</v>
      </c>
      <c r="N281" s="11">
        <f t="shared" si="59"/>
        <v>1</v>
      </c>
      <c r="O281" s="12">
        <f t="shared" si="60"/>
        <v>0.293434343434341</v>
      </c>
      <c r="P281" s="12"/>
      <c r="Q281" s="9">
        <f t="shared" si="61"/>
        <v>29049.9999999997</v>
      </c>
      <c r="R281" s="13">
        <f t="shared" si="62"/>
        <v>0</v>
      </c>
    </row>
    <row r="282" spans="1:18">
      <c r="A282" s="14">
        <v>46117</v>
      </c>
      <c r="B282" s="4">
        <f>Data_Entry!X372</f>
        <v>28700</v>
      </c>
      <c r="C282" s="4">
        <v>0</v>
      </c>
      <c r="D282" s="5">
        <f>Data_Entry!AD372</f>
        <v>5.31</v>
      </c>
      <c r="E282" s="6">
        <f t="shared" si="54"/>
        <v>0.28989898989899</v>
      </c>
      <c r="F282" s="7">
        <v>0.509722222222222</v>
      </c>
      <c r="G282" s="7">
        <v>0.565972222222222</v>
      </c>
      <c r="H282" s="8">
        <f t="shared" si="55"/>
        <v>81</v>
      </c>
      <c r="I282" s="8">
        <f t="shared" si="56"/>
        <v>1.35</v>
      </c>
      <c r="J282" s="9">
        <v>4125</v>
      </c>
      <c r="K282" s="10">
        <v>137.34</v>
      </c>
      <c r="L282" s="9">
        <f t="shared" si="57"/>
        <v>49500</v>
      </c>
      <c r="M282" s="8">
        <f t="shared" si="58"/>
        <v>185.409</v>
      </c>
      <c r="N282" s="11">
        <f t="shared" si="59"/>
        <v>0.996254363636364</v>
      </c>
      <c r="O282" s="12">
        <f t="shared" si="60"/>
        <v>0.290988928611413</v>
      </c>
      <c r="P282" s="12" t="s">
        <v>251</v>
      </c>
      <c r="Q282" s="9">
        <f t="shared" si="61"/>
        <v>28807.9039325299</v>
      </c>
      <c r="R282" s="13">
        <f t="shared" si="62"/>
        <v>107.903932529822</v>
      </c>
    </row>
    <row r="283" spans="1:18">
      <c r="A283" s="14">
        <v>46118</v>
      </c>
      <c r="B283" s="4">
        <f>Data_Entry!X373</f>
        <v>28300.0000000004</v>
      </c>
      <c r="C283" s="4">
        <v>0</v>
      </c>
      <c r="D283" s="5">
        <f>Data_Entry!AD373</f>
        <v>5.27</v>
      </c>
      <c r="E283" s="6">
        <f t="shared" si="54"/>
        <v>0.28585858585859</v>
      </c>
      <c r="F283" s="7">
        <v>0</v>
      </c>
      <c r="G283" s="7">
        <v>0</v>
      </c>
      <c r="H283" s="8">
        <f t="shared" si="55"/>
        <v>0</v>
      </c>
      <c r="I283" s="8">
        <f t="shared" si="56"/>
        <v>0</v>
      </c>
      <c r="J283" s="9">
        <v>4125</v>
      </c>
      <c r="K283" s="10"/>
      <c r="L283" s="9">
        <f t="shared" si="57"/>
        <v>49500</v>
      </c>
      <c r="M283" s="8">
        <f t="shared" si="58"/>
        <v>0</v>
      </c>
      <c r="N283" s="11">
        <f t="shared" si="59"/>
        <v>1</v>
      </c>
      <c r="O283" s="12">
        <f t="shared" si="60"/>
        <v>0.28585858585859</v>
      </c>
      <c r="P283" s="12"/>
      <c r="Q283" s="9">
        <f t="shared" si="61"/>
        <v>28300.0000000004</v>
      </c>
      <c r="R283" s="13">
        <f t="shared" si="62"/>
        <v>0</v>
      </c>
    </row>
    <row r="284" spans="1:18">
      <c r="A284" s="14">
        <v>46119</v>
      </c>
      <c r="B284" s="4">
        <f>Data_Entry!X374</f>
        <v>25749.9999999993</v>
      </c>
      <c r="C284" s="4">
        <v>0</v>
      </c>
      <c r="D284" s="5">
        <f>Data_Entry!AD374</f>
        <v>5.08</v>
      </c>
      <c r="E284" s="6">
        <f t="shared" si="54"/>
        <v>0.260101010101003</v>
      </c>
      <c r="F284" s="7">
        <v>0</v>
      </c>
      <c r="G284" s="7">
        <v>0</v>
      </c>
      <c r="H284" s="8">
        <f t="shared" si="55"/>
        <v>0</v>
      </c>
      <c r="I284" s="8">
        <f t="shared" si="56"/>
        <v>0</v>
      </c>
      <c r="J284" s="9">
        <v>4125</v>
      </c>
      <c r="K284" s="10"/>
      <c r="L284" s="9">
        <f t="shared" si="57"/>
        <v>49500</v>
      </c>
      <c r="M284" s="8">
        <f t="shared" si="58"/>
        <v>0</v>
      </c>
      <c r="N284" s="11">
        <f t="shared" si="59"/>
        <v>1</v>
      </c>
      <c r="O284" s="12">
        <f t="shared" si="60"/>
        <v>0.260101010101003</v>
      </c>
      <c r="P284" s="12"/>
      <c r="Q284" s="9">
        <f t="shared" si="61"/>
        <v>25749.9999999993</v>
      </c>
      <c r="R284" s="13">
        <f t="shared" si="62"/>
        <v>0</v>
      </c>
    </row>
    <row r="285" spans="1:18">
      <c r="A285" s="14">
        <v>46120</v>
      </c>
      <c r="B285" s="4">
        <f>Data_Entry!X375</f>
        <v>26950.0000000005</v>
      </c>
      <c r="C285" s="4">
        <v>0</v>
      </c>
      <c r="D285" s="5">
        <f>Data_Entry!AD375</f>
        <v>5.12</v>
      </c>
      <c r="E285" s="6">
        <f t="shared" si="54"/>
        <v>0.272222222222227</v>
      </c>
      <c r="F285" s="7">
        <v>0</v>
      </c>
      <c r="G285" s="7">
        <v>0</v>
      </c>
      <c r="H285" s="8">
        <f t="shared" si="55"/>
        <v>0</v>
      </c>
      <c r="I285" s="8">
        <f t="shared" si="56"/>
        <v>0</v>
      </c>
      <c r="J285" s="9">
        <v>4125</v>
      </c>
      <c r="K285" s="10"/>
      <c r="L285" s="9">
        <f t="shared" si="57"/>
        <v>49500</v>
      </c>
      <c r="M285" s="8">
        <f t="shared" si="58"/>
        <v>0</v>
      </c>
      <c r="N285" s="11">
        <f t="shared" si="59"/>
        <v>1</v>
      </c>
      <c r="O285" s="12">
        <f t="shared" si="60"/>
        <v>0.272222222222227</v>
      </c>
      <c r="P285" s="12"/>
      <c r="Q285" s="9">
        <f t="shared" si="61"/>
        <v>26950.0000000005</v>
      </c>
      <c r="R285" s="13">
        <f t="shared" si="62"/>
        <v>0</v>
      </c>
    </row>
    <row r="286" spans="1:18">
      <c r="A286" s="14">
        <v>46121</v>
      </c>
      <c r="B286" s="4">
        <f>Data_Entry!X376</f>
        <v>26549.9999999997</v>
      </c>
      <c r="C286" s="4">
        <v>0</v>
      </c>
      <c r="D286" s="5">
        <f>Data_Entry!AD376</f>
        <v>4.81</v>
      </c>
      <c r="E286" s="6">
        <f t="shared" si="54"/>
        <v>0.268181818181815</v>
      </c>
      <c r="F286" s="7">
        <v>0</v>
      </c>
      <c r="G286" s="7">
        <v>0</v>
      </c>
      <c r="H286" s="8">
        <f t="shared" si="55"/>
        <v>0</v>
      </c>
      <c r="I286" s="8">
        <f t="shared" si="56"/>
        <v>0</v>
      </c>
      <c r="J286" s="9">
        <v>4125</v>
      </c>
      <c r="K286" s="10"/>
      <c r="L286" s="9">
        <f t="shared" si="57"/>
        <v>49500</v>
      </c>
      <c r="M286" s="8">
        <f t="shared" si="58"/>
        <v>0</v>
      </c>
      <c r="N286" s="11">
        <f t="shared" si="59"/>
        <v>1</v>
      </c>
      <c r="O286" s="12">
        <f t="shared" si="60"/>
        <v>0.268181818181815</v>
      </c>
      <c r="P286" s="12"/>
      <c r="Q286" s="9">
        <f t="shared" si="61"/>
        <v>26549.9999999997</v>
      </c>
      <c r="R286" s="13">
        <f t="shared" si="62"/>
        <v>0</v>
      </c>
    </row>
    <row r="287" spans="1:18">
      <c r="A287" s="14">
        <v>46122</v>
      </c>
      <c r="B287" s="4">
        <f>Data_Entry!X377</f>
        <v>26799.9999999995</v>
      </c>
      <c r="C287" s="4">
        <v>0</v>
      </c>
      <c r="D287" s="5">
        <f>Data_Entry!AD377</f>
        <v>5.14</v>
      </c>
      <c r="E287" s="6">
        <f t="shared" si="54"/>
        <v>0.270707070707066</v>
      </c>
      <c r="F287" s="7">
        <v>0</v>
      </c>
      <c r="G287" s="7">
        <v>0</v>
      </c>
      <c r="H287" s="8">
        <f t="shared" si="55"/>
        <v>0</v>
      </c>
      <c r="I287" s="8">
        <f t="shared" si="56"/>
        <v>0</v>
      </c>
      <c r="J287" s="9">
        <v>4125</v>
      </c>
      <c r="K287" s="10"/>
      <c r="L287" s="9">
        <f t="shared" si="57"/>
        <v>49500</v>
      </c>
      <c r="M287" s="8">
        <f t="shared" si="58"/>
        <v>0</v>
      </c>
      <c r="N287" s="11">
        <f t="shared" si="59"/>
        <v>1</v>
      </c>
      <c r="O287" s="12">
        <f t="shared" si="60"/>
        <v>0.270707070707066</v>
      </c>
      <c r="P287" s="12"/>
      <c r="Q287" s="9">
        <f t="shared" si="61"/>
        <v>26799.9999999995</v>
      </c>
      <c r="R287" s="13">
        <f t="shared" si="62"/>
        <v>0</v>
      </c>
    </row>
    <row r="288" spans="1:18">
      <c r="A288" s="14">
        <v>46123</v>
      </c>
      <c r="B288" s="4">
        <f>Data_Entry!X378</f>
        <v>27050.0000000004</v>
      </c>
      <c r="C288" s="4">
        <v>0</v>
      </c>
      <c r="D288" s="5">
        <f>Data_Entry!AD378</f>
        <v>5.23</v>
      </c>
      <c r="E288" s="6">
        <f t="shared" si="54"/>
        <v>0.273232323232327</v>
      </c>
      <c r="F288" s="7">
        <v>0</v>
      </c>
      <c r="G288" s="7">
        <v>0</v>
      </c>
      <c r="H288" s="8">
        <f t="shared" si="55"/>
        <v>0</v>
      </c>
      <c r="I288" s="8">
        <f t="shared" si="56"/>
        <v>0</v>
      </c>
      <c r="J288" s="9">
        <v>4125</v>
      </c>
      <c r="K288" s="10"/>
      <c r="L288" s="9">
        <f t="shared" si="57"/>
        <v>49500</v>
      </c>
      <c r="M288" s="8">
        <f t="shared" si="58"/>
        <v>0</v>
      </c>
      <c r="N288" s="11">
        <f t="shared" si="59"/>
        <v>1</v>
      </c>
      <c r="O288" s="12">
        <f t="shared" si="60"/>
        <v>0.273232323232327</v>
      </c>
      <c r="P288" s="12"/>
      <c r="Q288" s="9">
        <f t="shared" si="61"/>
        <v>27050.0000000004</v>
      </c>
      <c r="R288" s="13">
        <f t="shared" si="62"/>
        <v>0</v>
      </c>
    </row>
    <row r="289" spans="1:18">
      <c r="A289" s="14">
        <v>46124</v>
      </c>
      <c r="B289" s="4">
        <f>Data_Entry!X379</f>
        <v>27400.0000000001</v>
      </c>
      <c r="C289" s="4">
        <v>0</v>
      </c>
      <c r="D289" s="5">
        <f>Data_Entry!AD379</f>
        <v>5.18</v>
      </c>
      <c r="E289" s="6">
        <f t="shared" si="54"/>
        <v>0.276767676767678</v>
      </c>
      <c r="F289" s="7">
        <v>0</v>
      </c>
      <c r="G289" s="7">
        <v>0</v>
      </c>
      <c r="H289" s="8">
        <f t="shared" si="55"/>
        <v>0</v>
      </c>
      <c r="I289" s="8">
        <f t="shared" si="56"/>
        <v>0</v>
      </c>
      <c r="J289" s="9">
        <v>4125</v>
      </c>
      <c r="K289" s="10"/>
      <c r="L289" s="9">
        <f t="shared" si="57"/>
        <v>49500</v>
      </c>
      <c r="M289" s="8">
        <f t="shared" si="58"/>
        <v>0</v>
      </c>
      <c r="N289" s="11">
        <f t="shared" si="59"/>
        <v>1</v>
      </c>
      <c r="O289" s="12">
        <f t="shared" si="60"/>
        <v>0.276767676767678</v>
      </c>
      <c r="P289" s="12"/>
      <c r="Q289" s="9">
        <f t="shared" si="61"/>
        <v>27400.0000000001</v>
      </c>
      <c r="R289" s="13">
        <f t="shared" si="62"/>
        <v>0</v>
      </c>
    </row>
    <row r="290" spans="1:18">
      <c r="A290" s="14">
        <v>46125</v>
      </c>
      <c r="B290" s="4">
        <f>Data_Entry!X380</f>
        <v>27599.9999999999</v>
      </c>
      <c r="C290" s="4">
        <v>0</v>
      </c>
      <c r="D290" s="5">
        <f>Data_Entry!AD380</f>
        <v>5.36</v>
      </c>
      <c r="E290" s="6">
        <f t="shared" si="54"/>
        <v>0.278787878787878</v>
      </c>
      <c r="F290" s="7">
        <v>0</v>
      </c>
      <c r="G290" s="7">
        <v>0</v>
      </c>
      <c r="H290" s="8">
        <f t="shared" si="55"/>
        <v>0</v>
      </c>
      <c r="I290" s="8">
        <f t="shared" si="56"/>
        <v>0</v>
      </c>
      <c r="J290" s="9">
        <v>4125</v>
      </c>
      <c r="K290" s="10"/>
      <c r="L290" s="9">
        <f t="shared" si="57"/>
        <v>49500</v>
      </c>
      <c r="M290" s="8">
        <f t="shared" si="58"/>
        <v>0</v>
      </c>
      <c r="N290" s="11">
        <f t="shared" si="59"/>
        <v>1</v>
      </c>
      <c r="O290" s="12">
        <f t="shared" si="60"/>
        <v>0.278787878787878</v>
      </c>
      <c r="P290" s="12"/>
      <c r="Q290" s="9">
        <f t="shared" si="61"/>
        <v>27599.9999999999</v>
      </c>
      <c r="R290" s="13">
        <f t="shared" si="62"/>
        <v>0</v>
      </c>
    </row>
    <row r="291" spans="1:18">
      <c r="A291" s="14">
        <v>46126</v>
      </c>
      <c r="B291" s="4">
        <f>Data_Entry!X381</f>
        <v>28800</v>
      </c>
      <c r="C291" s="4">
        <v>0</v>
      </c>
      <c r="D291" s="5">
        <f>Data_Entry!AD381</f>
        <v>5.42</v>
      </c>
      <c r="E291" s="6">
        <f t="shared" si="54"/>
        <v>0.29090909090909</v>
      </c>
      <c r="F291" s="7">
        <v>0</v>
      </c>
      <c r="G291" s="7">
        <v>0</v>
      </c>
      <c r="H291" s="8">
        <f t="shared" si="55"/>
        <v>0</v>
      </c>
      <c r="I291" s="8">
        <f t="shared" si="56"/>
        <v>0</v>
      </c>
      <c r="J291" s="9">
        <v>4125</v>
      </c>
      <c r="K291" s="10"/>
      <c r="L291" s="9">
        <f t="shared" si="57"/>
        <v>49500</v>
      </c>
      <c r="M291" s="8">
        <f t="shared" si="58"/>
        <v>0</v>
      </c>
      <c r="N291" s="11">
        <f t="shared" si="59"/>
        <v>1</v>
      </c>
      <c r="O291" s="12">
        <f t="shared" si="60"/>
        <v>0.29090909090909</v>
      </c>
      <c r="P291" s="12"/>
      <c r="Q291" s="9">
        <f t="shared" si="61"/>
        <v>28800</v>
      </c>
      <c r="R291" s="13">
        <f t="shared" si="62"/>
        <v>0</v>
      </c>
    </row>
    <row r="292" spans="1:18">
      <c r="A292" s="14">
        <v>46127</v>
      </c>
      <c r="B292" s="4">
        <f>Data_Entry!X382</f>
        <v>29049.9999999997</v>
      </c>
      <c r="C292" s="4">
        <v>0</v>
      </c>
      <c r="D292" s="5">
        <f>Data_Entry!AD382</f>
        <v>5.65</v>
      </c>
      <c r="E292" s="6">
        <f t="shared" si="54"/>
        <v>0.293434343434341</v>
      </c>
      <c r="F292" s="7">
        <v>0</v>
      </c>
      <c r="G292" s="7">
        <v>0</v>
      </c>
      <c r="H292" s="8">
        <f t="shared" si="55"/>
        <v>0</v>
      </c>
      <c r="I292" s="8">
        <f t="shared" si="56"/>
        <v>0</v>
      </c>
      <c r="J292" s="9">
        <v>4125</v>
      </c>
      <c r="K292" s="10"/>
      <c r="L292" s="9">
        <f t="shared" si="57"/>
        <v>49500</v>
      </c>
      <c r="M292" s="8">
        <f t="shared" si="58"/>
        <v>0</v>
      </c>
      <c r="N292" s="11">
        <f t="shared" si="59"/>
        <v>1</v>
      </c>
      <c r="O292" s="12">
        <f t="shared" si="60"/>
        <v>0.293434343434341</v>
      </c>
      <c r="P292" s="12"/>
      <c r="Q292" s="9">
        <f t="shared" si="61"/>
        <v>29049.9999999997</v>
      </c>
      <c r="R292" s="13">
        <f t="shared" si="62"/>
        <v>0</v>
      </c>
    </row>
    <row r="293" spans="1:18">
      <c r="A293" s="14">
        <v>46128</v>
      </c>
      <c r="B293" s="4">
        <f>Data_Entry!X383</f>
        <v>28000.0000000007</v>
      </c>
      <c r="C293" s="4">
        <v>0</v>
      </c>
      <c r="D293" s="5">
        <f>Data_Entry!AD383</f>
        <v>5.58</v>
      </c>
      <c r="E293" s="6">
        <f t="shared" ref="E293:E303" si="63">B293/(24*J293)</f>
        <v>0.28282828282829</v>
      </c>
      <c r="F293" s="7">
        <v>0</v>
      </c>
      <c r="G293" s="7">
        <v>0.0416666666666667</v>
      </c>
      <c r="H293" s="8">
        <f t="shared" ref="H293:H303" si="64">(G293-F293)*24*60</f>
        <v>60.0000000000001</v>
      </c>
      <c r="I293" s="8">
        <f t="shared" ref="I293:I303" si="65">H293/60</f>
        <v>1</v>
      </c>
      <c r="J293" s="9">
        <v>4125</v>
      </c>
      <c r="K293" s="10"/>
      <c r="L293" s="9">
        <f t="shared" ref="L293:L303" si="66">J293*12</f>
        <v>49500</v>
      </c>
      <c r="M293" s="8">
        <f t="shared" ref="M293:M303" si="67">K293*I293</f>
        <v>0</v>
      </c>
      <c r="N293" s="11">
        <f t="shared" ref="N293:N303" si="68">(L293-M293)/L293</f>
        <v>1</v>
      </c>
      <c r="O293" s="12">
        <f t="shared" ref="O293:O303" si="69">E293/N293</f>
        <v>0.28282828282829</v>
      </c>
      <c r="P293" s="12"/>
      <c r="Q293" s="9">
        <f t="shared" ref="Q293:Q303" si="70">O293*J293*24</f>
        <v>28000.0000000007</v>
      </c>
      <c r="R293" s="13">
        <f t="shared" ref="R293:R303" si="71">Q293-B293</f>
        <v>0</v>
      </c>
    </row>
    <row r="294" spans="1:18">
      <c r="A294" s="14">
        <v>46129</v>
      </c>
      <c r="B294" s="4">
        <f>Data_Entry!X384</f>
        <v>26899.9999999994</v>
      </c>
      <c r="C294" s="4">
        <v>0</v>
      </c>
      <c r="D294" s="5">
        <f>Data_Entry!AD384</f>
        <v>5.63</v>
      </c>
      <c r="E294" s="6">
        <f t="shared" si="63"/>
        <v>0.271717171717166</v>
      </c>
      <c r="F294" s="7">
        <v>0</v>
      </c>
      <c r="G294" s="7">
        <v>0.0833333333333333</v>
      </c>
      <c r="H294" s="8">
        <f t="shared" si="64"/>
        <v>120</v>
      </c>
      <c r="I294" s="8">
        <f t="shared" si="65"/>
        <v>2</v>
      </c>
      <c r="J294" s="9">
        <v>4125</v>
      </c>
      <c r="K294" s="10"/>
      <c r="L294" s="9">
        <f t="shared" si="66"/>
        <v>49500</v>
      </c>
      <c r="M294" s="8">
        <f t="shared" si="67"/>
        <v>0</v>
      </c>
      <c r="N294" s="11">
        <f t="shared" si="68"/>
        <v>1</v>
      </c>
      <c r="O294" s="12">
        <f t="shared" si="69"/>
        <v>0.271717171717166</v>
      </c>
      <c r="P294" s="12"/>
      <c r="Q294" s="9">
        <f t="shared" si="70"/>
        <v>26899.9999999994</v>
      </c>
      <c r="R294" s="13">
        <f t="shared" si="71"/>
        <v>0</v>
      </c>
    </row>
    <row r="295" spans="1:18">
      <c r="A295" s="14">
        <v>46130</v>
      </c>
      <c r="B295" s="4">
        <f>Data_Entry!X385</f>
        <v>26750.0000000007</v>
      </c>
      <c r="C295" s="4">
        <v>0</v>
      </c>
      <c r="D295" s="5">
        <f>Data_Entry!AD385</f>
        <v>5.43</v>
      </c>
      <c r="E295" s="6">
        <f t="shared" si="63"/>
        <v>0.270202020202027</v>
      </c>
      <c r="F295" s="7">
        <v>0</v>
      </c>
      <c r="G295" s="7">
        <v>0.125</v>
      </c>
      <c r="H295" s="8">
        <f t="shared" si="64"/>
        <v>180</v>
      </c>
      <c r="I295" s="8">
        <f t="shared" si="65"/>
        <v>3</v>
      </c>
      <c r="J295" s="9">
        <v>4125</v>
      </c>
      <c r="K295" s="10"/>
      <c r="L295" s="9">
        <f t="shared" si="66"/>
        <v>49500</v>
      </c>
      <c r="M295" s="8">
        <f t="shared" si="67"/>
        <v>0</v>
      </c>
      <c r="N295" s="11">
        <f t="shared" si="68"/>
        <v>1</v>
      </c>
      <c r="O295" s="12">
        <f t="shared" si="69"/>
        <v>0.270202020202027</v>
      </c>
      <c r="P295" s="12"/>
      <c r="Q295" s="9">
        <f t="shared" si="70"/>
        <v>26750.0000000007</v>
      </c>
      <c r="R295" s="13">
        <f t="shared" si="71"/>
        <v>0</v>
      </c>
    </row>
    <row r="296" spans="1:18">
      <c r="A296" s="14">
        <v>46131</v>
      </c>
      <c r="B296" s="4">
        <f>Data_Entry!X386</f>
        <v>27049.9999999993</v>
      </c>
      <c r="C296" s="4">
        <v>0</v>
      </c>
      <c r="D296" s="5">
        <f>Data_Entry!AD386</f>
        <v>5.13</v>
      </c>
      <c r="E296" s="6">
        <f t="shared" si="63"/>
        <v>0.273232323232316</v>
      </c>
      <c r="F296" s="7">
        <v>0</v>
      </c>
      <c r="G296" s="7">
        <v>0.166666666666667</v>
      </c>
      <c r="H296" s="8">
        <f t="shared" si="64"/>
        <v>240</v>
      </c>
      <c r="I296" s="8">
        <f t="shared" si="65"/>
        <v>4.00000000000001</v>
      </c>
      <c r="J296" s="9">
        <v>4125</v>
      </c>
      <c r="K296" s="10"/>
      <c r="L296" s="9">
        <f t="shared" si="66"/>
        <v>49500</v>
      </c>
      <c r="M296" s="8">
        <f t="shared" si="67"/>
        <v>0</v>
      </c>
      <c r="N296" s="11">
        <f t="shared" si="68"/>
        <v>1</v>
      </c>
      <c r="O296" s="12">
        <f t="shared" si="69"/>
        <v>0.273232323232316</v>
      </c>
      <c r="P296" s="12"/>
      <c r="Q296" s="9">
        <f t="shared" si="70"/>
        <v>27049.9999999993</v>
      </c>
      <c r="R296" s="13">
        <f t="shared" si="71"/>
        <v>0</v>
      </c>
    </row>
    <row r="297" spans="1:18">
      <c r="A297" s="14">
        <v>46132</v>
      </c>
      <c r="B297" s="4">
        <f>Data_Entry!X387</f>
        <v>28650.0000000001</v>
      </c>
      <c r="C297" s="4">
        <v>0</v>
      </c>
      <c r="D297" s="5">
        <f>Data_Entry!AD387</f>
        <v>5.53</v>
      </c>
      <c r="E297" s="6">
        <f t="shared" si="63"/>
        <v>0.28939393939394</v>
      </c>
      <c r="F297" s="7">
        <v>0</v>
      </c>
      <c r="G297" s="7">
        <v>0.208333333333333</v>
      </c>
      <c r="H297" s="8">
        <f t="shared" si="64"/>
        <v>300</v>
      </c>
      <c r="I297" s="8">
        <f t="shared" si="65"/>
        <v>4.99999999999999</v>
      </c>
      <c r="J297" s="9">
        <v>4125</v>
      </c>
      <c r="K297" s="10"/>
      <c r="L297" s="9">
        <f t="shared" si="66"/>
        <v>49500</v>
      </c>
      <c r="M297" s="8">
        <f t="shared" si="67"/>
        <v>0</v>
      </c>
      <c r="N297" s="11">
        <f t="shared" si="68"/>
        <v>1</v>
      </c>
      <c r="O297" s="12">
        <f t="shared" si="69"/>
        <v>0.28939393939394</v>
      </c>
      <c r="P297" s="12"/>
      <c r="Q297" s="9">
        <f t="shared" si="70"/>
        <v>28650.0000000001</v>
      </c>
      <c r="R297" s="13">
        <f t="shared" si="71"/>
        <v>0</v>
      </c>
    </row>
    <row r="298" spans="1:18">
      <c r="A298" s="14">
        <v>46133</v>
      </c>
      <c r="B298" s="4">
        <f>Data_Entry!X388</f>
        <v>28550.0000000002</v>
      </c>
      <c r="C298" s="4">
        <v>0</v>
      </c>
      <c r="D298" s="5">
        <f>Data_Entry!AD388</f>
        <v>5.05</v>
      </c>
      <c r="E298" s="6">
        <f t="shared" si="63"/>
        <v>0.28838383838384</v>
      </c>
      <c r="F298" s="7">
        <v>0</v>
      </c>
      <c r="G298" s="7">
        <v>0.25</v>
      </c>
      <c r="H298" s="8">
        <f t="shared" si="64"/>
        <v>360</v>
      </c>
      <c r="I298" s="8">
        <f t="shared" si="65"/>
        <v>6</v>
      </c>
      <c r="J298" s="9">
        <v>4125</v>
      </c>
      <c r="K298" s="10"/>
      <c r="L298" s="9">
        <f t="shared" si="66"/>
        <v>49500</v>
      </c>
      <c r="M298" s="8">
        <f t="shared" si="67"/>
        <v>0</v>
      </c>
      <c r="N298" s="11">
        <f t="shared" si="68"/>
        <v>1</v>
      </c>
      <c r="O298" s="12">
        <f t="shared" si="69"/>
        <v>0.28838383838384</v>
      </c>
      <c r="P298" s="12"/>
      <c r="Q298" s="9">
        <f t="shared" si="70"/>
        <v>28550.0000000002</v>
      </c>
      <c r="R298" s="13">
        <f t="shared" si="71"/>
        <v>0</v>
      </c>
    </row>
    <row r="299" spans="1:18">
      <c r="A299" s="14">
        <v>46134</v>
      </c>
      <c r="B299" s="4">
        <f>Data_Entry!X389</f>
        <v>28849.9999999999</v>
      </c>
      <c r="C299" s="4">
        <v>0</v>
      </c>
      <c r="D299" s="5">
        <f>Data_Entry!AD389</f>
        <v>5.53</v>
      </c>
      <c r="E299" s="6">
        <f t="shared" si="63"/>
        <v>0.291414141414141</v>
      </c>
      <c r="F299" s="7">
        <v>0</v>
      </c>
      <c r="G299" s="7">
        <v>0.291666666666667</v>
      </c>
      <c r="H299" s="8">
        <f t="shared" si="64"/>
        <v>420.000000000001</v>
      </c>
      <c r="I299" s="8">
        <f t="shared" si="65"/>
        <v>7.00000000000001</v>
      </c>
      <c r="J299" s="9">
        <v>4125</v>
      </c>
      <c r="K299" s="10"/>
      <c r="L299" s="9">
        <f t="shared" si="66"/>
        <v>49500</v>
      </c>
      <c r="M299" s="8">
        <f t="shared" si="67"/>
        <v>0</v>
      </c>
      <c r="N299" s="11">
        <f t="shared" si="68"/>
        <v>1</v>
      </c>
      <c r="O299" s="12">
        <f t="shared" si="69"/>
        <v>0.291414141414141</v>
      </c>
      <c r="P299" s="12"/>
      <c r="Q299" s="9">
        <f t="shared" si="70"/>
        <v>28849.9999999999</v>
      </c>
      <c r="R299" s="13">
        <f t="shared" si="71"/>
        <v>0</v>
      </c>
    </row>
    <row r="300" spans="1:18">
      <c r="A300" s="14">
        <v>46135</v>
      </c>
      <c r="B300" s="4">
        <f>Data_Entry!X390</f>
        <v>28200.0000000005</v>
      </c>
      <c r="C300" s="4">
        <v>0</v>
      </c>
      <c r="D300" s="5">
        <f>Data_Entry!AD390</f>
        <v>5.34</v>
      </c>
      <c r="E300" s="6">
        <f t="shared" si="63"/>
        <v>0.28484848484849</v>
      </c>
      <c r="F300" s="7">
        <v>0</v>
      </c>
      <c r="G300" s="7">
        <v>0.333333333333333</v>
      </c>
      <c r="H300" s="8">
        <f t="shared" si="64"/>
        <v>479.999999999999</v>
      </c>
      <c r="I300" s="8">
        <f t="shared" si="65"/>
        <v>7.99999999999999</v>
      </c>
      <c r="J300" s="9">
        <v>4125</v>
      </c>
      <c r="K300" s="10"/>
      <c r="L300" s="9">
        <f t="shared" si="66"/>
        <v>49500</v>
      </c>
      <c r="M300" s="8">
        <f t="shared" si="67"/>
        <v>0</v>
      </c>
      <c r="N300" s="11">
        <f t="shared" si="68"/>
        <v>1</v>
      </c>
      <c r="O300" s="12">
        <f t="shared" si="69"/>
        <v>0.28484848484849</v>
      </c>
      <c r="P300" s="12"/>
      <c r="Q300" s="9">
        <f t="shared" si="70"/>
        <v>28200.0000000005</v>
      </c>
      <c r="R300" s="13">
        <f t="shared" si="71"/>
        <v>0</v>
      </c>
    </row>
    <row r="301" spans="1:18">
      <c r="A301" s="14">
        <v>46136</v>
      </c>
      <c r="B301" s="4">
        <f>Data_Entry!X391</f>
        <v>24149.9999999996</v>
      </c>
      <c r="C301" s="4">
        <v>0</v>
      </c>
      <c r="D301" s="5">
        <f>Data_Entry!AD391</f>
        <v>5.51</v>
      </c>
      <c r="E301" s="6">
        <f t="shared" si="63"/>
        <v>0.24393939393939</v>
      </c>
      <c r="F301" s="7">
        <v>0</v>
      </c>
      <c r="G301" s="7">
        <v>0.375</v>
      </c>
      <c r="H301" s="8">
        <f t="shared" si="64"/>
        <v>540</v>
      </c>
      <c r="I301" s="8">
        <f t="shared" si="65"/>
        <v>9</v>
      </c>
      <c r="J301" s="9">
        <v>4125</v>
      </c>
      <c r="K301" s="10"/>
      <c r="L301" s="9">
        <f t="shared" si="66"/>
        <v>49500</v>
      </c>
      <c r="M301" s="8">
        <f t="shared" si="67"/>
        <v>0</v>
      </c>
      <c r="N301" s="11">
        <f t="shared" si="68"/>
        <v>1</v>
      </c>
      <c r="O301" s="12">
        <f t="shared" si="69"/>
        <v>0.24393939393939</v>
      </c>
      <c r="P301" s="12"/>
      <c r="Q301" s="9">
        <f t="shared" si="70"/>
        <v>24149.9999999996</v>
      </c>
      <c r="R301" s="13">
        <f t="shared" si="71"/>
        <v>0</v>
      </c>
    </row>
    <row r="302" spans="1:18">
      <c r="A302" s="14">
        <v>46137</v>
      </c>
      <c r="B302" s="4">
        <f>Data_Entry!X392</f>
        <v>32749.9999999998</v>
      </c>
      <c r="C302" s="4">
        <v>0</v>
      </c>
      <c r="D302" s="5">
        <f>Data_Entry!AD392</f>
        <v>5.35</v>
      </c>
      <c r="E302" s="6">
        <f t="shared" si="63"/>
        <v>0.330808080808079</v>
      </c>
      <c r="F302" s="7">
        <v>0</v>
      </c>
      <c r="G302" s="7">
        <v>0.416666666666667</v>
      </c>
      <c r="H302" s="8">
        <f t="shared" si="64"/>
        <v>600.000000000001</v>
      </c>
      <c r="I302" s="8">
        <f t="shared" si="65"/>
        <v>10</v>
      </c>
      <c r="J302" s="9">
        <v>4125</v>
      </c>
      <c r="K302" s="10"/>
      <c r="L302" s="9">
        <f t="shared" si="66"/>
        <v>49500</v>
      </c>
      <c r="M302" s="8">
        <f t="shared" si="67"/>
        <v>0</v>
      </c>
      <c r="N302" s="11">
        <f t="shared" si="68"/>
        <v>1</v>
      </c>
      <c r="O302" s="12">
        <f t="shared" si="69"/>
        <v>0.330808080808079</v>
      </c>
      <c r="P302" s="12"/>
      <c r="Q302" s="9">
        <f t="shared" si="70"/>
        <v>32749.9999999998</v>
      </c>
      <c r="R302" s="13">
        <f t="shared" si="71"/>
        <v>0</v>
      </c>
    </row>
    <row r="303" spans="1:18">
      <c r="A303" s="14">
        <v>46138</v>
      </c>
      <c r="B303" s="4">
        <f>Data_Entry!X393</f>
        <v>26950.0000000005</v>
      </c>
      <c r="C303" s="4">
        <v>0</v>
      </c>
      <c r="D303" s="5">
        <f>Data_Entry!AD393</f>
        <v>5.28</v>
      </c>
      <c r="E303" s="6">
        <f t="shared" si="63"/>
        <v>0.272222222222227</v>
      </c>
      <c r="F303" s="7">
        <v>0</v>
      </c>
      <c r="G303" s="7">
        <v>0.458333333333333</v>
      </c>
      <c r="H303" s="8">
        <f t="shared" si="64"/>
        <v>659.999999999999</v>
      </c>
      <c r="I303" s="8">
        <f t="shared" si="65"/>
        <v>11</v>
      </c>
      <c r="J303" s="9">
        <v>4125</v>
      </c>
      <c r="K303" s="10"/>
      <c r="L303" s="9">
        <f t="shared" si="66"/>
        <v>49500</v>
      </c>
      <c r="M303" s="8">
        <f t="shared" si="67"/>
        <v>0</v>
      </c>
      <c r="N303" s="11">
        <f t="shared" si="68"/>
        <v>1</v>
      </c>
      <c r="O303" s="12">
        <f t="shared" si="69"/>
        <v>0.272222222222227</v>
      </c>
      <c r="P303" s="12"/>
      <c r="Q303" s="9">
        <f t="shared" si="70"/>
        <v>26950.0000000005</v>
      </c>
      <c r="R303" s="13">
        <f t="shared" si="71"/>
        <v>0</v>
      </c>
    </row>
    <row r="304" spans="1:18">
      <c r="A304" s="14">
        <v>46139</v>
      </c>
      <c r="B304" s="4">
        <f>Data_Entry!X394</f>
        <v>27200.0000000003</v>
      </c>
      <c r="C304" s="4">
        <v>0</v>
      </c>
      <c r="D304" s="5">
        <f>Data_Entry!AD394</f>
        <v>5.44</v>
      </c>
      <c r="E304" s="6">
        <f t="shared" ref="E304:E310" si="72">B304/(24*J304)</f>
        <v>0.274747474747478</v>
      </c>
      <c r="F304" s="7">
        <v>0</v>
      </c>
      <c r="G304" s="7">
        <v>0.458333333333333</v>
      </c>
      <c r="H304" s="8">
        <f t="shared" ref="H304:H310" si="73">(G304-F304)*24*60</f>
        <v>659.999999999999</v>
      </c>
      <c r="I304" s="8">
        <f t="shared" ref="I304:I310" si="74">H304/60</f>
        <v>11</v>
      </c>
      <c r="J304" s="9">
        <v>4125</v>
      </c>
      <c r="K304" s="10"/>
      <c r="L304" s="9">
        <f t="shared" ref="L304:L310" si="75">J304*12</f>
        <v>49500</v>
      </c>
      <c r="M304" s="8">
        <f t="shared" ref="M304:M310" si="76">K304*I304</f>
        <v>0</v>
      </c>
      <c r="N304" s="11">
        <f t="shared" ref="N304:N310" si="77">(L304-M304)/L304</f>
        <v>1</v>
      </c>
      <c r="O304" s="12">
        <f t="shared" ref="O304:O310" si="78">E304/N304</f>
        <v>0.274747474747478</v>
      </c>
      <c r="P304" s="12"/>
      <c r="Q304" s="9">
        <f t="shared" ref="Q304:Q310" si="79">O304*J304*24</f>
        <v>27200.0000000003</v>
      </c>
      <c r="R304" s="13">
        <f t="shared" ref="R304:R310" si="80">Q304-B304</f>
        <v>0</v>
      </c>
    </row>
    <row r="305" spans="1:19">
      <c r="A305" s="14">
        <v>46140</v>
      </c>
      <c r="B305" s="4">
        <f>Data_Entry!X395</f>
        <v>27099.9999999992</v>
      </c>
      <c r="C305" s="4">
        <v>1</v>
      </c>
      <c r="D305" s="5">
        <f>Data_Entry!AD395</f>
        <v>5.66</v>
      </c>
      <c r="E305" s="6">
        <f t="shared" si="72"/>
        <v>0.273737373737366</v>
      </c>
      <c r="F305" s="7">
        <v>0.479166666666667</v>
      </c>
      <c r="G305" s="7">
        <v>0.601388888888889</v>
      </c>
      <c r="H305" s="8">
        <f t="shared" si="73"/>
        <v>176</v>
      </c>
      <c r="I305" s="8">
        <f t="shared" si="74"/>
        <v>2.93333333333333</v>
      </c>
      <c r="J305" s="9">
        <v>4125</v>
      </c>
      <c r="K305" s="10">
        <v>320.46</v>
      </c>
      <c r="L305" s="9">
        <f t="shared" si="75"/>
        <v>49500</v>
      </c>
      <c r="M305" s="8">
        <f t="shared" si="76"/>
        <v>940.015999999998</v>
      </c>
      <c r="N305" s="11">
        <f t="shared" si="77"/>
        <v>0.981009777777778</v>
      </c>
      <c r="O305" s="12">
        <f t="shared" si="78"/>
        <v>0.279036335761552</v>
      </c>
      <c r="P305" s="12" t="s">
        <v>251</v>
      </c>
      <c r="Q305" s="9">
        <f t="shared" si="79"/>
        <v>27624.5972403937</v>
      </c>
      <c r="R305" s="13">
        <f t="shared" si="80"/>
        <v>524.597240394462</v>
      </c>
      <c r="S305" t="s">
        <v>252</v>
      </c>
    </row>
    <row r="306" spans="1:19">
      <c r="A306" s="14"/>
      <c r="B306" s="4">
        <v>27100</v>
      </c>
      <c r="C306" s="4">
        <v>0</v>
      </c>
      <c r="D306" s="5">
        <f>Data_Entry!AD396</f>
        <v>5.62</v>
      </c>
      <c r="E306" s="6">
        <f t="shared" si="72"/>
        <v>0.273737373737374</v>
      </c>
      <c r="F306" s="7">
        <v>0.479166666666667</v>
      </c>
      <c r="G306" s="7">
        <v>0.597222222222222</v>
      </c>
      <c r="H306" s="8">
        <f t="shared" si="73"/>
        <v>169.999999999999</v>
      </c>
      <c r="I306" s="8">
        <f t="shared" si="74"/>
        <v>2.83333333333332</v>
      </c>
      <c r="J306" s="9">
        <v>4125</v>
      </c>
      <c r="K306" s="10">
        <v>137.34</v>
      </c>
      <c r="L306" s="9">
        <f t="shared" si="75"/>
        <v>49500</v>
      </c>
      <c r="M306" s="8">
        <f t="shared" si="76"/>
        <v>389.129999999998</v>
      </c>
      <c r="N306" s="11">
        <f t="shared" si="77"/>
        <v>0.992138787878788</v>
      </c>
      <c r="O306" s="12">
        <f t="shared" si="78"/>
        <v>0.275906331938326</v>
      </c>
      <c r="P306" s="12" t="s">
        <v>251</v>
      </c>
      <c r="Q306" s="9">
        <f t="shared" si="79"/>
        <v>27314.7268618943</v>
      </c>
      <c r="R306" s="13">
        <f t="shared" si="80"/>
        <v>214.72686189432</v>
      </c>
      <c r="S306" t="s">
        <v>253</v>
      </c>
    </row>
    <row r="307" spans="1:19">
      <c r="A307" s="14">
        <v>46141</v>
      </c>
      <c r="B307" s="4">
        <f>Data_Entry!X396</f>
        <v>28250.0000000005</v>
      </c>
      <c r="C307" s="4">
        <v>0</v>
      </c>
      <c r="D307" s="5">
        <f>Data_Entry!AD396</f>
        <v>5.62</v>
      </c>
      <c r="E307" s="6">
        <f t="shared" si="72"/>
        <v>0.28535353535354</v>
      </c>
      <c r="F307" s="7">
        <v>0</v>
      </c>
      <c r="G307" s="7">
        <v>0</v>
      </c>
      <c r="H307" s="8">
        <f t="shared" si="73"/>
        <v>0</v>
      </c>
      <c r="I307" s="8">
        <f t="shared" si="74"/>
        <v>0</v>
      </c>
      <c r="J307" s="9">
        <v>4125</v>
      </c>
      <c r="K307" s="10"/>
      <c r="L307" s="9">
        <f t="shared" si="75"/>
        <v>49500</v>
      </c>
      <c r="M307" s="8">
        <f t="shared" si="76"/>
        <v>0</v>
      </c>
      <c r="N307" s="11">
        <f t="shared" si="77"/>
        <v>1</v>
      </c>
      <c r="O307" s="12">
        <f t="shared" si="78"/>
        <v>0.28535353535354</v>
      </c>
      <c r="P307" s="12"/>
      <c r="Q307" s="9">
        <f t="shared" si="79"/>
        <v>28250.0000000005</v>
      </c>
      <c r="R307" s="13">
        <f t="shared" si="80"/>
        <v>0</v>
      </c>
    </row>
    <row r="308" spans="1:19">
      <c r="A308" s="14">
        <v>46142</v>
      </c>
      <c r="B308" s="4">
        <f>Data_Entry!X397</f>
        <v>27699.9999999998</v>
      </c>
      <c r="C308" s="4">
        <v>0</v>
      </c>
      <c r="D308" s="5">
        <f>Data_Entry!AD397</f>
        <v>5.48</v>
      </c>
      <c r="E308" s="6">
        <f t="shared" si="72"/>
        <v>0.279797979797978</v>
      </c>
      <c r="F308" s="7">
        <v>0</v>
      </c>
      <c r="G308" s="7">
        <v>0</v>
      </c>
      <c r="H308" s="8">
        <f t="shared" si="73"/>
        <v>0</v>
      </c>
      <c r="I308" s="8">
        <f t="shared" si="74"/>
        <v>0</v>
      </c>
      <c r="J308" s="9">
        <v>4125</v>
      </c>
      <c r="K308" s="10"/>
      <c r="L308" s="9">
        <f t="shared" si="75"/>
        <v>49500</v>
      </c>
      <c r="M308" s="8">
        <f t="shared" si="76"/>
        <v>0</v>
      </c>
      <c r="N308" s="11">
        <f t="shared" si="77"/>
        <v>1</v>
      </c>
      <c r="O308" s="12">
        <f t="shared" si="78"/>
        <v>0.279797979797978</v>
      </c>
      <c r="P308" s="12"/>
      <c r="Q308" s="9">
        <f t="shared" si="79"/>
        <v>27699.9999999998</v>
      </c>
      <c r="R308" s="13">
        <f t="shared" si="80"/>
        <v>0</v>
      </c>
    </row>
    <row r="309" spans="1:19">
      <c r="A309" s="14">
        <v>46143</v>
      </c>
      <c r="B309" s="4">
        <f>Data_Entry!X398</f>
        <v>27150.0000000003</v>
      </c>
      <c r="C309" s="4">
        <v>0</v>
      </c>
      <c r="D309" s="5">
        <f>Data_Entry!AD398</f>
        <v>5.57</v>
      </c>
      <c r="E309" s="6">
        <f t="shared" si="72"/>
        <v>0.274242424242427</v>
      </c>
      <c r="F309" s="7">
        <v>0</v>
      </c>
      <c r="G309" s="7">
        <v>0</v>
      </c>
      <c r="H309" s="8">
        <f t="shared" si="73"/>
        <v>0</v>
      </c>
      <c r="I309" s="8">
        <f t="shared" si="74"/>
        <v>0</v>
      </c>
      <c r="J309" s="9">
        <v>4125</v>
      </c>
      <c r="K309" s="10"/>
      <c r="L309" s="9">
        <f t="shared" si="75"/>
        <v>49500</v>
      </c>
      <c r="M309" s="8">
        <f t="shared" si="76"/>
        <v>0</v>
      </c>
      <c r="N309" s="11">
        <f t="shared" si="77"/>
        <v>1</v>
      </c>
      <c r="O309" s="12">
        <f t="shared" si="78"/>
        <v>0.274242424242427</v>
      </c>
      <c r="P309" s="12"/>
      <c r="Q309" s="9">
        <f t="shared" si="79"/>
        <v>27150.0000000003</v>
      </c>
      <c r="R309" s="13">
        <f t="shared" si="80"/>
        <v>0</v>
      </c>
    </row>
    <row r="310" spans="1:19">
      <c r="A310" s="14">
        <v>46144</v>
      </c>
      <c r="B310" s="4">
        <f>Data_Entry!X399</f>
        <v>27849.9999999997</v>
      </c>
      <c r="C310" s="4">
        <v>0</v>
      </c>
      <c r="D310" s="5">
        <f>Data_Entry!AD399</f>
        <v>5.54</v>
      </c>
      <c r="E310" s="6">
        <f t="shared" si="72"/>
        <v>0.281313131313128</v>
      </c>
      <c r="F310" s="7">
        <v>0</v>
      </c>
      <c r="G310" s="7">
        <v>0</v>
      </c>
      <c r="H310" s="8">
        <f t="shared" si="73"/>
        <v>0</v>
      </c>
      <c r="I310" s="8">
        <f t="shared" si="74"/>
        <v>0</v>
      </c>
      <c r="J310" s="9">
        <v>4125</v>
      </c>
      <c r="K310" s="10"/>
      <c r="L310" s="9">
        <f t="shared" si="75"/>
        <v>49500</v>
      </c>
      <c r="M310" s="8">
        <f t="shared" si="76"/>
        <v>0</v>
      </c>
      <c r="N310" s="11">
        <f t="shared" si="77"/>
        <v>1</v>
      </c>
      <c r="O310" s="12">
        <f t="shared" si="78"/>
        <v>0.281313131313128</v>
      </c>
      <c r="P310" s="12"/>
      <c r="Q310" s="9">
        <f t="shared" si="79"/>
        <v>27849.9999999997</v>
      </c>
      <c r="R310" s="13">
        <f t="shared" si="80"/>
        <v>0</v>
      </c>
    </row>
    <row r="311" spans="1:19">
      <c r="A311" s="14">
        <v>46145</v>
      </c>
      <c r="B311" s="4">
        <f>Data_Entry!X400</f>
        <v>27849.9999999997</v>
      </c>
      <c r="C311" s="4">
        <v>1</v>
      </c>
      <c r="D311" s="5">
        <f>Data_Entry!AD400</f>
        <v>4.4</v>
      </c>
      <c r="E311" s="6">
        <f t="shared" ref="E311:E328" si="81">B311/(24*J311)</f>
        <v>0.281313131313128</v>
      </c>
      <c r="F311" s="7">
        <v>0.530555555555556</v>
      </c>
      <c r="G311" s="7">
        <v>0.605555555555556</v>
      </c>
      <c r="H311" s="8">
        <f t="shared" ref="H311:H328" si="82">(G311-F311)*24*60</f>
        <v>108</v>
      </c>
      <c r="I311" s="8">
        <f t="shared" ref="I311:I328" si="83">H311/60</f>
        <v>1.8</v>
      </c>
      <c r="J311" s="9">
        <v>4125</v>
      </c>
      <c r="K311" s="10">
        <v>320.46</v>
      </c>
      <c r="L311" s="9">
        <f t="shared" ref="L311:L328" si="84">J311*12</f>
        <v>49500</v>
      </c>
      <c r="M311" s="8">
        <f t="shared" ref="M311:M328" si="85">K311*I311</f>
        <v>576.828</v>
      </c>
      <c r="N311" s="11">
        <f t="shared" ref="N311:N328" si="86">(L311-M311)/L311</f>
        <v>0.988346909090909</v>
      </c>
      <c r="O311" s="12">
        <f t="shared" ref="O311:O328" si="87">E311/N311</f>
        <v>0.28462994999588</v>
      </c>
      <c r="P311" s="12" t="s">
        <v>251</v>
      </c>
      <c r="Q311" s="9">
        <f t="shared" ref="Q311:Q328" si="88">O311*J311*24</f>
        <v>28178.3650495922</v>
      </c>
      <c r="R311" s="13">
        <f t="shared" ref="R311:R328" si="89">Q311-B311</f>
        <v>328.365049592452</v>
      </c>
      <c r="S311" t="s">
        <v>254</v>
      </c>
    </row>
    <row r="312" spans="1:19">
      <c r="A312" s="14">
        <v>46146</v>
      </c>
      <c r="B312" s="4">
        <f>Data_Entry!X401</f>
        <v>27500</v>
      </c>
      <c r="C312" s="4">
        <v>0</v>
      </c>
      <c r="D312" s="5">
        <f>Data_Entry!AD401</f>
        <v>5.52</v>
      </c>
      <c r="E312" s="6">
        <f t="shared" si="81"/>
        <v>0.277777777777778</v>
      </c>
      <c r="F312" s="7">
        <v>0</v>
      </c>
      <c r="G312" s="7">
        <v>0</v>
      </c>
      <c r="H312" s="8">
        <f t="shared" si="82"/>
        <v>0</v>
      </c>
      <c r="I312" s="8">
        <f t="shared" si="83"/>
        <v>0</v>
      </c>
      <c r="J312" s="9">
        <v>4125</v>
      </c>
      <c r="K312" s="10"/>
      <c r="L312" s="9">
        <f t="shared" si="84"/>
        <v>49500</v>
      </c>
      <c r="M312" s="8">
        <f t="shared" si="85"/>
        <v>0</v>
      </c>
      <c r="N312" s="11">
        <f t="shared" si="86"/>
        <v>1</v>
      </c>
      <c r="O312" s="12">
        <f t="shared" si="87"/>
        <v>0.277777777777778</v>
      </c>
      <c r="P312" s="12"/>
      <c r="Q312" s="9">
        <f t="shared" si="88"/>
        <v>27500</v>
      </c>
      <c r="R312" s="13">
        <f t="shared" si="89"/>
        <v>0</v>
      </c>
    </row>
    <row r="313" spans="1:19">
      <c r="A313" s="14">
        <v>46147</v>
      </c>
      <c r="B313" s="4">
        <f>Data_Entry!X402</f>
        <v>27799.9999999997</v>
      </c>
      <c r="C313" s="4">
        <v>0</v>
      </c>
      <c r="D313" s="5">
        <f>Data_Entry!AD402</f>
        <v>5.36</v>
      </c>
      <c r="E313" s="6">
        <f t="shared" si="81"/>
        <v>0.280808080808078</v>
      </c>
      <c r="F313" s="7">
        <v>0</v>
      </c>
      <c r="G313" s="7">
        <v>0</v>
      </c>
      <c r="H313" s="8">
        <f t="shared" si="82"/>
        <v>0</v>
      </c>
      <c r="I313" s="8">
        <f t="shared" si="83"/>
        <v>0</v>
      </c>
      <c r="J313" s="9">
        <v>4125</v>
      </c>
      <c r="K313" s="10"/>
      <c r="L313" s="9">
        <f t="shared" si="84"/>
        <v>49500</v>
      </c>
      <c r="M313" s="8">
        <f t="shared" si="85"/>
        <v>0</v>
      </c>
      <c r="N313" s="11">
        <f t="shared" si="86"/>
        <v>1</v>
      </c>
      <c r="O313" s="12">
        <f t="shared" si="87"/>
        <v>0.280808080808078</v>
      </c>
      <c r="P313" s="12"/>
      <c r="Q313" s="9">
        <f t="shared" si="88"/>
        <v>27799.9999999997</v>
      </c>
      <c r="R313" s="13">
        <f t="shared" si="89"/>
        <v>0</v>
      </c>
    </row>
    <row r="314" spans="1:19">
      <c r="A314" s="14">
        <v>46148</v>
      </c>
      <c r="B314" s="4">
        <f>Data_Entry!X403</f>
        <v>28200.0000000005</v>
      </c>
      <c r="C314" s="4">
        <v>0</v>
      </c>
      <c r="D314" s="5">
        <f>Data_Entry!AD403</f>
        <v>5.67</v>
      </c>
      <c r="E314" s="6">
        <f t="shared" si="81"/>
        <v>0.28484848484849</v>
      </c>
      <c r="F314" s="7">
        <v>0</v>
      </c>
      <c r="G314" s="7">
        <v>0</v>
      </c>
      <c r="H314" s="8">
        <f t="shared" si="82"/>
        <v>0</v>
      </c>
      <c r="I314" s="8">
        <f t="shared" si="83"/>
        <v>0</v>
      </c>
      <c r="J314" s="9">
        <v>4125</v>
      </c>
      <c r="K314" s="10"/>
      <c r="L314" s="9">
        <f t="shared" si="84"/>
        <v>49500</v>
      </c>
      <c r="M314" s="8">
        <f t="shared" si="85"/>
        <v>0</v>
      </c>
      <c r="N314" s="11">
        <f t="shared" si="86"/>
        <v>1</v>
      </c>
      <c r="O314" s="12">
        <f t="shared" si="87"/>
        <v>0.28484848484849</v>
      </c>
      <c r="P314" s="12"/>
      <c r="Q314" s="9">
        <f t="shared" si="88"/>
        <v>28200.0000000005</v>
      </c>
      <c r="R314" s="13">
        <f t="shared" si="89"/>
        <v>0</v>
      </c>
    </row>
    <row r="315" spans="1:19">
      <c r="A315" s="14">
        <v>46149</v>
      </c>
      <c r="B315" s="4">
        <f>Data_Entry!X404</f>
        <v>28100.0000000006</v>
      </c>
      <c r="C315" s="4">
        <v>0</v>
      </c>
      <c r="D315" s="5">
        <f>Data_Entry!AD404</f>
        <v>5.76</v>
      </c>
      <c r="E315" s="6">
        <f t="shared" si="81"/>
        <v>0.28383838383839</v>
      </c>
      <c r="F315" s="7">
        <v>0</v>
      </c>
      <c r="G315" s="7">
        <v>0</v>
      </c>
      <c r="H315" s="8">
        <f t="shared" si="82"/>
        <v>0</v>
      </c>
      <c r="I315" s="8">
        <f t="shared" si="83"/>
        <v>0</v>
      </c>
      <c r="J315" s="9">
        <v>4125</v>
      </c>
      <c r="K315" s="10"/>
      <c r="L315" s="9">
        <f t="shared" si="84"/>
        <v>49500</v>
      </c>
      <c r="M315" s="8">
        <f t="shared" si="85"/>
        <v>0</v>
      </c>
      <c r="N315" s="11">
        <f t="shared" si="86"/>
        <v>1</v>
      </c>
      <c r="O315" s="12">
        <f t="shared" si="87"/>
        <v>0.28383838383839</v>
      </c>
      <c r="P315" s="12"/>
      <c r="Q315" s="9">
        <f t="shared" si="88"/>
        <v>28100.0000000006</v>
      </c>
      <c r="R315" s="13">
        <f t="shared" si="89"/>
        <v>0</v>
      </c>
    </row>
    <row r="316" spans="1:19">
      <c r="A316" s="14">
        <v>46150</v>
      </c>
      <c r="B316" s="4">
        <f>Data_Entry!X405</f>
        <v>28149.9999999994</v>
      </c>
      <c r="C316" s="4">
        <v>0</v>
      </c>
      <c r="D316" s="5">
        <f>Data_Entry!AD405</f>
        <v>5.73</v>
      </c>
      <c r="E316" s="6">
        <f t="shared" si="81"/>
        <v>0.284343434343428</v>
      </c>
      <c r="F316" s="7">
        <v>0</v>
      </c>
      <c r="G316" s="7">
        <v>0</v>
      </c>
      <c r="H316" s="8">
        <f t="shared" si="82"/>
        <v>0</v>
      </c>
      <c r="I316" s="8">
        <f t="shared" si="83"/>
        <v>0</v>
      </c>
      <c r="J316" s="9">
        <v>4125</v>
      </c>
      <c r="K316" s="10"/>
      <c r="L316" s="9">
        <f t="shared" si="84"/>
        <v>49500</v>
      </c>
      <c r="M316" s="8">
        <f t="shared" si="85"/>
        <v>0</v>
      </c>
      <c r="N316" s="11">
        <f t="shared" si="86"/>
        <v>1</v>
      </c>
      <c r="O316" s="12">
        <f t="shared" si="87"/>
        <v>0.284343434343428</v>
      </c>
      <c r="P316" s="12"/>
      <c r="Q316" s="9">
        <f t="shared" si="88"/>
        <v>28149.9999999994</v>
      </c>
      <c r="R316" s="13">
        <f t="shared" si="89"/>
        <v>0</v>
      </c>
    </row>
    <row r="317" spans="1:19">
      <c r="A317" s="14">
        <v>46151</v>
      </c>
      <c r="B317" s="4">
        <f>Data_Entry!X406</f>
        <v>27899.9999999996</v>
      </c>
      <c r="C317" s="4">
        <v>0</v>
      </c>
      <c r="D317" s="5">
        <f>Data_Entry!AD406</f>
        <v>5.61</v>
      </c>
      <c r="E317" s="6">
        <f t="shared" si="81"/>
        <v>0.281818181818178</v>
      </c>
      <c r="F317" s="7">
        <v>0</v>
      </c>
      <c r="G317" s="7">
        <v>0</v>
      </c>
      <c r="H317" s="8">
        <f t="shared" si="82"/>
        <v>0</v>
      </c>
      <c r="I317" s="8">
        <f t="shared" si="83"/>
        <v>0</v>
      </c>
      <c r="J317" s="9">
        <v>4125</v>
      </c>
      <c r="K317" s="10"/>
      <c r="L317" s="9">
        <f t="shared" si="84"/>
        <v>49500</v>
      </c>
      <c r="M317" s="8">
        <f t="shared" si="85"/>
        <v>0</v>
      </c>
      <c r="N317" s="11">
        <f t="shared" si="86"/>
        <v>1</v>
      </c>
      <c r="O317" s="12">
        <f t="shared" si="87"/>
        <v>0.281818181818178</v>
      </c>
      <c r="P317" s="12"/>
      <c r="Q317" s="9">
        <f t="shared" si="88"/>
        <v>27899.9999999996</v>
      </c>
      <c r="R317" s="13">
        <f t="shared" si="89"/>
        <v>0</v>
      </c>
    </row>
    <row r="318" spans="1:19">
      <c r="A318" s="14">
        <v>46152</v>
      </c>
      <c r="B318" s="4">
        <f>Data_Entry!X407</f>
        <v>28700</v>
      </c>
      <c r="C318" s="4">
        <v>0</v>
      </c>
      <c r="D318" s="5">
        <f>Data_Entry!AD407</f>
        <v>5.57</v>
      </c>
      <c r="E318" s="6">
        <f t="shared" si="81"/>
        <v>0.28989898989899</v>
      </c>
      <c r="F318" s="7">
        <v>0</v>
      </c>
      <c r="G318" s="7">
        <v>0</v>
      </c>
      <c r="H318" s="8">
        <f t="shared" si="82"/>
        <v>0</v>
      </c>
      <c r="I318" s="8">
        <f t="shared" si="83"/>
        <v>0</v>
      </c>
      <c r="J318" s="9">
        <v>4125</v>
      </c>
      <c r="K318" s="10"/>
      <c r="L318" s="9">
        <f t="shared" si="84"/>
        <v>49500</v>
      </c>
      <c r="M318" s="8">
        <f t="shared" si="85"/>
        <v>0</v>
      </c>
      <c r="N318" s="11">
        <f t="shared" si="86"/>
        <v>1</v>
      </c>
      <c r="O318" s="12">
        <f t="shared" si="87"/>
        <v>0.28989898989899</v>
      </c>
      <c r="P318" s="12"/>
      <c r="Q318" s="9">
        <f t="shared" si="88"/>
        <v>28700</v>
      </c>
      <c r="R318" s="13">
        <f t="shared" si="89"/>
        <v>0</v>
      </c>
    </row>
    <row r="319" spans="1:19">
      <c r="A319" s="14">
        <v>46153</v>
      </c>
      <c r="B319" s="4">
        <f>Data_Entry!X408</f>
        <v>28450.0000000003</v>
      </c>
      <c r="C319" s="4">
        <v>0</v>
      </c>
      <c r="D319" s="5">
        <f>Data_Entry!AD408</f>
        <v>5.48</v>
      </c>
      <c r="E319" s="6">
        <f t="shared" si="81"/>
        <v>0.28737373737374</v>
      </c>
      <c r="F319" s="7">
        <v>0</v>
      </c>
      <c r="G319" s="7">
        <v>0</v>
      </c>
      <c r="H319" s="8">
        <f t="shared" si="82"/>
        <v>0</v>
      </c>
      <c r="I319" s="8">
        <f t="shared" si="83"/>
        <v>0</v>
      </c>
      <c r="J319" s="9">
        <v>4125</v>
      </c>
      <c r="K319" s="10"/>
      <c r="L319" s="9">
        <f t="shared" si="84"/>
        <v>49500</v>
      </c>
      <c r="M319" s="8">
        <f t="shared" si="85"/>
        <v>0</v>
      </c>
      <c r="N319" s="11">
        <f t="shared" si="86"/>
        <v>1</v>
      </c>
      <c r="O319" s="12">
        <f t="shared" si="87"/>
        <v>0.28737373737374</v>
      </c>
      <c r="P319" s="12"/>
      <c r="Q319" s="9">
        <f t="shared" si="88"/>
        <v>28450.0000000003</v>
      </c>
      <c r="R319" s="13">
        <f t="shared" si="89"/>
        <v>0</v>
      </c>
    </row>
    <row r="320" spans="1:19">
      <c r="A320" s="14">
        <v>46154</v>
      </c>
      <c r="B320" s="4">
        <f>Data_Entry!X409</f>
        <v>27599.9999999999</v>
      </c>
      <c r="C320" s="4">
        <v>0</v>
      </c>
      <c r="D320" s="5">
        <f>Data_Entry!AD409</f>
        <v>5.31</v>
      </c>
      <c r="E320" s="6">
        <f t="shared" si="81"/>
        <v>0.278787878787878</v>
      </c>
      <c r="F320" s="7">
        <v>0</v>
      </c>
      <c r="G320" s="7">
        <v>0</v>
      </c>
      <c r="H320" s="8">
        <f t="shared" si="82"/>
        <v>0</v>
      </c>
      <c r="I320" s="8">
        <f t="shared" si="83"/>
        <v>0</v>
      </c>
      <c r="J320" s="9">
        <v>4125</v>
      </c>
      <c r="K320" s="10"/>
      <c r="L320" s="9">
        <f t="shared" si="84"/>
        <v>49500</v>
      </c>
      <c r="M320" s="8">
        <f t="shared" si="85"/>
        <v>0</v>
      </c>
      <c r="N320" s="11">
        <f t="shared" si="86"/>
        <v>1</v>
      </c>
      <c r="O320" s="12">
        <f t="shared" si="87"/>
        <v>0.278787878787878</v>
      </c>
      <c r="P320" s="12"/>
      <c r="Q320" s="9">
        <f t="shared" si="88"/>
        <v>27599.9999999999</v>
      </c>
      <c r="R320" s="13">
        <f t="shared" si="89"/>
        <v>0</v>
      </c>
    </row>
    <row r="321" spans="1:19">
      <c r="A321" s="14">
        <v>46155</v>
      </c>
      <c r="B321" s="4">
        <f>Data_Entry!X410</f>
        <v>27150.0000000003</v>
      </c>
      <c r="C321" s="4">
        <v>0</v>
      </c>
      <c r="D321" s="5">
        <f>Data_Entry!AD410</f>
        <v>5.42</v>
      </c>
      <c r="E321" s="6">
        <f t="shared" si="81"/>
        <v>0.274242424242427</v>
      </c>
      <c r="F321" s="7">
        <v>0</v>
      </c>
      <c r="G321" s="7">
        <v>0</v>
      </c>
      <c r="H321" s="8">
        <f t="shared" si="82"/>
        <v>0</v>
      </c>
      <c r="I321" s="8">
        <f t="shared" si="83"/>
        <v>0</v>
      </c>
      <c r="J321" s="9">
        <v>4125</v>
      </c>
      <c r="K321" s="10"/>
      <c r="L321" s="9">
        <f t="shared" si="84"/>
        <v>49500</v>
      </c>
      <c r="M321" s="8">
        <f t="shared" si="85"/>
        <v>0</v>
      </c>
      <c r="N321" s="11">
        <f t="shared" si="86"/>
        <v>1</v>
      </c>
      <c r="O321" s="12">
        <f t="shared" si="87"/>
        <v>0.274242424242427</v>
      </c>
      <c r="P321" s="12"/>
      <c r="Q321" s="9">
        <f t="shared" si="88"/>
        <v>27150.0000000003</v>
      </c>
      <c r="R321" s="13">
        <f t="shared" si="89"/>
        <v>0</v>
      </c>
    </row>
    <row r="322" spans="1:19">
      <c r="A322" s="14">
        <v>46156</v>
      </c>
      <c r="B322" s="4">
        <f>Data_Entry!X411</f>
        <v>27999.9999999995</v>
      </c>
      <c r="C322" s="4">
        <v>0</v>
      </c>
      <c r="D322" s="5">
        <f>Data_Entry!AD411</f>
        <v>5.53</v>
      </c>
      <c r="E322" s="6">
        <f t="shared" si="81"/>
        <v>0.282828282828278</v>
      </c>
      <c r="F322" s="7">
        <v>0</v>
      </c>
      <c r="G322" s="7">
        <v>0</v>
      </c>
      <c r="H322" s="8">
        <f t="shared" si="82"/>
        <v>0</v>
      </c>
      <c r="I322" s="8">
        <f t="shared" si="83"/>
        <v>0</v>
      </c>
      <c r="J322" s="9">
        <v>4125</v>
      </c>
      <c r="K322" s="10"/>
      <c r="L322" s="9">
        <f t="shared" si="84"/>
        <v>49500</v>
      </c>
      <c r="M322" s="8">
        <f t="shared" si="85"/>
        <v>0</v>
      </c>
      <c r="N322" s="11">
        <f t="shared" si="86"/>
        <v>1</v>
      </c>
      <c r="O322" s="12">
        <f t="shared" si="87"/>
        <v>0.282828282828278</v>
      </c>
      <c r="P322" s="12"/>
      <c r="Q322" s="9">
        <f t="shared" si="88"/>
        <v>27999.9999999995</v>
      </c>
      <c r="R322" s="13">
        <f t="shared" si="89"/>
        <v>0</v>
      </c>
    </row>
    <row r="323" spans="1:19">
      <c r="A323" s="14">
        <v>46157</v>
      </c>
      <c r="B323" s="4">
        <f>Data_Entry!X412</f>
        <v>28200.0000000005</v>
      </c>
      <c r="C323" s="4">
        <v>0</v>
      </c>
      <c r="D323" s="5">
        <f>Data_Entry!AD412</f>
        <v>5.87</v>
      </c>
      <c r="E323" s="6">
        <f t="shared" si="81"/>
        <v>0.28484848484849</v>
      </c>
      <c r="F323" s="7">
        <v>0</v>
      </c>
      <c r="G323" s="7">
        <v>0</v>
      </c>
      <c r="H323" s="8">
        <f t="shared" si="82"/>
        <v>0</v>
      </c>
      <c r="I323" s="8">
        <f t="shared" si="83"/>
        <v>0</v>
      </c>
      <c r="J323" s="9">
        <v>4125</v>
      </c>
      <c r="K323" s="10"/>
      <c r="L323" s="9">
        <f t="shared" si="84"/>
        <v>49500</v>
      </c>
      <c r="M323" s="8">
        <f t="shared" si="85"/>
        <v>0</v>
      </c>
      <c r="N323" s="11">
        <f t="shared" si="86"/>
        <v>1</v>
      </c>
      <c r="O323" s="12">
        <f t="shared" si="87"/>
        <v>0.28484848484849</v>
      </c>
      <c r="P323" s="12"/>
      <c r="Q323" s="9">
        <f t="shared" si="88"/>
        <v>28200.0000000005</v>
      </c>
      <c r="R323" s="13">
        <f t="shared" si="89"/>
        <v>0</v>
      </c>
    </row>
    <row r="324" spans="1:19">
      <c r="A324" s="14">
        <v>46158</v>
      </c>
      <c r="B324" s="4">
        <f>Data_Entry!X413</f>
        <v>28049.9999999995</v>
      </c>
      <c r="C324" s="4">
        <v>0</v>
      </c>
      <c r="D324" s="5">
        <f>Data_Entry!AD413</f>
        <v>5.67</v>
      </c>
      <c r="E324" s="6">
        <f t="shared" si="81"/>
        <v>0.283333333333328</v>
      </c>
      <c r="F324" s="7">
        <v>0</v>
      </c>
      <c r="G324" s="7">
        <v>0</v>
      </c>
      <c r="H324" s="8">
        <f t="shared" si="82"/>
        <v>0</v>
      </c>
      <c r="I324" s="8">
        <f t="shared" si="83"/>
        <v>0</v>
      </c>
      <c r="J324" s="9">
        <v>4125</v>
      </c>
      <c r="K324" s="10"/>
      <c r="L324" s="9">
        <f t="shared" si="84"/>
        <v>49500</v>
      </c>
      <c r="M324" s="8">
        <f t="shared" si="85"/>
        <v>0</v>
      </c>
      <c r="N324" s="11">
        <f t="shared" si="86"/>
        <v>1</v>
      </c>
      <c r="O324" s="12">
        <f t="shared" si="87"/>
        <v>0.283333333333328</v>
      </c>
      <c r="P324" s="12"/>
      <c r="Q324" s="9">
        <f t="shared" si="88"/>
        <v>28049.9999999995</v>
      </c>
      <c r="R324" s="13">
        <f t="shared" si="89"/>
        <v>0</v>
      </c>
    </row>
    <row r="325" spans="1:19">
      <c r="A325" s="14">
        <v>46159</v>
      </c>
      <c r="B325" s="4">
        <f>Data_Entry!X414</f>
        <v>27699.9999999998</v>
      </c>
      <c r="C325" s="4">
        <v>0</v>
      </c>
      <c r="D325" s="5">
        <f>Data_Entry!AD414</f>
        <v>5.55</v>
      </c>
      <c r="E325" s="6">
        <f t="shared" si="81"/>
        <v>0.279797979797978</v>
      </c>
      <c r="F325" s="7">
        <v>0</v>
      </c>
      <c r="G325" s="7">
        <v>0</v>
      </c>
      <c r="H325" s="8">
        <f t="shared" si="82"/>
        <v>0</v>
      </c>
      <c r="I325" s="8">
        <f t="shared" si="83"/>
        <v>0</v>
      </c>
      <c r="J325" s="9">
        <v>4125</v>
      </c>
      <c r="K325" s="10"/>
      <c r="L325" s="9">
        <f t="shared" si="84"/>
        <v>49500</v>
      </c>
      <c r="M325" s="8">
        <f t="shared" si="85"/>
        <v>0</v>
      </c>
      <c r="N325" s="11">
        <f t="shared" si="86"/>
        <v>1</v>
      </c>
      <c r="O325" s="12">
        <f t="shared" si="87"/>
        <v>0.279797979797978</v>
      </c>
      <c r="P325" s="12"/>
      <c r="Q325" s="9">
        <f t="shared" si="88"/>
        <v>27699.9999999998</v>
      </c>
      <c r="R325" s="13">
        <f t="shared" si="89"/>
        <v>0</v>
      </c>
    </row>
    <row r="326" spans="1:19">
      <c r="A326" s="14">
        <v>46160</v>
      </c>
      <c r="B326" s="4">
        <f>Data_Entry!X415</f>
        <v>27100.0000000004</v>
      </c>
      <c r="C326" s="4">
        <v>0</v>
      </c>
      <c r="D326" s="5">
        <f>Data_Entry!AD415</f>
        <v>4.46</v>
      </c>
      <c r="E326" s="6">
        <f t="shared" si="81"/>
        <v>0.273737373737378</v>
      </c>
      <c r="F326" s="7">
        <v>0</v>
      </c>
      <c r="G326" s="7">
        <v>0</v>
      </c>
      <c r="H326" s="8">
        <f t="shared" si="82"/>
        <v>0</v>
      </c>
      <c r="I326" s="8">
        <f t="shared" si="83"/>
        <v>0</v>
      </c>
      <c r="J326" s="9">
        <v>4125</v>
      </c>
      <c r="K326" s="10"/>
      <c r="L326" s="9">
        <f t="shared" si="84"/>
        <v>49500</v>
      </c>
      <c r="M326" s="8">
        <f t="shared" si="85"/>
        <v>0</v>
      </c>
      <c r="N326" s="11">
        <f t="shared" si="86"/>
        <v>1</v>
      </c>
      <c r="O326" s="12">
        <f t="shared" si="87"/>
        <v>0.273737373737378</v>
      </c>
      <c r="P326" s="12"/>
      <c r="Q326" s="9">
        <f t="shared" si="88"/>
        <v>27100.0000000004</v>
      </c>
      <c r="R326" s="13">
        <f t="shared" si="89"/>
        <v>0</v>
      </c>
    </row>
    <row r="327" spans="1:19">
      <c r="A327" s="14">
        <v>46161</v>
      </c>
      <c r="B327" s="4">
        <f>Data_Entry!X416</f>
        <v>28400.0000000003</v>
      </c>
      <c r="C327" s="4">
        <v>0</v>
      </c>
      <c r="D327" s="5">
        <f>Data_Entry!AD416</f>
        <v>2.93</v>
      </c>
      <c r="E327" s="6">
        <f t="shared" si="81"/>
        <v>0.28686868686869</v>
      </c>
      <c r="F327" s="7">
        <v>0</v>
      </c>
      <c r="G327" s="7">
        <v>0</v>
      </c>
      <c r="H327" s="8">
        <f t="shared" si="82"/>
        <v>0</v>
      </c>
      <c r="I327" s="8">
        <f t="shared" si="83"/>
        <v>0</v>
      </c>
      <c r="J327" s="9">
        <v>4125</v>
      </c>
      <c r="K327" s="10"/>
      <c r="L327" s="9">
        <f t="shared" si="84"/>
        <v>49500</v>
      </c>
      <c r="M327" s="8">
        <f t="shared" si="85"/>
        <v>0</v>
      </c>
      <c r="N327" s="11">
        <f t="shared" si="86"/>
        <v>1</v>
      </c>
      <c r="O327" s="12">
        <f t="shared" si="87"/>
        <v>0.28686868686869</v>
      </c>
      <c r="P327" s="12"/>
      <c r="Q327" s="9">
        <f t="shared" si="88"/>
        <v>28400.0000000003</v>
      </c>
      <c r="R327" s="13">
        <f t="shared" si="89"/>
        <v>0</v>
      </c>
    </row>
    <row r="328" spans="1:19">
      <c r="A328" s="14">
        <v>46162</v>
      </c>
      <c r="B328" s="4">
        <f>Data_Entry!X417</f>
        <v>26849.9999999995</v>
      </c>
      <c r="C328" s="4">
        <v>0</v>
      </c>
      <c r="D328" s="5">
        <f>Data_Entry!AD417</f>
        <v>5.61</v>
      </c>
      <c r="E328" s="6">
        <f t="shared" si="81"/>
        <v>0.271212121212116</v>
      </c>
      <c r="F328" s="7">
        <v>0</v>
      </c>
      <c r="G328" s="7">
        <v>0</v>
      </c>
      <c r="H328" s="8">
        <f t="shared" si="82"/>
        <v>0</v>
      </c>
      <c r="I328" s="8">
        <f t="shared" si="83"/>
        <v>0</v>
      </c>
      <c r="J328" s="9">
        <v>4125</v>
      </c>
      <c r="K328" s="10"/>
      <c r="L328" s="9">
        <f t="shared" si="84"/>
        <v>49500</v>
      </c>
      <c r="M328" s="8">
        <f t="shared" si="85"/>
        <v>0</v>
      </c>
      <c r="N328" s="11">
        <f t="shared" si="86"/>
        <v>1</v>
      </c>
      <c r="O328" s="12">
        <f t="shared" si="87"/>
        <v>0.271212121212116</v>
      </c>
      <c r="P328" s="12"/>
      <c r="Q328" s="9">
        <f t="shared" si="88"/>
        <v>26849.9999999995</v>
      </c>
      <c r="R328" s="13">
        <f t="shared" si="89"/>
        <v>0</v>
      </c>
    </row>
    <row r="329" spans="1:19">
      <c r="A329" s="14">
        <v>46163</v>
      </c>
      <c r="B329" s="4">
        <f>Data_Entry!X418</f>
        <v>6100.00000000014</v>
      </c>
      <c r="C329" s="4">
        <v>0</v>
      </c>
      <c r="D329" s="5">
        <f>Data_Entry!AD418</f>
        <v>1.74</v>
      </c>
      <c r="E329" s="6">
        <f t="shared" ref="E329:E338" si="90">B329/(24*J329)</f>
        <v>0.061616161616163</v>
      </c>
      <c r="F329" s="7">
        <v>0</v>
      </c>
      <c r="G329" s="7">
        <v>0</v>
      </c>
      <c r="H329" s="8">
        <f t="shared" ref="H329:H344" si="91">(G329-F329)*24*60</f>
        <v>0</v>
      </c>
      <c r="I329" s="8">
        <f t="shared" ref="I329:I344" si="92">H329/60</f>
        <v>0</v>
      </c>
      <c r="J329" s="9">
        <v>4125</v>
      </c>
      <c r="K329" s="10"/>
      <c r="L329" s="9">
        <f t="shared" ref="L329:L344" si="93">J329*12</f>
        <v>49500</v>
      </c>
      <c r="M329" s="8">
        <f t="shared" ref="M329:M344" si="94">K329*I329</f>
        <v>0</v>
      </c>
      <c r="N329" s="11">
        <f t="shared" ref="N329:N344" si="95">(L329-M329)/L329</f>
        <v>1</v>
      </c>
      <c r="O329" s="12">
        <f t="shared" ref="O329:O344" si="96">E329/N329</f>
        <v>0.061616161616163</v>
      </c>
      <c r="P329" s="12"/>
      <c r="Q329" s="9">
        <f t="shared" ref="Q329:Q344" si="97">O329*J329*24</f>
        <v>6100.00000000014</v>
      </c>
      <c r="R329" s="13">
        <f t="shared" ref="R329:R344" si="98">Q329-B329</f>
        <v>0</v>
      </c>
    </row>
    <row r="330" spans="1:19">
      <c r="A330" s="14">
        <v>46164</v>
      </c>
      <c r="B330" s="4">
        <f>Data_Entry!X419</f>
        <v>26300</v>
      </c>
      <c r="C330" s="4">
        <v>0</v>
      </c>
      <c r="D330" s="5">
        <f>Data_Entry!AD419</f>
        <v>5.85</v>
      </c>
      <c r="E330" s="6">
        <f t="shared" si="90"/>
        <v>0.265656565656565</v>
      </c>
      <c r="F330" s="7">
        <v>0.539583333333333</v>
      </c>
      <c r="G330" s="7">
        <v>0.575</v>
      </c>
      <c r="H330" s="8">
        <f t="shared" si="91"/>
        <v>51.0000000000005</v>
      </c>
      <c r="I330" s="8">
        <f t="shared" si="92"/>
        <v>0.850000000000008</v>
      </c>
      <c r="J330" s="9">
        <v>4125</v>
      </c>
      <c r="K330" s="10">
        <v>137.34</v>
      </c>
      <c r="L330" s="9">
        <f t="shared" si="93"/>
        <v>49500</v>
      </c>
      <c r="M330" s="8">
        <f t="shared" si="94"/>
        <v>116.739000000001</v>
      </c>
      <c r="N330" s="11">
        <f t="shared" si="95"/>
        <v>0.997641636363636</v>
      </c>
      <c r="O330" s="12">
        <f t="shared" si="96"/>
        <v>0.266284561483292</v>
      </c>
      <c r="P330" s="12" t="s">
        <v>251</v>
      </c>
      <c r="Q330" s="9">
        <f t="shared" si="97"/>
        <v>26362.1715868459</v>
      </c>
      <c r="R330" s="13">
        <f t="shared" si="98"/>
        <v>62.1715868459287</v>
      </c>
    </row>
    <row r="331" spans="1:19">
      <c r="A331" s="14">
        <v>46165</v>
      </c>
      <c r="B331" s="4">
        <f>Data_Entry!X420</f>
        <v>25700.0000000005</v>
      </c>
      <c r="C331" s="4">
        <v>0</v>
      </c>
      <c r="D331" s="5">
        <f>Data_Entry!AD420</f>
        <v>5.67</v>
      </c>
      <c r="E331" s="6">
        <f t="shared" si="90"/>
        <v>0.259595959595965</v>
      </c>
      <c r="F331" s="7">
        <v>0</v>
      </c>
      <c r="G331" s="7">
        <v>0</v>
      </c>
      <c r="H331" s="8">
        <f t="shared" si="91"/>
        <v>0</v>
      </c>
      <c r="I331" s="8">
        <f t="shared" si="92"/>
        <v>0</v>
      </c>
      <c r="J331" s="9">
        <v>4125</v>
      </c>
      <c r="K331" s="10"/>
      <c r="L331" s="9">
        <f t="shared" si="93"/>
        <v>49500</v>
      </c>
      <c r="M331" s="8">
        <f t="shared" si="94"/>
        <v>0</v>
      </c>
      <c r="N331" s="11">
        <f t="shared" si="95"/>
        <v>1</v>
      </c>
      <c r="O331" s="12">
        <f t="shared" si="96"/>
        <v>0.259595959595965</v>
      </c>
      <c r="P331" s="12"/>
      <c r="Q331" s="9">
        <f t="shared" si="97"/>
        <v>25700.0000000005</v>
      </c>
      <c r="R331" s="13">
        <f t="shared" si="98"/>
        <v>3.27418092638254e-11</v>
      </c>
    </row>
    <row r="332" spans="1:19">
      <c r="A332" s="14">
        <v>46166</v>
      </c>
      <c r="B332" s="4">
        <f>Data_Entry!X421</f>
        <v>25649.9999999994</v>
      </c>
      <c r="C332" s="4">
        <v>0</v>
      </c>
      <c r="D332" s="5">
        <f>Data_Entry!AD421</f>
        <v>4.82</v>
      </c>
      <c r="E332" s="6">
        <f t="shared" si="90"/>
        <v>0.259090909090903</v>
      </c>
      <c r="F332" s="7">
        <v>0</v>
      </c>
      <c r="G332" s="7">
        <v>0</v>
      </c>
      <c r="H332" s="8">
        <f t="shared" si="91"/>
        <v>0</v>
      </c>
      <c r="I332" s="8">
        <f t="shared" si="92"/>
        <v>0</v>
      </c>
      <c r="J332" s="9">
        <v>4125</v>
      </c>
      <c r="K332" s="10"/>
      <c r="L332" s="9">
        <f t="shared" si="93"/>
        <v>49500</v>
      </c>
      <c r="M332" s="8">
        <f t="shared" si="94"/>
        <v>0</v>
      </c>
      <c r="N332" s="11">
        <f t="shared" si="95"/>
        <v>1</v>
      </c>
      <c r="O332" s="12">
        <f t="shared" si="96"/>
        <v>0.259090909090903</v>
      </c>
      <c r="P332" s="12"/>
      <c r="Q332" s="9">
        <f t="shared" si="97"/>
        <v>25649.9999999994</v>
      </c>
      <c r="R332" s="13">
        <f t="shared" si="98"/>
        <v>0</v>
      </c>
    </row>
    <row r="333" spans="1:19">
      <c r="A333" s="14">
        <v>46167</v>
      </c>
      <c r="B333" s="4">
        <f>Data_Entry!X422</f>
        <v>16650.0000000008</v>
      </c>
      <c r="C333" s="4">
        <v>0</v>
      </c>
      <c r="D333" s="5">
        <f>Data_Entry!AD422</f>
        <v>3.11</v>
      </c>
      <c r="E333" s="6">
        <f t="shared" si="90"/>
        <v>0.168181818181826</v>
      </c>
      <c r="F333" s="7">
        <v>0.474305555555556</v>
      </c>
      <c r="G333" s="7">
        <v>0.579861111111111</v>
      </c>
      <c r="H333" s="8">
        <f t="shared" si="91"/>
        <v>151.999999999999</v>
      </c>
      <c r="I333" s="8">
        <f t="shared" si="92"/>
        <v>2.53333333333332</v>
      </c>
      <c r="J333" s="9">
        <v>4125</v>
      </c>
      <c r="K333" s="10">
        <v>4125</v>
      </c>
      <c r="L333" s="9">
        <f t="shared" si="93"/>
        <v>49500</v>
      </c>
      <c r="M333" s="8">
        <f t="shared" si="94"/>
        <v>10450</v>
      </c>
      <c r="N333" s="11">
        <f t="shared" si="95"/>
        <v>0.78888888888889</v>
      </c>
      <c r="O333" s="12">
        <f t="shared" si="96"/>
        <v>0.213188220230483</v>
      </c>
      <c r="P333" s="12"/>
      <c r="Q333" s="9">
        <f t="shared" si="97"/>
        <v>21105.6338028179</v>
      </c>
      <c r="R333" s="13">
        <f t="shared" si="98"/>
        <v>4455.63380281706</v>
      </c>
      <c r="S333" t="s">
        <v>255</v>
      </c>
    </row>
    <row r="334" spans="1:19">
      <c r="A334" s="14">
        <v>46168</v>
      </c>
      <c r="B334" s="4">
        <f>Data_Entry!X423</f>
        <v>26300</v>
      </c>
      <c r="C334" s="4">
        <v>0</v>
      </c>
      <c r="D334" s="5">
        <f>Data_Entry!AD423</f>
        <v>5.67</v>
      </c>
      <c r="E334" s="6">
        <f t="shared" si="90"/>
        <v>0.265656565656565</v>
      </c>
      <c r="F334" s="7">
        <v>0</v>
      </c>
      <c r="G334" s="7">
        <v>0</v>
      </c>
      <c r="H334" s="8">
        <f t="shared" si="91"/>
        <v>0</v>
      </c>
      <c r="I334" s="8">
        <f t="shared" si="92"/>
        <v>0</v>
      </c>
      <c r="J334" s="9">
        <v>4125</v>
      </c>
      <c r="K334" s="10"/>
      <c r="L334" s="9">
        <f t="shared" si="93"/>
        <v>49500</v>
      </c>
      <c r="M334" s="8">
        <f t="shared" si="94"/>
        <v>0</v>
      </c>
      <c r="N334" s="11">
        <f t="shared" si="95"/>
        <v>1</v>
      </c>
      <c r="O334" s="12">
        <f t="shared" si="96"/>
        <v>0.265656565656565</v>
      </c>
      <c r="P334" s="12"/>
      <c r="Q334" s="9">
        <f t="shared" si="97"/>
        <v>26299.9999999999</v>
      </c>
      <c r="R334" s="13">
        <f t="shared" si="98"/>
        <v>-6.54836185276508e-11</v>
      </c>
    </row>
    <row r="335" spans="1:19">
      <c r="A335" s="14">
        <v>46169</v>
      </c>
      <c r="B335" s="4">
        <f>Data_Entry!X424</f>
        <v>25599.9999999995</v>
      </c>
      <c r="C335" s="4">
        <v>1</v>
      </c>
      <c r="D335" s="5">
        <f>Data_Entry!AD424</f>
        <v>5.72</v>
      </c>
      <c r="E335" s="6">
        <f t="shared" si="90"/>
        <v>0.258585858585853</v>
      </c>
      <c r="F335" s="7">
        <v>0.50625</v>
      </c>
      <c r="G335" s="7">
        <v>0.547916666666667</v>
      </c>
      <c r="H335" s="8">
        <f t="shared" si="91"/>
        <v>60.0000000000006</v>
      </c>
      <c r="I335" s="8">
        <f t="shared" si="92"/>
        <v>1.00000000000001</v>
      </c>
      <c r="J335" s="9">
        <v>4125</v>
      </c>
      <c r="K335" s="10">
        <v>330</v>
      </c>
      <c r="L335" s="9">
        <f t="shared" si="93"/>
        <v>49500</v>
      </c>
      <c r="M335" s="8">
        <f t="shared" si="94"/>
        <v>330.000000000003</v>
      </c>
      <c r="N335" s="11">
        <f t="shared" si="95"/>
        <v>0.993333333333333</v>
      </c>
      <c r="O335" s="12">
        <f t="shared" si="96"/>
        <v>0.260321334146832</v>
      </c>
      <c r="P335" s="12" t="s">
        <v>251</v>
      </c>
      <c r="Q335" s="9">
        <f t="shared" si="97"/>
        <v>25771.8120805364</v>
      </c>
      <c r="R335" s="13">
        <f t="shared" si="98"/>
        <v>171.812080536856</v>
      </c>
      <c r="S335">
        <v>20</v>
      </c>
    </row>
    <row r="336" spans="1:19">
      <c r="A336" s="14"/>
      <c r="B336" s="4">
        <v>25600</v>
      </c>
      <c r="C336" s="4">
        <v>1</v>
      </c>
      <c r="D336" s="5">
        <v>5.72</v>
      </c>
      <c r="E336" s="6">
        <v>0.2588</v>
      </c>
      <c r="F336" s="7">
        <v>0.555555555555556</v>
      </c>
      <c r="G336" s="7">
        <v>0.56875</v>
      </c>
      <c r="H336" s="8">
        <f t="shared" si="91"/>
        <v>18.9999999999993</v>
      </c>
      <c r="I336" s="8">
        <f t="shared" si="92"/>
        <v>0.316666666666655</v>
      </c>
      <c r="J336" s="9">
        <v>4125</v>
      </c>
      <c r="K336" s="10">
        <v>330</v>
      </c>
      <c r="L336" s="9">
        <f t="shared" si="93"/>
        <v>49500</v>
      </c>
      <c r="M336" s="8">
        <f t="shared" si="94"/>
        <v>104.499999999996</v>
      </c>
      <c r="N336" s="11">
        <f t="shared" si="95"/>
        <v>0.997888888888889</v>
      </c>
      <c r="O336" s="12">
        <f t="shared" si="96"/>
        <v>0.259347511412983</v>
      </c>
      <c r="P336" s="12" t="s">
        <v>251</v>
      </c>
      <c r="Q336" s="9">
        <f t="shared" si="97"/>
        <v>25675.4036298853</v>
      </c>
      <c r="R336" s="13">
        <f t="shared" si="98"/>
        <v>75.4036298853098</v>
      </c>
    </row>
    <row r="337" spans="1:19">
      <c r="A337" s="14"/>
      <c r="B337" s="4">
        <v>25600</v>
      </c>
      <c r="C337" s="4">
        <v>1</v>
      </c>
      <c r="D337" s="5">
        <v>5.72</v>
      </c>
      <c r="E337" s="6">
        <v>0.2588</v>
      </c>
      <c r="F337" s="7">
        <v>0.555555555555556</v>
      </c>
      <c r="G337" s="7">
        <v>0.583333333333333</v>
      </c>
      <c r="H337" s="8">
        <f t="shared" si="91"/>
        <v>39.9999999999989</v>
      </c>
      <c r="I337" s="8">
        <f t="shared" si="92"/>
        <v>0.666666666666648</v>
      </c>
      <c r="J337" s="9">
        <v>4125</v>
      </c>
      <c r="K337" s="10">
        <v>330</v>
      </c>
      <c r="L337" s="9">
        <f t="shared" si="93"/>
        <v>49500</v>
      </c>
      <c r="M337" s="8">
        <f t="shared" si="94"/>
        <v>219.999999999994</v>
      </c>
      <c r="N337" s="11">
        <f t="shared" si="95"/>
        <v>0.995555555555556</v>
      </c>
      <c r="O337" s="12">
        <f t="shared" si="96"/>
        <v>0.259955357142857</v>
      </c>
      <c r="P337" s="12" t="s">
        <v>251</v>
      </c>
      <c r="Q337" s="9">
        <f t="shared" si="97"/>
        <v>25735.5803571428</v>
      </c>
      <c r="R337" s="13">
        <f t="shared" si="98"/>
        <v>135.580357142848</v>
      </c>
    </row>
    <row r="338" spans="1:19">
      <c r="A338" s="14">
        <v>46170</v>
      </c>
      <c r="B338" s="4">
        <f>Data_Entry!X425</f>
        <v>25450.0000000007</v>
      </c>
      <c r="C338" s="4">
        <v>1</v>
      </c>
      <c r="D338" s="5">
        <f>Data_Entry!AD425</f>
        <v>5.82</v>
      </c>
      <c r="E338" s="6">
        <f>B338/(24*J338)</f>
        <v>0.257070707070714</v>
      </c>
      <c r="F338" s="7">
        <v>0.5125</v>
      </c>
      <c r="G338" s="7">
        <v>0.528472222222222</v>
      </c>
      <c r="H338" s="8">
        <f t="shared" si="91"/>
        <v>22.9999999999998</v>
      </c>
      <c r="I338" s="8">
        <f t="shared" si="92"/>
        <v>0.383333333333329</v>
      </c>
      <c r="J338" s="9">
        <v>4125</v>
      </c>
      <c r="K338" s="10">
        <v>330</v>
      </c>
      <c r="L338" s="9">
        <f t="shared" si="93"/>
        <v>49500</v>
      </c>
      <c r="M338" s="8">
        <f t="shared" si="94"/>
        <v>126.499999999999</v>
      </c>
      <c r="N338" s="11">
        <f t="shared" si="95"/>
        <v>0.997444444444444</v>
      </c>
      <c r="O338" s="12">
        <f t="shared" si="96"/>
        <v>0.257729348739715</v>
      </c>
      <c r="P338" s="12" t="s">
        <v>251</v>
      </c>
      <c r="Q338" s="9">
        <f t="shared" si="97"/>
        <v>25515.2055252318</v>
      </c>
      <c r="R338" s="13">
        <f t="shared" si="98"/>
        <v>65.2055252311366</v>
      </c>
      <c r="S338">
        <v>20</v>
      </c>
    </row>
    <row r="339" spans="1:19">
      <c r="A339" s="14"/>
      <c r="B339" s="4">
        <v>25450</v>
      </c>
      <c r="C339" s="4">
        <v>1</v>
      </c>
      <c r="D339" s="5">
        <v>5.82</v>
      </c>
      <c r="E339" s="6">
        <v>0.2571</v>
      </c>
      <c r="F339" s="7">
        <v>0.5125</v>
      </c>
      <c r="G339" s="7">
        <v>0.528472222222222</v>
      </c>
      <c r="H339" s="8">
        <f t="shared" si="91"/>
        <v>22.9999999999998</v>
      </c>
      <c r="I339" s="8">
        <f t="shared" si="92"/>
        <v>0.383333333333329</v>
      </c>
      <c r="J339" s="9">
        <v>4125</v>
      </c>
      <c r="K339" s="10">
        <v>330</v>
      </c>
      <c r="L339" s="9">
        <f t="shared" si="93"/>
        <v>49500</v>
      </c>
      <c r="M339" s="8">
        <f t="shared" si="94"/>
        <v>126.499999999999</v>
      </c>
      <c r="N339" s="11">
        <f t="shared" si="95"/>
        <v>0.997444444444444</v>
      </c>
      <c r="O339" s="12">
        <f t="shared" si="96"/>
        <v>0.257758716720508</v>
      </c>
      <c r="P339" s="12" t="s">
        <v>251</v>
      </c>
      <c r="Q339" s="9">
        <f t="shared" si="97"/>
        <v>25518.1129553303</v>
      </c>
      <c r="R339" s="13">
        <f t="shared" si="98"/>
        <v>68.1129553302853</v>
      </c>
      <c r="S339">
        <v>20</v>
      </c>
    </row>
    <row r="340" spans="1:19">
      <c r="A340" s="14"/>
      <c r="B340" s="4">
        <v>25450</v>
      </c>
      <c r="C340" s="4">
        <v>1</v>
      </c>
      <c r="D340" s="5">
        <v>5.82</v>
      </c>
      <c r="E340" s="6">
        <v>0.2571</v>
      </c>
      <c r="F340" s="7">
        <v>0.559722222222222</v>
      </c>
      <c r="G340" s="7">
        <v>0.586805555555556</v>
      </c>
      <c r="H340" s="8">
        <f t="shared" si="91"/>
        <v>39.000000000001</v>
      </c>
      <c r="I340" s="8">
        <f t="shared" si="92"/>
        <v>0.650000000000016</v>
      </c>
      <c r="J340" s="9">
        <v>4125</v>
      </c>
      <c r="K340" s="10">
        <v>330</v>
      </c>
      <c r="L340" s="9">
        <f t="shared" si="93"/>
        <v>49500</v>
      </c>
      <c r="M340" s="8">
        <f t="shared" si="94"/>
        <v>214.500000000005</v>
      </c>
      <c r="N340" s="11">
        <f t="shared" si="95"/>
        <v>0.995666666666666</v>
      </c>
      <c r="O340" s="12">
        <f t="shared" si="96"/>
        <v>0.258218948778038</v>
      </c>
      <c r="P340" s="12" t="s">
        <v>251</v>
      </c>
      <c r="Q340" s="9">
        <f t="shared" si="97"/>
        <v>25563.6759290258</v>
      </c>
      <c r="R340" s="13">
        <f t="shared" si="98"/>
        <v>113.675929025783</v>
      </c>
      <c r="S340">
        <v>30</v>
      </c>
    </row>
    <row r="341" spans="1:19">
      <c r="A341" s="14"/>
      <c r="B341" s="4">
        <v>25450</v>
      </c>
      <c r="C341" s="4">
        <v>1</v>
      </c>
      <c r="D341" s="5">
        <v>5.82</v>
      </c>
      <c r="E341" s="6">
        <v>0.2571</v>
      </c>
      <c r="F341" s="7">
        <v>0.559722222222222</v>
      </c>
      <c r="G341" s="7">
        <v>0.621527777777778</v>
      </c>
      <c r="H341" s="8">
        <f t="shared" si="91"/>
        <v>89.0000000000006</v>
      </c>
      <c r="I341" s="8">
        <f t="shared" si="92"/>
        <v>1.48333333333334</v>
      </c>
      <c r="J341" s="9">
        <v>4125</v>
      </c>
      <c r="K341" s="10">
        <v>330</v>
      </c>
      <c r="L341" s="9">
        <f t="shared" si="93"/>
        <v>49500</v>
      </c>
      <c r="M341" s="8">
        <f t="shared" si="94"/>
        <v>489.500000000004</v>
      </c>
      <c r="N341" s="11">
        <f t="shared" si="95"/>
        <v>0.990111111111111</v>
      </c>
      <c r="O341" s="12">
        <f t="shared" si="96"/>
        <v>0.259667826282123</v>
      </c>
      <c r="P341" s="12" t="s">
        <v>251</v>
      </c>
      <c r="Q341" s="9">
        <f t="shared" si="97"/>
        <v>25707.1148019302</v>
      </c>
      <c r="R341" s="13">
        <f t="shared" si="98"/>
        <v>257.114801930195</v>
      </c>
      <c r="S341">
        <v>30</v>
      </c>
    </row>
    <row r="342" spans="1:19">
      <c r="A342" s="14">
        <v>46171</v>
      </c>
      <c r="B342" s="4">
        <f>Data_Entry!X426</f>
        <v>23949.9999999998</v>
      </c>
      <c r="C342" s="4">
        <v>1</v>
      </c>
      <c r="D342" s="5">
        <f>Data_Entry!AD426</f>
        <v>5.39</v>
      </c>
      <c r="E342" s="6">
        <f>B342/(24*J342)</f>
        <v>0.24191919191919</v>
      </c>
      <c r="F342" s="7">
        <v>0.516666666666667</v>
      </c>
      <c r="G342" s="7">
        <v>0.6</v>
      </c>
      <c r="H342" s="8">
        <f t="shared" si="91"/>
        <v>119.999999999999</v>
      </c>
      <c r="I342" s="8">
        <f t="shared" si="92"/>
        <v>1.99999999999999</v>
      </c>
      <c r="J342" s="9">
        <v>4125</v>
      </c>
      <c r="K342" s="10">
        <v>330</v>
      </c>
      <c r="L342" s="9">
        <f t="shared" si="93"/>
        <v>49500</v>
      </c>
      <c r="M342" s="8">
        <f t="shared" si="94"/>
        <v>659.999999999997</v>
      </c>
      <c r="N342" s="11">
        <f t="shared" si="95"/>
        <v>0.986666666666667</v>
      </c>
      <c r="O342" s="12">
        <f t="shared" si="96"/>
        <v>0.245188370188368</v>
      </c>
      <c r="P342" s="12" t="s">
        <v>251</v>
      </c>
      <c r="Q342" s="9">
        <f t="shared" si="97"/>
        <v>24273.6486486485</v>
      </c>
      <c r="R342" s="13">
        <f t="shared" si="98"/>
        <v>323.648648648657</v>
      </c>
      <c r="S342">
        <v>50</v>
      </c>
    </row>
    <row r="343" spans="1:19">
      <c r="A343" s="14"/>
      <c r="B343" s="4">
        <v>23950</v>
      </c>
      <c r="C343" s="4">
        <v>1</v>
      </c>
      <c r="D343" s="5">
        <v>5.39</v>
      </c>
      <c r="E343" s="6">
        <v>0.2419</v>
      </c>
      <c r="F343" s="7">
        <v>0.516666666666667</v>
      </c>
      <c r="G343" s="7">
        <v>0.535416666666667</v>
      </c>
      <c r="H343" s="8">
        <f t="shared" si="91"/>
        <v>26.9999999999999</v>
      </c>
      <c r="I343" s="8">
        <f t="shared" si="92"/>
        <v>0.449999999999998</v>
      </c>
      <c r="J343" s="9">
        <v>4125</v>
      </c>
      <c r="K343" s="10">
        <v>330</v>
      </c>
      <c r="L343" s="9">
        <f t="shared" si="93"/>
        <v>49500</v>
      </c>
      <c r="M343" s="8">
        <f t="shared" si="94"/>
        <v>148.499999999999</v>
      </c>
      <c r="N343" s="11">
        <f t="shared" si="95"/>
        <v>0.997</v>
      </c>
      <c r="O343" s="12">
        <f t="shared" si="96"/>
        <v>0.242627883650953</v>
      </c>
      <c r="P343" s="12" t="s">
        <v>251</v>
      </c>
      <c r="Q343" s="9">
        <f t="shared" si="97"/>
        <v>24020.1604814443</v>
      </c>
      <c r="R343" s="13">
        <f t="shared" si="98"/>
        <v>70.1604814443344</v>
      </c>
      <c r="S343">
        <v>20</v>
      </c>
    </row>
    <row r="344" spans="1:19">
      <c r="A344" s="14">
        <v>46172</v>
      </c>
      <c r="B344" s="4">
        <f>Data_Entry!X427</f>
        <v>15699.9999999994</v>
      </c>
      <c r="C344" s="4">
        <v>0</v>
      </c>
      <c r="D344" s="5">
        <f>Data_Entry!AD427</f>
        <v>3.92</v>
      </c>
      <c r="E344" s="6">
        <f>B344/(24*J344)</f>
        <v>0.158585858585853</v>
      </c>
      <c r="F344" s="7">
        <v>0</v>
      </c>
      <c r="G344" s="7">
        <v>0</v>
      </c>
      <c r="H344" s="8">
        <f t="shared" si="91"/>
        <v>0</v>
      </c>
      <c r="I344" s="8">
        <f t="shared" si="92"/>
        <v>0</v>
      </c>
      <c r="J344" s="9">
        <v>4125</v>
      </c>
      <c r="K344" s="10"/>
      <c r="L344" s="9">
        <f t="shared" si="93"/>
        <v>49500</v>
      </c>
      <c r="M344" s="8">
        <f t="shared" si="94"/>
        <v>0</v>
      </c>
      <c r="N344" s="11">
        <f t="shared" si="95"/>
        <v>1</v>
      </c>
      <c r="O344" s="12">
        <f t="shared" si="96"/>
        <v>0.158585858585853</v>
      </c>
      <c r="P344" s="12"/>
      <c r="Q344" s="9">
        <f t="shared" si="97"/>
        <v>15699.9999999994</v>
      </c>
      <c r="R344" s="13">
        <f t="shared" si="98"/>
        <v>0</v>
      </c>
    </row>
    <row r="345" spans="1:19">
      <c r="A345" s="14">
        <v>46173</v>
      </c>
      <c r="B345" s="4">
        <f>Data_Entry!X428</f>
        <v>22799.9999999997</v>
      </c>
      <c r="C345" s="4">
        <v>0</v>
      </c>
      <c r="D345" s="5">
        <f>Data_Entry!AD428</f>
        <v>4.77</v>
      </c>
      <c r="E345" s="6">
        <f>B345/(24*J345)</f>
        <v>0.230303030303027</v>
      </c>
      <c r="F345" s="7">
        <v>0</v>
      </c>
      <c r="G345" s="7">
        <v>0</v>
      </c>
      <c r="H345" s="8">
        <f>(G345-F345)*24*60</f>
        <v>0</v>
      </c>
      <c r="I345" s="8">
        <f>H345/60</f>
        <v>0</v>
      </c>
      <c r="J345" s="9">
        <v>4125</v>
      </c>
      <c r="K345" s="10"/>
      <c r="L345" s="9">
        <f>J345*12</f>
        <v>49500</v>
      </c>
      <c r="M345" s="8">
        <f>K345*I345</f>
        <v>0</v>
      </c>
      <c r="N345" s="11">
        <f>(L345-M345)/L345</f>
        <v>1</v>
      </c>
      <c r="O345" s="12">
        <f>E345/N345</f>
        <v>0.230303030303027</v>
      </c>
      <c r="P345" s="12"/>
      <c r="Q345" s="9">
        <f>O345*J345*24</f>
        <v>22799.9999999997</v>
      </c>
      <c r="R345" s="13">
        <f>Q345-B345</f>
        <v>0</v>
      </c>
    </row>
    <row r="346" spans="1:19">
      <c r="A346" s="14">
        <v>46174</v>
      </c>
      <c r="B346" s="4">
        <f>Data_Entry!X429</f>
        <v>23750</v>
      </c>
      <c r="C346" s="4">
        <v>0</v>
      </c>
      <c r="D346" s="5">
        <f>Data_Entry!AD429</f>
        <v>4.8</v>
      </c>
      <c r="E346" s="6">
        <f>B346/(24*J346)</f>
        <v>0.23989898989899</v>
      </c>
      <c r="F346" s="7">
        <v>0</v>
      </c>
      <c r="G346" s="7">
        <v>0</v>
      </c>
      <c r="H346" s="8">
        <f>(G346-F346)*24*60</f>
        <v>0</v>
      </c>
      <c r="I346" s="8">
        <f>H346/60</f>
        <v>0</v>
      </c>
      <c r="J346" s="9">
        <v>4125</v>
      </c>
      <c r="K346" s="10"/>
      <c r="L346" s="9">
        <f>J346*12</f>
        <v>49500</v>
      </c>
      <c r="M346" s="8">
        <f>K346*I346</f>
        <v>0</v>
      </c>
      <c r="N346" s="11">
        <f>(L346-M346)/L346</f>
        <v>1</v>
      </c>
      <c r="O346" s="12">
        <f>E346/N346</f>
        <v>0.23989898989899</v>
      </c>
      <c r="P346" s="12"/>
      <c r="Q346" s="9">
        <f>O346*J346*24</f>
        <v>23750</v>
      </c>
      <c r="R346" s="13">
        <f>Q346-B346</f>
        <v>0</v>
      </c>
    </row>
    <row r="347" spans="1:19">
      <c r="A347" s="14">
        <v>46175</v>
      </c>
      <c r="B347" s="4">
        <f>Data_Entry!X430</f>
        <v>21250</v>
      </c>
      <c r="C347" s="4">
        <v>1</v>
      </c>
      <c r="D347" s="5">
        <f>Data_Entry!AD430</f>
        <v>4.18</v>
      </c>
      <c r="E347" s="6">
        <f>B347/(24*J347)</f>
        <v>0.214646464646465</v>
      </c>
      <c r="F347" s="7">
        <v>0.355555555555556</v>
      </c>
      <c r="G347" s="7">
        <v>0.364583333333333</v>
      </c>
      <c r="H347" s="8">
        <f>(G347-F347)*24*60</f>
        <v>13</v>
      </c>
      <c r="I347" s="8">
        <f>H347/60</f>
        <v>0.216666666666666</v>
      </c>
      <c r="J347" s="9">
        <v>4125</v>
      </c>
      <c r="K347" s="10">
        <v>330</v>
      </c>
      <c r="L347" s="9">
        <f>J347*12</f>
        <v>49500</v>
      </c>
      <c r="M347" s="8">
        <f>K347*I347</f>
        <v>71.4999999999997</v>
      </c>
      <c r="N347" s="11">
        <f>(L347-M347)/L347</f>
        <v>0.998555555555556</v>
      </c>
      <c r="O347" s="12">
        <f>E347/N347</f>
        <v>0.214956958030286</v>
      </c>
      <c r="P347" s="12" t="s">
        <v>251</v>
      </c>
      <c r="Q347" s="9">
        <f>O347*J347*24</f>
        <v>21280.7388449983</v>
      </c>
      <c r="R347" s="13">
        <f>Q347-B347</f>
        <v>30.73884499833</v>
      </c>
      <c r="S347">
        <v>20</v>
      </c>
    </row>
    <row r="348" spans="1:19">
      <c r="A348" s="14">
        <v>46176</v>
      </c>
      <c r="B348" s="4">
        <f>Data_Entry!X431</f>
        <v>24600.0000000004</v>
      </c>
      <c r="C348" s="4">
        <v>1</v>
      </c>
      <c r="D348" s="5">
        <f>Data_Entry!AD431</f>
        <v>5.36</v>
      </c>
      <c r="E348" s="6">
        <f>B348/(24*J348)</f>
        <v>0.248484848484853</v>
      </c>
      <c r="F348" s="7">
        <v>0.50625</v>
      </c>
      <c r="G348" s="7">
        <v>0.509027777777778</v>
      </c>
      <c r="H348" s="8">
        <f>(G348-F348)*24*60</f>
        <v>3.99999999999999</v>
      </c>
      <c r="I348" s="8">
        <f>H348/60</f>
        <v>0.0666666666666664</v>
      </c>
      <c r="J348" s="9">
        <v>4125</v>
      </c>
      <c r="K348" s="10">
        <v>330</v>
      </c>
      <c r="L348" s="9">
        <f>J348*12</f>
        <v>49500</v>
      </c>
      <c r="M348" s="8">
        <f>K348*I348</f>
        <v>21.9999999999999</v>
      </c>
      <c r="N348" s="11">
        <f>(L348-M348)/L348</f>
        <v>0.999555555555556</v>
      </c>
      <c r="O348" s="12">
        <f>E348/N348</f>
        <v>0.248595335300542</v>
      </c>
      <c r="P348" s="12" t="s">
        <v>251</v>
      </c>
      <c r="Q348" s="9">
        <f>O348*J348*24</f>
        <v>24610.9381947536</v>
      </c>
      <c r="R348" s="13">
        <f>Q348-B348</f>
        <v>10.9381947532238</v>
      </c>
      <c r="S348">
        <v>20</v>
      </c>
    </row>
    <row r="349" spans="1:19">
      <c r="A349" s="14"/>
      <c r="B349" s="4">
        <v>24600</v>
      </c>
      <c r="C349" s="4">
        <v>1</v>
      </c>
      <c r="D349" s="5">
        <v>5.36</v>
      </c>
      <c r="E349" s="6">
        <v>0.2485</v>
      </c>
      <c r="F349" s="7">
        <v>0.50625</v>
      </c>
      <c r="G349" s="7">
        <v>0.595138888888889</v>
      </c>
      <c r="H349" s="8">
        <f>(G349-F349)*24*60</f>
        <v>128</v>
      </c>
      <c r="I349" s="8">
        <f>H349/60</f>
        <v>2.13333333333333</v>
      </c>
      <c r="J349" s="9">
        <v>4125</v>
      </c>
      <c r="K349" s="10">
        <v>330</v>
      </c>
      <c r="L349" s="9">
        <f>J349*12</f>
        <v>49500</v>
      </c>
      <c r="M349" s="8">
        <f>K349*I349</f>
        <v>704</v>
      </c>
      <c r="N349" s="11">
        <f>(L349-M349)/L349</f>
        <v>0.985777777777778</v>
      </c>
      <c r="O349" s="12">
        <f>E349/N349</f>
        <v>0.252085211902615</v>
      </c>
      <c r="P349" s="12" t="s">
        <v>251</v>
      </c>
      <c r="Q349" s="9">
        <f>O349*J349*24</f>
        <v>24956.4359783589</v>
      </c>
      <c r="R349" s="13">
        <f>Q349-B349</f>
        <v>356.435978358888</v>
      </c>
      <c r="S349">
        <v>20</v>
      </c>
    </row>
    <row r="350" spans="1:19">
      <c r="A350" s="14">
        <v>46177</v>
      </c>
      <c r="B350" s="4">
        <f>Data_Entry!X432</f>
        <v>22500</v>
      </c>
      <c r="C350" s="4">
        <v>1</v>
      </c>
      <c r="D350" s="5">
        <f>Data_Entry!AD432</f>
        <v>4.5</v>
      </c>
      <c r="E350" s="6">
        <f>B350/(24*J350)</f>
        <v>0.227272727272727</v>
      </c>
      <c r="F350" s="7">
        <v>0.532638888888889</v>
      </c>
      <c r="G350" s="7">
        <v>0.580555555555556</v>
      </c>
      <c r="H350" s="8">
        <f>(G350-F350)*24*60</f>
        <v>69.0000000000001</v>
      </c>
      <c r="I350" s="8">
        <f>H350/60</f>
        <v>1.15</v>
      </c>
      <c r="J350" s="9">
        <v>4125</v>
      </c>
      <c r="K350" s="10">
        <v>330</v>
      </c>
      <c r="L350" s="9">
        <f>J350*12</f>
        <v>49500</v>
      </c>
      <c r="M350" s="8">
        <f>K350*I350</f>
        <v>379.5</v>
      </c>
      <c r="N350" s="11">
        <f>(L350-M350)/L350</f>
        <v>0.992333333333333</v>
      </c>
      <c r="O350" s="12">
        <f>E350/N350</f>
        <v>0.229028613308089</v>
      </c>
      <c r="P350" s="12" t="s">
        <v>251</v>
      </c>
      <c r="Q350" s="9">
        <f>O350*J350*24</f>
        <v>22673.8327175008</v>
      </c>
      <c r="R350" s="13">
        <f>Q350-B350</f>
        <v>173.832717500838</v>
      </c>
      <c r="S350">
        <v>40</v>
      </c>
    </row>
    <row r="351" spans="1:19">
      <c r="A351" s="14"/>
      <c r="B351" s="4">
        <v>22500</v>
      </c>
      <c r="C351" s="4">
        <v>1</v>
      </c>
      <c r="D351" s="5">
        <v>4.5</v>
      </c>
      <c r="E351" s="6">
        <v>0.227</v>
      </c>
      <c r="F351" s="7">
        <v>0.532638888888889</v>
      </c>
      <c r="G351" s="7">
        <v>0.591666666666667</v>
      </c>
      <c r="H351" s="8">
        <f>(G351-F351)*24*60</f>
        <v>85</v>
      </c>
      <c r="I351" s="8">
        <f>H351/60</f>
        <v>1.41666666666667</v>
      </c>
      <c r="J351" s="9">
        <v>4125</v>
      </c>
      <c r="K351" s="10">
        <v>330</v>
      </c>
      <c r="L351" s="9">
        <v>49500</v>
      </c>
      <c r="M351" s="8">
        <f>K351*I351</f>
        <v>467.5</v>
      </c>
      <c r="N351" s="11">
        <f>(L351-M351)/L351</f>
        <v>0.990555555555556</v>
      </c>
      <c r="O351" s="12">
        <f>E351/N351</f>
        <v>0.229164329781268</v>
      </c>
      <c r="P351" s="12" t="s">
        <v>251</v>
      </c>
      <c r="Q351" s="9">
        <f>O351*J351*24</f>
        <v>22687.2686483455</v>
      </c>
      <c r="R351" s="13">
        <f>Q351-B351</f>
        <v>187.268648345482</v>
      </c>
      <c r="S351">
        <v>40</v>
      </c>
    </row>
    <row r="352" spans="1:19">
      <c r="A352" s="14">
        <v>46178</v>
      </c>
      <c r="B352" s="4">
        <f>Data_Entry!X433</f>
        <v>23500.0000000002</v>
      </c>
      <c r="C352" s="4">
        <v>0</v>
      </c>
      <c r="D352" s="5">
        <f>Data_Entry!AD433</f>
        <v>4.31</v>
      </c>
      <c r="E352" s="6">
        <f t="shared" ref="E352:E360" si="99">B352/(24*J352)</f>
        <v>0.237373737373739</v>
      </c>
      <c r="F352" s="7">
        <v>0</v>
      </c>
      <c r="G352" s="7">
        <v>0</v>
      </c>
      <c r="H352" s="8">
        <f t="shared" ref="H352:H360" si="100">(G352-F352)*24*60</f>
        <v>0</v>
      </c>
      <c r="I352" s="8">
        <f t="shared" ref="I352:I360" si="101">H352/60</f>
        <v>0</v>
      </c>
      <c r="J352" s="9">
        <v>4125</v>
      </c>
      <c r="K352" s="10"/>
      <c r="L352" s="9">
        <f t="shared" ref="L352:L360" si="102">J352*12</f>
        <v>49500</v>
      </c>
      <c r="M352" s="8">
        <f t="shared" ref="M352:M360" si="103">K352*I352</f>
        <v>0</v>
      </c>
      <c r="N352" s="11">
        <f t="shared" ref="N352:N360" si="104">(L352-M352)/L352</f>
        <v>1</v>
      </c>
      <c r="O352" s="12">
        <f t="shared" ref="O352:O360" si="105">E352/N352</f>
        <v>0.237373737373739</v>
      </c>
      <c r="P352" s="12"/>
      <c r="Q352" s="9">
        <f t="shared" ref="Q352:Q360" si="106">O352*J352*24</f>
        <v>23500.0000000002</v>
      </c>
      <c r="R352" s="13">
        <f t="shared" ref="R352:R360" si="107">Q352-B352</f>
        <v>0</v>
      </c>
    </row>
    <row r="353" spans="1:18">
      <c r="A353" s="14">
        <v>46179</v>
      </c>
      <c r="B353" s="4">
        <f>Data_Entry!X434</f>
        <v>0</v>
      </c>
      <c r="C353" s="4">
        <v>0</v>
      </c>
      <c r="D353" s="5">
        <f>Data_Entry!AD434</f>
        <v>0</v>
      </c>
      <c r="E353" s="6">
        <f t="shared" si="99"/>
        <v>0</v>
      </c>
      <c r="F353" s="7">
        <v>0</v>
      </c>
      <c r="G353" s="7">
        <v>0</v>
      </c>
      <c r="H353" s="8">
        <f t="shared" si="100"/>
        <v>0</v>
      </c>
      <c r="I353" s="8">
        <f t="shared" si="101"/>
        <v>0</v>
      </c>
      <c r="J353" s="9">
        <v>4125</v>
      </c>
      <c r="K353" s="10"/>
      <c r="L353" s="9">
        <f t="shared" si="102"/>
        <v>49500</v>
      </c>
      <c r="M353" s="8">
        <f t="shared" si="103"/>
        <v>0</v>
      </c>
      <c r="N353" s="11">
        <f t="shared" si="104"/>
        <v>1</v>
      </c>
      <c r="O353" s="12">
        <f t="shared" si="105"/>
        <v>0</v>
      </c>
      <c r="P353" s="12"/>
      <c r="Q353" s="9">
        <f t="shared" si="106"/>
        <v>0</v>
      </c>
      <c r="R353" s="13">
        <f t="shared" si="107"/>
        <v>0</v>
      </c>
    </row>
    <row r="354" spans="1:18">
      <c r="A354" s="14">
        <v>46180</v>
      </c>
      <c r="B354" s="4">
        <f>Data_Entry!X435</f>
        <v>0</v>
      </c>
      <c r="C354" s="4">
        <v>0</v>
      </c>
      <c r="D354" s="5">
        <f>Data_Entry!AD435</f>
        <v>0</v>
      </c>
      <c r="E354" s="6">
        <f t="shared" si="99"/>
        <v>0</v>
      </c>
      <c r="F354" s="7">
        <v>0</v>
      </c>
      <c r="G354" s="7">
        <v>0</v>
      </c>
      <c r="H354" s="8">
        <f t="shared" si="100"/>
        <v>0</v>
      </c>
      <c r="I354" s="8">
        <f t="shared" si="101"/>
        <v>0</v>
      </c>
      <c r="J354" s="9">
        <v>4125</v>
      </c>
      <c r="K354" s="10"/>
      <c r="L354" s="9">
        <f t="shared" si="102"/>
        <v>49500</v>
      </c>
      <c r="M354" s="8">
        <f t="shared" si="103"/>
        <v>0</v>
      </c>
      <c r="N354" s="11">
        <f t="shared" si="104"/>
        <v>1</v>
      </c>
      <c r="O354" s="12">
        <f t="shared" si="105"/>
        <v>0</v>
      </c>
      <c r="P354" s="12"/>
      <c r="Q354" s="9">
        <f t="shared" si="106"/>
        <v>0</v>
      </c>
      <c r="R354" s="13">
        <f t="shared" si="107"/>
        <v>0</v>
      </c>
    </row>
    <row r="355" spans="1:18">
      <c r="A355" s="14">
        <v>46181</v>
      </c>
      <c r="B355" s="4">
        <f>Data_Entry!X436</f>
        <v>0</v>
      </c>
      <c r="C355" s="4">
        <v>0</v>
      </c>
      <c r="D355" s="5">
        <f>Data_Entry!AD436</f>
        <v>0</v>
      </c>
      <c r="E355" s="6">
        <f t="shared" si="99"/>
        <v>0</v>
      </c>
      <c r="F355" s="7">
        <v>0</v>
      </c>
      <c r="G355" s="7">
        <v>0</v>
      </c>
      <c r="H355" s="8">
        <f t="shared" si="100"/>
        <v>0</v>
      </c>
      <c r="I355" s="8">
        <f t="shared" si="101"/>
        <v>0</v>
      </c>
      <c r="J355" s="9">
        <v>4125</v>
      </c>
      <c r="K355" s="10"/>
      <c r="L355" s="9">
        <f t="shared" si="102"/>
        <v>49500</v>
      </c>
      <c r="M355" s="8">
        <f t="shared" si="103"/>
        <v>0</v>
      </c>
      <c r="N355" s="11">
        <f t="shared" si="104"/>
        <v>1</v>
      </c>
      <c r="O355" s="12">
        <f t="shared" si="105"/>
        <v>0</v>
      </c>
      <c r="P355" s="12"/>
      <c r="Q355" s="9">
        <f t="shared" si="106"/>
        <v>0</v>
      </c>
      <c r="R355" s="13">
        <f t="shared" si="107"/>
        <v>0</v>
      </c>
    </row>
    <row r="356" spans="1:18">
      <c r="A356" s="14">
        <v>46182</v>
      </c>
      <c r="B356" s="4">
        <f>Data_Entry!X437</f>
        <v>0</v>
      </c>
      <c r="C356" s="4">
        <v>0</v>
      </c>
      <c r="D356" s="5">
        <f>Data_Entry!AD437</f>
        <v>0</v>
      </c>
      <c r="E356" s="6">
        <f t="shared" si="99"/>
        <v>0</v>
      </c>
      <c r="F356" s="7">
        <v>0</v>
      </c>
      <c r="G356" s="7">
        <v>0</v>
      </c>
      <c r="H356" s="8">
        <f t="shared" si="100"/>
        <v>0</v>
      </c>
      <c r="I356" s="8">
        <f t="shared" si="101"/>
        <v>0</v>
      </c>
      <c r="J356" s="9">
        <v>4125</v>
      </c>
      <c r="K356" s="10"/>
      <c r="L356" s="9">
        <f t="shared" si="102"/>
        <v>49500</v>
      </c>
      <c r="M356" s="8">
        <f t="shared" si="103"/>
        <v>0</v>
      </c>
      <c r="N356" s="11">
        <f t="shared" si="104"/>
        <v>1</v>
      </c>
      <c r="O356" s="12">
        <f t="shared" si="105"/>
        <v>0</v>
      </c>
      <c r="P356" s="12"/>
      <c r="Q356" s="9">
        <f t="shared" si="106"/>
        <v>0</v>
      </c>
      <c r="R356" s="13">
        <f t="shared" si="107"/>
        <v>0</v>
      </c>
    </row>
    <row r="357" spans="1:18">
      <c r="A357" s="14">
        <v>46183</v>
      </c>
      <c r="B357" s="4">
        <f>Data_Entry!X438</f>
        <v>0</v>
      </c>
      <c r="C357" s="4">
        <v>0</v>
      </c>
      <c r="D357" s="5">
        <f>Data_Entry!AD438</f>
        <v>0</v>
      </c>
      <c r="E357" s="6">
        <f t="shared" si="99"/>
        <v>0</v>
      </c>
      <c r="F357" s="7">
        <v>0</v>
      </c>
      <c r="G357" s="7">
        <v>0</v>
      </c>
      <c r="H357" s="8">
        <f t="shared" si="100"/>
        <v>0</v>
      </c>
      <c r="I357" s="8">
        <f t="shared" si="101"/>
        <v>0</v>
      </c>
      <c r="J357" s="9">
        <v>4125</v>
      </c>
      <c r="K357" s="10"/>
      <c r="L357" s="9">
        <f t="shared" si="102"/>
        <v>49500</v>
      </c>
      <c r="M357" s="8">
        <f t="shared" si="103"/>
        <v>0</v>
      </c>
      <c r="N357" s="11">
        <f t="shared" si="104"/>
        <v>1</v>
      </c>
      <c r="O357" s="12">
        <f t="shared" si="105"/>
        <v>0</v>
      </c>
      <c r="P357" s="12"/>
      <c r="Q357" s="9">
        <f t="shared" si="106"/>
        <v>0</v>
      </c>
      <c r="R357" s="13">
        <f t="shared" si="107"/>
        <v>0</v>
      </c>
    </row>
    <row r="358" spans="1:18">
      <c r="A358" s="14">
        <v>46184</v>
      </c>
      <c r="B358" s="4">
        <f>Data_Entry!X439</f>
        <v>0</v>
      </c>
      <c r="C358" s="4">
        <v>0</v>
      </c>
      <c r="D358" s="5">
        <f>Data_Entry!AD439</f>
        <v>0</v>
      </c>
      <c r="E358" s="6">
        <f t="shared" si="99"/>
        <v>0</v>
      </c>
      <c r="F358" s="7">
        <v>0</v>
      </c>
      <c r="G358" s="7">
        <v>0</v>
      </c>
      <c r="H358" s="8">
        <f t="shared" si="100"/>
        <v>0</v>
      </c>
      <c r="I358" s="8">
        <f t="shared" si="101"/>
        <v>0</v>
      </c>
      <c r="J358" s="9">
        <v>4125</v>
      </c>
      <c r="K358" s="10"/>
      <c r="L358" s="9">
        <f t="shared" si="102"/>
        <v>49500</v>
      </c>
      <c r="M358" s="8">
        <f t="shared" si="103"/>
        <v>0</v>
      </c>
      <c r="N358" s="11">
        <f t="shared" si="104"/>
        <v>1</v>
      </c>
      <c r="O358" s="12">
        <f t="shared" si="105"/>
        <v>0</v>
      </c>
      <c r="P358" s="12"/>
      <c r="Q358" s="9">
        <f t="shared" si="106"/>
        <v>0</v>
      </c>
      <c r="R358" s="13">
        <f t="shared" si="107"/>
        <v>0</v>
      </c>
    </row>
    <row r="359" spans="1:18">
      <c r="A359" s="14">
        <v>46185</v>
      </c>
      <c r="B359" s="4">
        <f>Data_Entry!X440</f>
        <v>0</v>
      </c>
      <c r="C359" s="4">
        <v>0</v>
      </c>
      <c r="D359" s="5">
        <f>Data_Entry!AD440</f>
        <v>0</v>
      </c>
      <c r="E359" s="6">
        <f t="shared" si="99"/>
        <v>0</v>
      </c>
      <c r="F359" s="7">
        <v>0</v>
      </c>
      <c r="G359" s="7">
        <v>0</v>
      </c>
      <c r="H359" s="8">
        <f t="shared" si="100"/>
        <v>0</v>
      </c>
      <c r="I359" s="8">
        <f t="shared" si="101"/>
        <v>0</v>
      </c>
      <c r="J359" s="9">
        <v>4125</v>
      </c>
      <c r="K359" s="10"/>
      <c r="L359" s="9">
        <f t="shared" si="102"/>
        <v>49500</v>
      </c>
      <c r="M359" s="8">
        <f t="shared" si="103"/>
        <v>0</v>
      </c>
      <c r="N359" s="11">
        <f t="shared" si="104"/>
        <v>1</v>
      </c>
      <c r="O359" s="12">
        <f t="shared" si="105"/>
        <v>0</v>
      </c>
      <c r="P359" s="12"/>
      <c r="Q359" s="9">
        <f t="shared" si="106"/>
        <v>0</v>
      </c>
      <c r="R359" s="13">
        <f t="shared" si="107"/>
        <v>0</v>
      </c>
    </row>
    <row r="360" spans="1:18">
      <c r="A360" s="14">
        <v>46186</v>
      </c>
      <c r="B360" s="4">
        <f>Data_Entry!X441</f>
        <v>0</v>
      </c>
      <c r="C360" s="4">
        <v>0</v>
      </c>
      <c r="D360" s="5">
        <f>Data_Entry!AD441</f>
        <v>0</v>
      </c>
      <c r="E360" s="6">
        <f t="shared" si="99"/>
        <v>0</v>
      </c>
      <c r="F360" s="7">
        <v>0</v>
      </c>
      <c r="G360" s="7">
        <v>0</v>
      </c>
      <c r="H360" s="8">
        <f t="shared" si="100"/>
        <v>0</v>
      </c>
      <c r="I360" s="8">
        <f t="shared" si="101"/>
        <v>0</v>
      </c>
      <c r="J360" s="9">
        <v>4125</v>
      </c>
      <c r="K360" s="10"/>
      <c r="L360" s="9">
        <f t="shared" si="102"/>
        <v>49500</v>
      </c>
      <c r="M360" s="8">
        <f t="shared" si="103"/>
        <v>0</v>
      </c>
      <c r="N360" s="11">
        <f t="shared" si="104"/>
        <v>1</v>
      </c>
      <c r="O360" s="12">
        <f t="shared" si="105"/>
        <v>0</v>
      </c>
      <c r="P360" s="12"/>
      <c r="Q360" s="9">
        <f t="shared" si="106"/>
        <v>0</v>
      </c>
      <c r="R360" s="13">
        <f t="shared" si="107"/>
        <v>0</v>
      </c>
    </row>
    <row r="361" spans="1:18">
      <c r="A361" s="14">
        <v>46187</v>
      </c>
    </row>
    <row r="362" spans="1:18">
      <c r="A362" s="14">
        <v>46188</v>
      </c>
    </row>
    <row r="363" spans="1:18">
      <c r="A363" s="14">
        <v>46189</v>
      </c>
    </row>
    <row r="364" spans="1:18">
      <c r="A364" s="14">
        <v>46190</v>
      </c>
    </row>
    <row r="365" spans="1:18">
      <c r="A365" s="14">
        <v>46191</v>
      </c>
    </row>
    <row r="366" spans="1:18">
      <c r="A366" s="14">
        <v>46192</v>
      </c>
    </row>
    <row r="367" spans="1:18">
      <c r="A367" s="14">
        <v>46193</v>
      </c>
    </row>
    <row r="368" spans="1:18">
      <c r="A368" s="14">
        <v>46194</v>
      </c>
    </row>
    <row r="369" spans="1:1">
      <c r="A369" s="14">
        <v>46195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P351"/>
  <sheetViews>
    <sheetView workbookViewId="0">
      <pane ySplit="1" topLeftCell="A327" activePane="bottomLeft" state="frozen"/>
      <selection/>
      <selection pane="bottomLeft" activeCell="K337" sqref="K337"/>
    </sheetView>
  </sheetViews>
  <sheetFormatPr defaultColWidth="9" defaultRowHeight="14.25"/>
  <cols>
    <col min="1" max="1" width="9.5" style="1" customWidth="1"/>
    <col min="2" max="4" width="9" style="1"/>
    <col min="5" max="5" width="9.375" style="1"/>
    <col min="6" max="16384" width="9" style="1"/>
  </cols>
  <sheetData>
    <row r="1" ht="38.25" spans="1:16">
      <c r="A1" s="2" t="s">
        <v>1</v>
      </c>
      <c r="B1" s="2" t="s">
        <v>234</v>
      </c>
      <c r="C1" s="2" t="s">
        <v>236</v>
      </c>
      <c r="D1" s="2" t="s">
        <v>237</v>
      </c>
      <c r="E1" s="2" t="s">
        <v>238</v>
      </c>
      <c r="F1" s="2" t="s">
        <v>239</v>
      </c>
      <c r="G1" s="2" t="s">
        <v>240</v>
      </c>
      <c r="H1" s="2" t="s">
        <v>241</v>
      </c>
      <c r="I1" s="2" t="s">
        <v>242</v>
      </c>
      <c r="J1" s="2" t="s">
        <v>243</v>
      </c>
      <c r="K1" s="2" t="s">
        <v>244</v>
      </c>
      <c r="L1" s="2" t="s">
        <v>245</v>
      </c>
      <c r="M1" s="2" t="s">
        <v>256</v>
      </c>
      <c r="N1" s="2" t="s">
        <v>257</v>
      </c>
      <c r="O1" s="2" t="s">
        <v>258</v>
      </c>
      <c r="P1" s="2" t="s">
        <v>259</v>
      </c>
    </row>
    <row r="2" spans="1:16">
      <c r="A2" s="3">
        <v>45839</v>
      </c>
      <c r="B2" s="4">
        <f>Data_Entry!X94</f>
        <v>15900</v>
      </c>
      <c r="C2" s="5">
        <f>Data_Entry!AD94</f>
        <v>0</v>
      </c>
      <c r="D2" s="6">
        <f t="shared" ref="D2:D67" si="0">B2/(24*I2)</f>
        <v>0.160606060606061</v>
      </c>
      <c r="E2" s="7">
        <v>0</v>
      </c>
      <c r="F2" s="7">
        <v>0</v>
      </c>
      <c r="G2" s="8">
        <f t="shared" ref="G2:G67" si="1">(F2-E2)*24*60</f>
        <v>0</v>
      </c>
      <c r="H2" s="8">
        <f t="shared" ref="H2:H67" si="2">G2/60</f>
        <v>0</v>
      </c>
      <c r="I2" s="9">
        <v>4125</v>
      </c>
      <c r="J2" s="10"/>
      <c r="K2" s="9">
        <f t="shared" ref="K2:K67" si="3">I2*12</f>
        <v>49500</v>
      </c>
      <c r="L2" s="8">
        <f t="shared" ref="L2:L67" si="4">J2*H2</f>
        <v>0</v>
      </c>
      <c r="M2" s="11">
        <f>(K2-L2)/K2</f>
        <v>1</v>
      </c>
      <c r="N2" s="12">
        <f t="shared" ref="N2:N67" si="5">D2/M2</f>
        <v>0.160606060606061</v>
      </c>
      <c r="O2" s="9">
        <f>N2*I2*24</f>
        <v>15900</v>
      </c>
      <c r="P2" s="13">
        <f t="shared" ref="P2:P67" si="6">O2-B2</f>
        <v>0</v>
      </c>
    </row>
    <row r="3" spans="1:16">
      <c r="A3" s="3">
        <v>45840</v>
      </c>
      <c r="B3" s="4">
        <f>Data_Entry!X95</f>
        <v>12000</v>
      </c>
      <c r="C3" s="5">
        <f>Data_Entry!AD95</f>
        <v>0</v>
      </c>
      <c r="D3" s="6">
        <f t="shared" si="0"/>
        <v>0.121212121212121</v>
      </c>
      <c r="E3" s="7">
        <v>0</v>
      </c>
      <c r="F3" s="7">
        <v>0</v>
      </c>
      <c r="G3" s="8">
        <f t="shared" si="1"/>
        <v>0</v>
      </c>
      <c r="H3" s="8">
        <f t="shared" si="2"/>
        <v>0</v>
      </c>
      <c r="I3" s="9">
        <v>4125</v>
      </c>
      <c r="J3" s="10"/>
      <c r="K3" s="9">
        <f t="shared" si="3"/>
        <v>49500</v>
      </c>
      <c r="L3" s="8">
        <f t="shared" si="4"/>
        <v>0</v>
      </c>
      <c r="M3" s="11">
        <f t="shared" ref="M3:M68" si="7">(K3-L3)/K3</f>
        <v>1</v>
      </c>
      <c r="N3" s="12">
        <f t="shared" si="5"/>
        <v>0.121212121212121</v>
      </c>
      <c r="O3" s="9">
        <f t="shared" ref="O3:O68" si="8">N3*I3*24</f>
        <v>12000</v>
      </c>
      <c r="P3" s="13">
        <f t="shared" si="6"/>
        <v>0</v>
      </c>
    </row>
    <row r="4" spans="1:16">
      <c r="A4" s="3">
        <v>45841</v>
      </c>
      <c r="B4" s="4">
        <f>Data_Entry!X96</f>
        <v>5150.00000000001</v>
      </c>
      <c r="C4" s="5">
        <f>Data_Entry!AD96</f>
        <v>0</v>
      </c>
      <c r="D4" s="6">
        <f t="shared" si="0"/>
        <v>0.0520202020202021</v>
      </c>
      <c r="E4" s="7">
        <v>0</v>
      </c>
      <c r="F4" s="7">
        <v>0</v>
      </c>
      <c r="G4" s="8">
        <f t="shared" si="1"/>
        <v>0</v>
      </c>
      <c r="H4" s="8">
        <f t="shared" si="2"/>
        <v>0</v>
      </c>
      <c r="I4" s="9">
        <v>4125</v>
      </c>
      <c r="J4" s="10"/>
      <c r="K4" s="9">
        <f t="shared" si="3"/>
        <v>49500</v>
      </c>
      <c r="L4" s="8">
        <f t="shared" si="4"/>
        <v>0</v>
      </c>
      <c r="M4" s="11">
        <f t="shared" si="7"/>
        <v>1</v>
      </c>
      <c r="N4" s="12">
        <f t="shared" si="5"/>
        <v>0.0520202020202021</v>
      </c>
      <c r="O4" s="9">
        <f t="shared" si="8"/>
        <v>5150.00000000001</v>
      </c>
      <c r="P4" s="13">
        <f t="shared" si="6"/>
        <v>0</v>
      </c>
    </row>
    <row r="5" spans="1:16">
      <c r="A5" s="3">
        <v>45842</v>
      </c>
      <c r="B5" s="4">
        <f>Data_Entry!X97</f>
        <v>9900.00000000002</v>
      </c>
      <c r="C5" s="5">
        <f>Data_Entry!AD97</f>
        <v>0</v>
      </c>
      <c r="D5" s="6">
        <f t="shared" si="0"/>
        <v>0.1</v>
      </c>
      <c r="E5" s="7">
        <v>0</v>
      </c>
      <c r="F5" s="7">
        <v>0</v>
      </c>
      <c r="G5" s="8">
        <f t="shared" si="1"/>
        <v>0</v>
      </c>
      <c r="H5" s="8">
        <f t="shared" si="2"/>
        <v>0</v>
      </c>
      <c r="I5" s="9">
        <v>4125</v>
      </c>
      <c r="J5" s="10"/>
      <c r="K5" s="9">
        <f t="shared" si="3"/>
        <v>49500</v>
      </c>
      <c r="L5" s="8">
        <f t="shared" si="4"/>
        <v>0</v>
      </c>
      <c r="M5" s="11">
        <f t="shared" si="7"/>
        <v>1</v>
      </c>
      <c r="N5" s="12">
        <f t="shared" si="5"/>
        <v>0.1</v>
      </c>
      <c r="O5" s="9">
        <f t="shared" si="8"/>
        <v>9900.00000000002</v>
      </c>
      <c r="P5" s="13">
        <f t="shared" si="6"/>
        <v>0</v>
      </c>
    </row>
    <row r="6" spans="1:16">
      <c r="A6" s="3">
        <v>45843</v>
      </c>
      <c r="B6" s="4">
        <f>Data_Entry!X98</f>
        <v>9450</v>
      </c>
      <c r="C6" s="5">
        <f>Data_Entry!AD98</f>
        <v>0</v>
      </c>
      <c r="D6" s="6">
        <f t="shared" si="0"/>
        <v>0.0954545454545455</v>
      </c>
      <c r="E6" s="7">
        <v>0</v>
      </c>
      <c r="F6" s="7">
        <v>0</v>
      </c>
      <c r="G6" s="8">
        <f t="shared" si="1"/>
        <v>0</v>
      </c>
      <c r="H6" s="8">
        <f t="shared" si="2"/>
        <v>0</v>
      </c>
      <c r="I6" s="9">
        <v>4125</v>
      </c>
      <c r="J6" s="10"/>
      <c r="K6" s="9">
        <f t="shared" si="3"/>
        <v>49500</v>
      </c>
      <c r="L6" s="8">
        <f t="shared" si="4"/>
        <v>0</v>
      </c>
      <c r="M6" s="11">
        <f t="shared" si="7"/>
        <v>1</v>
      </c>
      <c r="N6" s="12">
        <f t="shared" si="5"/>
        <v>0.0954545454545455</v>
      </c>
      <c r="O6" s="9">
        <f t="shared" si="8"/>
        <v>9450</v>
      </c>
      <c r="P6" s="13">
        <f t="shared" si="6"/>
        <v>0</v>
      </c>
    </row>
    <row r="7" spans="1:16">
      <c r="A7" s="3">
        <v>45844</v>
      </c>
      <c r="B7" s="4">
        <f>Data_Entry!X99</f>
        <v>13800</v>
      </c>
      <c r="C7" s="5">
        <f>Data_Entry!AD99</f>
        <v>0</v>
      </c>
      <c r="D7" s="6">
        <f t="shared" si="0"/>
        <v>0.139393939393939</v>
      </c>
      <c r="E7" s="7">
        <v>0</v>
      </c>
      <c r="F7" s="7">
        <v>0</v>
      </c>
      <c r="G7" s="8">
        <f t="shared" si="1"/>
        <v>0</v>
      </c>
      <c r="H7" s="8">
        <f t="shared" si="2"/>
        <v>0</v>
      </c>
      <c r="I7" s="9">
        <v>4125</v>
      </c>
      <c r="J7" s="10"/>
      <c r="K7" s="9">
        <f t="shared" si="3"/>
        <v>49500</v>
      </c>
      <c r="L7" s="8">
        <f t="shared" si="4"/>
        <v>0</v>
      </c>
      <c r="M7" s="11">
        <f t="shared" si="7"/>
        <v>1</v>
      </c>
      <c r="N7" s="12">
        <f t="shared" si="5"/>
        <v>0.139393939393939</v>
      </c>
      <c r="O7" s="9">
        <f t="shared" si="8"/>
        <v>13800</v>
      </c>
      <c r="P7" s="13">
        <f t="shared" si="6"/>
        <v>0</v>
      </c>
    </row>
    <row r="8" spans="1:16">
      <c r="A8" s="3">
        <v>45845</v>
      </c>
      <c r="B8" s="4">
        <f>Data_Entry!X100</f>
        <v>9300</v>
      </c>
      <c r="C8" s="5">
        <f>Data_Entry!AD100</f>
        <v>0</v>
      </c>
      <c r="D8" s="6">
        <f t="shared" si="0"/>
        <v>0.0939393939393939</v>
      </c>
      <c r="E8" s="7">
        <v>0</v>
      </c>
      <c r="F8" s="7">
        <v>0</v>
      </c>
      <c r="G8" s="8">
        <f t="shared" si="1"/>
        <v>0</v>
      </c>
      <c r="H8" s="8">
        <f t="shared" si="2"/>
        <v>0</v>
      </c>
      <c r="I8" s="9">
        <v>4125</v>
      </c>
      <c r="J8" s="10"/>
      <c r="K8" s="9">
        <f t="shared" si="3"/>
        <v>49500</v>
      </c>
      <c r="L8" s="8">
        <f t="shared" si="4"/>
        <v>0</v>
      </c>
      <c r="M8" s="11">
        <f t="shared" si="7"/>
        <v>1</v>
      </c>
      <c r="N8" s="12">
        <f t="shared" si="5"/>
        <v>0.0939393939393939</v>
      </c>
      <c r="O8" s="9">
        <f t="shared" si="8"/>
        <v>9300</v>
      </c>
      <c r="P8" s="13">
        <f t="shared" si="6"/>
        <v>0</v>
      </c>
    </row>
    <row r="9" spans="1:16">
      <c r="A9" s="3">
        <v>45846</v>
      </c>
      <c r="B9" s="4">
        <f>Data_Entry!X101</f>
        <v>15550</v>
      </c>
      <c r="C9" s="5">
        <f>Data_Entry!AD101</f>
        <v>0</v>
      </c>
      <c r="D9" s="6">
        <f t="shared" si="0"/>
        <v>0.157070707070707</v>
      </c>
      <c r="E9" s="7">
        <v>0</v>
      </c>
      <c r="F9" s="7">
        <v>0</v>
      </c>
      <c r="G9" s="8">
        <f t="shared" si="1"/>
        <v>0</v>
      </c>
      <c r="H9" s="8">
        <f t="shared" si="2"/>
        <v>0</v>
      </c>
      <c r="I9" s="9">
        <v>4125</v>
      </c>
      <c r="J9" s="10"/>
      <c r="K9" s="9">
        <f t="shared" si="3"/>
        <v>49500</v>
      </c>
      <c r="L9" s="8">
        <f t="shared" si="4"/>
        <v>0</v>
      </c>
      <c r="M9" s="11">
        <f t="shared" si="7"/>
        <v>1</v>
      </c>
      <c r="N9" s="12">
        <f t="shared" si="5"/>
        <v>0.157070707070707</v>
      </c>
      <c r="O9" s="9">
        <f t="shared" si="8"/>
        <v>15550</v>
      </c>
      <c r="P9" s="13">
        <f t="shared" si="6"/>
        <v>0</v>
      </c>
    </row>
    <row r="10" spans="1:16">
      <c r="A10" s="3">
        <v>45847</v>
      </c>
      <c r="B10" s="4">
        <f>Data_Entry!X102</f>
        <v>21950</v>
      </c>
      <c r="C10" s="5">
        <f>Data_Entry!AD102</f>
        <v>0</v>
      </c>
      <c r="D10" s="6">
        <f t="shared" si="0"/>
        <v>0.221717171717172</v>
      </c>
      <c r="E10" s="7">
        <v>0</v>
      </c>
      <c r="F10" s="7">
        <v>0</v>
      </c>
      <c r="G10" s="8">
        <f t="shared" si="1"/>
        <v>0</v>
      </c>
      <c r="H10" s="8">
        <f t="shared" si="2"/>
        <v>0</v>
      </c>
      <c r="I10" s="9">
        <v>4125</v>
      </c>
      <c r="J10" s="10"/>
      <c r="K10" s="9">
        <f t="shared" si="3"/>
        <v>49500</v>
      </c>
      <c r="L10" s="8">
        <f t="shared" si="4"/>
        <v>0</v>
      </c>
      <c r="M10" s="11">
        <f t="shared" si="7"/>
        <v>1</v>
      </c>
      <c r="N10" s="12">
        <f t="shared" si="5"/>
        <v>0.221717171717172</v>
      </c>
      <c r="O10" s="9">
        <f t="shared" si="8"/>
        <v>21950</v>
      </c>
      <c r="P10" s="13">
        <f t="shared" si="6"/>
        <v>0</v>
      </c>
    </row>
    <row r="11" spans="1:16">
      <c r="A11" s="3">
        <v>45848</v>
      </c>
      <c r="B11" s="4">
        <f>Data_Entry!X103</f>
        <v>13400</v>
      </c>
      <c r="C11" s="5">
        <f>Data_Entry!AD103</f>
        <v>0</v>
      </c>
      <c r="D11" s="6">
        <f t="shared" si="0"/>
        <v>0.135353535353536</v>
      </c>
      <c r="E11" s="7">
        <v>0</v>
      </c>
      <c r="F11" s="7">
        <v>0</v>
      </c>
      <c r="G11" s="8">
        <f t="shared" si="1"/>
        <v>0</v>
      </c>
      <c r="H11" s="8">
        <f t="shared" si="2"/>
        <v>0</v>
      </c>
      <c r="I11" s="9">
        <v>4125</v>
      </c>
      <c r="J11" s="10"/>
      <c r="K11" s="9">
        <f t="shared" si="3"/>
        <v>49500</v>
      </c>
      <c r="L11" s="8">
        <f t="shared" si="4"/>
        <v>0</v>
      </c>
      <c r="M11" s="11">
        <f t="shared" si="7"/>
        <v>1</v>
      </c>
      <c r="N11" s="12">
        <f t="shared" si="5"/>
        <v>0.135353535353536</v>
      </c>
      <c r="O11" s="9">
        <f t="shared" si="8"/>
        <v>13400</v>
      </c>
      <c r="P11" s="13">
        <f t="shared" si="6"/>
        <v>0</v>
      </c>
    </row>
    <row r="12" spans="1:16">
      <c r="A12" s="3">
        <v>45849</v>
      </c>
      <c r="B12" s="4">
        <f>Data_Entry!X104</f>
        <v>11600</v>
      </c>
      <c r="C12" s="5">
        <f>Data_Entry!AD104</f>
        <v>0</v>
      </c>
      <c r="D12" s="6">
        <f t="shared" si="0"/>
        <v>0.117171717171717</v>
      </c>
      <c r="E12" s="7">
        <v>0</v>
      </c>
      <c r="F12" s="7">
        <v>0</v>
      </c>
      <c r="G12" s="8">
        <f t="shared" si="1"/>
        <v>0</v>
      </c>
      <c r="H12" s="8">
        <f t="shared" si="2"/>
        <v>0</v>
      </c>
      <c r="I12" s="9">
        <v>4125</v>
      </c>
      <c r="J12" s="10"/>
      <c r="K12" s="9">
        <f t="shared" si="3"/>
        <v>49500</v>
      </c>
      <c r="L12" s="8">
        <f t="shared" si="4"/>
        <v>0</v>
      </c>
      <c r="M12" s="11">
        <f t="shared" si="7"/>
        <v>1</v>
      </c>
      <c r="N12" s="12">
        <f t="shared" si="5"/>
        <v>0.117171717171717</v>
      </c>
      <c r="O12" s="9">
        <f t="shared" si="8"/>
        <v>11600</v>
      </c>
      <c r="P12" s="13">
        <f t="shared" si="6"/>
        <v>0</v>
      </c>
    </row>
    <row r="13" spans="1:16">
      <c r="A13" s="3">
        <v>45850</v>
      </c>
      <c r="B13" s="4">
        <f>Data_Entry!X105</f>
        <v>19350</v>
      </c>
      <c r="C13" s="5">
        <f>Data_Entry!AD105</f>
        <v>0</v>
      </c>
      <c r="D13" s="6">
        <f t="shared" si="0"/>
        <v>0.195454545454546</v>
      </c>
      <c r="E13" s="7">
        <v>0</v>
      </c>
      <c r="F13" s="7">
        <v>0</v>
      </c>
      <c r="G13" s="8">
        <f t="shared" si="1"/>
        <v>0</v>
      </c>
      <c r="H13" s="8">
        <f t="shared" si="2"/>
        <v>0</v>
      </c>
      <c r="I13" s="9">
        <v>4125</v>
      </c>
      <c r="J13" s="10"/>
      <c r="K13" s="9">
        <f t="shared" si="3"/>
        <v>49500</v>
      </c>
      <c r="L13" s="8">
        <f t="shared" si="4"/>
        <v>0</v>
      </c>
      <c r="M13" s="11">
        <f t="shared" si="7"/>
        <v>1</v>
      </c>
      <c r="N13" s="12">
        <f t="shared" si="5"/>
        <v>0.195454545454546</v>
      </c>
      <c r="O13" s="9">
        <f t="shared" si="8"/>
        <v>19350</v>
      </c>
      <c r="P13" s="13">
        <f t="shared" si="6"/>
        <v>0</v>
      </c>
    </row>
    <row r="14" spans="1:16">
      <c r="A14" s="3">
        <v>45851</v>
      </c>
      <c r="B14" s="4">
        <f>Data_Entry!X106</f>
        <v>16800</v>
      </c>
      <c r="C14" s="5">
        <f>Data_Entry!AD106</f>
        <v>0</v>
      </c>
      <c r="D14" s="6">
        <f t="shared" si="0"/>
        <v>0.16969696969697</v>
      </c>
      <c r="E14" s="7">
        <v>0</v>
      </c>
      <c r="F14" s="7">
        <v>0</v>
      </c>
      <c r="G14" s="8">
        <f t="shared" si="1"/>
        <v>0</v>
      </c>
      <c r="H14" s="8">
        <f t="shared" si="2"/>
        <v>0</v>
      </c>
      <c r="I14" s="9">
        <v>4125</v>
      </c>
      <c r="J14" s="10"/>
      <c r="K14" s="9">
        <f t="shared" si="3"/>
        <v>49500</v>
      </c>
      <c r="L14" s="8">
        <f t="shared" si="4"/>
        <v>0</v>
      </c>
      <c r="M14" s="11">
        <f t="shared" si="7"/>
        <v>1</v>
      </c>
      <c r="N14" s="12">
        <f t="shared" si="5"/>
        <v>0.16969696969697</v>
      </c>
      <c r="O14" s="9">
        <f t="shared" si="8"/>
        <v>16800</v>
      </c>
      <c r="P14" s="13">
        <f t="shared" si="6"/>
        <v>0</v>
      </c>
    </row>
    <row r="15" spans="1:16">
      <c r="A15" s="3">
        <v>45852</v>
      </c>
      <c r="B15" s="4">
        <f>Data_Entry!X107</f>
        <v>21500</v>
      </c>
      <c r="C15" s="5">
        <f>Data_Entry!AD107</f>
        <v>3.44</v>
      </c>
      <c r="D15" s="6">
        <f t="shared" si="0"/>
        <v>0.217171717171717</v>
      </c>
      <c r="E15" s="7">
        <v>0</v>
      </c>
      <c r="F15" s="7">
        <v>0</v>
      </c>
      <c r="G15" s="8">
        <f t="shared" si="1"/>
        <v>0</v>
      </c>
      <c r="H15" s="8">
        <f t="shared" si="2"/>
        <v>0</v>
      </c>
      <c r="I15" s="9">
        <v>4125</v>
      </c>
      <c r="J15" s="10"/>
      <c r="K15" s="9">
        <f t="shared" si="3"/>
        <v>49500</v>
      </c>
      <c r="L15" s="8">
        <f t="shared" si="4"/>
        <v>0</v>
      </c>
      <c r="M15" s="11">
        <f t="shared" si="7"/>
        <v>1</v>
      </c>
      <c r="N15" s="12">
        <f t="shared" si="5"/>
        <v>0.217171717171717</v>
      </c>
      <c r="O15" s="9">
        <f t="shared" si="8"/>
        <v>21500</v>
      </c>
      <c r="P15" s="13">
        <f t="shared" si="6"/>
        <v>0</v>
      </c>
    </row>
    <row r="16" spans="1:16">
      <c r="A16" s="3">
        <v>45853</v>
      </c>
      <c r="B16" s="4">
        <f>Data_Entry!X108</f>
        <v>14000</v>
      </c>
      <c r="C16" s="5">
        <f>Data_Entry!AD108</f>
        <v>0</v>
      </c>
      <c r="D16" s="6">
        <f t="shared" si="0"/>
        <v>0.141414141414141</v>
      </c>
      <c r="E16" s="7">
        <v>0</v>
      </c>
      <c r="F16" s="7">
        <v>0</v>
      </c>
      <c r="G16" s="8">
        <f t="shared" si="1"/>
        <v>0</v>
      </c>
      <c r="H16" s="8">
        <f t="shared" si="2"/>
        <v>0</v>
      </c>
      <c r="I16" s="9">
        <v>4125</v>
      </c>
      <c r="J16" s="10"/>
      <c r="K16" s="9">
        <f t="shared" si="3"/>
        <v>49500</v>
      </c>
      <c r="L16" s="8">
        <f t="shared" si="4"/>
        <v>0</v>
      </c>
      <c r="M16" s="11">
        <f t="shared" si="7"/>
        <v>1</v>
      </c>
      <c r="N16" s="12">
        <f t="shared" si="5"/>
        <v>0.141414141414141</v>
      </c>
      <c r="O16" s="9">
        <f t="shared" si="8"/>
        <v>14000</v>
      </c>
      <c r="P16" s="13">
        <f t="shared" si="6"/>
        <v>0</v>
      </c>
    </row>
    <row r="17" spans="1:16">
      <c r="A17" s="3">
        <v>45854</v>
      </c>
      <c r="B17" s="4">
        <f>Data_Entry!X109</f>
        <v>23950</v>
      </c>
      <c r="C17" s="5">
        <f>Data_Entry!AD109</f>
        <v>4.4</v>
      </c>
      <c r="D17" s="6">
        <f t="shared" si="0"/>
        <v>0.241919191919192</v>
      </c>
      <c r="E17" s="7">
        <v>0</v>
      </c>
      <c r="F17" s="7">
        <v>0</v>
      </c>
      <c r="G17" s="8">
        <f t="shared" si="1"/>
        <v>0</v>
      </c>
      <c r="H17" s="8">
        <f t="shared" si="2"/>
        <v>0</v>
      </c>
      <c r="I17" s="9">
        <v>4125</v>
      </c>
      <c r="J17" s="10"/>
      <c r="K17" s="9">
        <f t="shared" si="3"/>
        <v>49500</v>
      </c>
      <c r="L17" s="8">
        <f t="shared" si="4"/>
        <v>0</v>
      </c>
      <c r="M17" s="11">
        <f t="shared" si="7"/>
        <v>1</v>
      </c>
      <c r="N17" s="12">
        <f t="shared" si="5"/>
        <v>0.241919191919192</v>
      </c>
      <c r="O17" s="9">
        <f t="shared" si="8"/>
        <v>23950</v>
      </c>
      <c r="P17" s="13">
        <f t="shared" si="6"/>
        <v>0</v>
      </c>
    </row>
    <row r="18" spans="1:16">
      <c r="A18" s="3">
        <v>45855</v>
      </c>
      <c r="B18" s="4">
        <f>Data_Entry!X110</f>
        <v>21900</v>
      </c>
      <c r="C18" s="5">
        <f>Data_Entry!AD110</f>
        <v>3.46</v>
      </c>
      <c r="D18" s="6">
        <f t="shared" si="0"/>
        <v>0.221212121212121</v>
      </c>
      <c r="E18" s="7">
        <v>0</v>
      </c>
      <c r="F18" s="7">
        <v>0</v>
      </c>
      <c r="G18" s="8">
        <f t="shared" si="1"/>
        <v>0</v>
      </c>
      <c r="H18" s="8">
        <f t="shared" si="2"/>
        <v>0</v>
      </c>
      <c r="I18" s="9">
        <v>4125</v>
      </c>
      <c r="J18" s="10"/>
      <c r="K18" s="9">
        <f t="shared" si="3"/>
        <v>49500</v>
      </c>
      <c r="L18" s="8">
        <f t="shared" si="4"/>
        <v>0</v>
      </c>
      <c r="M18" s="11">
        <f t="shared" si="7"/>
        <v>1</v>
      </c>
      <c r="N18" s="12">
        <f t="shared" si="5"/>
        <v>0.221212121212121</v>
      </c>
      <c r="O18" s="9">
        <f t="shared" si="8"/>
        <v>21900</v>
      </c>
      <c r="P18" s="13">
        <f t="shared" si="6"/>
        <v>0</v>
      </c>
    </row>
    <row r="19" spans="1:16">
      <c r="A19" s="3">
        <v>45856</v>
      </c>
      <c r="B19" s="4">
        <f>Data_Entry!X111</f>
        <v>18750</v>
      </c>
      <c r="C19" s="5">
        <f>Data_Entry!AD111</f>
        <v>3.13</v>
      </c>
      <c r="D19" s="6">
        <f t="shared" si="0"/>
        <v>0.189393939393939</v>
      </c>
      <c r="E19" s="7">
        <v>0</v>
      </c>
      <c r="F19" s="7">
        <v>0</v>
      </c>
      <c r="G19" s="8">
        <f t="shared" si="1"/>
        <v>0</v>
      </c>
      <c r="H19" s="8">
        <f t="shared" si="2"/>
        <v>0</v>
      </c>
      <c r="I19" s="9">
        <v>4125</v>
      </c>
      <c r="J19" s="10"/>
      <c r="K19" s="9">
        <f t="shared" si="3"/>
        <v>49500</v>
      </c>
      <c r="L19" s="8">
        <f t="shared" si="4"/>
        <v>0</v>
      </c>
      <c r="M19" s="11">
        <f t="shared" si="7"/>
        <v>1</v>
      </c>
      <c r="N19" s="12">
        <f t="shared" si="5"/>
        <v>0.189393939393939</v>
      </c>
      <c r="O19" s="9">
        <f t="shared" si="8"/>
        <v>18750</v>
      </c>
      <c r="P19" s="13">
        <f t="shared" si="6"/>
        <v>0</v>
      </c>
    </row>
    <row r="20" spans="1:16">
      <c r="A20" s="3">
        <v>45857</v>
      </c>
      <c r="B20" s="4">
        <f>Data_Entry!X112</f>
        <v>13050</v>
      </c>
      <c r="C20" s="5">
        <f>Data_Entry!AD112</f>
        <v>1.9</v>
      </c>
      <c r="D20" s="6">
        <f t="shared" si="0"/>
        <v>0.131818181818182</v>
      </c>
      <c r="E20" s="7">
        <v>0</v>
      </c>
      <c r="F20" s="7">
        <v>0</v>
      </c>
      <c r="G20" s="8">
        <f t="shared" si="1"/>
        <v>0</v>
      </c>
      <c r="H20" s="8">
        <f t="shared" si="2"/>
        <v>0</v>
      </c>
      <c r="I20" s="9">
        <v>4125</v>
      </c>
      <c r="J20" s="10"/>
      <c r="K20" s="9">
        <f t="shared" si="3"/>
        <v>49500</v>
      </c>
      <c r="L20" s="8">
        <f t="shared" si="4"/>
        <v>0</v>
      </c>
      <c r="M20" s="11">
        <f t="shared" si="7"/>
        <v>1</v>
      </c>
      <c r="N20" s="12">
        <f t="shared" si="5"/>
        <v>0.131818181818182</v>
      </c>
      <c r="O20" s="9">
        <f t="shared" si="8"/>
        <v>13050</v>
      </c>
      <c r="P20" s="13">
        <f t="shared" si="6"/>
        <v>0</v>
      </c>
    </row>
    <row r="21" spans="1:16">
      <c r="A21" s="3">
        <v>45858</v>
      </c>
      <c r="B21" s="4">
        <f>Data_Entry!X113</f>
        <v>12400</v>
      </c>
      <c r="C21" s="5">
        <f>Data_Entry!AD113</f>
        <v>1.81</v>
      </c>
      <c r="D21" s="6">
        <f t="shared" si="0"/>
        <v>0.125252525252525</v>
      </c>
      <c r="E21" s="7">
        <v>0</v>
      </c>
      <c r="F21" s="7">
        <v>0</v>
      </c>
      <c r="G21" s="8">
        <f t="shared" si="1"/>
        <v>0</v>
      </c>
      <c r="H21" s="8">
        <f t="shared" si="2"/>
        <v>0</v>
      </c>
      <c r="I21" s="9">
        <v>4125</v>
      </c>
      <c r="J21" s="10"/>
      <c r="K21" s="9">
        <f t="shared" si="3"/>
        <v>49500</v>
      </c>
      <c r="L21" s="8">
        <f t="shared" si="4"/>
        <v>0</v>
      </c>
      <c r="M21" s="11">
        <f t="shared" si="7"/>
        <v>1</v>
      </c>
      <c r="N21" s="12">
        <f t="shared" si="5"/>
        <v>0.125252525252525</v>
      </c>
      <c r="O21" s="9">
        <f t="shared" si="8"/>
        <v>12400</v>
      </c>
      <c r="P21" s="13">
        <f t="shared" si="6"/>
        <v>0</v>
      </c>
    </row>
    <row r="22" spans="1:16">
      <c r="A22" s="3">
        <v>45859</v>
      </c>
      <c r="B22" s="4">
        <f>Data_Entry!X114</f>
        <v>15000</v>
      </c>
      <c r="C22" s="5">
        <f>Data_Entry!AD114</f>
        <v>2.13</v>
      </c>
      <c r="D22" s="6">
        <f t="shared" si="0"/>
        <v>0.151515151515152</v>
      </c>
      <c r="E22" s="7">
        <v>0</v>
      </c>
      <c r="F22" s="7">
        <v>0</v>
      </c>
      <c r="G22" s="8">
        <f t="shared" si="1"/>
        <v>0</v>
      </c>
      <c r="H22" s="8">
        <f t="shared" si="2"/>
        <v>0</v>
      </c>
      <c r="I22" s="9">
        <v>4125</v>
      </c>
      <c r="J22" s="10"/>
      <c r="K22" s="9">
        <f t="shared" si="3"/>
        <v>49500</v>
      </c>
      <c r="L22" s="8">
        <f t="shared" si="4"/>
        <v>0</v>
      </c>
      <c r="M22" s="11">
        <f t="shared" si="7"/>
        <v>1</v>
      </c>
      <c r="N22" s="12">
        <f t="shared" si="5"/>
        <v>0.151515151515152</v>
      </c>
      <c r="O22" s="9">
        <f t="shared" si="8"/>
        <v>15000</v>
      </c>
      <c r="P22" s="13">
        <f t="shared" si="6"/>
        <v>0</v>
      </c>
    </row>
    <row r="23" spans="1:16">
      <c r="A23" s="3">
        <v>45860</v>
      </c>
      <c r="B23" s="4">
        <f>Data_Entry!X115</f>
        <v>13800</v>
      </c>
      <c r="C23" s="5">
        <f>Data_Entry!AD115</f>
        <v>2.01</v>
      </c>
      <c r="D23" s="6">
        <f t="shared" si="0"/>
        <v>0.139393939393939</v>
      </c>
      <c r="E23" s="7">
        <v>0</v>
      </c>
      <c r="F23" s="7">
        <v>0</v>
      </c>
      <c r="G23" s="8">
        <f t="shared" si="1"/>
        <v>0</v>
      </c>
      <c r="H23" s="8">
        <f t="shared" si="2"/>
        <v>0</v>
      </c>
      <c r="I23" s="9">
        <v>4125</v>
      </c>
      <c r="J23" s="10"/>
      <c r="K23" s="9">
        <f t="shared" si="3"/>
        <v>49500</v>
      </c>
      <c r="L23" s="8">
        <f t="shared" si="4"/>
        <v>0</v>
      </c>
      <c r="M23" s="11">
        <f t="shared" si="7"/>
        <v>1</v>
      </c>
      <c r="N23" s="12">
        <f t="shared" si="5"/>
        <v>0.139393939393939</v>
      </c>
      <c r="O23" s="9">
        <f t="shared" si="8"/>
        <v>13800</v>
      </c>
      <c r="P23" s="13">
        <f t="shared" si="6"/>
        <v>0</v>
      </c>
    </row>
    <row r="24" spans="1:16">
      <c r="A24" s="3">
        <v>45861</v>
      </c>
      <c r="B24" s="4">
        <f>Data_Entry!X116</f>
        <v>18550</v>
      </c>
      <c r="C24" s="5">
        <f>Data_Entry!AD116</f>
        <v>2.89</v>
      </c>
      <c r="D24" s="6">
        <f t="shared" si="0"/>
        <v>0.187373737373738</v>
      </c>
      <c r="E24" s="7">
        <v>0</v>
      </c>
      <c r="F24" s="7">
        <v>0</v>
      </c>
      <c r="G24" s="8">
        <f t="shared" si="1"/>
        <v>0</v>
      </c>
      <c r="H24" s="8">
        <f t="shared" si="2"/>
        <v>0</v>
      </c>
      <c r="I24" s="9">
        <v>4125</v>
      </c>
      <c r="J24" s="10"/>
      <c r="K24" s="9">
        <f t="shared" si="3"/>
        <v>49500</v>
      </c>
      <c r="L24" s="8">
        <f t="shared" si="4"/>
        <v>0</v>
      </c>
      <c r="M24" s="11">
        <f t="shared" si="7"/>
        <v>1</v>
      </c>
      <c r="N24" s="12">
        <f t="shared" si="5"/>
        <v>0.187373737373738</v>
      </c>
      <c r="O24" s="9">
        <f t="shared" si="8"/>
        <v>18550</v>
      </c>
      <c r="P24" s="13">
        <f t="shared" si="6"/>
        <v>0</v>
      </c>
    </row>
    <row r="25" spans="1:16">
      <c r="A25" s="3">
        <v>45862</v>
      </c>
      <c r="B25" s="4">
        <f>Data_Entry!X117</f>
        <v>15000</v>
      </c>
      <c r="C25" s="5">
        <f>Data_Entry!AD117</f>
        <v>2.28</v>
      </c>
      <c r="D25" s="6">
        <f t="shared" si="0"/>
        <v>0.151515151515152</v>
      </c>
      <c r="E25" s="7">
        <v>0</v>
      </c>
      <c r="F25" s="7">
        <v>0</v>
      </c>
      <c r="G25" s="8">
        <f t="shared" si="1"/>
        <v>0</v>
      </c>
      <c r="H25" s="8">
        <f t="shared" si="2"/>
        <v>0</v>
      </c>
      <c r="I25" s="9">
        <v>4125</v>
      </c>
      <c r="J25" s="10"/>
      <c r="K25" s="9">
        <f t="shared" si="3"/>
        <v>49500</v>
      </c>
      <c r="L25" s="8">
        <f t="shared" si="4"/>
        <v>0</v>
      </c>
      <c r="M25" s="11">
        <f t="shared" si="7"/>
        <v>1</v>
      </c>
      <c r="N25" s="12">
        <f t="shared" si="5"/>
        <v>0.151515151515152</v>
      </c>
      <c r="O25" s="9">
        <f t="shared" si="8"/>
        <v>15000</v>
      </c>
      <c r="P25" s="13">
        <f t="shared" si="6"/>
        <v>0</v>
      </c>
    </row>
    <row r="26" spans="1:16">
      <c r="A26" s="3">
        <v>45863</v>
      </c>
      <c r="B26" s="4">
        <f>Data_Entry!X118</f>
        <v>15250</v>
      </c>
      <c r="C26" s="5">
        <f>Data_Entry!AD118</f>
        <v>2.52</v>
      </c>
      <c r="D26" s="6">
        <f t="shared" si="0"/>
        <v>0.154040404040404</v>
      </c>
      <c r="E26" s="7">
        <v>0</v>
      </c>
      <c r="F26" s="7">
        <v>0</v>
      </c>
      <c r="G26" s="8">
        <f t="shared" si="1"/>
        <v>0</v>
      </c>
      <c r="H26" s="8">
        <f t="shared" si="2"/>
        <v>0</v>
      </c>
      <c r="I26" s="9">
        <v>4125</v>
      </c>
      <c r="J26" s="10"/>
      <c r="K26" s="9">
        <f t="shared" si="3"/>
        <v>49500</v>
      </c>
      <c r="L26" s="8">
        <f t="shared" si="4"/>
        <v>0</v>
      </c>
      <c r="M26" s="11">
        <f t="shared" si="7"/>
        <v>1</v>
      </c>
      <c r="N26" s="12">
        <f t="shared" si="5"/>
        <v>0.154040404040404</v>
      </c>
      <c r="O26" s="9">
        <f t="shared" si="8"/>
        <v>15250</v>
      </c>
      <c r="P26" s="13">
        <f t="shared" si="6"/>
        <v>0</v>
      </c>
    </row>
    <row r="27" spans="1:16">
      <c r="A27" s="3">
        <v>45864</v>
      </c>
      <c r="B27" s="4">
        <f>Data_Entry!X119</f>
        <v>12700</v>
      </c>
      <c r="C27" s="5">
        <f>Data_Entry!AD119</f>
        <v>1.79</v>
      </c>
      <c r="D27" s="6">
        <f t="shared" si="0"/>
        <v>0.128282828282829</v>
      </c>
      <c r="E27" s="7">
        <v>0</v>
      </c>
      <c r="F27" s="7">
        <v>0</v>
      </c>
      <c r="G27" s="8">
        <f t="shared" si="1"/>
        <v>0</v>
      </c>
      <c r="H27" s="8">
        <f t="shared" si="2"/>
        <v>0</v>
      </c>
      <c r="I27" s="9">
        <v>4125</v>
      </c>
      <c r="J27" s="10"/>
      <c r="K27" s="9">
        <f t="shared" si="3"/>
        <v>49500</v>
      </c>
      <c r="L27" s="8">
        <f t="shared" si="4"/>
        <v>0</v>
      </c>
      <c r="M27" s="11">
        <f t="shared" si="7"/>
        <v>1</v>
      </c>
      <c r="N27" s="12">
        <f t="shared" si="5"/>
        <v>0.128282828282829</v>
      </c>
      <c r="O27" s="9">
        <f t="shared" si="8"/>
        <v>12700</v>
      </c>
      <c r="P27" s="13">
        <f t="shared" si="6"/>
        <v>0</v>
      </c>
    </row>
    <row r="28" spans="1:16">
      <c r="A28" s="3">
        <v>45865</v>
      </c>
      <c r="B28" s="4">
        <f>Data_Entry!X120</f>
        <v>7749.99999999991</v>
      </c>
      <c r="C28" s="5">
        <f>Data_Entry!AD120</f>
        <v>1.09</v>
      </c>
      <c r="D28" s="6">
        <f t="shared" si="0"/>
        <v>0.0782828282828274</v>
      </c>
      <c r="E28" s="7">
        <v>0</v>
      </c>
      <c r="F28" s="7">
        <v>0</v>
      </c>
      <c r="G28" s="8">
        <f t="shared" si="1"/>
        <v>0</v>
      </c>
      <c r="H28" s="8">
        <f t="shared" si="2"/>
        <v>0</v>
      </c>
      <c r="I28" s="9">
        <v>4125</v>
      </c>
      <c r="J28" s="10"/>
      <c r="K28" s="9">
        <f t="shared" si="3"/>
        <v>49500</v>
      </c>
      <c r="L28" s="8">
        <f t="shared" si="4"/>
        <v>0</v>
      </c>
      <c r="M28" s="11">
        <f t="shared" si="7"/>
        <v>1</v>
      </c>
      <c r="N28" s="12">
        <f t="shared" si="5"/>
        <v>0.0782828282828274</v>
      </c>
      <c r="O28" s="9">
        <f t="shared" si="8"/>
        <v>7749.99999999991</v>
      </c>
      <c r="P28" s="13">
        <f t="shared" si="6"/>
        <v>0</v>
      </c>
    </row>
    <row r="29" spans="1:16">
      <c r="A29" s="3">
        <v>45866</v>
      </c>
      <c r="B29" s="4">
        <f>Data_Entry!X121</f>
        <v>9300.00000000007</v>
      </c>
      <c r="C29" s="5">
        <f>Data_Entry!AD121</f>
        <v>1.39</v>
      </c>
      <c r="D29" s="6">
        <f t="shared" si="0"/>
        <v>0.0939393939393946</v>
      </c>
      <c r="E29" s="7">
        <v>0</v>
      </c>
      <c r="F29" s="7">
        <v>0</v>
      </c>
      <c r="G29" s="8">
        <f t="shared" si="1"/>
        <v>0</v>
      </c>
      <c r="H29" s="8">
        <f t="shared" si="2"/>
        <v>0</v>
      </c>
      <c r="I29" s="9">
        <v>4125</v>
      </c>
      <c r="J29" s="10"/>
      <c r="K29" s="9">
        <f t="shared" si="3"/>
        <v>49500</v>
      </c>
      <c r="L29" s="8">
        <f t="shared" si="4"/>
        <v>0</v>
      </c>
      <c r="M29" s="11">
        <f t="shared" si="7"/>
        <v>1</v>
      </c>
      <c r="N29" s="12">
        <f t="shared" si="5"/>
        <v>0.0939393939393946</v>
      </c>
      <c r="O29" s="9">
        <f t="shared" si="8"/>
        <v>9300.00000000007</v>
      </c>
      <c r="P29" s="13">
        <f t="shared" si="6"/>
        <v>0</v>
      </c>
    </row>
    <row r="30" spans="1:16">
      <c r="A30" s="3">
        <v>45867</v>
      </c>
      <c r="B30" s="4">
        <f>Data_Entry!X122</f>
        <v>8250.00000000003</v>
      </c>
      <c r="C30" s="5">
        <f>Data_Entry!AD122</f>
        <v>1.13</v>
      </c>
      <c r="D30" s="6">
        <f t="shared" si="0"/>
        <v>0.0833333333333336</v>
      </c>
      <c r="E30" s="7">
        <v>0</v>
      </c>
      <c r="F30" s="7">
        <v>0</v>
      </c>
      <c r="G30" s="8">
        <f t="shared" si="1"/>
        <v>0</v>
      </c>
      <c r="H30" s="8">
        <f t="shared" si="2"/>
        <v>0</v>
      </c>
      <c r="I30" s="9">
        <v>4125</v>
      </c>
      <c r="J30" s="10"/>
      <c r="K30" s="9">
        <f t="shared" si="3"/>
        <v>49500</v>
      </c>
      <c r="L30" s="8">
        <f t="shared" si="4"/>
        <v>0</v>
      </c>
      <c r="M30" s="11">
        <f t="shared" si="7"/>
        <v>1</v>
      </c>
      <c r="N30" s="12">
        <f t="shared" si="5"/>
        <v>0.0833333333333336</v>
      </c>
      <c r="O30" s="9">
        <f t="shared" si="8"/>
        <v>8250.00000000003</v>
      </c>
      <c r="P30" s="13">
        <f t="shared" si="6"/>
        <v>0</v>
      </c>
    </row>
    <row r="31" spans="1:16">
      <c r="A31" s="3">
        <v>45868</v>
      </c>
      <c r="B31" s="4">
        <f>Data_Entry!X123</f>
        <v>5999.99999999994</v>
      </c>
      <c r="C31" s="5">
        <f>Data_Entry!AD123</f>
        <v>0.94</v>
      </c>
      <c r="D31" s="6">
        <f t="shared" si="0"/>
        <v>0.06060606060606</v>
      </c>
      <c r="E31" s="7">
        <v>0</v>
      </c>
      <c r="F31" s="7">
        <v>0</v>
      </c>
      <c r="G31" s="8">
        <f t="shared" si="1"/>
        <v>0</v>
      </c>
      <c r="H31" s="8">
        <f t="shared" si="2"/>
        <v>0</v>
      </c>
      <c r="I31" s="9">
        <v>4125</v>
      </c>
      <c r="J31" s="10"/>
      <c r="K31" s="9">
        <f t="shared" si="3"/>
        <v>49500</v>
      </c>
      <c r="L31" s="8">
        <f t="shared" si="4"/>
        <v>0</v>
      </c>
      <c r="M31" s="11">
        <f t="shared" si="7"/>
        <v>1</v>
      </c>
      <c r="N31" s="12">
        <f t="shared" si="5"/>
        <v>0.06060606060606</v>
      </c>
      <c r="O31" s="9">
        <f t="shared" si="8"/>
        <v>5999.99999999994</v>
      </c>
      <c r="P31" s="13">
        <f t="shared" si="6"/>
        <v>0</v>
      </c>
    </row>
    <row r="32" spans="1:16">
      <c r="A32" s="3">
        <v>45869</v>
      </c>
      <c r="B32" s="4">
        <f>Data_Entry!X124</f>
        <v>11950.0000000001</v>
      </c>
      <c r="C32" s="5">
        <f>Data_Entry!AD124</f>
        <v>1.81</v>
      </c>
      <c r="D32" s="6">
        <f t="shared" si="0"/>
        <v>0.120707070707071</v>
      </c>
      <c r="E32" s="7">
        <v>0</v>
      </c>
      <c r="F32" s="7">
        <v>0</v>
      </c>
      <c r="G32" s="8">
        <f t="shared" si="1"/>
        <v>0</v>
      </c>
      <c r="H32" s="8">
        <f t="shared" si="2"/>
        <v>0</v>
      </c>
      <c r="I32" s="9">
        <v>4125</v>
      </c>
      <c r="J32" s="10"/>
      <c r="K32" s="9">
        <f t="shared" si="3"/>
        <v>49500</v>
      </c>
      <c r="L32" s="8">
        <f t="shared" si="4"/>
        <v>0</v>
      </c>
      <c r="M32" s="11">
        <f t="shared" si="7"/>
        <v>1</v>
      </c>
      <c r="N32" s="12">
        <f t="shared" si="5"/>
        <v>0.120707070707071</v>
      </c>
      <c r="O32" s="9">
        <f t="shared" si="8"/>
        <v>11950.0000000001</v>
      </c>
      <c r="P32" s="13">
        <f t="shared" si="6"/>
        <v>0</v>
      </c>
    </row>
    <row r="33" spans="1:16">
      <c r="A33" s="3"/>
      <c r="B33" s="4"/>
      <c r="C33" s="5"/>
      <c r="D33" s="6"/>
      <c r="E33" s="7"/>
      <c r="F33" s="7"/>
      <c r="G33" s="8"/>
      <c r="H33" s="8"/>
      <c r="I33" s="9"/>
      <c r="J33" s="10"/>
      <c r="K33" s="9"/>
      <c r="L33" s="8"/>
      <c r="M33" s="11"/>
      <c r="N33" s="12"/>
      <c r="O33" s="9"/>
      <c r="P33" s="13"/>
    </row>
    <row r="34" spans="1:16">
      <c r="A34" s="3">
        <v>45870</v>
      </c>
      <c r="B34" s="4">
        <f>Data_Entry!X125</f>
        <v>13750</v>
      </c>
      <c r="C34" s="5">
        <f>Data_Entry!AD125</f>
        <v>1.29</v>
      </c>
      <c r="D34" s="6">
        <f t="shared" si="0"/>
        <v>0.138888888888889</v>
      </c>
      <c r="E34" s="7">
        <v>0</v>
      </c>
      <c r="F34" s="7">
        <v>0</v>
      </c>
      <c r="G34" s="8">
        <f t="shared" si="1"/>
        <v>0</v>
      </c>
      <c r="H34" s="8">
        <f t="shared" si="2"/>
        <v>0</v>
      </c>
      <c r="I34" s="9">
        <v>4125</v>
      </c>
      <c r="J34" s="10">
        <v>13000</v>
      </c>
      <c r="K34" s="9">
        <f t="shared" si="3"/>
        <v>49500</v>
      </c>
      <c r="L34" s="8">
        <f t="shared" si="4"/>
        <v>0</v>
      </c>
      <c r="M34" s="11">
        <f t="shared" si="7"/>
        <v>1</v>
      </c>
      <c r="N34" s="12">
        <f t="shared" si="5"/>
        <v>0.138888888888889</v>
      </c>
      <c r="O34" s="9">
        <f t="shared" si="8"/>
        <v>13750</v>
      </c>
      <c r="P34" s="13">
        <f t="shared" si="6"/>
        <v>0</v>
      </c>
    </row>
    <row r="35" spans="1:16">
      <c r="A35" s="3">
        <v>45871</v>
      </c>
      <c r="B35" s="4">
        <f>Data_Entry!X126</f>
        <v>15699.9999999999</v>
      </c>
      <c r="C35" s="5">
        <f>Data_Entry!AD126</f>
        <v>0.56</v>
      </c>
      <c r="D35" s="6">
        <f t="shared" si="0"/>
        <v>0.158585858585858</v>
      </c>
      <c r="E35" s="7"/>
      <c r="F35" s="7"/>
      <c r="G35" s="8">
        <f t="shared" si="1"/>
        <v>0</v>
      </c>
      <c r="H35" s="8">
        <f t="shared" si="2"/>
        <v>0</v>
      </c>
      <c r="I35" s="9">
        <v>4125</v>
      </c>
      <c r="J35" s="10"/>
      <c r="K35" s="9">
        <f t="shared" si="3"/>
        <v>49500</v>
      </c>
      <c r="L35" s="8">
        <f t="shared" si="4"/>
        <v>0</v>
      </c>
      <c r="M35" s="11">
        <f t="shared" si="7"/>
        <v>1</v>
      </c>
      <c r="N35" s="12">
        <f t="shared" si="5"/>
        <v>0.158585858585858</v>
      </c>
      <c r="O35" s="9">
        <f t="shared" si="8"/>
        <v>15699.9999999999</v>
      </c>
      <c r="P35" s="13">
        <f t="shared" si="6"/>
        <v>0</v>
      </c>
    </row>
    <row r="36" spans="1:16">
      <c r="A36" s="3">
        <v>45872</v>
      </c>
      <c r="B36" s="4">
        <f>Data_Entry!X127</f>
        <v>11600</v>
      </c>
      <c r="C36" s="5">
        <f>Data_Entry!AD127</f>
        <v>0.45</v>
      </c>
      <c r="D36" s="6">
        <f t="shared" si="0"/>
        <v>0.117171717171717</v>
      </c>
      <c r="E36" s="7"/>
      <c r="F36" s="7"/>
      <c r="G36" s="8">
        <f t="shared" si="1"/>
        <v>0</v>
      </c>
      <c r="H36" s="8">
        <f t="shared" si="2"/>
        <v>0</v>
      </c>
      <c r="I36" s="9">
        <v>4125</v>
      </c>
      <c r="J36" s="10"/>
      <c r="K36" s="9">
        <f t="shared" si="3"/>
        <v>49500</v>
      </c>
      <c r="L36" s="8">
        <f t="shared" si="4"/>
        <v>0</v>
      </c>
      <c r="M36" s="11">
        <f t="shared" si="7"/>
        <v>1</v>
      </c>
      <c r="N36" s="12">
        <f t="shared" si="5"/>
        <v>0.117171717171717</v>
      </c>
      <c r="O36" s="9">
        <f t="shared" si="8"/>
        <v>11600</v>
      </c>
      <c r="P36" s="13">
        <f t="shared" si="6"/>
        <v>0</v>
      </c>
    </row>
    <row r="37" spans="1:16">
      <c r="A37" s="3">
        <v>45873</v>
      </c>
      <c r="B37" s="4">
        <f>Data_Entry!X128</f>
        <v>15300</v>
      </c>
      <c r="C37" s="5">
        <f>Data_Entry!AD128</f>
        <v>0.54</v>
      </c>
      <c r="D37" s="6">
        <f t="shared" si="0"/>
        <v>0.154545454545455</v>
      </c>
      <c r="E37" s="7"/>
      <c r="F37" s="7"/>
      <c r="G37" s="8">
        <f t="shared" si="1"/>
        <v>0</v>
      </c>
      <c r="H37" s="8">
        <f t="shared" si="2"/>
        <v>0</v>
      </c>
      <c r="I37" s="9">
        <v>4125</v>
      </c>
      <c r="J37" s="10"/>
      <c r="K37" s="9">
        <f t="shared" si="3"/>
        <v>49500</v>
      </c>
      <c r="L37" s="8">
        <f t="shared" si="4"/>
        <v>0</v>
      </c>
      <c r="M37" s="11">
        <f t="shared" si="7"/>
        <v>1</v>
      </c>
      <c r="N37" s="12">
        <f t="shared" si="5"/>
        <v>0.154545454545455</v>
      </c>
      <c r="O37" s="9">
        <f t="shared" si="8"/>
        <v>15300</v>
      </c>
      <c r="P37" s="13">
        <f t="shared" si="6"/>
        <v>0</v>
      </c>
    </row>
    <row r="38" spans="1:16">
      <c r="A38" s="3">
        <v>45874</v>
      </c>
      <c r="B38" s="4">
        <f>Data_Entry!X129</f>
        <v>18300</v>
      </c>
      <c r="C38" s="5">
        <f>Data_Entry!AD129</f>
        <v>0.76</v>
      </c>
      <c r="D38" s="6">
        <f t="shared" si="0"/>
        <v>0.184848484848485</v>
      </c>
      <c r="E38" s="7"/>
      <c r="F38" s="7"/>
      <c r="G38" s="8">
        <f t="shared" si="1"/>
        <v>0</v>
      </c>
      <c r="H38" s="8">
        <f t="shared" si="2"/>
        <v>0</v>
      </c>
      <c r="I38" s="9">
        <v>4125</v>
      </c>
      <c r="J38" s="10"/>
      <c r="K38" s="9">
        <f t="shared" si="3"/>
        <v>49500</v>
      </c>
      <c r="L38" s="8">
        <f t="shared" si="4"/>
        <v>0</v>
      </c>
      <c r="M38" s="11">
        <f t="shared" si="7"/>
        <v>1</v>
      </c>
      <c r="N38" s="12">
        <f t="shared" si="5"/>
        <v>0.184848484848485</v>
      </c>
      <c r="O38" s="9">
        <f t="shared" si="8"/>
        <v>18300</v>
      </c>
      <c r="P38" s="13">
        <f t="shared" si="6"/>
        <v>0</v>
      </c>
    </row>
    <row r="39" spans="1:16">
      <c r="A39" s="3">
        <v>45875</v>
      </c>
      <c r="B39" s="4">
        <f>Data_Entry!X130</f>
        <v>16100</v>
      </c>
      <c r="C39" s="5">
        <f>Data_Entry!AD130</f>
        <v>0.66</v>
      </c>
      <c r="D39" s="6">
        <f t="shared" si="0"/>
        <v>0.162626262626263</v>
      </c>
      <c r="E39" s="7"/>
      <c r="F39" s="7"/>
      <c r="G39" s="8">
        <f t="shared" si="1"/>
        <v>0</v>
      </c>
      <c r="H39" s="8">
        <f t="shared" si="2"/>
        <v>0</v>
      </c>
      <c r="I39" s="9">
        <v>4125</v>
      </c>
      <c r="J39" s="10"/>
      <c r="K39" s="9">
        <f t="shared" si="3"/>
        <v>49500</v>
      </c>
      <c r="L39" s="8">
        <f t="shared" si="4"/>
        <v>0</v>
      </c>
      <c r="M39" s="11">
        <f t="shared" si="7"/>
        <v>1</v>
      </c>
      <c r="N39" s="12">
        <f t="shared" si="5"/>
        <v>0.162626262626263</v>
      </c>
      <c r="O39" s="9">
        <f t="shared" si="8"/>
        <v>16100</v>
      </c>
      <c r="P39" s="13">
        <f t="shared" si="6"/>
        <v>0</v>
      </c>
    </row>
    <row r="40" spans="1:16">
      <c r="A40" s="3">
        <v>45876</v>
      </c>
      <c r="B40" s="4">
        <f>Data_Entry!X131</f>
        <v>13450</v>
      </c>
      <c r="C40" s="5">
        <f>Data_Entry!AD131</f>
        <v>0.51</v>
      </c>
      <c r="D40" s="6">
        <f t="shared" si="0"/>
        <v>0.135858585858586</v>
      </c>
      <c r="E40" s="7"/>
      <c r="F40" s="7"/>
      <c r="G40" s="8">
        <f t="shared" si="1"/>
        <v>0</v>
      </c>
      <c r="H40" s="8">
        <f t="shared" si="2"/>
        <v>0</v>
      </c>
      <c r="I40" s="9">
        <v>4125</v>
      </c>
      <c r="J40" s="10"/>
      <c r="K40" s="9">
        <f t="shared" si="3"/>
        <v>49500</v>
      </c>
      <c r="L40" s="8">
        <f t="shared" si="4"/>
        <v>0</v>
      </c>
      <c r="M40" s="11">
        <f t="shared" si="7"/>
        <v>1</v>
      </c>
      <c r="N40" s="12">
        <f t="shared" si="5"/>
        <v>0.135858585858586</v>
      </c>
      <c r="O40" s="9">
        <f t="shared" si="8"/>
        <v>13450</v>
      </c>
      <c r="P40" s="13">
        <f t="shared" si="6"/>
        <v>0</v>
      </c>
    </row>
    <row r="41" spans="1:16">
      <c r="A41" s="3">
        <v>45877</v>
      </c>
      <c r="B41" s="4">
        <f>Data_Entry!X132</f>
        <v>20100.0000000001</v>
      </c>
      <c r="C41" s="5">
        <f>Data_Entry!AD132</f>
        <v>0.73</v>
      </c>
      <c r="D41" s="6">
        <f t="shared" si="0"/>
        <v>0.203030303030304</v>
      </c>
      <c r="E41" s="7"/>
      <c r="F41" s="7"/>
      <c r="G41" s="8">
        <f t="shared" si="1"/>
        <v>0</v>
      </c>
      <c r="H41" s="8">
        <f t="shared" si="2"/>
        <v>0</v>
      </c>
      <c r="I41" s="9">
        <v>4125</v>
      </c>
      <c r="J41" s="10"/>
      <c r="K41" s="9">
        <f t="shared" si="3"/>
        <v>49500</v>
      </c>
      <c r="L41" s="8">
        <f t="shared" si="4"/>
        <v>0</v>
      </c>
      <c r="M41" s="11">
        <f t="shared" si="7"/>
        <v>1</v>
      </c>
      <c r="N41" s="12">
        <f t="shared" si="5"/>
        <v>0.203030303030304</v>
      </c>
      <c r="O41" s="9">
        <f t="shared" si="8"/>
        <v>20100.0000000001</v>
      </c>
      <c r="P41" s="13">
        <f t="shared" si="6"/>
        <v>0</v>
      </c>
    </row>
    <row r="42" spans="1:16">
      <c r="A42" s="3">
        <v>45878</v>
      </c>
      <c r="B42" s="4">
        <f>Data_Entry!X133</f>
        <v>12550</v>
      </c>
      <c r="C42" s="5">
        <f>Data_Entry!AD133</f>
        <v>0.41</v>
      </c>
      <c r="D42" s="6">
        <f t="shared" si="0"/>
        <v>0.126767676767676</v>
      </c>
      <c r="E42" s="7"/>
      <c r="F42" s="7"/>
      <c r="G42" s="8">
        <f t="shared" si="1"/>
        <v>0</v>
      </c>
      <c r="H42" s="8">
        <f t="shared" si="2"/>
        <v>0</v>
      </c>
      <c r="I42" s="9">
        <v>4125</v>
      </c>
      <c r="J42" s="10"/>
      <c r="K42" s="9">
        <f t="shared" si="3"/>
        <v>49500</v>
      </c>
      <c r="L42" s="8">
        <f t="shared" si="4"/>
        <v>0</v>
      </c>
      <c r="M42" s="11">
        <f t="shared" si="7"/>
        <v>1</v>
      </c>
      <c r="N42" s="12">
        <f t="shared" si="5"/>
        <v>0.126767676767676</v>
      </c>
      <c r="O42" s="9">
        <f t="shared" si="8"/>
        <v>12550</v>
      </c>
      <c r="P42" s="13">
        <f t="shared" si="6"/>
        <v>0</v>
      </c>
    </row>
    <row r="43" spans="1:16">
      <c r="A43" s="3">
        <v>45879</v>
      </c>
      <c r="B43" s="4">
        <f>Data_Entry!X134</f>
        <v>8550.00000000004</v>
      </c>
      <c r="C43" s="5">
        <f>Data_Entry!AD134</f>
        <v>0.28</v>
      </c>
      <c r="D43" s="6">
        <f t="shared" si="0"/>
        <v>0.0863636363636368</v>
      </c>
      <c r="E43" s="7"/>
      <c r="F43" s="7"/>
      <c r="G43" s="8">
        <f t="shared" si="1"/>
        <v>0</v>
      </c>
      <c r="H43" s="8">
        <f t="shared" si="2"/>
        <v>0</v>
      </c>
      <c r="I43" s="9">
        <v>4125</v>
      </c>
      <c r="J43" s="10"/>
      <c r="K43" s="9">
        <f t="shared" si="3"/>
        <v>49500</v>
      </c>
      <c r="L43" s="8">
        <f t="shared" si="4"/>
        <v>0</v>
      </c>
      <c r="M43" s="11">
        <f t="shared" si="7"/>
        <v>1</v>
      </c>
      <c r="N43" s="12">
        <f t="shared" si="5"/>
        <v>0.0863636363636368</v>
      </c>
      <c r="O43" s="9">
        <f t="shared" si="8"/>
        <v>8550.00000000004</v>
      </c>
      <c r="P43" s="13">
        <f t="shared" si="6"/>
        <v>0</v>
      </c>
    </row>
    <row r="44" spans="1:16">
      <c r="A44" s="3">
        <v>45880</v>
      </c>
      <c r="B44" s="4">
        <f>Data_Entry!X135</f>
        <v>19400</v>
      </c>
      <c r="C44" s="5">
        <f>Data_Entry!AD135</f>
        <v>0.69</v>
      </c>
      <c r="D44" s="6">
        <f t="shared" si="0"/>
        <v>0.195959595959596</v>
      </c>
      <c r="E44" s="7"/>
      <c r="F44" s="7"/>
      <c r="G44" s="8">
        <f t="shared" si="1"/>
        <v>0</v>
      </c>
      <c r="H44" s="8">
        <f t="shared" si="2"/>
        <v>0</v>
      </c>
      <c r="I44" s="9">
        <v>4125</v>
      </c>
      <c r="J44" s="10"/>
      <c r="K44" s="9">
        <f t="shared" si="3"/>
        <v>49500</v>
      </c>
      <c r="L44" s="8">
        <f t="shared" si="4"/>
        <v>0</v>
      </c>
      <c r="M44" s="11">
        <f t="shared" si="7"/>
        <v>1</v>
      </c>
      <c r="N44" s="12">
        <f t="shared" si="5"/>
        <v>0.195959595959596</v>
      </c>
      <c r="O44" s="9">
        <f t="shared" si="8"/>
        <v>19400</v>
      </c>
      <c r="P44" s="13">
        <f t="shared" si="6"/>
        <v>0</v>
      </c>
    </row>
    <row r="45" spans="1:16">
      <c r="A45" s="3">
        <v>45881</v>
      </c>
      <c r="B45" s="4">
        <f>Data_Entry!X136</f>
        <v>11450.0000000001</v>
      </c>
      <c r="C45" s="5">
        <f>Data_Entry!AD136</f>
        <v>0.44</v>
      </c>
      <c r="D45" s="6">
        <f t="shared" si="0"/>
        <v>0.115656565656567</v>
      </c>
      <c r="E45" s="7"/>
      <c r="F45" s="7"/>
      <c r="G45" s="8">
        <f t="shared" si="1"/>
        <v>0</v>
      </c>
      <c r="H45" s="8">
        <f t="shared" si="2"/>
        <v>0</v>
      </c>
      <c r="I45" s="9">
        <v>4125</v>
      </c>
      <c r="J45" s="10"/>
      <c r="K45" s="9">
        <f t="shared" si="3"/>
        <v>49500</v>
      </c>
      <c r="L45" s="8">
        <f t="shared" si="4"/>
        <v>0</v>
      </c>
      <c r="M45" s="11">
        <f t="shared" si="7"/>
        <v>1</v>
      </c>
      <c r="N45" s="12">
        <f t="shared" si="5"/>
        <v>0.115656565656567</v>
      </c>
      <c r="O45" s="9">
        <f t="shared" si="8"/>
        <v>11450.0000000001</v>
      </c>
      <c r="P45" s="13">
        <f t="shared" si="6"/>
        <v>0</v>
      </c>
    </row>
    <row r="46" spans="1:16">
      <c r="A46" s="3">
        <v>45882</v>
      </c>
      <c r="B46" s="4">
        <f>Data_Entry!X137</f>
        <v>16349.9999999999</v>
      </c>
      <c r="C46" s="5">
        <f>Data_Entry!AD137</f>
        <v>0.54</v>
      </c>
      <c r="D46" s="6">
        <f t="shared" si="0"/>
        <v>0.165151515151514</v>
      </c>
      <c r="E46" s="7"/>
      <c r="F46" s="7"/>
      <c r="G46" s="8">
        <f t="shared" si="1"/>
        <v>0</v>
      </c>
      <c r="H46" s="8">
        <f t="shared" si="2"/>
        <v>0</v>
      </c>
      <c r="I46" s="9">
        <v>4125</v>
      </c>
      <c r="J46" s="10"/>
      <c r="K46" s="9">
        <f t="shared" si="3"/>
        <v>49500</v>
      </c>
      <c r="L46" s="8">
        <f t="shared" si="4"/>
        <v>0</v>
      </c>
      <c r="M46" s="11">
        <f t="shared" si="7"/>
        <v>1</v>
      </c>
      <c r="N46" s="12">
        <f t="shared" si="5"/>
        <v>0.165151515151514</v>
      </c>
      <c r="O46" s="9">
        <f t="shared" si="8"/>
        <v>16349.9999999999</v>
      </c>
      <c r="P46" s="13">
        <f t="shared" si="6"/>
        <v>0</v>
      </c>
    </row>
    <row r="47" spans="1:16">
      <c r="A47" s="3">
        <v>45883</v>
      </c>
      <c r="B47" s="4">
        <f>Data_Entry!X138</f>
        <v>8550.00000000004</v>
      </c>
      <c r="C47" s="5">
        <f>Data_Entry!AD138</f>
        <v>0.28</v>
      </c>
      <c r="D47" s="6">
        <f t="shared" si="0"/>
        <v>0.0863636363636368</v>
      </c>
      <c r="E47" s="7">
        <v>0</v>
      </c>
      <c r="F47" s="7">
        <v>0</v>
      </c>
      <c r="G47" s="8">
        <f t="shared" si="1"/>
        <v>0</v>
      </c>
      <c r="H47" s="8">
        <f t="shared" si="2"/>
        <v>0</v>
      </c>
      <c r="I47" s="9">
        <v>4125</v>
      </c>
      <c r="J47" s="10"/>
      <c r="K47" s="9">
        <f t="shared" si="3"/>
        <v>49500</v>
      </c>
      <c r="L47" s="8">
        <f t="shared" si="4"/>
        <v>0</v>
      </c>
      <c r="M47" s="11">
        <f t="shared" si="7"/>
        <v>1</v>
      </c>
      <c r="N47" s="12">
        <f t="shared" si="5"/>
        <v>0.0863636363636368</v>
      </c>
      <c r="O47" s="9">
        <f t="shared" si="8"/>
        <v>8550.00000000004</v>
      </c>
      <c r="P47" s="13">
        <f t="shared" si="6"/>
        <v>0</v>
      </c>
    </row>
    <row r="48" spans="1:16">
      <c r="A48" s="3">
        <v>45884</v>
      </c>
      <c r="B48" s="4">
        <f>Data_Entry!X139</f>
        <v>7000.00000000003</v>
      </c>
      <c r="C48" s="5">
        <f>Data_Entry!AD139</f>
        <v>0.23</v>
      </c>
      <c r="D48" s="6">
        <f t="shared" si="0"/>
        <v>0.070707070707071</v>
      </c>
      <c r="E48" s="7"/>
      <c r="F48" s="7"/>
      <c r="G48" s="8">
        <f t="shared" si="1"/>
        <v>0</v>
      </c>
      <c r="H48" s="8">
        <f t="shared" si="2"/>
        <v>0</v>
      </c>
      <c r="I48" s="9">
        <v>4125</v>
      </c>
      <c r="J48" s="10"/>
      <c r="K48" s="9">
        <f t="shared" si="3"/>
        <v>49500</v>
      </c>
      <c r="L48" s="8">
        <f t="shared" si="4"/>
        <v>0</v>
      </c>
      <c r="M48" s="11">
        <f t="shared" si="7"/>
        <v>1</v>
      </c>
      <c r="N48" s="12">
        <f t="shared" si="5"/>
        <v>0.070707070707071</v>
      </c>
      <c r="O48" s="9">
        <f t="shared" si="8"/>
        <v>7000.00000000003</v>
      </c>
      <c r="P48" s="13">
        <f t="shared" si="6"/>
        <v>0</v>
      </c>
    </row>
    <row r="49" spans="1:16">
      <c r="A49" s="3">
        <v>45885</v>
      </c>
      <c r="B49" s="4">
        <f>Data_Entry!X140</f>
        <v>14449.9999999999</v>
      </c>
      <c r="C49" s="5">
        <f>Data_Entry!AD140</f>
        <v>0.48</v>
      </c>
      <c r="D49" s="6">
        <f t="shared" si="0"/>
        <v>0.145959595959595</v>
      </c>
      <c r="E49" s="7"/>
      <c r="F49" s="7"/>
      <c r="G49" s="8">
        <f t="shared" si="1"/>
        <v>0</v>
      </c>
      <c r="H49" s="8">
        <f t="shared" si="2"/>
        <v>0</v>
      </c>
      <c r="I49" s="9">
        <v>4125</v>
      </c>
      <c r="J49" s="10"/>
      <c r="K49" s="9">
        <f t="shared" si="3"/>
        <v>49500</v>
      </c>
      <c r="L49" s="8">
        <f t="shared" si="4"/>
        <v>0</v>
      </c>
      <c r="M49" s="11">
        <f t="shared" si="7"/>
        <v>1</v>
      </c>
      <c r="N49" s="12">
        <f t="shared" si="5"/>
        <v>0.145959595959595</v>
      </c>
      <c r="O49" s="9">
        <f t="shared" si="8"/>
        <v>14449.9999999999</v>
      </c>
      <c r="P49" s="13">
        <f t="shared" si="6"/>
        <v>0</v>
      </c>
    </row>
    <row r="50" spans="1:16">
      <c r="A50" s="3">
        <v>45886</v>
      </c>
      <c r="B50" s="4">
        <f>Data_Entry!X141</f>
        <v>16100</v>
      </c>
      <c r="C50" s="5">
        <f>Data_Entry!AD141</f>
        <v>0.51</v>
      </c>
      <c r="D50" s="6">
        <f t="shared" si="0"/>
        <v>0.162626262626263</v>
      </c>
      <c r="E50" s="7"/>
      <c r="F50" s="7"/>
      <c r="G50" s="8">
        <f t="shared" si="1"/>
        <v>0</v>
      </c>
      <c r="H50" s="8">
        <f t="shared" si="2"/>
        <v>0</v>
      </c>
      <c r="I50" s="9">
        <v>4125</v>
      </c>
      <c r="J50" s="10"/>
      <c r="K50" s="9">
        <f t="shared" si="3"/>
        <v>49500</v>
      </c>
      <c r="L50" s="8">
        <f t="shared" si="4"/>
        <v>0</v>
      </c>
      <c r="M50" s="11">
        <f t="shared" si="7"/>
        <v>1</v>
      </c>
      <c r="N50" s="12">
        <f t="shared" si="5"/>
        <v>0.162626262626263</v>
      </c>
      <c r="O50" s="9">
        <f t="shared" si="8"/>
        <v>16100</v>
      </c>
      <c r="P50" s="13">
        <f t="shared" si="6"/>
        <v>0</v>
      </c>
    </row>
    <row r="51" spans="1:16">
      <c r="A51" s="3">
        <v>45887</v>
      </c>
      <c r="B51" s="4">
        <f>Data_Entry!X142</f>
        <v>15600</v>
      </c>
      <c r="C51" s="5">
        <f>Data_Entry!AD142</f>
        <v>3.1</v>
      </c>
      <c r="D51" s="6">
        <f t="shared" si="0"/>
        <v>0.157575757575758</v>
      </c>
      <c r="E51" s="7"/>
      <c r="F51" s="7"/>
      <c r="G51" s="8">
        <f t="shared" si="1"/>
        <v>0</v>
      </c>
      <c r="H51" s="8">
        <f t="shared" si="2"/>
        <v>0</v>
      </c>
      <c r="I51" s="9">
        <v>4125</v>
      </c>
      <c r="J51" s="10"/>
      <c r="K51" s="9">
        <f t="shared" si="3"/>
        <v>49500</v>
      </c>
      <c r="L51" s="8">
        <f t="shared" si="4"/>
        <v>0</v>
      </c>
      <c r="M51" s="11">
        <f t="shared" si="7"/>
        <v>1</v>
      </c>
      <c r="N51" s="12">
        <f t="shared" si="5"/>
        <v>0.157575757575758</v>
      </c>
      <c r="O51" s="9">
        <f t="shared" si="8"/>
        <v>15600</v>
      </c>
      <c r="P51" s="13">
        <f t="shared" si="6"/>
        <v>0</v>
      </c>
    </row>
    <row r="52" spans="1:16">
      <c r="A52" s="3">
        <v>45888</v>
      </c>
      <c r="B52" s="4">
        <f>Data_Entry!X143</f>
        <v>14850</v>
      </c>
      <c r="C52" s="5">
        <f>Data_Entry!AD143</f>
        <v>0</v>
      </c>
      <c r="D52" s="6">
        <f t="shared" si="0"/>
        <v>0.15</v>
      </c>
      <c r="E52" s="7"/>
      <c r="F52" s="7"/>
      <c r="G52" s="8">
        <f t="shared" si="1"/>
        <v>0</v>
      </c>
      <c r="H52" s="8">
        <f t="shared" si="2"/>
        <v>0</v>
      </c>
      <c r="I52" s="9">
        <v>4125</v>
      </c>
      <c r="J52" s="10"/>
      <c r="K52" s="9">
        <f t="shared" si="3"/>
        <v>49500</v>
      </c>
      <c r="L52" s="8">
        <f t="shared" si="4"/>
        <v>0</v>
      </c>
      <c r="M52" s="11">
        <f t="shared" si="7"/>
        <v>1</v>
      </c>
      <c r="N52" s="12">
        <f t="shared" si="5"/>
        <v>0.15</v>
      </c>
      <c r="O52" s="9">
        <f t="shared" si="8"/>
        <v>14850</v>
      </c>
      <c r="P52" s="13">
        <f t="shared" si="6"/>
        <v>0</v>
      </c>
    </row>
    <row r="53" spans="1:16">
      <c r="A53" s="3">
        <v>45889</v>
      </c>
      <c r="B53" s="4">
        <f>Data_Entry!X144</f>
        <v>0</v>
      </c>
      <c r="C53" s="5">
        <f>Data_Entry!AD144</f>
        <v>0</v>
      </c>
      <c r="D53" s="6">
        <f t="shared" si="0"/>
        <v>0</v>
      </c>
      <c r="E53" s="7"/>
      <c r="F53" s="7"/>
      <c r="G53" s="8">
        <f t="shared" si="1"/>
        <v>0</v>
      </c>
      <c r="H53" s="8">
        <f t="shared" si="2"/>
        <v>0</v>
      </c>
      <c r="I53" s="9">
        <v>4125</v>
      </c>
      <c r="J53" s="10"/>
      <c r="K53" s="9">
        <f t="shared" si="3"/>
        <v>49500</v>
      </c>
      <c r="L53" s="8">
        <f t="shared" si="4"/>
        <v>0</v>
      </c>
      <c r="M53" s="11">
        <f t="shared" si="7"/>
        <v>1</v>
      </c>
      <c r="N53" s="12">
        <f t="shared" si="5"/>
        <v>0</v>
      </c>
      <c r="O53" s="9">
        <f t="shared" si="8"/>
        <v>0</v>
      </c>
      <c r="P53" s="13">
        <f t="shared" si="6"/>
        <v>0</v>
      </c>
    </row>
    <row r="54" spans="1:16">
      <c r="A54" s="3">
        <v>45890</v>
      </c>
      <c r="B54" s="4">
        <f>Data_Entry!X145</f>
        <v>0</v>
      </c>
      <c r="C54" s="5">
        <f>Data_Entry!AD145</f>
        <v>0</v>
      </c>
      <c r="D54" s="6">
        <f t="shared" si="0"/>
        <v>0</v>
      </c>
      <c r="E54" s="7"/>
      <c r="F54" s="7"/>
      <c r="G54" s="8">
        <f t="shared" si="1"/>
        <v>0</v>
      </c>
      <c r="H54" s="8">
        <f t="shared" si="2"/>
        <v>0</v>
      </c>
      <c r="I54" s="9">
        <v>4125</v>
      </c>
      <c r="J54" s="10"/>
      <c r="K54" s="9">
        <f t="shared" si="3"/>
        <v>49500</v>
      </c>
      <c r="L54" s="8">
        <f t="shared" si="4"/>
        <v>0</v>
      </c>
      <c r="M54" s="11">
        <f t="shared" si="7"/>
        <v>1</v>
      </c>
      <c r="N54" s="12">
        <f t="shared" si="5"/>
        <v>0</v>
      </c>
      <c r="O54" s="9">
        <f t="shared" si="8"/>
        <v>0</v>
      </c>
      <c r="P54" s="13">
        <f t="shared" si="6"/>
        <v>0</v>
      </c>
    </row>
    <row r="55" spans="1:16">
      <c r="A55" s="3">
        <v>45891</v>
      </c>
      <c r="B55" s="4">
        <f>Data_Entry!X146</f>
        <v>0</v>
      </c>
      <c r="C55" s="5">
        <f>Data_Entry!AD146</f>
        <v>0</v>
      </c>
      <c r="D55" s="6">
        <f t="shared" si="0"/>
        <v>0</v>
      </c>
      <c r="E55" s="7"/>
      <c r="F55" s="7"/>
      <c r="G55" s="8">
        <f t="shared" si="1"/>
        <v>0</v>
      </c>
      <c r="H55" s="8">
        <f t="shared" si="2"/>
        <v>0</v>
      </c>
      <c r="I55" s="9">
        <v>4125</v>
      </c>
      <c r="J55" s="10"/>
      <c r="K55" s="9">
        <f t="shared" si="3"/>
        <v>49500</v>
      </c>
      <c r="L55" s="8">
        <f t="shared" si="4"/>
        <v>0</v>
      </c>
      <c r="M55" s="11">
        <f t="shared" si="7"/>
        <v>1</v>
      </c>
      <c r="N55" s="12">
        <f t="shared" si="5"/>
        <v>0</v>
      </c>
      <c r="O55" s="9">
        <f t="shared" si="8"/>
        <v>0</v>
      </c>
      <c r="P55" s="13">
        <f t="shared" si="6"/>
        <v>0</v>
      </c>
    </row>
    <row r="56" spans="1:16">
      <c r="A56" s="3">
        <v>45892</v>
      </c>
      <c r="B56" s="4">
        <f>Data_Entry!X147</f>
        <v>0</v>
      </c>
      <c r="C56" s="5">
        <f>Data_Entry!AD147</f>
        <v>0</v>
      </c>
      <c r="D56" s="6">
        <f t="shared" si="0"/>
        <v>0</v>
      </c>
      <c r="E56" s="7"/>
      <c r="F56" s="7"/>
      <c r="G56" s="8">
        <f t="shared" si="1"/>
        <v>0</v>
      </c>
      <c r="H56" s="8">
        <f t="shared" si="2"/>
        <v>0</v>
      </c>
      <c r="I56" s="9">
        <v>4125</v>
      </c>
      <c r="J56" s="10"/>
      <c r="K56" s="9">
        <f t="shared" si="3"/>
        <v>49500</v>
      </c>
      <c r="L56" s="8">
        <f t="shared" si="4"/>
        <v>0</v>
      </c>
      <c r="M56" s="11">
        <f t="shared" si="7"/>
        <v>1</v>
      </c>
      <c r="N56" s="12">
        <f t="shared" si="5"/>
        <v>0</v>
      </c>
      <c r="O56" s="9">
        <f t="shared" si="8"/>
        <v>0</v>
      </c>
      <c r="P56" s="13">
        <f t="shared" si="6"/>
        <v>0</v>
      </c>
    </row>
    <row r="57" spans="1:16">
      <c r="A57" s="3">
        <v>45893</v>
      </c>
      <c r="B57" s="4">
        <f>Data_Entry!X148</f>
        <v>0</v>
      </c>
      <c r="C57" s="5">
        <f>Data_Entry!AD148</f>
        <v>0</v>
      </c>
      <c r="D57" s="6">
        <f t="shared" si="0"/>
        <v>0</v>
      </c>
      <c r="E57" s="7"/>
      <c r="F57" s="7"/>
      <c r="G57" s="8">
        <f t="shared" si="1"/>
        <v>0</v>
      </c>
      <c r="H57" s="8">
        <f t="shared" si="2"/>
        <v>0</v>
      </c>
      <c r="I57" s="9">
        <v>4125</v>
      </c>
      <c r="J57" s="10"/>
      <c r="K57" s="9">
        <f t="shared" si="3"/>
        <v>49500</v>
      </c>
      <c r="L57" s="8">
        <f t="shared" si="4"/>
        <v>0</v>
      </c>
      <c r="M57" s="11">
        <f t="shared" si="7"/>
        <v>1</v>
      </c>
      <c r="N57" s="12">
        <f t="shared" si="5"/>
        <v>0</v>
      </c>
      <c r="O57" s="9">
        <f t="shared" si="8"/>
        <v>0</v>
      </c>
      <c r="P57" s="13">
        <f t="shared" si="6"/>
        <v>0</v>
      </c>
    </row>
    <row r="58" spans="1:16">
      <c r="A58" s="3">
        <v>45894</v>
      </c>
      <c r="B58" s="4">
        <f>Data_Entry!X149</f>
        <v>0</v>
      </c>
      <c r="C58" s="5">
        <f>Data_Entry!AD149</f>
        <v>0</v>
      </c>
      <c r="D58" s="6">
        <f t="shared" si="0"/>
        <v>0</v>
      </c>
      <c r="E58" s="7"/>
      <c r="F58" s="7"/>
      <c r="G58" s="8">
        <f t="shared" si="1"/>
        <v>0</v>
      </c>
      <c r="H58" s="8">
        <f t="shared" si="2"/>
        <v>0</v>
      </c>
      <c r="I58" s="9">
        <v>4125</v>
      </c>
      <c r="J58" s="10"/>
      <c r="K58" s="9">
        <f t="shared" si="3"/>
        <v>49500</v>
      </c>
      <c r="L58" s="8">
        <f t="shared" si="4"/>
        <v>0</v>
      </c>
      <c r="M58" s="11">
        <f t="shared" si="7"/>
        <v>1</v>
      </c>
      <c r="N58" s="12">
        <f t="shared" si="5"/>
        <v>0</v>
      </c>
      <c r="O58" s="9">
        <f t="shared" si="8"/>
        <v>0</v>
      </c>
      <c r="P58" s="13">
        <f t="shared" si="6"/>
        <v>0</v>
      </c>
    </row>
    <row r="59" spans="1:16">
      <c r="A59" s="3">
        <v>45895</v>
      </c>
      <c r="B59" s="4">
        <f>Data_Entry!X150</f>
        <v>0</v>
      </c>
      <c r="C59" s="5">
        <f>Data_Entry!AD150</f>
        <v>0</v>
      </c>
      <c r="D59" s="6">
        <f t="shared" si="0"/>
        <v>0</v>
      </c>
      <c r="E59" s="7"/>
      <c r="F59" s="7"/>
      <c r="G59" s="8">
        <f t="shared" si="1"/>
        <v>0</v>
      </c>
      <c r="H59" s="8">
        <f t="shared" si="2"/>
        <v>0</v>
      </c>
      <c r="I59" s="9">
        <v>4125</v>
      </c>
      <c r="J59" s="10"/>
      <c r="K59" s="9">
        <f t="shared" si="3"/>
        <v>49500</v>
      </c>
      <c r="L59" s="8">
        <f t="shared" si="4"/>
        <v>0</v>
      </c>
      <c r="M59" s="11">
        <f t="shared" si="7"/>
        <v>1</v>
      </c>
      <c r="N59" s="12">
        <f t="shared" si="5"/>
        <v>0</v>
      </c>
      <c r="O59" s="9">
        <f t="shared" si="8"/>
        <v>0</v>
      </c>
      <c r="P59" s="13">
        <f t="shared" si="6"/>
        <v>0</v>
      </c>
    </row>
    <row r="60" spans="1:16">
      <c r="A60" s="3">
        <v>45896</v>
      </c>
      <c r="B60" s="4">
        <f>Data_Entry!X151</f>
        <v>0</v>
      </c>
      <c r="C60" s="5">
        <f>Data_Entry!AD151</f>
        <v>0</v>
      </c>
      <c r="D60" s="6">
        <f t="shared" si="0"/>
        <v>0</v>
      </c>
      <c r="E60" s="7"/>
      <c r="F60" s="7"/>
      <c r="G60" s="8">
        <f t="shared" si="1"/>
        <v>0</v>
      </c>
      <c r="H60" s="8">
        <f t="shared" si="2"/>
        <v>0</v>
      </c>
      <c r="I60" s="9">
        <v>4125</v>
      </c>
      <c r="J60" s="10"/>
      <c r="K60" s="9">
        <f t="shared" si="3"/>
        <v>49500</v>
      </c>
      <c r="L60" s="8">
        <f t="shared" si="4"/>
        <v>0</v>
      </c>
      <c r="M60" s="11">
        <f t="shared" si="7"/>
        <v>1</v>
      </c>
      <c r="N60" s="12">
        <f t="shared" si="5"/>
        <v>0</v>
      </c>
      <c r="O60" s="9">
        <f t="shared" si="8"/>
        <v>0</v>
      </c>
      <c r="P60" s="13">
        <f t="shared" si="6"/>
        <v>0</v>
      </c>
    </row>
    <row r="61" spans="1:16">
      <c r="A61" s="3">
        <v>45897</v>
      </c>
      <c r="B61" s="4">
        <f>Data_Entry!X152</f>
        <v>0</v>
      </c>
      <c r="C61" s="5">
        <f>Data_Entry!AD152</f>
        <v>0</v>
      </c>
      <c r="D61" s="6">
        <f t="shared" si="0"/>
        <v>0</v>
      </c>
      <c r="E61" s="7"/>
      <c r="F61" s="7"/>
      <c r="G61" s="8">
        <f t="shared" si="1"/>
        <v>0</v>
      </c>
      <c r="H61" s="8">
        <f t="shared" si="2"/>
        <v>0</v>
      </c>
      <c r="I61" s="9">
        <v>4125</v>
      </c>
      <c r="J61" s="10"/>
      <c r="K61" s="9">
        <f t="shared" si="3"/>
        <v>49500</v>
      </c>
      <c r="L61" s="8">
        <f t="shared" si="4"/>
        <v>0</v>
      </c>
      <c r="M61" s="11">
        <f t="shared" si="7"/>
        <v>1</v>
      </c>
      <c r="N61" s="12">
        <f t="shared" si="5"/>
        <v>0</v>
      </c>
      <c r="O61" s="9">
        <f t="shared" si="8"/>
        <v>0</v>
      </c>
      <c r="P61" s="13">
        <f t="shared" si="6"/>
        <v>0</v>
      </c>
    </row>
    <row r="62" spans="1:16">
      <c r="A62" s="3">
        <v>45898</v>
      </c>
      <c r="B62" s="4">
        <f>Data_Entry!X153</f>
        <v>0</v>
      </c>
      <c r="C62" s="5">
        <f>Data_Entry!AD153</f>
        <v>0</v>
      </c>
      <c r="D62" s="6">
        <f t="shared" si="0"/>
        <v>0</v>
      </c>
      <c r="E62" s="7"/>
      <c r="F62" s="7"/>
      <c r="G62" s="8">
        <f t="shared" si="1"/>
        <v>0</v>
      </c>
      <c r="H62" s="8">
        <f t="shared" si="2"/>
        <v>0</v>
      </c>
      <c r="I62" s="9">
        <v>4125</v>
      </c>
      <c r="J62" s="10"/>
      <c r="K62" s="9">
        <f t="shared" si="3"/>
        <v>49500</v>
      </c>
      <c r="L62" s="8">
        <f t="shared" si="4"/>
        <v>0</v>
      </c>
      <c r="M62" s="11">
        <f t="shared" si="7"/>
        <v>1</v>
      </c>
      <c r="N62" s="12">
        <f t="shared" si="5"/>
        <v>0</v>
      </c>
      <c r="O62" s="9">
        <f t="shared" si="8"/>
        <v>0</v>
      </c>
      <c r="P62" s="13">
        <f t="shared" si="6"/>
        <v>0</v>
      </c>
    </row>
    <row r="63" spans="1:16">
      <c r="A63" s="3">
        <v>45899</v>
      </c>
      <c r="B63" s="4">
        <f>Data_Entry!X154</f>
        <v>1050.00000000004</v>
      </c>
      <c r="C63" s="5">
        <f>Data_Entry!AD154</f>
        <v>0</v>
      </c>
      <c r="D63" s="6">
        <f t="shared" si="0"/>
        <v>0.010606060606061</v>
      </c>
      <c r="E63" s="7"/>
      <c r="F63" s="7"/>
      <c r="G63" s="8">
        <f t="shared" si="1"/>
        <v>0</v>
      </c>
      <c r="H63" s="8">
        <f t="shared" si="2"/>
        <v>0</v>
      </c>
      <c r="I63" s="9">
        <v>4125</v>
      </c>
      <c r="J63" s="10"/>
      <c r="K63" s="9">
        <f t="shared" si="3"/>
        <v>49500</v>
      </c>
      <c r="L63" s="8">
        <f t="shared" si="4"/>
        <v>0</v>
      </c>
      <c r="M63" s="11">
        <f t="shared" si="7"/>
        <v>1</v>
      </c>
      <c r="N63" s="12">
        <f t="shared" si="5"/>
        <v>0.010606060606061</v>
      </c>
      <c r="O63" s="9">
        <f t="shared" si="8"/>
        <v>1050.00000000004</v>
      </c>
      <c r="P63" s="13">
        <f t="shared" si="6"/>
        <v>0</v>
      </c>
    </row>
    <row r="64" spans="1:16">
      <c r="A64" s="3">
        <v>45900</v>
      </c>
      <c r="B64" s="4">
        <f>Data_Entry!X155</f>
        <v>0</v>
      </c>
      <c r="C64" s="5">
        <f>Data_Entry!AD155</f>
        <v>0</v>
      </c>
      <c r="D64" s="6">
        <f t="shared" si="0"/>
        <v>0</v>
      </c>
      <c r="E64" s="7"/>
      <c r="F64" s="7"/>
      <c r="G64" s="8">
        <f t="shared" si="1"/>
        <v>0</v>
      </c>
      <c r="H64" s="8">
        <f t="shared" si="2"/>
        <v>0</v>
      </c>
      <c r="I64" s="9">
        <v>4125</v>
      </c>
      <c r="J64" s="10"/>
      <c r="K64" s="9">
        <f t="shared" si="3"/>
        <v>49500</v>
      </c>
      <c r="L64" s="8">
        <f t="shared" si="4"/>
        <v>0</v>
      </c>
      <c r="M64" s="11">
        <f t="shared" si="7"/>
        <v>1</v>
      </c>
      <c r="N64" s="12">
        <f t="shared" si="5"/>
        <v>0</v>
      </c>
      <c r="O64" s="9">
        <f t="shared" si="8"/>
        <v>0</v>
      </c>
      <c r="P64" s="13">
        <f t="shared" si="6"/>
        <v>0</v>
      </c>
    </row>
    <row r="65" spans="1:16">
      <c r="A65" s="3"/>
      <c r="B65" s="4"/>
      <c r="C65" s="5"/>
      <c r="D65" s="6"/>
      <c r="E65" s="7"/>
      <c r="F65" s="7"/>
      <c r="G65" s="8"/>
      <c r="H65" s="8"/>
      <c r="I65" s="9"/>
      <c r="J65" s="10"/>
      <c r="K65" s="9"/>
      <c r="L65" s="8"/>
      <c r="M65" s="11">
        <f>AVERAGE(M34:M64)</f>
        <v>1</v>
      </c>
      <c r="N65" s="12"/>
      <c r="O65" s="9"/>
      <c r="P65" s="13"/>
    </row>
    <row r="66" spans="1:16">
      <c r="A66" s="3">
        <v>45901</v>
      </c>
      <c r="B66" s="4">
        <f>Data_Entry!X156</f>
        <v>0</v>
      </c>
      <c r="C66" s="5">
        <f>Data_Entry!AD156</f>
        <v>0</v>
      </c>
      <c r="D66" s="6">
        <f t="shared" si="0"/>
        <v>0</v>
      </c>
      <c r="E66" s="7"/>
      <c r="F66" s="7"/>
      <c r="G66" s="8">
        <f t="shared" si="1"/>
        <v>0</v>
      </c>
      <c r="H66" s="8">
        <f t="shared" si="2"/>
        <v>0</v>
      </c>
      <c r="I66" s="9">
        <v>4125</v>
      </c>
      <c r="J66" s="10"/>
      <c r="K66" s="9">
        <f t="shared" si="3"/>
        <v>49500</v>
      </c>
      <c r="L66" s="8">
        <f t="shared" si="4"/>
        <v>0</v>
      </c>
      <c r="M66" s="11">
        <f t="shared" si="7"/>
        <v>1</v>
      </c>
      <c r="N66" s="12">
        <f t="shared" si="5"/>
        <v>0</v>
      </c>
      <c r="O66" s="9">
        <f t="shared" si="8"/>
        <v>0</v>
      </c>
      <c r="P66" s="13">
        <f t="shared" si="6"/>
        <v>0</v>
      </c>
    </row>
    <row r="67" spans="1:16">
      <c r="A67" s="3">
        <v>45902</v>
      </c>
      <c r="B67" s="4">
        <f>Data_Entry!X157</f>
        <v>0</v>
      </c>
      <c r="C67" s="5">
        <f>Data_Entry!AD157</f>
        <v>0</v>
      </c>
      <c r="D67" s="6">
        <f t="shared" si="0"/>
        <v>0</v>
      </c>
      <c r="E67" s="7"/>
      <c r="F67" s="7"/>
      <c r="G67" s="8">
        <f t="shared" si="1"/>
        <v>0</v>
      </c>
      <c r="H67" s="8">
        <f t="shared" si="2"/>
        <v>0</v>
      </c>
      <c r="I67" s="9">
        <v>4125</v>
      </c>
      <c r="J67" s="10"/>
      <c r="K67" s="9">
        <f t="shared" si="3"/>
        <v>49500</v>
      </c>
      <c r="L67" s="8">
        <f t="shared" si="4"/>
        <v>0</v>
      </c>
      <c r="M67" s="11">
        <f t="shared" si="7"/>
        <v>1</v>
      </c>
      <c r="N67" s="12">
        <f t="shared" si="5"/>
        <v>0</v>
      </c>
      <c r="O67" s="9">
        <f t="shared" si="8"/>
        <v>0</v>
      </c>
      <c r="P67" s="13">
        <f t="shared" si="6"/>
        <v>0</v>
      </c>
    </row>
    <row r="68" spans="1:16">
      <c r="A68" s="3">
        <v>45903</v>
      </c>
      <c r="B68" s="4">
        <f>Data_Entry!X158</f>
        <v>0</v>
      </c>
      <c r="C68" s="5">
        <f>Data_Entry!AD158</f>
        <v>0</v>
      </c>
      <c r="D68" s="6">
        <f t="shared" ref="D68:D131" si="9">B68/(24*I68)</f>
        <v>0</v>
      </c>
      <c r="E68" s="7"/>
      <c r="F68" s="7"/>
      <c r="G68" s="8">
        <f t="shared" ref="G68:G131" si="10">(F68-E68)*24*60</f>
        <v>0</v>
      </c>
      <c r="H68" s="8">
        <f t="shared" ref="H68:H131" si="11">G68/60</f>
        <v>0</v>
      </c>
      <c r="I68" s="9">
        <v>4125</v>
      </c>
      <c r="J68" s="10"/>
      <c r="K68" s="9">
        <f t="shared" ref="K68:K131" si="12">I68*12</f>
        <v>49500</v>
      </c>
      <c r="L68" s="8">
        <f t="shared" ref="L68:L131" si="13">J68*H68</f>
        <v>0</v>
      </c>
      <c r="M68" s="11">
        <f t="shared" si="7"/>
        <v>1</v>
      </c>
      <c r="N68" s="12">
        <f t="shared" ref="N68:N131" si="14">D68/M68</f>
        <v>0</v>
      </c>
      <c r="O68" s="9">
        <f t="shared" si="8"/>
        <v>0</v>
      </c>
      <c r="P68" s="13">
        <f t="shared" ref="P68:P131" si="15">O68-B68</f>
        <v>0</v>
      </c>
    </row>
    <row r="69" spans="1:16">
      <c r="A69" s="3">
        <v>45904</v>
      </c>
      <c r="B69" s="4">
        <f>Data_Entry!X159</f>
        <v>0</v>
      </c>
      <c r="C69" s="5">
        <f>Data_Entry!AD159</f>
        <v>0</v>
      </c>
      <c r="D69" s="6">
        <f t="shared" si="9"/>
        <v>0</v>
      </c>
      <c r="E69" s="7"/>
      <c r="F69" s="7"/>
      <c r="G69" s="8">
        <f t="shared" si="10"/>
        <v>0</v>
      </c>
      <c r="H69" s="8">
        <f t="shared" si="11"/>
        <v>0</v>
      </c>
      <c r="I69" s="9">
        <v>4125</v>
      </c>
      <c r="J69" s="10"/>
      <c r="K69" s="9">
        <f t="shared" si="12"/>
        <v>49500</v>
      </c>
      <c r="L69" s="8">
        <f t="shared" si="13"/>
        <v>0</v>
      </c>
      <c r="M69" s="11">
        <f t="shared" ref="M69:M132" si="16">(K69-L69)/K69</f>
        <v>1</v>
      </c>
      <c r="N69" s="12">
        <f t="shared" si="14"/>
        <v>0</v>
      </c>
      <c r="O69" s="9">
        <f t="shared" ref="O69:O132" si="17">N69*I69*24</f>
        <v>0</v>
      </c>
      <c r="P69" s="13">
        <f t="shared" si="15"/>
        <v>0</v>
      </c>
    </row>
    <row r="70" spans="1:16">
      <c r="A70" s="3">
        <v>45905</v>
      </c>
      <c r="B70" s="4">
        <f>Data_Entry!X160</f>
        <v>0</v>
      </c>
      <c r="C70" s="5">
        <f>Data_Entry!AD160</f>
        <v>0</v>
      </c>
      <c r="D70" s="6">
        <f t="shared" si="9"/>
        <v>0</v>
      </c>
      <c r="E70" s="7"/>
      <c r="F70" s="7"/>
      <c r="G70" s="8">
        <f t="shared" si="10"/>
        <v>0</v>
      </c>
      <c r="H70" s="8">
        <f t="shared" si="11"/>
        <v>0</v>
      </c>
      <c r="I70" s="9">
        <v>4125</v>
      </c>
      <c r="J70" s="10"/>
      <c r="K70" s="9">
        <f t="shared" si="12"/>
        <v>49500</v>
      </c>
      <c r="L70" s="8">
        <f t="shared" si="13"/>
        <v>0</v>
      </c>
      <c r="M70" s="11">
        <f t="shared" si="16"/>
        <v>1</v>
      </c>
      <c r="N70" s="12">
        <f t="shared" si="14"/>
        <v>0</v>
      </c>
      <c r="O70" s="9">
        <f t="shared" si="17"/>
        <v>0</v>
      </c>
      <c r="P70" s="13">
        <f t="shared" si="15"/>
        <v>0</v>
      </c>
    </row>
    <row r="71" spans="1:16">
      <c r="A71" s="3">
        <v>45906</v>
      </c>
      <c r="B71" s="4">
        <f>Data_Entry!X161</f>
        <v>0</v>
      </c>
      <c r="C71" s="5">
        <f>Data_Entry!AD161</f>
        <v>0</v>
      </c>
      <c r="D71" s="6">
        <f t="shared" si="9"/>
        <v>0</v>
      </c>
      <c r="E71" s="7"/>
      <c r="F71" s="7"/>
      <c r="G71" s="8">
        <f t="shared" si="10"/>
        <v>0</v>
      </c>
      <c r="H71" s="8">
        <f t="shared" si="11"/>
        <v>0</v>
      </c>
      <c r="I71" s="9">
        <v>4125</v>
      </c>
      <c r="J71" s="10"/>
      <c r="K71" s="9">
        <f t="shared" si="12"/>
        <v>49500</v>
      </c>
      <c r="L71" s="8">
        <f t="shared" si="13"/>
        <v>0</v>
      </c>
      <c r="M71" s="11">
        <f t="shared" si="16"/>
        <v>1</v>
      </c>
      <c r="N71" s="12">
        <f t="shared" si="14"/>
        <v>0</v>
      </c>
      <c r="O71" s="9">
        <f t="shared" si="17"/>
        <v>0</v>
      </c>
      <c r="P71" s="13">
        <f t="shared" si="15"/>
        <v>0</v>
      </c>
    </row>
    <row r="72" spans="1:16">
      <c r="A72" s="3">
        <v>45907</v>
      </c>
      <c r="B72" s="4">
        <f>Data_Entry!X162</f>
        <v>0</v>
      </c>
      <c r="C72" s="5">
        <f>Data_Entry!AD162</f>
        <v>0</v>
      </c>
      <c r="D72" s="6">
        <f t="shared" si="9"/>
        <v>0</v>
      </c>
      <c r="E72" s="7"/>
      <c r="F72" s="7"/>
      <c r="G72" s="8">
        <f t="shared" si="10"/>
        <v>0</v>
      </c>
      <c r="H72" s="8">
        <f t="shared" si="11"/>
        <v>0</v>
      </c>
      <c r="I72" s="9">
        <v>4125</v>
      </c>
      <c r="J72" s="10"/>
      <c r="K72" s="9">
        <f t="shared" si="12"/>
        <v>49500</v>
      </c>
      <c r="L72" s="8">
        <f t="shared" si="13"/>
        <v>0</v>
      </c>
      <c r="M72" s="11">
        <f t="shared" si="16"/>
        <v>1</v>
      </c>
      <c r="N72" s="12">
        <f t="shared" si="14"/>
        <v>0</v>
      </c>
      <c r="O72" s="9">
        <f t="shared" si="17"/>
        <v>0</v>
      </c>
      <c r="P72" s="13">
        <f t="shared" si="15"/>
        <v>0</v>
      </c>
    </row>
    <row r="73" spans="1:16">
      <c r="A73" s="3">
        <v>45908</v>
      </c>
      <c r="B73" s="4">
        <f>Data_Entry!X163</f>
        <v>0</v>
      </c>
      <c r="C73" s="5">
        <f>Data_Entry!AD163</f>
        <v>0</v>
      </c>
      <c r="D73" s="6">
        <f t="shared" si="9"/>
        <v>0</v>
      </c>
      <c r="E73" s="7"/>
      <c r="F73" s="7"/>
      <c r="G73" s="8">
        <f t="shared" si="10"/>
        <v>0</v>
      </c>
      <c r="H73" s="8">
        <f t="shared" si="11"/>
        <v>0</v>
      </c>
      <c r="I73" s="9">
        <v>4125</v>
      </c>
      <c r="J73" s="10"/>
      <c r="K73" s="9">
        <f t="shared" si="12"/>
        <v>49500</v>
      </c>
      <c r="L73" s="8">
        <f t="shared" si="13"/>
        <v>0</v>
      </c>
      <c r="M73" s="11">
        <f t="shared" si="16"/>
        <v>1</v>
      </c>
      <c r="N73" s="12">
        <f t="shared" si="14"/>
        <v>0</v>
      </c>
      <c r="O73" s="9">
        <f t="shared" si="17"/>
        <v>0</v>
      </c>
      <c r="P73" s="13">
        <f t="shared" si="15"/>
        <v>0</v>
      </c>
    </row>
    <row r="74" spans="1:16">
      <c r="A74" s="3">
        <v>45909</v>
      </c>
      <c r="B74" s="4">
        <f>Data_Entry!X164</f>
        <v>399.99999999992</v>
      </c>
      <c r="C74" s="5">
        <f>Data_Entry!AD164</f>
        <v>0</v>
      </c>
      <c r="D74" s="6">
        <f t="shared" si="9"/>
        <v>0.00404040404040324</v>
      </c>
      <c r="E74" s="7"/>
      <c r="F74" s="7"/>
      <c r="G74" s="8">
        <f t="shared" si="10"/>
        <v>0</v>
      </c>
      <c r="H74" s="8">
        <f t="shared" si="11"/>
        <v>0</v>
      </c>
      <c r="I74" s="9">
        <v>4125</v>
      </c>
      <c r="J74" s="10"/>
      <c r="K74" s="9">
        <f t="shared" si="12"/>
        <v>49500</v>
      </c>
      <c r="L74" s="8">
        <f t="shared" si="13"/>
        <v>0</v>
      </c>
      <c r="M74" s="11">
        <f t="shared" si="16"/>
        <v>1</v>
      </c>
      <c r="N74" s="12">
        <f t="shared" si="14"/>
        <v>0.00404040404040324</v>
      </c>
      <c r="O74" s="9">
        <f t="shared" si="17"/>
        <v>399.99999999992</v>
      </c>
      <c r="P74" s="13">
        <f t="shared" si="15"/>
        <v>0</v>
      </c>
    </row>
    <row r="75" spans="1:16">
      <c r="A75" s="3">
        <v>45910</v>
      </c>
      <c r="B75" s="4">
        <f>Data_Entry!X165</f>
        <v>1450.0000000001</v>
      </c>
      <c r="C75" s="5">
        <f>Data_Entry!AD165</f>
        <v>0</v>
      </c>
      <c r="D75" s="6">
        <f t="shared" si="9"/>
        <v>0.0146464646464657</v>
      </c>
      <c r="E75" s="7"/>
      <c r="F75" s="7"/>
      <c r="G75" s="8">
        <f t="shared" si="10"/>
        <v>0</v>
      </c>
      <c r="H75" s="8">
        <f t="shared" si="11"/>
        <v>0</v>
      </c>
      <c r="I75" s="9">
        <v>4125</v>
      </c>
      <c r="J75" s="10"/>
      <c r="K75" s="9">
        <f t="shared" si="12"/>
        <v>49500</v>
      </c>
      <c r="L75" s="8">
        <f t="shared" si="13"/>
        <v>0</v>
      </c>
      <c r="M75" s="11">
        <f t="shared" si="16"/>
        <v>1</v>
      </c>
      <c r="N75" s="12">
        <f t="shared" si="14"/>
        <v>0.0146464646464657</v>
      </c>
      <c r="O75" s="9">
        <f t="shared" si="17"/>
        <v>1450.0000000001</v>
      </c>
      <c r="P75" s="13">
        <f t="shared" si="15"/>
        <v>0</v>
      </c>
    </row>
    <row r="76" spans="1:16">
      <c r="A76" s="3">
        <v>45911</v>
      </c>
      <c r="B76" s="4">
        <f>Data_Entry!X166</f>
        <v>4649.99999999989</v>
      </c>
      <c r="C76" s="5">
        <f>Data_Entry!AD166</f>
        <v>0</v>
      </c>
      <c r="D76" s="6">
        <f t="shared" si="9"/>
        <v>0.0469696969696959</v>
      </c>
      <c r="E76" s="7"/>
      <c r="F76" s="7"/>
      <c r="G76" s="8">
        <f t="shared" si="10"/>
        <v>0</v>
      </c>
      <c r="H76" s="8">
        <f t="shared" si="11"/>
        <v>0</v>
      </c>
      <c r="I76" s="9">
        <v>4125</v>
      </c>
      <c r="J76" s="10"/>
      <c r="K76" s="9">
        <f t="shared" si="12"/>
        <v>49500</v>
      </c>
      <c r="L76" s="8">
        <f t="shared" si="13"/>
        <v>0</v>
      </c>
      <c r="M76" s="11">
        <f t="shared" si="16"/>
        <v>1</v>
      </c>
      <c r="N76" s="12">
        <f t="shared" si="14"/>
        <v>0.0469696969696959</v>
      </c>
      <c r="O76" s="9">
        <f t="shared" si="17"/>
        <v>4649.99999999989</v>
      </c>
      <c r="P76" s="13">
        <f t="shared" si="15"/>
        <v>0</v>
      </c>
    </row>
    <row r="77" spans="1:16">
      <c r="A77" s="3">
        <v>45912</v>
      </c>
      <c r="B77" s="4">
        <f>Data_Entry!X167</f>
        <v>9900.00000000009</v>
      </c>
      <c r="C77" s="5">
        <f>Data_Entry!AD167</f>
        <v>0</v>
      </c>
      <c r="D77" s="6">
        <f t="shared" si="9"/>
        <v>0.100000000000001</v>
      </c>
      <c r="E77" s="7"/>
      <c r="F77" s="7"/>
      <c r="G77" s="8">
        <f t="shared" si="10"/>
        <v>0</v>
      </c>
      <c r="H77" s="8">
        <f t="shared" si="11"/>
        <v>0</v>
      </c>
      <c r="I77" s="9">
        <v>4125</v>
      </c>
      <c r="J77" s="10"/>
      <c r="K77" s="9">
        <f t="shared" si="12"/>
        <v>49500</v>
      </c>
      <c r="L77" s="8">
        <f t="shared" si="13"/>
        <v>0</v>
      </c>
      <c r="M77" s="11">
        <f t="shared" si="16"/>
        <v>1</v>
      </c>
      <c r="N77" s="12">
        <f t="shared" si="14"/>
        <v>0.100000000000001</v>
      </c>
      <c r="O77" s="9">
        <f t="shared" si="17"/>
        <v>9900.00000000009</v>
      </c>
      <c r="P77" s="13">
        <f t="shared" si="15"/>
        <v>0</v>
      </c>
    </row>
    <row r="78" spans="1:16">
      <c r="A78" s="3">
        <v>45913</v>
      </c>
      <c r="B78" s="4">
        <f>Data_Entry!X168</f>
        <v>9800.00000000004</v>
      </c>
      <c r="C78" s="5">
        <f>Data_Entry!AD168</f>
        <v>0</v>
      </c>
      <c r="D78" s="6">
        <f t="shared" si="9"/>
        <v>0.0989898989898994</v>
      </c>
      <c r="E78" s="7"/>
      <c r="F78" s="7"/>
      <c r="G78" s="8">
        <f t="shared" si="10"/>
        <v>0</v>
      </c>
      <c r="H78" s="8">
        <f t="shared" si="11"/>
        <v>0</v>
      </c>
      <c r="I78" s="9">
        <v>4125</v>
      </c>
      <c r="J78" s="10"/>
      <c r="K78" s="9">
        <f t="shared" si="12"/>
        <v>49500</v>
      </c>
      <c r="L78" s="8">
        <f t="shared" si="13"/>
        <v>0</v>
      </c>
      <c r="M78" s="11">
        <f t="shared" si="16"/>
        <v>1</v>
      </c>
      <c r="N78" s="12">
        <f t="shared" si="14"/>
        <v>0.0989898989898994</v>
      </c>
      <c r="O78" s="9">
        <f t="shared" si="17"/>
        <v>9800.00000000004</v>
      </c>
      <c r="P78" s="13">
        <f t="shared" si="15"/>
        <v>0</v>
      </c>
    </row>
    <row r="79" spans="1:16">
      <c r="A79" s="3">
        <v>45914</v>
      </c>
      <c r="B79" s="4">
        <f>Data_Entry!X169</f>
        <v>10399.9999999999</v>
      </c>
      <c r="C79" s="5">
        <f>Data_Entry!AD169</f>
        <v>0</v>
      </c>
      <c r="D79" s="6">
        <f t="shared" si="9"/>
        <v>0.105050505050504</v>
      </c>
      <c r="E79" s="7"/>
      <c r="F79" s="7"/>
      <c r="G79" s="8">
        <f t="shared" si="10"/>
        <v>0</v>
      </c>
      <c r="H79" s="8">
        <f t="shared" si="11"/>
        <v>0</v>
      </c>
      <c r="I79" s="9">
        <v>4125</v>
      </c>
      <c r="J79" s="10"/>
      <c r="K79" s="9">
        <f t="shared" si="12"/>
        <v>49500</v>
      </c>
      <c r="L79" s="8">
        <f t="shared" si="13"/>
        <v>0</v>
      </c>
      <c r="M79" s="11">
        <f t="shared" si="16"/>
        <v>1</v>
      </c>
      <c r="N79" s="12">
        <f t="shared" si="14"/>
        <v>0.105050505050504</v>
      </c>
      <c r="O79" s="9">
        <f t="shared" si="17"/>
        <v>10399.9999999999</v>
      </c>
      <c r="P79" s="13">
        <f t="shared" si="15"/>
        <v>0</v>
      </c>
    </row>
    <row r="80" spans="1:16">
      <c r="A80" s="3">
        <v>45915</v>
      </c>
      <c r="B80" s="4">
        <f>Data_Entry!X170</f>
        <v>14650</v>
      </c>
      <c r="C80" s="5">
        <f>Data_Entry!AD170</f>
        <v>0</v>
      </c>
      <c r="D80" s="6">
        <f t="shared" si="9"/>
        <v>0.147979797979798</v>
      </c>
      <c r="E80" s="7"/>
      <c r="F80" s="7"/>
      <c r="G80" s="8">
        <f t="shared" si="10"/>
        <v>0</v>
      </c>
      <c r="H80" s="8">
        <f t="shared" si="11"/>
        <v>0</v>
      </c>
      <c r="I80" s="9">
        <v>4125</v>
      </c>
      <c r="J80" s="10"/>
      <c r="K80" s="9">
        <f t="shared" si="12"/>
        <v>49500</v>
      </c>
      <c r="L80" s="8">
        <f t="shared" si="13"/>
        <v>0</v>
      </c>
      <c r="M80" s="11">
        <f t="shared" si="16"/>
        <v>1</v>
      </c>
      <c r="N80" s="12">
        <f t="shared" si="14"/>
        <v>0.147979797979798</v>
      </c>
      <c r="O80" s="9">
        <f t="shared" si="17"/>
        <v>14650</v>
      </c>
      <c r="P80" s="13">
        <f t="shared" si="15"/>
        <v>0</v>
      </c>
    </row>
    <row r="81" spans="1:16">
      <c r="A81" s="3">
        <v>45916</v>
      </c>
      <c r="B81" s="4">
        <f>Data_Entry!X171</f>
        <v>17700</v>
      </c>
      <c r="C81" s="5">
        <f>Data_Entry!AD171</f>
        <v>0</v>
      </c>
      <c r="D81" s="6">
        <f t="shared" si="9"/>
        <v>0.178787878787878</v>
      </c>
      <c r="E81" s="7"/>
      <c r="F81" s="7"/>
      <c r="G81" s="8">
        <f t="shared" si="10"/>
        <v>0</v>
      </c>
      <c r="H81" s="8">
        <f t="shared" si="11"/>
        <v>0</v>
      </c>
      <c r="I81" s="9">
        <v>4125</v>
      </c>
      <c r="J81" s="10"/>
      <c r="K81" s="9">
        <f t="shared" si="12"/>
        <v>49500</v>
      </c>
      <c r="L81" s="8">
        <f t="shared" si="13"/>
        <v>0</v>
      </c>
      <c r="M81" s="11">
        <f t="shared" si="16"/>
        <v>1</v>
      </c>
      <c r="N81" s="12">
        <f t="shared" si="14"/>
        <v>0.178787878787878</v>
      </c>
      <c r="O81" s="9">
        <f t="shared" si="17"/>
        <v>17700</v>
      </c>
      <c r="P81" s="13">
        <f t="shared" si="15"/>
        <v>0</v>
      </c>
    </row>
    <row r="82" spans="1:16">
      <c r="A82" s="3">
        <v>45917</v>
      </c>
      <c r="B82" s="4">
        <f>Data_Entry!X172</f>
        <v>16850</v>
      </c>
      <c r="C82" s="5">
        <f>Data_Entry!AD172</f>
        <v>0</v>
      </c>
      <c r="D82" s="6">
        <f t="shared" si="9"/>
        <v>0.17020202020202</v>
      </c>
      <c r="E82" s="7"/>
      <c r="F82" s="7"/>
      <c r="G82" s="8">
        <f t="shared" si="10"/>
        <v>0</v>
      </c>
      <c r="H82" s="8">
        <f t="shared" si="11"/>
        <v>0</v>
      </c>
      <c r="I82" s="9">
        <v>4125</v>
      </c>
      <c r="J82" s="10"/>
      <c r="K82" s="9">
        <f t="shared" si="12"/>
        <v>49500</v>
      </c>
      <c r="L82" s="8">
        <f t="shared" si="13"/>
        <v>0</v>
      </c>
      <c r="M82" s="11">
        <f t="shared" si="16"/>
        <v>1</v>
      </c>
      <c r="N82" s="12">
        <f t="shared" si="14"/>
        <v>0.17020202020202</v>
      </c>
      <c r="O82" s="9">
        <f t="shared" si="17"/>
        <v>16850</v>
      </c>
      <c r="P82" s="13">
        <f t="shared" si="15"/>
        <v>0</v>
      </c>
    </row>
    <row r="83" spans="1:16">
      <c r="A83" s="3">
        <v>45918</v>
      </c>
      <c r="B83" s="4">
        <f>Data_Entry!X173</f>
        <v>20150</v>
      </c>
      <c r="C83" s="5">
        <f>Data_Entry!AD173</f>
        <v>0</v>
      </c>
      <c r="D83" s="6">
        <f t="shared" si="9"/>
        <v>0.203535353535354</v>
      </c>
      <c r="E83" s="7"/>
      <c r="F83" s="7"/>
      <c r="G83" s="8">
        <f t="shared" si="10"/>
        <v>0</v>
      </c>
      <c r="H83" s="8">
        <f t="shared" si="11"/>
        <v>0</v>
      </c>
      <c r="I83" s="9">
        <v>4125</v>
      </c>
      <c r="J83" s="10"/>
      <c r="K83" s="9">
        <f t="shared" si="12"/>
        <v>49500</v>
      </c>
      <c r="L83" s="8">
        <f t="shared" si="13"/>
        <v>0</v>
      </c>
      <c r="M83" s="11">
        <f t="shared" si="16"/>
        <v>1</v>
      </c>
      <c r="N83" s="12">
        <f t="shared" si="14"/>
        <v>0.203535353535354</v>
      </c>
      <c r="O83" s="9">
        <f t="shared" si="17"/>
        <v>20150</v>
      </c>
      <c r="P83" s="13">
        <f t="shared" si="15"/>
        <v>0</v>
      </c>
    </row>
    <row r="84" spans="1:16">
      <c r="A84" s="3">
        <v>45919</v>
      </c>
      <c r="B84" s="4">
        <f>Data_Entry!X174</f>
        <v>17200</v>
      </c>
      <c r="C84" s="5">
        <f>Data_Entry!AD174</f>
        <v>0</v>
      </c>
      <c r="D84" s="6">
        <f t="shared" si="9"/>
        <v>0.173737373737374</v>
      </c>
      <c r="E84" s="7"/>
      <c r="F84" s="7"/>
      <c r="G84" s="8">
        <f t="shared" si="10"/>
        <v>0</v>
      </c>
      <c r="H84" s="8">
        <f t="shared" si="11"/>
        <v>0</v>
      </c>
      <c r="I84" s="9">
        <v>4125</v>
      </c>
      <c r="J84" s="10"/>
      <c r="K84" s="9">
        <f t="shared" si="12"/>
        <v>49500</v>
      </c>
      <c r="L84" s="8">
        <f t="shared" si="13"/>
        <v>0</v>
      </c>
      <c r="M84" s="11">
        <f t="shared" si="16"/>
        <v>1</v>
      </c>
      <c r="N84" s="12">
        <f t="shared" si="14"/>
        <v>0.173737373737374</v>
      </c>
      <c r="O84" s="9">
        <f t="shared" si="17"/>
        <v>17200</v>
      </c>
      <c r="P84" s="13">
        <f t="shared" si="15"/>
        <v>0</v>
      </c>
    </row>
    <row r="85" spans="1:16">
      <c r="A85" s="3">
        <v>45920</v>
      </c>
      <c r="B85" s="4">
        <f>Data_Entry!X175</f>
        <v>16850</v>
      </c>
      <c r="C85" s="5">
        <f>Data_Entry!AD175</f>
        <v>0</v>
      </c>
      <c r="D85" s="6">
        <f t="shared" si="9"/>
        <v>0.17020202020202</v>
      </c>
      <c r="E85" s="7"/>
      <c r="F85" s="7"/>
      <c r="G85" s="8">
        <f t="shared" si="10"/>
        <v>0</v>
      </c>
      <c r="H85" s="8">
        <f t="shared" si="11"/>
        <v>0</v>
      </c>
      <c r="I85" s="9">
        <v>4125</v>
      </c>
      <c r="J85" s="10"/>
      <c r="K85" s="9">
        <f t="shared" si="12"/>
        <v>49500</v>
      </c>
      <c r="L85" s="8">
        <f t="shared" si="13"/>
        <v>0</v>
      </c>
      <c r="M85" s="11">
        <f t="shared" si="16"/>
        <v>1</v>
      </c>
      <c r="N85" s="12">
        <f t="shared" si="14"/>
        <v>0.17020202020202</v>
      </c>
      <c r="O85" s="9">
        <f t="shared" si="17"/>
        <v>16850</v>
      </c>
      <c r="P85" s="13">
        <f t="shared" si="15"/>
        <v>0</v>
      </c>
    </row>
    <row r="86" spans="1:16">
      <c r="A86" s="3">
        <v>45921</v>
      </c>
      <c r="B86" s="4">
        <f>Data_Entry!X176</f>
        <v>15549.9999999999</v>
      </c>
      <c r="C86" s="5">
        <f>Data_Entry!AD176</f>
        <v>3.75</v>
      </c>
      <c r="D86" s="6">
        <f t="shared" si="9"/>
        <v>0.157070707070706</v>
      </c>
      <c r="E86" s="7"/>
      <c r="F86" s="7"/>
      <c r="G86" s="8">
        <f t="shared" si="10"/>
        <v>0</v>
      </c>
      <c r="H86" s="8">
        <f t="shared" si="11"/>
        <v>0</v>
      </c>
      <c r="I86" s="9">
        <v>4125</v>
      </c>
      <c r="J86" s="10"/>
      <c r="K86" s="9">
        <f t="shared" si="12"/>
        <v>49500</v>
      </c>
      <c r="L86" s="8">
        <f t="shared" si="13"/>
        <v>0</v>
      </c>
      <c r="M86" s="11">
        <f t="shared" si="16"/>
        <v>1</v>
      </c>
      <c r="N86" s="12">
        <f t="shared" si="14"/>
        <v>0.157070707070706</v>
      </c>
      <c r="O86" s="9">
        <f t="shared" si="17"/>
        <v>15549.9999999999</v>
      </c>
      <c r="P86" s="13">
        <f t="shared" si="15"/>
        <v>0</v>
      </c>
    </row>
    <row r="87" spans="1:16">
      <c r="A87" s="3">
        <v>45922</v>
      </c>
      <c r="B87" s="4">
        <f>Data_Entry!X177</f>
        <v>13850.0000000001</v>
      </c>
      <c r="C87" s="5">
        <f>Data_Entry!AD177</f>
        <v>3.24</v>
      </c>
      <c r="D87" s="6">
        <f t="shared" si="9"/>
        <v>0.13989898989899</v>
      </c>
      <c r="E87" s="7"/>
      <c r="F87" s="7"/>
      <c r="G87" s="8">
        <f t="shared" si="10"/>
        <v>0</v>
      </c>
      <c r="H87" s="8">
        <f t="shared" si="11"/>
        <v>0</v>
      </c>
      <c r="I87" s="9">
        <v>4125</v>
      </c>
      <c r="J87" s="10"/>
      <c r="K87" s="9">
        <f t="shared" si="12"/>
        <v>49500</v>
      </c>
      <c r="L87" s="8">
        <f t="shared" si="13"/>
        <v>0</v>
      </c>
      <c r="M87" s="11">
        <f t="shared" si="16"/>
        <v>1</v>
      </c>
      <c r="N87" s="12">
        <f t="shared" si="14"/>
        <v>0.13989898989899</v>
      </c>
      <c r="O87" s="9">
        <f t="shared" si="17"/>
        <v>13850.0000000001</v>
      </c>
      <c r="P87" s="13">
        <f t="shared" si="15"/>
        <v>0</v>
      </c>
    </row>
    <row r="88" spans="1:16">
      <c r="A88" s="3">
        <v>45923</v>
      </c>
      <c r="B88" s="4">
        <f>Data_Entry!X178</f>
        <v>18499.9999999999</v>
      </c>
      <c r="C88" s="5">
        <f>Data_Entry!AD178</f>
        <v>3.9</v>
      </c>
      <c r="D88" s="6">
        <f t="shared" si="9"/>
        <v>0.186868686868686</v>
      </c>
      <c r="E88" s="7"/>
      <c r="F88" s="7"/>
      <c r="G88" s="8">
        <f t="shared" si="10"/>
        <v>0</v>
      </c>
      <c r="H88" s="8">
        <f t="shared" si="11"/>
        <v>0</v>
      </c>
      <c r="I88" s="9">
        <v>4125</v>
      </c>
      <c r="J88" s="10"/>
      <c r="K88" s="9">
        <f t="shared" si="12"/>
        <v>49500</v>
      </c>
      <c r="L88" s="8">
        <f t="shared" si="13"/>
        <v>0</v>
      </c>
      <c r="M88" s="11">
        <f t="shared" si="16"/>
        <v>1</v>
      </c>
      <c r="N88" s="12">
        <f t="shared" si="14"/>
        <v>0.186868686868686</v>
      </c>
      <c r="O88" s="9">
        <f t="shared" si="17"/>
        <v>18499.9999999999</v>
      </c>
      <c r="P88" s="13">
        <f t="shared" si="15"/>
        <v>0</v>
      </c>
    </row>
    <row r="89" spans="1:16">
      <c r="A89" s="3">
        <v>45924</v>
      </c>
      <c r="B89" s="4">
        <f>Data_Entry!X179</f>
        <v>20850.0000000001</v>
      </c>
      <c r="C89" s="5">
        <f>Data_Entry!AD179</f>
        <v>2.18</v>
      </c>
      <c r="D89" s="6">
        <f t="shared" si="9"/>
        <v>0.210606060606061</v>
      </c>
      <c r="E89" s="7"/>
      <c r="F89" s="7"/>
      <c r="G89" s="8">
        <f t="shared" si="10"/>
        <v>0</v>
      </c>
      <c r="H89" s="8">
        <f t="shared" si="11"/>
        <v>0</v>
      </c>
      <c r="I89" s="9">
        <v>4125</v>
      </c>
      <c r="J89" s="10"/>
      <c r="K89" s="9">
        <f t="shared" si="12"/>
        <v>49500</v>
      </c>
      <c r="L89" s="8">
        <f t="shared" si="13"/>
        <v>0</v>
      </c>
      <c r="M89" s="11">
        <f t="shared" si="16"/>
        <v>1</v>
      </c>
      <c r="N89" s="12">
        <f t="shared" si="14"/>
        <v>0.210606060606061</v>
      </c>
      <c r="O89" s="9">
        <f t="shared" si="17"/>
        <v>20850.0000000001</v>
      </c>
      <c r="P89" s="13">
        <f t="shared" si="15"/>
        <v>0</v>
      </c>
    </row>
    <row r="90" spans="1:16">
      <c r="A90" s="3">
        <v>45925</v>
      </c>
      <c r="B90" s="4">
        <f>Data_Entry!X180</f>
        <v>18199.9999999999</v>
      </c>
      <c r="C90" s="5">
        <f>Data_Entry!AD180</f>
        <v>4.09</v>
      </c>
      <c r="D90" s="6">
        <f t="shared" si="9"/>
        <v>0.183838383838383</v>
      </c>
      <c r="E90" s="7"/>
      <c r="F90" s="7"/>
      <c r="G90" s="8">
        <f t="shared" si="10"/>
        <v>0</v>
      </c>
      <c r="H90" s="8">
        <f t="shared" si="11"/>
        <v>0</v>
      </c>
      <c r="I90" s="9">
        <v>4125</v>
      </c>
      <c r="J90" s="10"/>
      <c r="K90" s="9">
        <f t="shared" si="12"/>
        <v>49500</v>
      </c>
      <c r="L90" s="8">
        <f t="shared" si="13"/>
        <v>0</v>
      </c>
      <c r="M90" s="11">
        <f t="shared" si="16"/>
        <v>1</v>
      </c>
      <c r="N90" s="12">
        <f t="shared" si="14"/>
        <v>0.183838383838383</v>
      </c>
      <c r="O90" s="9">
        <f t="shared" si="17"/>
        <v>18199.9999999999</v>
      </c>
      <c r="P90" s="13">
        <f t="shared" si="15"/>
        <v>0</v>
      </c>
    </row>
    <row r="91" spans="1:16">
      <c r="A91" s="3">
        <v>45926</v>
      </c>
      <c r="B91" s="4">
        <f>Data_Entry!X181</f>
        <v>19700</v>
      </c>
      <c r="C91" s="5">
        <f>Data_Entry!AD181</f>
        <v>4.82</v>
      </c>
      <c r="D91" s="6">
        <f t="shared" si="9"/>
        <v>0.198989898989899</v>
      </c>
      <c r="E91" s="7"/>
      <c r="F91" s="7"/>
      <c r="G91" s="8">
        <f t="shared" si="10"/>
        <v>0</v>
      </c>
      <c r="H91" s="8">
        <f t="shared" si="11"/>
        <v>0</v>
      </c>
      <c r="I91" s="9">
        <v>4125</v>
      </c>
      <c r="J91" s="10"/>
      <c r="K91" s="9">
        <f t="shared" si="12"/>
        <v>49500</v>
      </c>
      <c r="L91" s="8">
        <f t="shared" si="13"/>
        <v>0</v>
      </c>
      <c r="M91" s="11">
        <f t="shared" si="16"/>
        <v>1</v>
      </c>
      <c r="N91" s="12">
        <f t="shared" si="14"/>
        <v>0.198989898989899</v>
      </c>
      <c r="O91" s="9">
        <f t="shared" si="17"/>
        <v>19700</v>
      </c>
      <c r="P91" s="13">
        <f t="shared" si="15"/>
        <v>0</v>
      </c>
    </row>
    <row r="92" spans="1:16">
      <c r="A92" s="3">
        <v>45927</v>
      </c>
      <c r="B92" s="4">
        <f>Data_Entry!X182</f>
        <v>20450</v>
      </c>
      <c r="C92" s="5">
        <f>Data_Entry!AD182</f>
        <v>4.02</v>
      </c>
      <c r="D92" s="6">
        <f t="shared" si="9"/>
        <v>0.206565656565657</v>
      </c>
      <c r="E92" s="7"/>
      <c r="F92" s="7"/>
      <c r="G92" s="8">
        <f t="shared" si="10"/>
        <v>0</v>
      </c>
      <c r="H92" s="8">
        <f t="shared" si="11"/>
        <v>0</v>
      </c>
      <c r="I92" s="9">
        <v>4125</v>
      </c>
      <c r="J92" s="10"/>
      <c r="K92" s="9">
        <f t="shared" si="12"/>
        <v>49500</v>
      </c>
      <c r="L92" s="8">
        <f t="shared" si="13"/>
        <v>0</v>
      </c>
      <c r="M92" s="11">
        <f t="shared" si="16"/>
        <v>1</v>
      </c>
      <c r="N92" s="12">
        <f t="shared" si="14"/>
        <v>0.206565656565657</v>
      </c>
      <c r="O92" s="9">
        <f t="shared" si="17"/>
        <v>20450</v>
      </c>
      <c r="P92" s="13">
        <f t="shared" si="15"/>
        <v>0</v>
      </c>
    </row>
    <row r="93" spans="1:16">
      <c r="A93" s="3">
        <v>45928</v>
      </c>
      <c r="B93" s="4">
        <f>Data_Entry!X183</f>
        <v>6850.00000000002</v>
      </c>
      <c r="C93" s="5">
        <f>Data_Entry!AD183</f>
        <v>1.73</v>
      </c>
      <c r="D93" s="6">
        <f t="shared" si="9"/>
        <v>0.0691919191919194</v>
      </c>
      <c r="E93" s="7"/>
      <c r="F93" s="7"/>
      <c r="G93" s="8">
        <f t="shared" si="10"/>
        <v>0</v>
      </c>
      <c r="H93" s="8">
        <f t="shared" si="11"/>
        <v>0</v>
      </c>
      <c r="I93" s="9">
        <v>4125</v>
      </c>
      <c r="J93" s="10"/>
      <c r="K93" s="9">
        <f t="shared" si="12"/>
        <v>49500</v>
      </c>
      <c r="L93" s="8">
        <f t="shared" si="13"/>
        <v>0</v>
      </c>
      <c r="M93" s="11">
        <f t="shared" si="16"/>
        <v>1</v>
      </c>
      <c r="N93" s="12">
        <f t="shared" si="14"/>
        <v>0.0691919191919194</v>
      </c>
      <c r="O93" s="9">
        <f t="shared" si="17"/>
        <v>6850.00000000002</v>
      </c>
      <c r="P93" s="13">
        <f t="shared" si="15"/>
        <v>0</v>
      </c>
    </row>
    <row r="94" spans="1:16">
      <c r="A94" s="3">
        <v>45929</v>
      </c>
      <c r="B94" s="4">
        <f>Data_Entry!X184</f>
        <v>6449.99999999996</v>
      </c>
      <c r="C94" s="5">
        <f>Data_Entry!AD184</f>
        <v>1.43</v>
      </c>
      <c r="D94" s="6">
        <f t="shared" si="9"/>
        <v>0.0651515151515148</v>
      </c>
      <c r="E94" s="7"/>
      <c r="F94" s="7"/>
      <c r="G94" s="8">
        <f t="shared" si="10"/>
        <v>0</v>
      </c>
      <c r="H94" s="8">
        <f t="shared" si="11"/>
        <v>0</v>
      </c>
      <c r="I94" s="9">
        <v>4125</v>
      </c>
      <c r="J94" s="10"/>
      <c r="K94" s="9">
        <f t="shared" si="12"/>
        <v>49500</v>
      </c>
      <c r="L94" s="8">
        <f t="shared" si="13"/>
        <v>0</v>
      </c>
      <c r="M94" s="11">
        <f t="shared" si="16"/>
        <v>1</v>
      </c>
      <c r="N94" s="12">
        <f t="shared" si="14"/>
        <v>0.0651515151515148</v>
      </c>
      <c r="O94" s="9">
        <f t="shared" si="17"/>
        <v>6449.99999999996</v>
      </c>
      <c r="P94" s="13">
        <f t="shared" si="15"/>
        <v>0</v>
      </c>
    </row>
    <row r="95" spans="1:16">
      <c r="A95" s="3">
        <v>45930</v>
      </c>
      <c r="B95" s="4">
        <f>Data_Entry!X185</f>
        <v>8350.00000000008</v>
      </c>
      <c r="C95" s="5">
        <f>Data_Entry!AD185</f>
        <v>1.27</v>
      </c>
      <c r="D95" s="6">
        <f t="shared" si="9"/>
        <v>0.0843434343434351</v>
      </c>
      <c r="E95" s="7"/>
      <c r="F95" s="7"/>
      <c r="G95" s="8">
        <f t="shared" si="10"/>
        <v>0</v>
      </c>
      <c r="H95" s="8">
        <f t="shared" si="11"/>
        <v>0</v>
      </c>
      <c r="I95" s="9">
        <v>4125</v>
      </c>
      <c r="J95" s="10"/>
      <c r="K95" s="9">
        <f t="shared" si="12"/>
        <v>49500</v>
      </c>
      <c r="L95" s="8">
        <f t="shared" si="13"/>
        <v>0</v>
      </c>
      <c r="M95" s="11">
        <f t="shared" si="16"/>
        <v>1</v>
      </c>
      <c r="N95" s="12">
        <f t="shared" si="14"/>
        <v>0.0843434343434351</v>
      </c>
      <c r="O95" s="9">
        <f t="shared" si="17"/>
        <v>8350.00000000008</v>
      </c>
      <c r="P95" s="13">
        <f t="shared" si="15"/>
        <v>0</v>
      </c>
    </row>
    <row r="96" spans="1:16">
      <c r="A96" s="3">
        <v>45931</v>
      </c>
      <c r="B96" s="4">
        <f>Data_Entry!X186</f>
        <v>8550.00000000004</v>
      </c>
      <c r="C96" s="5">
        <f>Data_Entry!AD186</f>
        <v>1.61</v>
      </c>
      <c r="D96" s="6">
        <f t="shared" si="9"/>
        <v>0.0863636363636368</v>
      </c>
      <c r="E96" s="7"/>
      <c r="F96" s="7"/>
      <c r="G96" s="8">
        <f t="shared" si="10"/>
        <v>0</v>
      </c>
      <c r="H96" s="8">
        <f t="shared" si="11"/>
        <v>0</v>
      </c>
      <c r="I96" s="9">
        <v>4125</v>
      </c>
      <c r="J96" s="10"/>
      <c r="K96" s="9">
        <f t="shared" si="12"/>
        <v>49500</v>
      </c>
      <c r="L96" s="8">
        <f t="shared" si="13"/>
        <v>0</v>
      </c>
      <c r="M96" s="11">
        <f t="shared" si="16"/>
        <v>1</v>
      </c>
      <c r="N96" s="12">
        <f t="shared" si="14"/>
        <v>0.0863636363636368</v>
      </c>
      <c r="O96" s="9">
        <f t="shared" si="17"/>
        <v>8550.00000000004</v>
      </c>
      <c r="P96" s="13">
        <f t="shared" si="15"/>
        <v>0</v>
      </c>
    </row>
    <row r="97" spans="1:16">
      <c r="A97" s="3">
        <v>45932</v>
      </c>
      <c r="B97" s="4">
        <f>Data_Entry!X187</f>
        <v>7999.99999999997</v>
      </c>
      <c r="C97" s="5">
        <f>Data_Entry!AD187</f>
        <v>0</v>
      </c>
      <c r="D97" s="6">
        <f t="shared" si="9"/>
        <v>0.0808080808080805</v>
      </c>
      <c r="E97" s="7"/>
      <c r="F97" s="7"/>
      <c r="G97" s="8">
        <f t="shared" si="10"/>
        <v>0</v>
      </c>
      <c r="H97" s="8">
        <f t="shared" si="11"/>
        <v>0</v>
      </c>
      <c r="I97" s="9">
        <v>4125</v>
      </c>
      <c r="J97" s="10"/>
      <c r="K97" s="9">
        <f t="shared" si="12"/>
        <v>49500</v>
      </c>
      <c r="L97" s="8">
        <f t="shared" si="13"/>
        <v>0</v>
      </c>
      <c r="M97" s="11">
        <f t="shared" si="16"/>
        <v>1</v>
      </c>
      <c r="N97" s="12">
        <f t="shared" si="14"/>
        <v>0.0808080808080805</v>
      </c>
      <c r="O97" s="9">
        <f t="shared" si="17"/>
        <v>7999.99999999997</v>
      </c>
      <c r="P97" s="13">
        <f t="shared" si="15"/>
        <v>0</v>
      </c>
    </row>
    <row r="98" spans="1:16">
      <c r="A98" s="3">
        <v>45933</v>
      </c>
      <c r="B98" s="4">
        <f>Data_Entry!X188</f>
        <v>17700</v>
      </c>
      <c r="C98" s="5">
        <f>Data_Entry!AD188</f>
        <v>4.2</v>
      </c>
      <c r="D98" s="6">
        <f t="shared" si="9"/>
        <v>0.178787878787878</v>
      </c>
      <c r="E98" s="7"/>
      <c r="F98" s="7"/>
      <c r="G98" s="8">
        <f t="shared" si="10"/>
        <v>0</v>
      </c>
      <c r="H98" s="8">
        <f t="shared" si="11"/>
        <v>0</v>
      </c>
      <c r="I98" s="9">
        <v>4125</v>
      </c>
      <c r="J98" s="10"/>
      <c r="K98" s="9">
        <f t="shared" si="12"/>
        <v>49500</v>
      </c>
      <c r="L98" s="8">
        <f t="shared" si="13"/>
        <v>0</v>
      </c>
      <c r="M98" s="11">
        <f t="shared" si="16"/>
        <v>1</v>
      </c>
      <c r="N98" s="12">
        <f t="shared" si="14"/>
        <v>0.178787878787878</v>
      </c>
      <c r="O98" s="9">
        <f t="shared" si="17"/>
        <v>17700</v>
      </c>
      <c r="P98" s="13">
        <f t="shared" si="15"/>
        <v>0</v>
      </c>
    </row>
    <row r="99" spans="1:16">
      <c r="A99" s="3">
        <v>45934</v>
      </c>
      <c r="B99" s="4">
        <f>Data_Entry!X189</f>
        <v>20150.0000000001</v>
      </c>
      <c r="C99" s="5">
        <f>Data_Entry!AD189</f>
        <v>4.19</v>
      </c>
      <c r="D99" s="6">
        <f t="shared" si="9"/>
        <v>0.203535353535355</v>
      </c>
      <c r="E99" s="7"/>
      <c r="F99" s="7"/>
      <c r="G99" s="8">
        <f t="shared" si="10"/>
        <v>0</v>
      </c>
      <c r="H99" s="8">
        <f t="shared" si="11"/>
        <v>0</v>
      </c>
      <c r="I99" s="9">
        <v>4125</v>
      </c>
      <c r="J99" s="10"/>
      <c r="K99" s="9">
        <f t="shared" si="12"/>
        <v>49500</v>
      </c>
      <c r="L99" s="8">
        <f t="shared" si="13"/>
        <v>0</v>
      </c>
      <c r="M99" s="11">
        <f t="shared" si="16"/>
        <v>1</v>
      </c>
      <c r="N99" s="12">
        <f t="shared" si="14"/>
        <v>0.203535353535355</v>
      </c>
      <c r="O99" s="9">
        <f t="shared" si="17"/>
        <v>20150.0000000001</v>
      </c>
      <c r="P99" s="13">
        <f t="shared" si="15"/>
        <v>0</v>
      </c>
    </row>
    <row r="100" spans="1:16">
      <c r="A100" s="3">
        <v>45935</v>
      </c>
      <c r="B100" s="4">
        <f>Data_Entry!X190</f>
        <v>19400</v>
      </c>
      <c r="C100" s="5">
        <f>Data_Entry!AD190</f>
        <v>4.68</v>
      </c>
      <c r="D100" s="6">
        <f t="shared" si="9"/>
        <v>0.195959595959596</v>
      </c>
      <c r="E100" s="7"/>
      <c r="F100" s="7"/>
      <c r="G100" s="8">
        <f t="shared" si="10"/>
        <v>0</v>
      </c>
      <c r="H100" s="8">
        <f t="shared" si="11"/>
        <v>0</v>
      </c>
      <c r="I100" s="9">
        <v>4125</v>
      </c>
      <c r="J100" s="10"/>
      <c r="K100" s="9">
        <f t="shared" si="12"/>
        <v>49500</v>
      </c>
      <c r="L100" s="8">
        <f t="shared" si="13"/>
        <v>0</v>
      </c>
      <c r="M100" s="11">
        <f t="shared" si="16"/>
        <v>1</v>
      </c>
      <c r="N100" s="12">
        <f t="shared" si="14"/>
        <v>0.195959595959596</v>
      </c>
      <c r="O100" s="9">
        <f t="shared" si="17"/>
        <v>19400</v>
      </c>
      <c r="P100" s="13">
        <f t="shared" si="15"/>
        <v>0</v>
      </c>
    </row>
    <row r="101" spans="1:16">
      <c r="A101" s="3">
        <v>45936</v>
      </c>
      <c r="B101" s="4">
        <f>Data_Entry!X191</f>
        <v>23549.9999999999</v>
      </c>
      <c r="C101" s="5">
        <f>Data_Entry!AD191</f>
        <v>4.79</v>
      </c>
      <c r="D101" s="6">
        <f t="shared" si="9"/>
        <v>0.237878787878787</v>
      </c>
      <c r="E101" s="7"/>
      <c r="F101" s="7"/>
      <c r="G101" s="8">
        <f t="shared" si="10"/>
        <v>0</v>
      </c>
      <c r="H101" s="8">
        <f t="shared" si="11"/>
        <v>0</v>
      </c>
      <c r="I101" s="9">
        <v>4125</v>
      </c>
      <c r="J101" s="10"/>
      <c r="K101" s="9">
        <f t="shared" si="12"/>
        <v>49500</v>
      </c>
      <c r="L101" s="8">
        <f t="shared" si="13"/>
        <v>0</v>
      </c>
      <c r="M101" s="11">
        <f t="shared" si="16"/>
        <v>1</v>
      </c>
      <c r="N101" s="12">
        <f t="shared" si="14"/>
        <v>0.237878787878787</v>
      </c>
      <c r="O101" s="9">
        <f t="shared" si="17"/>
        <v>23549.9999999999</v>
      </c>
      <c r="P101" s="13">
        <f t="shared" si="15"/>
        <v>0</v>
      </c>
    </row>
    <row r="102" spans="1:16">
      <c r="A102" s="3">
        <v>45937</v>
      </c>
      <c r="B102" s="4">
        <f>Data_Entry!X192</f>
        <v>24350</v>
      </c>
      <c r="C102" s="5">
        <f>Data_Entry!AD192</f>
        <v>4.87</v>
      </c>
      <c r="D102" s="6">
        <f t="shared" si="9"/>
        <v>0.245959595959596</v>
      </c>
      <c r="E102" s="7"/>
      <c r="F102" s="7"/>
      <c r="G102" s="8">
        <f t="shared" si="10"/>
        <v>0</v>
      </c>
      <c r="H102" s="8">
        <f t="shared" si="11"/>
        <v>0</v>
      </c>
      <c r="I102" s="9">
        <v>4125</v>
      </c>
      <c r="J102" s="10"/>
      <c r="K102" s="9">
        <f t="shared" si="12"/>
        <v>49500</v>
      </c>
      <c r="L102" s="8">
        <f t="shared" si="13"/>
        <v>0</v>
      </c>
      <c r="M102" s="11">
        <f t="shared" si="16"/>
        <v>1</v>
      </c>
      <c r="N102" s="12">
        <f t="shared" si="14"/>
        <v>0.245959595959596</v>
      </c>
      <c r="O102" s="9">
        <f t="shared" si="17"/>
        <v>24350</v>
      </c>
      <c r="P102" s="13">
        <f t="shared" si="15"/>
        <v>0</v>
      </c>
    </row>
    <row r="103" spans="1:16">
      <c r="A103" s="3">
        <v>45938</v>
      </c>
      <c r="B103" s="4">
        <f>Data_Entry!X193</f>
        <v>26250</v>
      </c>
      <c r="C103" s="5">
        <f>Data_Entry!AD193</f>
        <v>4.72</v>
      </c>
      <c r="D103" s="6">
        <f t="shared" si="9"/>
        <v>0.265151515151515</v>
      </c>
      <c r="E103" s="7"/>
      <c r="F103" s="7"/>
      <c r="G103" s="8">
        <f t="shared" si="10"/>
        <v>0</v>
      </c>
      <c r="H103" s="8">
        <f t="shared" si="11"/>
        <v>0</v>
      </c>
      <c r="I103" s="9">
        <v>4125</v>
      </c>
      <c r="J103" s="10"/>
      <c r="K103" s="9">
        <f t="shared" si="12"/>
        <v>49500</v>
      </c>
      <c r="L103" s="8">
        <f t="shared" si="13"/>
        <v>0</v>
      </c>
      <c r="M103" s="11">
        <f t="shared" si="16"/>
        <v>1</v>
      </c>
      <c r="N103" s="12">
        <f t="shared" si="14"/>
        <v>0.265151515151515</v>
      </c>
      <c r="O103" s="9">
        <f t="shared" si="17"/>
        <v>26250</v>
      </c>
      <c r="P103" s="13">
        <f t="shared" si="15"/>
        <v>0</v>
      </c>
    </row>
    <row r="104" spans="1:16">
      <c r="A104" s="3">
        <v>45939</v>
      </c>
      <c r="B104" s="4">
        <f>Data_Entry!X194</f>
        <v>24400</v>
      </c>
      <c r="C104" s="5">
        <f>Data_Entry!AD194</f>
        <v>4.96</v>
      </c>
      <c r="D104" s="6">
        <f t="shared" si="9"/>
        <v>0.246464646464646</v>
      </c>
      <c r="E104" s="7"/>
      <c r="F104" s="7"/>
      <c r="G104" s="8">
        <f t="shared" si="10"/>
        <v>0</v>
      </c>
      <c r="H104" s="8">
        <f t="shared" si="11"/>
        <v>0</v>
      </c>
      <c r="I104" s="9">
        <v>4125</v>
      </c>
      <c r="J104" s="10"/>
      <c r="K104" s="9">
        <f t="shared" si="12"/>
        <v>49500</v>
      </c>
      <c r="L104" s="8">
        <f t="shared" si="13"/>
        <v>0</v>
      </c>
      <c r="M104" s="11">
        <f t="shared" si="16"/>
        <v>1</v>
      </c>
      <c r="N104" s="12">
        <f t="shared" si="14"/>
        <v>0.246464646464646</v>
      </c>
      <c r="O104" s="9">
        <f t="shared" si="17"/>
        <v>24400</v>
      </c>
      <c r="P104" s="13">
        <f t="shared" si="15"/>
        <v>0</v>
      </c>
    </row>
    <row r="105" spans="1:16">
      <c r="A105" s="3">
        <v>45940</v>
      </c>
      <c r="B105" s="4">
        <f>Data_Entry!X195</f>
        <v>25650</v>
      </c>
      <c r="C105" s="5">
        <f>Data_Entry!AD195</f>
        <v>3.9</v>
      </c>
      <c r="D105" s="6">
        <f t="shared" si="9"/>
        <v>0.259090909090909</v>
      </c>
      <c r="E105" s="7"/>
      <c r="F105" s="7"/>
      <c r="G105" s="8">
        <f t="shared" si="10"/>
        <v>0</v>
      </c>
      <c r="H105" s="8">
        <f t="shared" si="11"/>
        <v>0</v>
      </c>
      <c r="I105" s="9">
        <v>4125</v>
      </c>
      <c r="J105" s="10"/>
      <c r="K105" s="9">
        <f t="shared" si="12"/>
        <v>49500</v>
      </c>
      <c r="L105" s="8">
        <f t="shared" si="13"/>
        <v>0</v>
      </c>
      <c r="M105" s="11">
        <f t="shared" si="16"/>
        <v>1</v>
      </c>
      <c r="N105" s="12">
        <f t="shared" si="14"/>
        <v>0.259090909090909</v>
      </c>
      <c r="O105" s="9">
        <f t="shared" si="17"/>
        <v>25650</v>
      </c>
      <c r="P105" s="13">
        <f t="shared" si="15"/>
        <v>0</v>
      </c>
    </row>
    <row r="106" spans="1:16">
      <c r="A106" s="3">
        <v>45941</v>
      </c>
      <c r="B106" s="4">
        <f>Data_Entry!X196</f>
        <v>25200.0000000001</v>
      </c>
      <c r="C106" s="5">
        <f>Data_Entry!AD196</f>
        <v>3.48</v>
      </c>
      <c r="D106" s="6">
        <f t="shared" si="9"/>
        <v>0.254545454545456</v>
      </c>
      <c r="E106" s="7"/>
      <c r="F106" s="7"/>
      <c r="G106" s="8">
        <f t="shared" si="10"/>
        <v>0</v>
      </c>
      <c r="H106" s="8">
        <f t="shared" si="11"/>
        <v>0</v>
      </c>
      <c r="I106" s="9">
        <v>4125</v>
      </c>
      <c r="J106" s="10"/>
      <c r="K106" s="9">
        <f t="shared" si="12"/>
        <v>49500</v>
      </c>
      <c r="L106" s="8">
        <f t="shared" si="13"/>
        <v>0</v>
      </c>
      <c r="M106" s="11">
        <f t="shared" si="16"/>
        <v>1</v>
      </c>
      <c r="N106" s="12">
        <f t="shared" si="14"/>
        <v>0.254545454545456</v>
      </c>
      <c r="O106" s="9">
        <f t="shared" si="17"/>
        <v>25200.0000000001</v>
      </c>
      <c r="P106" s="13">
        <f t="shared" si="15"/>
        <v>0</v>
      </c>
    </row>
    <row r="107" spans="1:16">
      <c r="A107" s="3">
        <v>45942</v>
      </c>
      <c r="B107" s="4">
        <f>Data_Entry!X197</f>
        <v>26600</v>
      </c>
      <c r="C107" s="5">
        <f>Data_Entry!AD197</f>
        <v>3.55</v>
      </c>
      <c r="D107" s="6">
        <f t="shared" si="9"/>
        <v>0.268686868686868</v>
      </c>
      <c r="E107" s="7"/>
      <c r="F107" s="7"/>
      <c r="G107" s="8">
        <f t="shared" si="10"/>
        <v>0</v>
      </c>
      <c r="H107" s="8">
        <f t="shared" si="11"/>
        <v>0</v>
      </c>
      <c r="I107" s="9">
        <v>4125</v>
      </c>
      <c r="J107" s="10"/>
      <c r="K107" s="9">
        <f t="shared" si="12"/>
        <v>49500</v>
      </c>
      <c r="L107" s="8">
        <f t="shared" si="13"/>
        <v>0</v>
      </c>
      <c r="M107" s="11">
        <f t="shared" si="16"/>
        <v>1</v>
      </c>
      <c r="N107" s="12">
        <f t="shared" si="14"/>
        <v>0.268686868686868</v>
      </c>
      <c r="O107" s="9">
        <f t="shared" si="17"/>
        <v>26600</v>
      </c>
      <c r="P107" s="13">
        <f t="shared" si="15"/>
        <v>0</v>
      </c>
    </row>
    <row r="108" spans="1:16">
      <c r="A108" s="3">
        <v>45943</v>
      </c>
      <c r="B108" s="4">
        <f>Data_Entry!X198</f>
        <v>26200</v>
      </c>
      <c r="C108" s="5">
        <f>Data_Entry!AD198</f>
        <v>3.55</v>
      </c>
      <c r="D108" s="6">
        <f t="shared" si="9"/>
        <v>0.264646464646465</v>
      </c>
      <c r="E108" s="7"/>
      <c r="F108" s="7"/>
      <c r="G108" s="8">
        <f t="shared" si="10"/>
        <v>0</v>
      </c>
      <c r="H108" s="8">
        <f t="shared" si="11"/>
        <v>0</v>
      </c>
      <c r="I108" s="9">
        <v>4125</v>
      </c>
      <c r="J108" s="10"/>
      <c r="K108" s="9">
        <f t="shared" si="12"/>
        <v>49500</v>
      </c>
      <c r="L108" s="8">
        <f t="shared" si="13"/>
        <v>0</v>
      </c>
      <c r="M108" s="11">
        <f t="shared" si="16"/>
        <v>1</v>
      </c>
      <c r="N108" s="12">
        <f t="shared" si="14"/>
        <v>0.264646464646465</v>
      </c>
      <c r="O108" s="9">
        <f t="shared" si="17"/>
        <v>26200</v>
      </c>
      <c r="P108" s="13">
        <f t="shared" si="15"/>
        <v>0</v>
      </c>
    </row>
    <row r="109" spans="1:16">
      <c r="A109" s="3">
        <v>45944</v>
      </c>
      <c r="B109" s="4">
        <f>Data_Entry!X199</f>
        <v>25600</v>
      </c>
      <c r="C109" s="5">
        <f>Data_Entry!AD199</f>
        <v>3.45</v>
      </c>
      <c r="D109" s="6">
        <f t="shared" si="9"/>
        <v>0.258585858585859</v>
      </c>
      <c r="E109" s="7"/>
      <c r="F109" s="7"/>
      <c r="G109" s="8">
        <f t="shared" si="10"/>
        <v>0</v>
      </c>
      <c r="H109" s="8">
        <f t="shared" si="11"/>
        <v>0</v>
      </c>
      <c r="I109" s="9">
        <v>4125</v>
      </c>
      <c r="J109" s="10"/>
      <c r="K109" s="9">
        <f t="shared" si="12"/>
        <v>49500</v>
      </c>
      <c r="L109" s="8">
        <f t="shared" si="13"/>
        <v>0</v>
      </c>
      <c r="M109" s="11">
        <f t="shared" si="16"/>
        <v>1</v>
      </c>
      <c r="N109" s="12">
        <f t="shared" si="14"/>
        <v>0.258585858585859</v>
      </c>
      <c r="O109" s="9">
        <f t="shared" si="17"/>
        <v>25600</v>
      </c>
      <c r="P109" s="13">
        <f t="shared" si="15"/>
        <v>0</v>
      </c>
    </row>
    <row r="110" spans="1:16">
      <c r="A110" s="3">
        <v>45945</v>
      </c>
      <c r="B110" s="4">
        <f>Data_Entry!X200</f>
        <v>26399.9999999999</v>
      </c>
      <c r="C110" s="5">
        <f>Data_Entry!AD200</f>
        <v>3.55</v>
      </c>
      <c r="D110" s="6">
        <f t="shared" si="9"/>
        <v>0.266666666666665</v>
      </c>
      <c r="E110" s="7"/>
      <c r="F110" s="7"/>
      <c r="G110" s="8">
        <f t="shared" si="10"/>
        <v>0</v>
      </c>
      <c r="H110" s="8">
        <f t="shared" si="11"/>
        <v>0</v>
      </c>
      <c r="I110" s="9">
        <v>4125</v>
      </c>
      <c r="J110" s="10"/>
      <c r="K110" s="9">
        <f t="shared" si="12"/>
        <v>49500</v>
      </c>
      <c r="L110" s="8">
        <f t="shared" si="13"/>
        <v>0</v>
      </c>
      <c r="M110" s="11">
        <f t="shared" si="16"/>
        <v>1</v>
      </c>
      <c r="N110" s="12">
        <f t="shared" si="14"/>
        <v>0.266666666666665</v>
      </c>
      <c r="O110" s="9">
        <f t="shared" si="17"/>
        <v>26399.9999999999</v>
      </c>
      <c r="P110" s="13">
        <f t="shared" si="15"/>
        <v>0</v>
      </c>
    </row>
    <row r="111" spans="1:16">
      <c r="A111" s="3">
        <v>45946</v>
      </c>
      <c r="B111" s="4">
        <f>Data_Entry!X201</f>
        <v>22850</v>
      </c>
      <c r="C111" s="5">
        <f>Data_Entry!AD201</f>
        <v>3.37</v>
      </c>
      <c r="D111" s="6">
        <f t="shared" si="9"/>
        <v>0.23080808080808</v>
      </c>
      <c r="E111" s="7"/>
      <c r="F111" s="7"/>
      <c r="G111" s="8">
        <f t="shared" si="10"/>
        <v>0</v>
      </c>
      <c r="H111" s="8">
        <f t="shared" si="11"/>
        <v>0</v>
      </c>
      <c r="I111" s="9">
        <v>4125</v>
      </c>
      <c r="J111" s="10"/>
      <c r="K111" s="9">
        <f t="shared" si="12"/>
        <v>49500</v>
      </c>
      <c r="L111" s="8">
        <f t="shared" si="13"/>
        <v>0</v>
      </c>
      <c r="M111" s="11">
        <f t="shared" si="16"/>
        <v>1</v>
      </c>
      <c r="N111" s="12">
        <f t="shared" si="14"/>
        <v>0.23080808080808</v>
      </c>
      <c r="O111" s="9">
        <f t="shared" si="17"/>
        <v>22850</v>
      </c>
      <c r="P111" s="13">
        <f t="shared" si="15"/>
        <v>0</v>
      </c>
    </row>
    <row r="112" spans="1:16">
      <c r="A112" s="3">
        <v>45947</v>
      </c>
      <c r="B112" s="4">
        <f>Data_Entry!X202</f>
        <v>20900</v>
      </c>
      <c r="C112" s="5">
        <f>Data_Entry!AD202</f>
        <v>3.23</v>
      </c>
      <c r="D112" s="6">
        <f t="shared" si="9"/>
        <v>0.211111111111111</v>
      </c>
      <c r="E112" s="7"/>
      <c r="F112" s="7"/>
      <c r="G112" s="8">
        <f t="shared" si="10"/>
        <v>0</v>
      </c>
      <c r="H112" s="8">
        <f t="shared" si="11"/>
        <v>0</v>
      </c>
      <c r="I112" s="9">
        <v>4125</v>
      </c>
      <c r="J112" s="10"/>
      <c r="K112" s="9">
        <f t="shared" si="12"/>
        <v>49500</v>
      </c>
      <c r="L112" s="8">
        <f t="shared" si="13"/>
        <v>0</v>
      </c>
      <c r="M112" s="11">
        <f t="shared" si="16"/>
        <v>1</v>
      </c>
      <c r="N112" s="12">
        <f t="shared" si="14"/>
        <v>0.211111111111111</v>
      </c>
      <c r="O112" s="9">
        <f t="shared" si="17"/>
        <v>20900</v>
      </c>
      <c r="P112" s="13">
        <f t="shared" si="15"/>
        <v>0</v>
      </c>
    </row>
    <row r="113" spans="1:16">
      <c r="A113" s="3">
        <v>45948</v>
      </c>
      <c r="B113" s="4">
        <f>Data_Entry!X203</f>
        <v>26250</v>
      </c>
      <c r="C113" s="5">
        <f>Data_Entry!AD203</f>
        <v>3.9</v>
      </c>
      <c r="D113" s="6">
        <f t="shared" si="9"/>
        <v>0.265151515151515</v>
      </c>
      <c r="E113" s="7"/>
      <c r="F113" s="7"/>
      <c r="G113" s="8">
        <f t="shared" si="10"/>
        <v>0</v>
      </c>
      <c r="H113" s="8">
        <f t="shared" si="11"/>
        <v>0</v>
      </c>
      <c r="I113" s="9">
        <v>4125</v>
      </c>
      <c r="J113" s="10"/>
      <c r="K113" s="9">
        <f t="shared" si="12"/>
        <v>49500</v>
      </c>
      <c r="L113" s="8">
        <f t="shared" si="13"/>
        <v>0</v>
      </c>
      <c r="M113" s="11">
        <f t="shared" si="16"/>
        <v>1</v>
      </c>
      <c r="N113" s="12">
        <f t="shared" si="14"/>
        <v>0.265151515151515</v>
      </c>
      <c r="O113" s="9">
        <f t="shared" si="17"/>
        <v>26250</v>
      </c>
      <c r="P113" s="13">
        <f t="shared" si="15"/>
        <v>0</v>
      </c>
    </row>
    <row r="114" spans="1:16">
      <c r="A114" s="3">
        <v>45949</v>
      </c>
      <c r="B114" s="4">
        <f>Data_Entry!X204</f>
        <v>25650</v>
      </c>
      <c r="C114" s="5">
        <f>Data_Entry!AD204</f>
        <v>4.46</v>
      </c>
      <c r="D114" s="6">
        <f t="shared" si="9"/>
        <v>0.259090909090909</v>
      </c>
      <c r="E114" s="7"/>
      <c r="F114" s="7"/>
      <c r="G114" s="8">
        <f t="shared" si="10"/>
        <v>0</v>
      </c>
      <c r="H114" s="8">
        <f t="shared" si="11"/>
        <v>0</v>
      </c>
      <c r="I114" s="9">
        <v>4125</v>
      </c>
      <c r="J114" s="10"/>
      <c r="K114" s="9">
        <f t="shared" si="12"/>
        <v>49500</v>
      </c>
      <c r="L114" s="8">
        <f t="shared" si="13"/>
        <v>0</v>
      </c>
      <c r="M114" s="11">
        <f t="shared" si="16"/>
        <v>1</v>
      </c>
      <c r="N114" s="12">
        <f t="shared" si="14"/>
        <v>0.259090909090909</v>
      </c>
      <c r="O114" s="9">
        <f t="shared" si="17"/>
        <v>25650</v>
      </c>
      <c r="P114" s="13">
        <f t="shared" si="15"/>
        <v>0</v>
      </c>
    </row>
    <row r="115" spans="1:16">
      <c r="A115" s="3">
        <v>45950</v>
      </c>
      <c r="B115" s="4">
        <f>Data_Entry!X205</f>
        <v>22500</v>
      </c>
      <c r="C115" s="5">
        <f>Data_Entry!AD205</f>
        <v>4.12</v>
      </c>
      <c r="D115" s="6">
        <f t="shared" si="9"/>
        <v>0.227272727272727</v>
      </c>
      <c r="E115" s="7"/>
      <c r="F115" s="7"/>
      <c r="G115" s="8">
        <f t="shared" si="10"/>
        <v>0</v>
      </c>
      <c r="H115" s="8">
        <f t="shared" si="11"/>
        <v>0</v>
      </c>
      <c r="I115" s="9">
        <v>4125</v>
      </c>
      <c r="J115" s="10"/>
      <c r="K115" s="9">
        <f t="shared" si="12"/>
        <v>49500</v>
      </c>
      <c r="L115" s="8">
        <f t="shared" si="13"/>
        <v>0</v>
      </c>
      <c r="M115" s="11">
        <f t="shared" si="16"/>
        <v>1</v>
      </c>
      <c r="N115" s="12">
        <f t="shared" si="14"/>
        <v>0.227272727272727</v>
      </c>
      <c r="O115" s="9">
        <f t="shared" si="17"/>
        <v>22500</v>
      </c>
      <c r="P115" s="13">
        <f t="shared" si="15"/>
        <v>0</v>
      </c>
    </row>
    <row r="116" spans="1:16">
      <c r="A116" s="3">
        <v>45951</v>
      </c>
      <c r="B116" s="4">
        <f>Data_Entry!X206</f>
        <v>20800.0000000001</v>
      </c>
      <c r="C116" s="5">
        <f>Data_Entry!AD206</f>
        <v>3.84</v>
      </c>
      <c r="D116" s="6">
        <f t="shared" si="9"/>
        <v>0.210101010101011</v>
      </c>
      <c r="E116" s="7"/>
      <c r="F116" s="7"/>
      <c r="G116" s="8">
        <f t="shared" si="10"/>
        <v>0</v>
      </c>
      <c r="H116" s="8">
        <f t="shared" si="11"/>
        <v>0</v>
      </c>
      <c r="I116" s="9">
        <v>4125</v>
      </c>
      <c r="J116" s="10"/>
      <c r="K116" s="9">
        <f t="shared" si="12"/>
        <v>49500</v>
      </c>
      <c r="L116" s="8">
        <f t="shared" si="13"/>
        <v>0</v>
      </c>
      <c r="M116" s="11">
        <f t="shared" si="16"/>
        <v>1</v>
      </c>
      <c r="N116" s="12">
        <f t="shared" si="14"/>
        <v>0.210101010101011</v>
      </c>
      <c r="O116" s="9">
        <f t="shared" si="17"/>
        <v>20800.0000000001</v>
      </c>
      <c r="P116" s="13">
        <f t="shared" si="15"/>
        <v>0</v>
      </c>
    </row>
    <row r="117" spans="1:16">
      <c r="A117" s="3">
        <v>45952</v>
      </c>
      <c r="B117" s="4">
        <f>Data_Entry!X207</f>
        <v>22550</v>
      </c>
      <c r="C117" s="5">
        <f>Data_Entry!AD207</f>
        <v>4.26</v>
      </c>
      <c r="D117" s="6">
        <f t="shared" si="9"/>
        <v>0.227777777777777</v>
      </c>
      <c r="E117" s="7"/>
      <c r="F117" s="7"/>
      <c r="G117" s="8">
        <f t="shared" si="10"/>
        <v>0</v>
      </c>
      <c r="H117" s="8">
        <f t="shared" si="11"/>
        <v>0</v>
      </c>
      <c r="I117" s="9">
        <v>4125</v>
      </c>
      <c r="J117" s="10"/>
      <c r="K117" s="9">
        <f t="shared" si="12"/>
        <v>49500</v>
      </c>
      <c r="L117" s="8">
        <f t="shared" si="13"/>
        <v>0</v>
      </c>
      <c r="M117" s="11">
        <f t="shared" si="16"/>
        <v>1</v>
      </c>
      <c r="N117" s="12">
        <f t="shared" si="14"/>
        <v>0.227777777777777</v>
      </c>
      <c r="O117" s="9">
        <f t="shared" si="17"/>
        <v>22550</v>
      </c>
      <c r="P117" s="13">
        <f t="shared" si="15"/>
        <v>0</v>
      </c>
    </row>
    <row r="118" spans="1:16">
      <c r="A118" s="3">
        <v>45953</v>
      </c>
      <c r="B118" s="4">
        <f>Data_Entry!X208</f>
        <v>22400.0000000001</v>
      </c>
      <c r="C118" s="5">
        <f>Data_Entry!AD208</f>
        <v>3.78</v>
      </c>
      <c r="D118" s="6">
        <f t="shared" si="9"/>
        <v>0.226262626262627</v>
      </c>
      <c r="E118" s="7"/>
      <c r="F118" s="7"/>
      <c r="G118" s="8">
        <f t="shared" si="10"/>
        <v>0</v>
      </c>
      <c r="H118" s="8">
        <f t="shared" si="11"/>
        <v>0</v>
      </c>
      <c r="I118" s="9">
        <v>4125</v>
      </c>
      <c r="J118" s="10"/>
      <c r="K118" s="9">
        <f t="shared" si="12"/>
        <v>49500</v>
      </c>
      <c r="L118" s="8">
        <f t="shared" si="13"/>
        <v>0</v>
      </c>
      <c r="M118" s="11">
        <f t="shared" si="16"/>
        <v>1</v>
      </c>
      <c r="N118" s="12">
        <f t="shared" si="14"/>
        <v>0.226262626262627</v>
      </c>
      <c r="O118" s="9">
        <f t="shared" si="17"/>
        <v>22400.0000000001</v>
      </c>
      <c r="P118" s="13">
        <f t="shared" si="15"/>
        <v>0</v>
      </c>
    </row>
    <row r="119" spans="1:16">
      <c r="A119" s="3">
        <v>45954</v>
      </c>
      <c r="B119" s="4">
        <f>Data_Entry!X209</f>
        <v>20950</v>
      </c>
      <c r="C119" s="5">
        <f>Data_Entry!AD209</f>
        <v>3.86</v>
      </c>
      <c r="D119" s="6">
        <f t="shared" si="9"/>
        <v>0.211616161616162</v>
      </c>
      <c r="E119" s="7"/>
      <c r="F119" s="7"/>
      <c r="G119" s="8">
        <f t="shared" si="10"/>
        <v>0</v>
      </c>
      <c r="H119" s="8">
        <f t="shared" si="11"/>
        <v>0</v>
      </c>
      <c r="I119" s="9">
        <v>4125</v>
      </c>
      <c r="J119" s="10"/>
      <c r="K119" s="9">
        <f t="shared" si="12"/>
        <v>49500</v>
      </c>
      <c r="L119" s="8">
        <f t="shared" si="13"/>
        <v>0</v>
      </c>
      <c r="M119" s="11">
        <f t="shared" si="16"/>
        <v>1</v>
      </c>
      <c r="N119" s="12">
        <f t="shared" si="14"/>
        <v>0.211616161616162</v>
      </c>
      <c r="O119" s="9">
        <f t="shared" si="17"/>
        <v>20950</v>
      </c>
      <c r="P119" s="13">
        <f t="shared" si="15"/>
        <v>0</v>
      </c>
    </row>
    <row r="120" spans="1:16">
      <c r="A120" s="3">
        <v>45955</v>
      </c>
      <c r="B120" s="4">
        <f>Data_Entry!X210</f>
        <v>19149.9999999999</v>
      </c>
      <c r="C120" s="5">
        <f>Data_Entry!AD210</f>
        <v>3.41</v>
      </c>
      <c r="D120" s="6">
        <f t="shared" si="9"/>
        <v>0.193434343434343</v>
      </c>
      <c r="E120" s="7"/>
      <c r="F120" s="7"/>
      <c r="G120" s="8">
        <f t="shared" si="10"/>
        <v>0</v>
      </c>
      <c r="H120" s="8">
        <f t="shared" si="11"/>
        <v>0</v>
      </c>
      <c r="I120" s="9">
        <v>4125</v>
      </c>
      <c r="J120" s="10"/>
      <c r="K120" s="9">
        <f t="shared" si="12"/>
        <v>49500</v>
      </c>
      <c r="L120" s="8">
        <f t="shared" si="13"/>
        <v>0</v>
      </c>
      <c r="M120" s="11">
        <f t="shared" si="16"/>
        <v>1</v>
      </c>
      <c r="N120" s="12">
        <f t="shared" si="14"/>
        <v>0.193434343434343</v>
      </c>
      <c r="O120" s="9">
        <f t="shared" si="17"/>
        <v>19149.9999999999</v>
      </c>
      <c r="P120" s="13">
        <f t="shared" si="15"/>
        <v>0</v>
      </c>
    </row>
    <row r="121" spans="1:16">
      <c r="A121" s="3">
        <v>45956</v>
      </c>
      <c r="B121" s="4">
        <f>Data_Entry!X211</f>
        <v>3499.99999999994</v>
      </c>
      <c r="C121" s="5">
        <f>Data_Entry!AD211</f>
        <v>0.69</v>
      </c>
      <c r="D121" s="6">
        <f t="shared" si="9"/>
        <v>0.0353535353535348</v>
      </c>
      <c r="E121" s="7"/>
      <c r="F121" s="7"/>
      <c r="G121" s="8">
        <f t="shared" si="10"/>
        <v>0</v>
      </c>
      <c r="H121" s="8">
        <f t="shared" si="11"/>
        <v>0</v>
      </c>
      <c r="I121" s="9">
        <v>4125</v>
      </c>
      <c r="J121" s="10"/>
      <c r="K121" s="9">
        <f t="shared" si="12"/>
        <v>49500</v>
      </c>
      <c r="L121" s="8">
        <f t="shared" si="13"/>
        <v>0</v>
      </c>
      <c r="M121" s="11">
        <f t="shared" si="16"/>
        <v>1</v>
      </c>
      <c r="N121" s="12">
        <f t="shared" si="14"/>
        <v>0.0353535353535348</v>
      </c>
      <c r="O121" s="9">
        <f t="shared" si="17"/>
        <v>3499.99999999994</v>
      </c>
      <c r="P121" s="13">
        <f t="shared" si="15"/>
        <v>0</v>
      </c>
    </row>
    <row r="122" spans="1:16">
      <c r="A122" s="3">
        <v>45957</v>
      </c>
      <c r="B122" s="4">
        <f>Data_Entry!X212</f>
        <v>7050.00000000013</v>
      </c>
      <c r="C122" s="5">
        <f>Data_Entry!AD212</f>
        <v>1.36</v>
      </c>
      <c r="D122" s="6">
        <f t="shared" si="9"/>
        <v>0.0712121212121225</v>
      </c>
      <c r="E122" s="7"/>
      <c r="F122" s="7"/>
      <c r="G122" s="8">
        <f t="shared" si="10"/>
        <v>0</v>
      </c>
      <c r="H122" s="8">
        <f t="shared" si="11"/>
        <v>0</v>
      </c>
      <c r="I122" s="9">
        <v>4125</v>
      </c>
      <c r="J122" s="10"/>
      <c r="K122" s="9">
        <f t="shared" si="12"/>
        <v>49500</v>
      </c>
      <c r="L122" s="8">
        <f t="shared" si="13"/>
        <v>0</v>
      </c>
      <c r="M122" s="11">
        <f t="shared" si="16"/>
        <v>1</v>
      </c>
      <c r="N122" s="12">
        <f t="shared" si="14"/>
        <v>0.0712121212121225</v>
      </c>
      <c r="O122" s="9">
        <f t="shared" si="17"/>
        <v>7050.00000000013</v>
      </c>
      <c r="P122" s="13">
        <f t="shared" si="15"/>
        <v>0</v>
      </c>
    </row>
    <row r="123" spans="1:16">
      <c r="A123" s="3">
        <v>45958</v>
      </c>
      <c r="B123" s="4">
        <f>Data_Entry!X213</f>
        <v>2999.99999999983</v>
      </c>
      <c r="C123" s="5">
        <f>Data_Entry!AD213</f>
        <v>0.56</v>
      </c>
      <c r="D123" s="6">
        <f t="shared" si="9"/>
        <v>0.0303030303030286</v>
      </c>
      <c r="E123" s="7"/>
      <c r="F123" s="7"/>
      <c r="G123" s="8">
        <f t="shared" si="10"/>
        <v>0</v>
      </c>
      <c r="H123" s="8">
        <f t="shared" si="11"/>
        <v>0</v>
      </c>
      <c r="I123" s="9">
        <v>4125</v>
      </c>
      <c r="J123" s="10"/>
      <c r="K123" s="9">
        <f t="shared" si="12"/>
        <v>49500</v>
      </c>
      <c r="L123" s="8">
        <f t="shared" si="13"/>
        <v>0</v>
      </c>
      <c r="M123" s="11">
        <f t="shared" si="16"/>
        <v>1</v>
      </c>
      <c r="N123" s="12">
        <f t="shared" si="14"/>
        <v>0.0303030303030286</v>
      </c>
      <c r="O123" s="9">
        <f t="shared" si="17"/>
        <v>2999.99999999983</v>
      </c>
      <c r="P123" s="13">
        <f t="shared" si="15"/>
        <v>0</v>
      </c>
    </row>
    <row r="124" spans="1:16">
      <c r="A124" s="3">
        <v>45959</v>
      </c>
      <c r="B124" s="4">
        <f>Data_Entry!X214</f>
        <v>6400.00000000015</v>
      </c>
      <c r="C124" s="5">
        <f>Data_Entry!AD214</f>
        <v>1.34</v>
      </c>
      <c r="D124" s="6">
        <f t="shared" si="9"/>
        <v>0.0646464646464661</v>
      </c>
      <c r="E124" s="7"/>
      <c r="F124" s="7"/>
      <c r="G124" s="8">
        <f t="shared" si="10"/>
        <v>0</v>
      </c>
      <c r="H124" s="8">
        <f t="shared" si="11"/>
        <v>0</v>
      </c>
      <c r="I124" s="9">
        <v>4125</v>
      </c>
      <c r="J124" s="10"/>
      <c r="K124" s="9">
        <f t="shared" si="12"/>
        <v>49500</v>
      </c>
      <c r="L124" s="8">
        <f t="shared" si="13"/>
        <v>0</v>
      </c>
      <c r="M124" s="11">
        <f t="shared" si="16"/>
        <v>1</v>
      </c>
      <c r="N124" s="12">
        <f t="shared" si="14"/>
        <v>0.0646464646464661</v>
      </c>
      <c r="O124" s="9">
        <f t="shared" si="17"/>
        <v>6400.00000000015</v>
      </c>
      <c r="P124" s="13">
        <f t="shared" si="15"/>
        <v>0</v>
      </c>
    </row>
    <row r="125" spans="1:16">
      <c r="A125" s="3">
        <v>45960</v>
      </c>
      <c r="B125" s="4">
        <f>Data_Entry!X215</f>
        <v>7049.99999999984</v>
      </c>
      <c r="C125" s="5">
        <f>Data_Entry!AD215</f>
        <v>1.64</v>
      </c>
      <c r="D125" s="6">
        <f t="shared" si="9"/>
        <v>0.0712121212121196</v>
      </c>
      <c r="E125" s="7"/>
      <c r="F125" s="7"/>
      <c r="G125" s="8">
        <f t="shared" si="10"/>
        <v>0</v>
      </c>
      <c r="H125" s="8">
        <f t="shared" si="11"/>
        <v>0</v>
      </c>
      <c r="I125" s="9">
        <v>4125</v>
      </c>
      <c r="J125" s="10"/>
      <c r="K125" s="9">
        <f t="shared" si="12"/>
        <v>49500</v>
      </c>
      <c r="L125" s="8">
        <f t="shared" si="13"/>
        <v>0</v>
      </c>
      <c r="M125" s="11">
        <f t="shared" si="16"/>
        <v>1</v>
      </c>
      <c r="N125" s="12">
        <f t="shared" si="14"/>
        <v>0.0712121212121196</v>
      </c>
      <c r="O125" s="9">
        <f t="shared" si="17"/>
        <v>7049.99999999984</v>
      </c>
      <c r="P125" s="13">
        <f t="shared" si="15"/>
        <v>0</v>
      </c>
    </row>
    <row r="126" spans="1:16">
      <c r="A126" s="3">
        <v>45961</v>
      </c>
      <c r="B126" s="4">
        <f>Data_Entry!X216</f>
        <v>7500</v>
      </c>
      <c r="C126" s="5">
        <f>Data_Entry!AD216</f>
        <v>1.47</v>
      </c>
      <c r="D126" s="6">
        <f t="shared" si="9"/>
        <v>0.0757575757575758</v>
      </c>
      <c r="E126" s="7"/>
      <c r="F126" s="7"/>
      <c r="G126" s="8">
        <f t="shared" si="10"/>
        <v>0</v>
      </c>
      <c r="H126" s="8">
        <f t="shared" si="11"/>
        <v>0</v>
      </c>
      <c r="I126" s="9">
        <v>4125</v>
      </c>
      <c r="J126" s="10"/>
      <c r="K126" s="9">
        <f t="shared" si="12"/>
        <v>49500</v>
      </c>
      <c r="L126" s="8">
        <f t="shared" si="13"/>
        <v>0</v>
      </c>
      <c r="M126" s="11">
        <f t="shared" si="16"/>
        <v>1</v>
      </c>
      <c r="N126" s="12">
        <f t="shared" si="14"/>
        <v>0.0757575757575758</v>
      </c>
      <c r="O126" s="9">
        <f t="shared" si="17"/>
        <v>7500</v>
      </c>
      <c r="P126" s="13">
        <f t="shared" si="15"/>
        <v>0</v>
      </c>
    </row>
    <row r="127" spans="1:16">
      <c r="A127" s="3">
        <v>45962</v>
      </c>
      <c r="B127" s="4">
        <f>Data_Entry!X217</f>
        <v>14150.0000000002</v>
      </c>
      <c r="C127" s="5">
        <f>Data_Entry!AD217</f>
        <v>2.64</v>
      </c>
      <c r="D127" s="6">
        <f t="shared" si="9"/>
        <v>0.142929292929295</v>
      </c>
      <c r="E127" s="7"/>
      <c r="F127" s="7"/>
      <c r="G127" s="8">
        <f t="shared" si="10"/>
        <v>0</v>
      </c>
      <c r="H127" s="8">
        <f t="shared" si="11"/>
        <v>0</v>
      </c>
      <c r="I127" s="9">
        <v>4125</v>
      </c>
      <c r="J127" s="10"/>
      <c r="K127" s="9">
        <f t="shared" si="12"/>
        <v>49500</v>
      </c>
      <c r="L127" s="8">
        <f t="shared" si="13"/>
        <v>0</v>
      </c>
      <c r="M127" s="11">
        <f t="shared" si="16"/>
        <v>1</v>
      </c>
      <c r="N127" s="12">
        <f t="shared" si="14"/>
        <v>0.142929292929295</v>
      </c>
      <c r="O127" s="9">
        <f t="shared" si="17"/>
        <v>14150.0000000002</v>
      </c>
      <c r="P127" s="13">
        <f t="shared" si="15"/>
        <v>0</v>
      </c>
    </row>
    <row r="128" spans="1:16">
      <c r="A128" s="3">
        <v>45963</v>
      </c>
      <c r="B128" s="4">
        <f>Data_Entry!X218</f>
        <v>19349.9999999997</v>
      </c>
      <c r="C128" s="5">
        <f>Data_Entry!AD218</f>
        <v>2.92</v>
      </c>
      <c r="D128" s="6">
        <f t="shared" si="9"/>
        <v>0.195454545454543</v>
      </c>
      <c r="E128" s="7"/>
      <c r="F128" s="7"/>
      <c r="G128" s="8">
        <f t="shared" si="10"/>
        <v>0</v>
      </c>
      <c r="H128" s="8">
        <f t="shared" si="11"/>
        <v>0</v>
      </c>
      <c r="I128" s="9">
        <v>4125</v>
      </c>
      <c r="J128" s="10"/>
      <c r="K128" s="9">
        <f t="shared" si="12"/>
        <v>49500</v>
      </c>
      <c r="L128" s="8">
        <f t="shared" si="13"/>
        <v>0</v>
      </c>
      <c r="M128" s="11">
        <f t="shared" si="16"/>
        <v>1</v>
      </c>
      <c r="N128" s="12">
        <f t="shared" si="14"/>
        <v>0.195454545454543</v>
      </c>
      <c r="O128" s="9">
        <f t="shared" si="17"/>
        <v>19349.9999999997</v>
      </c>
      <c r="P128" s="13">
        <f t="shared" si="15"/>
        <v>0</v>
      </c>
    </row>
    <row r="129" spans="1:16">
      <c r="A129" s="3">
        <v>45964</v>
      </c>
      <c r="B129" s="4">
        <f>Data_Entry!X219</f>
        <v>21250</v>
      </c>
      <c r="C129" s="5">
        <f>Data_Entry!AD219</f>
        <v>3.98</v>
      </c>
      <c r="D129" s="6">
        <f t="shared" si="9"/>
        <v>0.214646464646465</v>
      </c>
      <c r="E129" s="7">
        <v>0.465277777777778</v>
      </c>
      <c r="F129" s="7">
        <v>0.482638888888889</v>
      </c>
      <c r="G129" s="8">
        <f t="shared" si="10"/>
        <v>24.9999999999998</v>
      </c>
      <c r="H129" s="8">
        <f t="shared" si="11"/>
        <v>0.416666666666664</v>
      </c>
      <c r="I129" s="9">
        <v>4125</v>
      </c>
      <c r="J129" s="10">
        <v>4125</v>
      </c>
      <c r="K129" s="9">
        <f t="shared" si="12"/>
        <v>49500</v>
      </c>
      <c r="L129" s="8">
        <f t="shared" si="13"/>
        <v>1718.74999999999</v>
      </c>
      <c r="M129" s="11">
        <f t="shared" si="16"/>
        <v>0.965277777777778</v>
      </c>
      <c r="N129" s="12">
        <f t="shared" si="14"/>
        <v>0.222367560497057</v>
      </c>
      <c r="O129" s="9">
        <f t="shared" si="17"/>
        <v>22014.3884892086</v>
      </c>
      <c r="P129" s="13">
        <f t="shared" si="15"/>
        <v>764.388489208624</v>
      </c>
    </row>
    <row r="130" spans="1:16">
      <c r="A130" s="3">
        <v>45965</v>
      </c>
      <c r="B130" s="4">
        <f>Data_Entry!X220</f>
        <v>23500.0000000002</v>
      </c>
      <c r="C130" s="5">
        <f>Data_Entry!AD220</f>
        <v>4</v>
      </c>
      <c r="D130" s="6">
        <f t="shared" si="9"/>
        <v>0.23737373737374</v>
      </c>
      <c r="E130" s="7"/>
      <c r="F130" s="7"/>
      <c r="G130" s="8">
        <f t="shared" si="10"/>
        <v>0</v>
      </c>
      <c r="H130" s="8">
        <f t="shared" si="11"/>
        <v>0</v>
      </c>
      <c r="I130" s="9">
        <v>4125</v>
      </c>
      <c r="J130" s="10"/>
      <c r="K130" s="9">
        <f t="shared" si="12"/>
        <v>49500</v>
      </c>
      <c r="L130" s="8">
        <f t="shared" si="13"/>
        <v>0</v>
      </c>
      <c r="M130" s="11">
        <f t="shared" si="16"/>
        <v>1</v>
      </c>
      <c r="N130" s="12">
        <f t="shared" si="14"/>
        <v>0.23737373737374</v>
      </c>
      <c r="O130" s="9">
        <f t="shared" si="17"/>
        <v>23500.0000000002</v>
      </c>
      <c r="P130" s="13">
        <f t="shared" si="15"/>
        <v>0</v>
      </c>
    </row>
    <row r="131" spans="1:16">
      <c r="A131" s="3">
        <v>45966</v>
      </c>
      <c r="B131" s="4">
        <f>Data_Entry!X221</f>
        <v>25449.9999999999</v>
      </c>
      <c r="C131" s="5">
        <f>Data_Entry!AD221</f>
        <v>4.39</v>
      </c>
      <c r="D131" s="6">
        <f t="shared" si="9"/>
        <v>0.257070707070706</v>
      </c>
      <c r="E131" s="7"/>
      <c r="F131" s="7"/>
      <c r="G131" s="8">
        <f t="shared" si="10"/>
        <v>0</v>
      </c>
      <c r="H131" s="8">
        <f t="shared" si="11"/>
        <v>0</v>
      </c>
      <c r="I131" s="9">
        <v>4125</v>
      </c>
      <c r="J131" s="10"/>
      <c r="K131" s="9">
        <f t="shared" si="12"/>
        <v>49500</v>
      </c>
      <c r="L131" s="8">
        <f t="shared" si="13"/>
        <v>0</v>
      </c>
      <c r="M131" s="11">
        <f t="shared" si="16"/>
        <v>1</v>
      </c>
      <c r="N131" s="12">
        <f t="shared" si="14"/>
        <v>0.257070707070706</v>
      </c>
      <c r="O131" s="9">
        <f t="shared" si="17"/>
        <v>25449.9999999999</v>
      </c>
      <c r="P131" s="13">
        <f t="shared" si="15"/>
        <v>0</v>
      </c>
    </row>
    <row r="132" spans="1:16">
      <c r="A132" s="3">
        <v>45967</v>
      </c>
      <c r="B132" s="4">
        <f>Data_Entry!X222</f>
        <v>24950</v>
      </c>
      <c r="C132" s="5">
        <f>Data_Entry!AD222</f>
        <v>4.39</v>
      </c>
      <c r="D132" s="6">
        <f t="shared" ref="D132:D195" si="18">B132/(24*I132)</f>
        <v>0.252020202020202</v>
      </c>
      <c r="E132" s="7"/>
      <c r="F132" s="7"/>
      <c r="G132" s="8">
        <f t="shared" ref="G132:G195" si="19">(F132-E132)*24*60</f>
        <v>0</v>
      </c>
      <c r="H132" s="8">
        <f t="shared" ref="H132:H195" si="20">G132/60</f>
        <v>0</v>
      </c>
      <c r="I132" s="9">
        <v>4125</v>
      </c>
      <c r="J132" s="10"/>
      <c r="K132" s="9">
        <f t="shared" ref="K132:K195" si="21">I132*12</f>
        <v>49500</v>
      </c>
      <c r="L132" s="8">
        <f t="shared" ref="L132:L195" si="22">J132*H132</f>
        <v>0</v>
      </c>
      <c r="M132" s="11">
        <f t="shared" si="16"/>
        <v>1</v>
      </c>
      <c r="N132" s="12">
        <f t="shared" ref="N132:N195" si="23">D132/M132</f>
        <v>0.252020202020202</v>
      </c>
      <c r="O132" s="9">
        <f t="shared" si="17"/>
        <v>24950</v>
      </c>
      <c r="P132" s="13">
        <f t="shared" ref="P132:P195" si="24">O132-B132</f>
        <v>0</v>
      </c>
    </row>
    <row r="133" spans="1:16">
      <c r="A133" s="3">
        <v>45968</v>
      </c>
      <c r="B133" s="4">
        <f>Data_Entry!X223</f>
        <v>23800</v>
      </c>
      <c r="C133" s="5">
        <f>Data_Entry!AD223</f>
        <v>4.27</v>
      </c>
      <c r="D133" s="6">
        <f t="shared" si="18"/>
        <v>0.24040404040404</v>
      </c>
      <c r="E133" s="7"/>
      <c r="F133" s="7"/>
      <c r="G133" s="8">
        <f t="shared" si="19"/>
        <v>0</v>
      </c>
      <c r="H133" s="8">
        <f t="shared" si="20"/>
        <v>0</v>
      </c>
      <c r="I133" s="9">
        <v>4125</v>
      </c>
      <c r="J133" s="10"/>
      <c r="K133" s="9">
        <f t="shared" si="21"/>
        <v>49500</v>
      </c>
      <c r="L133" s="8">
        <f t="shared" si="22"/>
        <v>0</v>
      </c>
      <c r="M133" s="11">
        <f t="shared" ref="M133:M196" si="25">(K133-L133)/K133</f>
        <v>1</v>
      </c>
      <c r="N133" s="12">
        <f t="shared" si="23"/>
        <v>0.24040404040404</v>
      </c>
      <c r="O133" s="9">
        <f t="shared" ref="O133:O196" si="26">N133*I133*24</f>
        <v>23800</v>
      </c>
      <c r="P133" s="13">
        <f t="shared" si="24"/>
        <v>0</v>
      </c>
    </row>
    <row r="134" spans="1:16">
      <c r="A134" s="3">
        <v>45969</v>
      </c>
      <c r="B134" s="4">
        <f>Data_Entry!X224</f>
        <v>24900.0000000001</v>
      </c>
      <c r="C134" s="5">
        <f>Data_Entry!AD224</f>
        <v>4.48</v>
      </c>
      <c r="D134" s="6">
        <f t="shared" si="18"/>
        <v>0.251515151515152</v>
      </c>
      <c r="E134" s="7"/>
      <c r="F134" s="7"/>
      <c r="G134" s="8">
        <f t="shared" si="19"/>
        <v>0</v>
      </c>
      <c r="H134" s="8">
        <f t="shared" si="20"/>
        <v>0</v>
      </c>
      <c r="I134" s="9">
        <v>4125</v>
      </c>
      <c r="J134" s="10"/>
      <c r="K134" s="9">
        <f t="shared" si="21"/>
        <v>49500</v>
      </c>
      <c r="L134" s="8">
        <f t="shared" si="22"/>
        <v>0</v>
      </c>
      <c r="M134" s="11">
        <f t="shared" si="25"/>
        <v>1</v>
      </c>
      <c r="N134" s="12">
        <f t="shared" si="23"/>
        <v>0.251515151515152</v>
      </c>
      <c r="O134" s="9">
        <f t="shared" si="26"/>
        <v>24900.0000000001</v>
      </c>
      <c r="P134" s="13">
        <f t="shared" si="24"/>
        <v>0</v>
      </c>
    </row>
    <row r="135" spans="1:16">
      <c r="A135" s="3">
        <v>45970</v>
      </c>
      <c r="B135" s="4">
        <f>Data_Entry!X225</f>
        <v>24799.9999999999</v>
      </c>
      <c r="C135" s="5">
        <f>Data_Entry!AD225</f>
        <v>4.46</v>
      </c>
      <c r="D135" s="6">
        <f t="shared" si="18"/>
        <v>0.250505050505049</v>
      </c>
      <c r="E135" s="7"/>
      <c r="F135" s="7"/>
      <c r="G135" s="8">
        <f t="shared" si="19"/>
        <v>0</v>
      </c>
      <c r="H135" s="8">
        <f t="shared" si="20"/>
        <v>0</v>
      </c>
      <c r="I135" s="9">
        <v>4125</v>
      </c>
      <c r="J135" s="10"/>
      <c r="K135" s="9">
        <f t="shared" si="21"/>
        <v>49500</v>
      </c>
      <c r="L135" s="8">
        <f t="shared" si="22"/>
        <v>0</v>
      </c>
      <c r="M135" s="11">
        <f t="shared" si="25"/>
        <v>1</v>
      </c>
      <c r="N135" s="12">
        <f t="shared" si="23"/>
        <v>0.250505050505049</v>
      </c>
      <c r="O135" s="9">
        <f t="shared" si="26"/>
        <v>24799.9999999999</v>
      </c>
      <c r="P135" s="13">
        <f t="shared" si="24"/>
        <v>0</v>
      </c>
    </row>
    <row r="136" spans="1:16">
      <c r="A136" s="3">
        <v>45971</v>
      </c>
      <c r="B136" s="4">
        <f>Data_Entry!X226</f>
        <v>24050</v>
      </c>
      <c r="C136" s="5">
        <f>Data_Entry!AD226</f>
        <v>2.21</v>
      </c>
      <c r="D136" s="6">
        <f t="shared" si="18"/>
        <v>0.242929292929293</v>
      </c>
      <c r="E136" s="7"/>
      <c r="F136" s="7"/>
      <c r="G136" s="8">
        <f t="shared" si="19"/>
        <v>0</v>
      </c>
      <c r="H136" s="8">
        <f t="shared" si="20"/>
        <v>0</v>
      </c>
      <c r="I136" s="9">
        <v>4125</v>
      </c>
      <c r="J136" s="10"/>
      <c r="K136" s="9">
        <f t="shared" si="21"/>
        <v>49500</v>
      </c>
      <c r="L136" s="8">
        <f t="shared" si="22"/>
        <v>0</v>
      </c>
      <c r="M136" s="11">
        <f t="shared" si="25"/>
        <v>1</v>
      </c>
      <c r="N136" s="12">
        <f t="shared" si="23"/>
        <v>0.242929292929293</v>
      </c>
      <c r="O136" s="9">
        <f t="shared" si="26"/>
        <v>24050</v>
      </c>
      <c r="P136" s="13">
        <f t="shared" si="24"/>
        <v>0</v>
      </c>
    </row>
    <row r="137" spans="1:16">
      <c r="A137" s="3">
        <v>45972</v>
      </c>
      <c r="B137" s="4">
        <f>Data_Entry!X227</f>
        <v>24300.0000000001</v>
      </c>
      <c r="C137" s="5">
        <f>Data_Entry!AD227</f>
        <v>4.33</v>
      </c>
      <c r="D137" s="6">
        <f t="shared" si="18"/>
        <v>0.245454545454546</v>
      </c>
      <c r="E137" s="7"/>
      <c r="F137" s="7"/>
      <c r="G137" s="8">
        <f t="shared" si="19"/>
        <v>0</v>
      </c>
      <c r="H137" s="8">
        <f t="shared" si="20"/>
        <v>0</v>
      </c>
      <c r="I137" s="9">
        <v>4125</v>
      </c>
      <c r="J137" s="10"/>
      <c r="K137" s="9">
        <f t="shared" si="21"/>
        <v>49500</v>
      </c>
      <c r="L137" s="8">
        <f t="shared" si="22"/>
        <v>0</v>
      </c>
      <c r="M137" s="11">
        <f t="shared" si="25"/>
        <v>1</v>
      </c>
      <c r="N137" s="12">
        <f t="shared" si="23"/>
        <v>0.245454545454546</v>
      </c>
      <c r="O137" s="9">
        <f t="shared" si="26"/>
        <v>24300.0000000001</v>
      </c>
      <c r="P137" s="13">
        <f t="shared" si="24"/>
        <v>0</v>
      </c>
    </row>
    <row r="138" spans="1:16">
      <c r="A138" s="3">
        <v>45973</v>
      </c>
      <c r="B138" s="4">
        <f>Data_Entry!X228</f>
        <v>23949.9999999998</v>
      </c>
      <c r="C138" s="5">
        <f>Data_Entry!AD228</f>
        <v>4.3</v>
      </c>
      <c r="D138" s="6">
        <f t="shared" si="18"/>
        <v>0.24191919191919</v>
      </c>
      <c r="E138" s="7"/>
      <c r="F138" s="7"/>
      <c r="G138" s="8">
        <f t="shared" si="19"/>
        <v>0</v>
      </c>
      <c r="H138" s="8">
        <f t="shared" si="20"/>
        <v>0</v>
      </c>
      <c r="I138" s="9">
        <v>4125</v>
      </c>
      <c r="J138" s="10"/>
      <c r="K138" s="9">
        <f t="shared" si="21"/>
        <v>49500</v>
      </c>
      <c r="L138" s="8">
        <f t="shared" si="22"/>
        <v>0</v>
      </c>
      <c r="M138" s="11">
        <f t="shared" si="25"/>
        <v>1</v>
      </c>
      <c r="N138" s="12">
        <f t="shared" si="23"/>
        <v>0.24191919191919</v>
      </c>
      <c r="O138" s="9">
        <f t="shared" si="26"/>
        <v>23949.9999999998</v>
      </c>
      <c r="P138" s="13">
        <f t="shared" si="24"/>
        <v>0</v>
      </c>
    </row>
    <row r="139" spans="1:16">
      <c r="A139" s="3">
        <v>45974</v>
      </c>
      <c r="B139" s="4">
        <f>Data_Entry!X229</f>
        <v>23450.0000000003</v>
      </c>
      <c r="C139" s="5">
        <f>Data_Entry!AD229</f>
        <v>4.25</v>
      </c>
      <c r="D139" s="6">
        <f t="shared" si="18"/>
        <v>0.23686868686869</v>
      </c>
      <c r="E139" s="7"/>
      <c r="F139" s="7"/>
      <c r="G139" s="8">
        <f t="shared" si="19"/>
        <v>0</v>
      </c>
      <c r="H139" s="8">
        <f t="shared" si="20"/>
        <v>0</v>
      </c>
      <c r="I139" s="9">
        <v>4125</v>
      </c>
      <c r="J139" s="10"/>
      <c r="K139" s="9">
        <f t="shared" si="21"/>
        <v>49500</v>
      </c>
      <c r="L139" s="8">
        <f t="shared" si="22"/>
        <v>0</v>
      </c>
      <c r="M139" s="11">
        <f t="shared" si="25"/>
        <v>1</v>
      </c>
      <c r="N139" s="12">
        <f t="shared" si="23"/>
        <v>0.23686868686869</v>
      </c>
      <c r="O139" s="9">
        <f t="shared" si="26"/>
        <v>23450.0000000003</v>
      </c>
      <c r="P139" s="13">
        <f t="shared" si="24"/>
        <v>0</v>
      </c>
    </row>
    <row r="140" spans="1:16">
      <c r="A140" s="3">
        <v>45975</v>
      </c>
      <c r="B140" s="4">
        <f>Data_Entry!X230</f>
        <v>23299.9999999998</v>
      </c>
      <c r="C140" s="5">
        <f>Data_Entry!AD230</f>
        <v>4.27</v>
      </c>
      <c r="D140" s="6">
        <f t="shared" si="18"/>
        <v>0.235353535353534</v>
      </c>
      <c r="E140" s="7"/>
      <c r="F140" s="7"/>
      <c r="G140" s="8">
        <f t="shared" si="19"/>
        <v>0</v>
      </c>
      <c r="H140" s="8">
        <f t="shared" si="20"/>
        <v>0</v>
      </c>
      <c r="I140" s="9">
        <v>4125</v>
      </c>
      <c r="J140" s="10"/>
      <c r="K140" s="9">
        <f t="shared" si="21"/>
        <v>49500</v>
      </c>
      <c r="L140" s="8">
        <f t="shared" si="22"/>
        <v>0</v>
      </c>
      <c r="M140" s="11">
        <f t="shared" si="25"/>
        <v>1</v>
      </c>
      <c r="N140" s="12">
        <f t="shared" si="23"/>
        <v>0.235353535353534</v>
      </c>
      <c r="O140" s="9">
        <f t="shared" si="26"/>
        <v>23299.9999999998</v>
      </c>
      <c r="P140" s="13">
        <f t="shared" si="24"/>
        <v>0</v>
      </c>
    </row>
    <row r="141" spans="1:16">
      <c r="A141" s="3">
        <v>45976</v>
      </c>
      <c r="B141" s="4">
        <f>Data_Entry!X231</f>
        <v>11700.0000000002</v>
      </c>
      <c r="C141" s="5">
        <f>Data_Entry!AD231</f>
        <v>2.41</v>
      </c>
      <c r="D141" s="6">
        <f t="shared" si="18"/>
        <v>0.11818181818182</v>
      </c>
      <c r="E141" s="7">
        <v>0.291666666666667</v>
      </c>
      <c r="F141" s="7">
        <v>0.514583333333333</v>
      </c>
      <c r="G141" s="8">
        <f t="shared" si="19"/>
        <v>320.999999999999</v>
      </c>
      <c r="H141" s="8">
        <f t="shared" si="20"/>
        <v>5.34999999999998</v>
      </c>
      <c r="I141" s="9">
        <v>4125</v>
      </c>
      <c r="J141" s="10">
        <v>4125</v>
      </c>
      <c r="K141" s="9">
        <f t="shared" si="21"/>
        <v>49500</v>
      </c>
      <c r="L141" s="8">
        <f t="shared" si="22"/>
        <v>22068.7499999999</v>
      </c>
      <c r="M141" s="11">
        <f t="shared" si="25"/>
        <v>0.554166666666668</v>
      </c>
      <c r="N141" s="12">
        <f t="shared" si="23"/>
        <v>0.213260423786742</v>
      </c>
      <c r="O141" s="9">
        <f t="shared" si="26"/>
        <v>21112.7819548874</v>
      </c>
      <c r="P141" s="13">
        <f t="shared" si="24"/>
        <v>9412.78195488729</v>
      </c>
    </row>
    <row r="142" spans="1:16">
      <c r="A142" s="3">
        <v>45977</v>
      </c>
      <c r="B142" s="4">
        <f>Data_Entry!X232</f>
        <v>20950</v>
      </c>
      <c r="C142" s="5">
        <f>Data_Entry!AD232</f>
        <v>4.01</v>
      </c>
      <c r="D142" s="6">
        <f t="shared" si="18"/>
        <v>0.211616161616162</v>
      </c>
      <c r="E142" s="7"/>
      <c r="F142" s="7"/>
      <c r="G142" s="8">
        <f t="shared" si="19"/>
        <v>0</v>
      </c>
      <c r="H142" s="8">
        <f t="shared" si="20"/>
        <v>0</v>
      </c>
      <c r="I142" s="9">
        <v>4125</v>
      </c>
      <c r="J142" s="10"/>
      <c r="K142" s="9">
        <f t="shared" si="21"/>
        <v>49500</v>
      </c>
      <c r="L142" s="8">
        <f t="shared" si="22"/>
        <v>0</v>
      </c>
      <c r="M142" s="11">
        <f t="shared" si="25"/>
        <v>1</v>
      </c>
      <c r="N142" s="12">
        <f t="shared" si="23"/>
        <v>0.211616161616162</v>
      </c>
      <c r="O142" s="9">
        <f t="shared" si="26"/>
        <v>20950</v>
      </c>
      <c r="P142" s="13">
        <f t="shared" si="24"/>
        <v>0</v>
      </c>
    </row>
    <row r="143" spans="1:16">
      <c r="A143" s="3">
        <v>45978</v>
      </c>
      <c r="B143" s="4">
        <f>Data_Entry!X233</f>
        <v>22800</v>
      </c>
      <c r="C143" s="5">
        <f>Data_Entry!AD233</f>
        <v>4.21</v>
      </c>
      <c r="D143" s="6">
        <f t="shared" si="18"/>
        <v>0.23030303030303</v>
      </c>
      <c r="E143" s="7"/>
      <c r="F143" s="7"/>
      <c r="G143" s="8">
        <f t="shared" si="19"/>
        <v>0</v>
      </c>
      <c r="H143" s="8">
        <f t="shared" si="20"/>
        <v>0</v>
      </c>
      <c r="I143" s="9">
        <v>4125</v>
      </c>
      <c r="J143" s="10"/>
      <c r="K143" s="9">
        <f t="shared" si="21"/>
        <v>49500</v>
      </c>
      <c r="L143" s="8">
        <f t="shared" si="22"/>
        <v>0</v>
      </c>
      <c r="M143" s="11">
        <f t="shared" si="25"/>
        <v>1</v>
      </c>
      <c r="N143" s="12">
        <f t="shared" si="23"/>
        <v>0.23030303030303</v>
      </c>
      <c r="O143" s="9">
        <f t="shared" si="26"/>
        <v>22800</v>
      </c>
      <c r="P143" s="13">
        <f t="shared" si="24"/>
        <v>0</v>
      </c>
    </row>
    <row r="144" spans="1:16">
      <c r="A144" s="3">
        <v>45979</v>
      </c>
      <c r="B144" s="4">
        <f>Data_Entry!X234</f>
        <v>22500</v>
      </c>
      <c r="C144" s="5">
        <f>Data_Entry!AD234</f>
        <v>4.22</v>
      </c>
      <c r="D144" s="6">
        <f t="shared" si="18"/>
        <v>0.227272727272727</v>
      </c>
      <c r="E144" s="7"/>
      <c r="F144" s="7"/>
      <c r="G144" s="8">
        <f t="shared" si="19"/>
        <v>0</v>
      </c>
      <c r="H144" s="8">
        <f t="shared" si="20"/>
        <v>0</v>
      </c>
      <c r="I144" s="9">
        <v>4125</v>
      </c>
      <c r="J144" s="10"/>
      <c r="K144" s="9">
        <f t="shared" si="21"/>
        <v>49500</v>
      </c>
      <c r="L144" s="8">
        <f t="shared" si="22"/>
        <v>0</v>
      </c>
      <c r="M144" s="11">
        <f t="shared" si="25"/>
        <v>1</v>
      </c>
      <c r="N144" s="12">
        <f t="shared" si="23"/>
        <v>0.227272727272727</v>
      </c>
      <c r="O144" s="9">
        <f t="shared" si="26"/>
        <v>22500</v>
      </c>
      <c r="P144" s="13">
        <f t="shared" si="24"/>
        <v>0</v>
      </c>
    </row>
    <row r="145" spans="1:16">
      <c r="A145" s="3">
        <v>45980</v>
      </c>
      <c r="B145" s="4">
        <f>Data_Entry!X235</f>
        <v>21499.9999999998</v>
      </c>
      <c r="C145" s="5">
        <f>Data_Entry!AD235</f>
        <v>3.96</v>
      </c>
      <c r="D145" s="6">
        <f t="shared" si="18"/>
        <v>0.217171717171715</v>
      </c>
      <c r="E145" s="7"/>
      <c r="F145" s="7"/>
      <c r="G145" s="8">
        <f t="shared" si="19"/>
        <v>0</v>
      </c>
      <c r="H145" s="8">
        <f t="shared" si="20"/>
        <v>0</v>
      </c>
      <c r="I145" s="9">
        <v>4125</v>
      </c>
      <c r="J145" s="10"/>
      <c r="K145" s="9">
        <f t="shared" si="21"/>
        <v>49500</v>
      </c>
      <c r="L145" s="8">
        <f t="shared" si="22"/>
        <v>0</v>
      </c>
      <c r="M145" s="11">
        <f t="shared" si="25"/>
        <v>1</v>
      </c>
      <c r="N145" s="12">
        <f t="shared" si="23"/>
        <v>0.217171717171715</v>
      </c>
      <c r="O145" s="9">
        <f t="shared" si="26"/>
        <v>21499.9999999998</v>
      </c>
      <c r="P145" s="13">
        <f t="shared" si="24"/>
        <v>0</v>
      </c>
    </row>
    <row r="146" spans="1:16">
      <c r="A146" s="3">
        <v>45981</v>
      </c>
      <c r="B146" s="4">
        <f>Data_Entry!X236</f>
        <v>21550</v>
      </c>
      <c r="C146" s="5">
        <f>Data_Entry!AD236</f>
        <v>3.94</v>
      </c>
      <c r="D146" s="6">
        <f t="shared" si="18"/>
        <v>0.217676767676768</v>
      </c>
      <c r="E146" s="7"/>
      <c r="F146" s="7"/>
      <c r="G146" s="8">
        <f t="shared" si="19"/>
        <v>0</v>
      </c>
      <c r="H146" s="8">
        <f t="shared" si="20"/>
        <v>0</v>
      </c>
      <c r="I146" s="9">
        <v>4125</v>
      </c>
      <c r="J146" s="10"/>
      <c r="K146" s="9">
        <f t="shared" si="21"/>
        <v>49500</v>
      </c>
      <c r="L146" s="8">
        <f t="shared" si="22"/>
        <v>0</v>
      </c>
      <c r="M146" s="11">
        <f t="shared" si="25"/>
        <v>1</v>
      </c>
      <c r="N146" s="12">
        <f t="shared" si="23"/>
        <v>0.217676767676768</v>
      </c>
      <c r="O146" s="9">
        <f t="shared" si="26"/>
        <v>21550</v>
      </c>
      <c r="P146" s="13">
        <f t="shared" si="24"/>
        <v>0</v>
      </c>
    </row>
    <row r="147" spans="1:16">
      <c r="A147" s="3">
        <v>45982</v>
      </c>
      <c r="B147" s="4">
        <f>Data_Entry!X237</f>
        <v>19350</v>
      </c>
      <c r="C147" s="5">
        <f>Data_Entry!AD237</f>
        <v>3.67</v>
      </c>
      <c r="D147" s="6">
        <f t="shared" si="18"/>
        <v>0.195454545454546</v>
      </c>
      <c r="E147" s="7">
        <v>0.40625</v>
      </c>
      <c r="F147" s="7">
        <v>0.427083333333333</v>
      </c>
      <c r="G147" s="8">
        <f t="shared" si="19"/>
        <v>29.9999999999995</v>
      </c>
      <c r="H147" s="8">
        <f t="shared" si="20"/>
        <v>0.499999999999992</v>
      </c>
      <c r="I147" s="9">
        <v>4125</v>
      </c>
      <c r="J147" s="10">
        <v>4125</v>
      </c>
      <c r="K147" s="9">
        <f t="shared" si="21"/>
        <v>49500</v>
      </c>
      <c r="L147" s="8">
        <f t="shared" si="22"/>
        <v>2062.49999999997</v>
      </c>
      <c r="M147" s="11">
        <f t="shared" si="25"/>
        <v>0.958333333333334</v>
      </c>
      <c r="N147" s="12">
        <f t="shared" si="23"/>
        <v>0.203952569169961</v>
      </c>
      <c r="O147" s="9">
        <f t="shared" si="26"/>
        <v>20191.3043478261</v>
      </c>
      <c r="P147" s="13">
        <f t="shared" si="24"/>
        <v>841.304347826073</v>
      </c>
    </row>
    <row r="148" spans="1:16">
      <c r="A148" s="3">
        <v>45983</v>
      </c>
      <c r="B148" s="4">
        <f>Data_Entry!X238</f>
        <v>21300</v>
      </c>
      <c r="C148" s="5">
        <f>Data_Entry!AD238</f>
        <v>3.92</v>
      </c>
      <c r="D148" s="6">
        <f t="shared" si="18"/>
        <v>0.215151515151515</v>
      </c>
      <c r="E148" s="7"/>
      <c r="F148" s="7"/>
      <c r="G148" s="8">
        <f t="shared" si="19"/>
        <v>0</v>
      </c>
      <c r="H148" s="8">
        <f t="shared" si="20"/>
        <v>0</v>
      </c>
      <c r="I148" s="9">
        <v>4125</v>
      </c>
      <c r="J148" s="10"/>
      <c r="K148" s="9">
        <f t="shared" si="21"/>
        <v>49500</v>
      </c>
      <c r="L148" s="8">
        <f t="shared" si="22"/>
        <v>0</v>
      </c>
      <c r="M148" s="11">
        <f t="shared" si="25"/>
        <v>1</v>
      </c>
      <c r="N148" s="12">
        <f t="shared" si="23"/>
        <v>0.215151515151515</v>
      </c>
      <c r="O148" s="9">
        <f t="shared" si="26"/>
        <v>21300</v>
      </c>
      <c r="P148" s="13">
        <f t="shared" si="24"/>
        <v>0</v>
      </c>
    </row>
    <row r="149" spans="1:16">
      <c r="A149" s="3">
        <v>45984</v>
      </c>
      <c r="B149" s="4">
        <f>Data_Entry!X239</f>
        <v>21700.0000000002</v>
      </c>
      <c r="C149" s="5">
        <f>Data_Entry!AD239</f>
        <v>4.02</v>
      </c>
      <c r="D149" s="6">
        <f t="shared" si="18"/>
        <v>0.219191919191921</v>
      </c>
      <c r="E149" s="7"/>
      <c r="F149" s="7"/>
      <c r="G149" s="8">
        <f t="shared" si="19"/>
        <v>0</v>
      </c>
      <c r="H149" s="8">
        <f t="shared" si="20"/>
        <v>0</v>
      </c>
      <c r="I149" s="9">
        <v>4125</v>
      </c>
      <c r="J149" s="10"/>
      <c r="K149" s="9">
        <f t="shared" si="21"/>
        <v>49500</v>
      </c>
      <c r="L149" s="8">
        <f t="shared" si="22"/>
        <v>0</v>
      </c>
      <c r="M149" s="11">
        <f t="shared" si="25"/>
        <v>1</v>
      </c>
      <c r="N149" s="12">
        <f t="shared" si="23"/>
        <v>0.219191919191921</v>
      </c>
      <c r="O149" s="9">
        <f t="shared" si="26"/>
        <v>21700.0000000002</v>
      </c>
      <c r="P149" s="13">
        <f t="shared" si="24"/>
        <v>0</v>
      </c>
    </row>
    <row r="150" spans="1:16">
      <c r="A150" s="3">
        <v>45985</v>
      </c>
      <c r="B150" s="4">
        <f>Data_Entry!X240</f>
        <v>23150</v>
      </c>
      <c r="C150" s="5">
        <f>Data_Entry!AD240</f>
        <v>4.16</v>
      </c>
      <c r="D150" s="6">
        <f t="shared" si="18"/>
        <v>0.233838383838384</v>
      </c>
      <c r="E150" s="7"/>
      <c r="F150" s="7"/>
      <c r="G150" s="8">
        <f t="shared" si="19"/>
        <v>0</v>
      </c>
      <c r="H150" s="8">
        <f t="shared" si="20"/>
        <v>0</v>
      </c>
      <c r="I150" s="9">
        <v>4125</v>
      </c>
      <c r="J150" s="10"/>
      <c r="K150" s="9">
        <f t="shared" si="21"/>
        <v>49500</v>
      </c>
      <c r="L150" s="8">
        <f t="shared" si="22"/>
        <v>0</v>
      </c>
      <c r="M150" s="11">
        <f t="shared" si="25"/>
        <v>1</v>
      </c>
      <c r="N150" s="12">
        <f t="shared" si="23"/>
        <v>0.233838383838384</v>
      </c>
      <c r="O150" s="9">
        <f t="shared" si="26"/>
        <v>23150</v>
      </c>
      <c r="P150" s="13">
        <f t="shared" si="24"/>
        <v>0</v>
      </c>
    </row>
    <row r="151" spans="1:16">
      <c r="A151" s="3">
        <v>45986</v>
      </c>
      <c r="B151" s="4">
        <f>Data_Entry!X241</f>
        <v>21649.9999999999</v>
      </c>
      <c r="C151" s="5">
        <f>Data_Entry!AD241</f>
        <v>3.9</v>
      </c>
      <c r="D151" s="6">
        <f t="shared" si="18"/>
        <v>0.218686868686868</v>
      </c>
      <c r="E151" s="7"/>
      <c r="F151" s="7"/>
      <c r="G151" s="8">
        <f t="shared" si="19"/>
        <v>0</v>
      </c>
      <c r="H151" s="8">
        <f t="shared" si="20"/>
        <v>0</v>
      </c>
      <c r="I151" s="9">
        <v>4125</v>
      </c>
      <c r="J151" s="10"/>
      <c r="K151" s="9">
        <f t="shared" si="21"/>
        <v>49500</v>
      </c>
      <c r="L151" s="8">
        <f t="shared" si="22"/>
        <v>0</v>
      </c>
      <c r="M151" s="11">
        <f t="shared" si="25"/>
        <v>1</v>
      </c>
      <c r="N151" s="12">
        <f t="shared" si="23"/>
        <v>0.218686868686868</v>
      </c>
      <c r="O151" s="9">
        <f t="shared" si="26"/>
        <v>21649.9999999999</v>
      </c>
      <c r="P151" s="13">
        <f t="shared" si="24"/>
        <v>0</v>
      </c>
    </row>
    <row r="152" spans="1:16">
      <c r="A152" s="3">
        <v>45987</v>
      </c>
      <c r="B152" s="4">
        <f>Data_Entry!X242</f>
        <v>20150.0000000001</v>
      </c>
      <c r="C152" s="5">
        <f>Data_Entry!AD242</f>
        <v>3.7</v>
      </c>
      <c r="D152" s="6">
        <f t="shared" si="18"/>
        <v>0.203535353535355</v>
      </c>
      <c r="E152" s="7"/>
      <c r="F152" s="7"/>
      <c r="G152" s="8">
        <f t="shared" si="19"/>
        <v>0</v>
      </c>
      <c r="H152" s="8">
        <f t="shared" si="20"/>
        <v>0</v>
      </c>
      <c r="I152" s="9">
        <v>4125</v>
      </c>
      <c r="J152" s="10"/>
      <c r="K152" s="9">
        <f t="shared" si="21"/>
        <v>49500</v>
      </c>
      <c r="L152" s="8">
        <f t="shared" si="22"/>
        <v>0</v>
      </c>
      <c r="M152" s="11">
        <f t="shared" si="25"/>
        <v>1</v>
      </c>
      <c r="N152" s="12">
        <f t="shared" si="23"/>
        <v>0.203535353535355</v>
      </c>
      <c r="O152" s="9">
        <f t="shared" si="26"/>
        <v>20150.0000000001</v>
      </c>
      <c r="P152" s="13">
        <f t="shared" si="24"/>
        <v>0</v>
      </c>
    </row>
    <row r="153" spans="1:16">
      <c r="A153" s="3">
        <v>45988</v>
      </c>
      <c r="B153" s="4">
        <f>Data_Entry!X243</f>
        <v>18949.9999999998</v>
      </c>
      <c r="C153" s="5">
        <f>Data_Entry!AD243</f>
        <v>3.43</v>
      </c>
      <c r="D153" s="6">
        <f t="shared" si="18"/>
        <v>0.19141414141414</v>
      </c>
      <c r="E153" s="7"/>
      <c r="F153" s="7"/>
      <c r="G153" s="8">
        <f t="shared" si="19"/>
        <v>0</v>
      </c>
      <c r="H153" s="8">
        <f t="shared" si="20"/>
        <v>0</v>
      </c>
      <c r="I153" s="9">
        <v>4125</v>
      </c>
      <c r="J153" s="10"/>
      <c r="K153" s="9">
        <f t="shared" si="21"/>
        <v>49500</v>
      </c>
      <c r="L153" s="8">
        <f t="shared" si="22"/>
        <v>0</v>
      </c>
      <c r="M153" s="11">
        <f t="shared" si="25"/>
        <v>1</v>
      </c>
      <c r="N153" s="12">
        <f t="shared" si="23"/>
        <v>0.19141414141414</v>
      </c>
      <c r="O153" s="9">
        <f t="shared" si="26"/>
        <v>18949.9999999998</v>
      </c>
      <c r="P153" s="13">
        <f t="shared" si="24"/>
        <v>0</v>
      </c>
    </row>
    <row r="154" spans="1:16">
      <c r="A154" s="3">
        <v>45989</v>
      </c>
      <c r="B154" s="4">
        <f>Data_Entry!X244</f>
        <v>16650.0000000002</v>
      </c>
      <c r="C154" s="5">
        <f>Data_Entry!AD244</f>
        <v>3.13</v>
      </c>
      <c r="D154" s="6">
        <f t="shared" si="18"/>
        <v>0.16818181818182</v>
      </c>
      <c r="E154" s="7"/>
      <c r="F154" s="7"/>
      <c r="G154" s="8">
        <f t="shared" si="19"/>
        <v>0</v>
      </c>
      <c r="H154" s="8">
        <f t="shared" si="20"/>
        <v>0</v>
      </c>
      <c r="I154" s="9">
        <v>4125</v>
      </c>
      <c r="J154" s="10"/>
      <c r="K154" s="9">
        <f t="shared" si="21"/>
        <v>49500</v>
      </c>
      <c r="L154" s="8">
        <f t="shared" si="22"/>
        <v>0</v>
      </c>
      <c r="M154" s="11">
        <f t="shared" si="25"/>
        <v>1</v>
      </c>
      <c r="N154" s="12">
        <f t="shared" si="23"/>
        <v>0.16818181818182</v>
      </c>
      <c r="O154" s="9">
        <f t="shared" si="26"/>
        <v>16650.0000000002</v>
      </c>
      <c r="P154" s="13">
        <f t="shared" si="24"/>
        <v>0</v>
      </c>
    </row>
    <row r="155" spans="1:16">
      <c r="A155" s="3">
        <v>45990</v>
      </c>
      <c r="B155" s="4">
        <f>Data_Entry!X245</f>
        <v>17349.9999999999</v>
      </c>
      <c r="C155" s="5">
        <f>Data_Entry!AD245</f>
        <v>3.35</v>
      </c>
      <c r="D155" s="6">
        <f t="shared" si="18"/>
        <v>0.175252525252524</v>
      </c>
      <c r="E155" s="7">
        <v>0.494444444444444</v>
      </c>
      <c r="F155" s="7">
        <v>0.500694444444444</v>
      </c>
      <c r="G155" s="8">
        <f t="shared" si="19"/>
        <v>8.99999999999997</v>
      </c>
      <c r="H155" s="8">
        <f t="shared" si="20"/>
        <v>0.149999999999999</v>
      </c>
      <c r="I155" s="9">
        <v>4125</v>
      </c>
      <c r="J155" s="10">
        <v>4125</v>
      </c>
      <c r="K155" s="9">
        <f t="shared" si="21"/>
        <v>49500</v>
      </c>
      <c r="L155" s="8">
        <f t="shared" si="22"/>
        <v>618.749999999998</v>
      </c>
      <c r="M155" s="11">
        <f t="shared" si="25"/>
        <v>0.9875</v>
      </c>
      <c r="N155" s="12">
        <f t="shared" si="23"/>
        <v>0.177470911648125</v>
      </c>
      <c r="O155" s="9">
        <f t="shared" si="26"/>
        <v>17569.6202531644</v>
      </c>
      <c r="P155" s="13">
        <f t="shared" si="24"/>
        <v>219.620253164554</v>
      </c>
    </row>
    <row r="156" spans="1:16">
      <c r="A156" s="3">
        <v>45991</v>
      </c>
      <c r="B156" s="4">
        <f>Data_Entry!X246</f>
        <v>20150.0000000001</v>
      </c>
      <c r="C156" s="5">
        <f>Data_Entry!AD246</f>
        <v>3.71</v>
      </c>
      <c r="D156" s="6">
        <f t="shared" si="18"/>
        <v>0.203535353535355</v>
      </c>
      <c r="E156" s="7"/>
      <c r="F156" s="7"/>
      <c r="G156" s="8">
        <f t="shared" si="19"/>
        <v>0</v>
      </c>
      <c r="H156" s="8">
        <f t="shared" si="20"/>
        <v>0</v>
      </c>
      <c r="I156" s="9">
        <v>4125</v>
      </c>
      <c r="J156" s="10"/>
      <c r="K156" s="9">
        <f t="shared" si="21"/>
        <v>49500</v>
      </c>
      <c r="L156" s="8">
        <f t="shared" si="22"/>
        <v>0</v>
      </c>
      <c r="M156" s="11">
        <f t="shared" si="25"/>
        <v>1</v>
      </c>
      <c r="N156" s="12">
        <f t="shared" si="23"/>
        <v>0.203535353535355</v>
      </c>
      <c r="O156" s="9">
        <f t="shared" si="26"/>
        <v>20150.0000000001</v>
      </c>
      <c r="P156" s="13">
        <f t="shared" si="24"/>
        <v>0</v>
      </c>
    </row>
    <row r="157" spans="1:16">
      <c r="A157" s="3">
        <v>45992</v>
      </c>
      <c r="B157" s="4">
        <f>Data_Entry!X247</f>
        <v>21349.9999999999</v>
      </c>
      <c r="C157" s="5">
        <f>Data_Entry!AD247</f>
        <v>3.81</v>
      </c>
      <c r="D157" s="6">
        <f t="shared" si="18"/>
        <v>0.215656565656565</v>
      </c>
      <c r="E157" s="7"/>
      <c r="F157" s="7"/>
      <c r="G157" s="8">
        <f t="shared" si="19"/>
        <v>0</v>
      </c>
      <c r="H157" s="8">
        <f t="shared" si="20"/>
        <v>0</v>
      </c>
      <c r="I157" s="9">
        <v>4125</v>
      </c>
      <c r="J157" s="10"/>
      <c r="K157" s="9">
        <f t="shared" si="21"/>
        <v>49500</v>
      </c>
      <c r="L157" s="8">
        <f t="shared" si="22"/>
        <v>0</v>
      </c>
      <c r="M157" s="11">
        <f t="shared" si="25"/>
        <v>1</v>
      </c>
      <c r="N157" s="12">
        <f t="shared" si="23"/>
        <v>0.215656565656565</v>
      </c>
      <c r="O157" s="9">
        <f t="shared" si="26"/>
        <v>21349.9999999999</v>
      </c>
      <c r="P157" s="13">
        <f t="shared" si="24"/>
        <v>0</v>
      </c>
    </row>
    <row r="158" spans="1:16">
      <c r="A158" s="3">
        <v>45993</v>
      </c>
      <c r="B158" s="4">
        <f>Data_Entry!X248</f>
        <v>19300.0000000001</v>
      </c>
      <c r="C158" s="5">
        <f>Data_Entry!AD248</f>
        <v>3.5</v>
      </c>
      <c r="D158" s="6">
        <f t="shared" si="18"/>
        <v>0.194949494949496</v>
      </c>
      <c r="E158" s="7"/>
      <c r="F158" s="7"/>
      <c r="G158" s="8">
        <f t="shared" si="19"/>
        <v>0</v>
      </c>
      <c r="H158" s="8">
        <f t="shared" si="20"/>
        <v>0</v>
      </c>
      <c r="I158" s="9">
        <v>4125</v>
      </c>
      <c r="J158" s="10"/>
      <c r="K158" s="9">
        <f t="shared" si="21"/>
        <v>49500</v>
      </c>
      <c r="L158" s="8">
        <f t="shared" si="22"/>
        <v>0</v>
      </c>
      <c r="M158" s="11">
        <f t="shared" si="25"/>
        <v>1</v>
      </c>
      <c r="N158" s="12">
        <f t="shared" si="23"/>
        <v>0.194949494949496</v>
      </c>
      <c r="O158" s="9">
        <f t="shared" si="26"/>
        <v>19300.0000000001</v>
      </c>
      <c r="P158" s="13">
        <f t="shared" si="24"/>
        <v>0</v>
      </c>
    </row>
    <row r="159" spans="1:16">
      <c r="A159" s="3">
        <v>45994</v>
      </c>
      <c r="B159" s="4">
        <f>Data_Entry!X249</f>
        <v>21300</v>
      </c>
      <c r="C159" s="5">
        <f>Data_Entry!AD249</f>
        <v>3.8</v>
      </c>
      <c r="D159" s="6">
        <f t="shared" si="18"/>
        <v>0.215151515151515</v>
      </c>
      <c r="E159" s="7"/>
      <c r="F159" s="7"/>
      <c r="G159" s="8">
        <f t="shared" si="19"/>
        <v>0</v>
      </c>
      <c r="H159" s="8">
        <f t="shared" si="20"/>
        <v>0</v>
      </c>
      <c r="I159" s="9">
        <v>4125</v>
      </c>
      <c r="J159" s="10"/>
      <c r="K159" s="9">
        <f t="shared" si="21"/>
        <v>49500</v>
      </c>
      <c r="L159" s="8">
        <f t="shared" si="22"/>
        <v>0</v>
      </c>
      <c r="M159" s="11">
        <f t="shared" si="25"/>
        <v>1</v>
      </c>
      <c r="N159" s="12">
        <f t="shared" si="23"/>
        <v>0.215151515151515</v>
      </c>
      <c r="O159" s="9">
        <f t="shared" si="26"/>
        <v>21300</v>
      </c>
      <c r="P159" s="13">
        <f t="shared" si="24"/>
        <v>0</v>
      </c>
    </row>
    <row r="160" spans="1:16">
      <c r="A160" s="3">
        <v>45995</v>
      </c>
      <c r="B160" s="4">
        <f>Data_Entry!X250</f>
        <v>20000</v>
      </c>
      <c r="C160" s="5">
        <f>Data_Entry!AD250</f>
        <v>3.65</v>
      </c>
      <c r="D160" s="6">
        <f t="shared" si="18"/>
        <v>0.202020202020202</v>
      </c>
      <c r="E160" s="7"/>
      <c r="F160" s="7"/>
      <c r="G160" s="8">
        <f t="shared" si="19"/>
        <v>0</v>
      </c>
      <c r="H160" s="8">
        <f t="shared" si="20"/>
        <v>0</v>
      </c>
      <c r="I160" s="9">
        <v>4125</v>
      </c>
      <c r="J160" s="10"/>
      <c r="K160" s="9">
        <f t="shared" si="21"/>
        <v>49500</v>
      </c>
      <c r="L160" s="8">
        <f t="shared" si="22"/>
        <v>0</v>
      </c>
      <c r="M160" s="11">
        <f t="shared" si="25"/>
        <v>1</v>
      </c>
      <c r="N160" s="12">
        <f t="shared" si="23"/>
        <v>0.202020202020202</v>
      </c>
      <c r="O160" s="9">
        <f t="shared" si="26"/>
        <v>20000</v>
      </c>
      <c r="P160" s="13">
        <f t="shared" si="24"/>
        <v>0</v>
      </c>
    </row>
    <row r="161" spans="1:16">
      <c r="A161" s="3">
        <v>45996</v>
      </c>
      <c r="B161" s="4">
        <f>Data_Entry!X251</f>
        <v>20350</v>
      </c>
      <c r="C161" s="5">
        <f>Data_Entry!AD251</f>
        <v>3.65</v>
      </c>
      <c r="D161" s="6">
        <f t="shared" si="18"/>
        <v>0.205555555555555</v>
      </c>
      <c r="E161" s="7"/>
      <c r="F161" s="7"/>
      <c r="G161" s="8">
        <f t="shared" si="19"/>
        <v>0</v>
      </c>
      <c r="H161" s="8">
        <f t="shared" si="20"/>
        <v>0</v>
      </c>
      <c r="I161" s="9">
        <v>4125</v>
      </c>
      <c r="J161" s="10"/>
      <c r="K161" s="9">
        <f t="shared" si="21"/>
        <v>49500</v>
      </c>
      <c r="L161" s="8">
        <f t="shared" si="22"/>
        <v>0</v>
      </c>
      <c r="M161" s="11">
        <f t="shared" si="25"/>
        <v>1</v>
      </c>
      <c r="N161" s="12">
        <f t="shared" si="23"/>
        <v>0.205555555555555</v>
      </c>
      <c r="O161" s="9">
        <f t="shared" si="26"/>
        <v>20350</v>
      </c>
      <c r="P161" s="13">
        <f t="shared" si="24"/>
        <v>0</v>
      </c>
    </row>
    <row r="162" spans="1:16">
      <c r="A162" s="3">
        <v>45997</v>
      </c>
      <c r="B162" s="4">
        <f>Data_Entry!X252</f>
        <v>19200.0000000002</v>
      </c>
      <c r="C162" s="5">
        <f>Data_Entry!AD252</f>
        <v>3.45</v>
      </c>
      <c r="D162" s="6">
        <f t="shared" si="18"/>
        <v>0.193939393939396</v>
      </c>
      <c r="E162" s="7"/>
      <c r="F162" s="7"/>
      <c r="G162" s="8">
        <f t="shared" si="19"/>
        <v>0</v>
      </c>
      <c r="H162" s="8">
        <f t="shared" si="20"/>
        <v>0</v>
      </c>
      <c r="I162" s="9">
        <v>4125</v>
      </c>
      <c r="J162" s="10"/>
      <c r="K162" s="9">
        <f t="shared" si="21"/>
        <v>49500</v>
      </c>
      <c r="L162" s="8">
        <f t="shared" si="22"/>
        <v>0</v>
      </c>
      <c r="M162" s="11">
        <f t="shared" si="25"/>
        <v>1</v>
      </c>
      <c r="N162" s="12">
        <f t="shared" si="23"/>
        <v>0.193939393939396</v>
      </c>
      <c r="O162" s="9">
        <f t="shared" si="26"/>
        <v>19200.0000000002</v>
      </c>
      <c r="P162" s="13">
        <f t="shared" si="24"/>
        <v>0</v>
      </c>
    </row>
    <row r="163" spans="1:16">
      <c r="A163" s="3">
        <v>45998</v>
      </c>
      <c r="B163" s="4">
        <f>Data_Entry!X253</f>
        <v>21449.9999999998</v>
      </c>
      <c r="C163" s="5">
        <f>Data_Entry!AD253</f>
        <v>3.81</v>
      </c>
      <c r="D163" s="6">
        <f t="shared" si="18"/>
        <v>0.216666666666665</v>
      </c>
      <c r="E163" s="7"/>
      <c r="F163" s="7"/>
      <c r="G163" s="8">
        <f t="shared" si="19"/>
        <v>0</v>
      </c>
      <c r="H163" s="8">
        <f t="shared" si="20"/>
        <v>0</v>
      </c>
      <c r="I163" s="9">
        <v>4125</v>
      </c>
      <c r="J163" s="10"/>
      <c r="K163" s="9">
        <f t="shared" si="21"/>
        <v>49500</v>
      </c>
      <c r="L163" s="8">
        <f t="shared" si="22"/>
        <v>0</v>
      </c>
      <c r="M163" s="11">
        <f t="shared" si="25"/>
        <v>1</v>
      </c>
      <c r="N163" s="12">
        <f t="shared" si="23"/>
        <v>0.216666666666665</v>
      </c>
      <c r="O163" s="9">
        <f t="shared" si="26"/>
        <v>21449.9999999998</v>
      </c>
      <c r="P163" s="13">
        <f t="shared" si="24"/>
        <v>0</v>
      </c>
    </row>
    <row r="164" spans="1:16">
      <c r="A164" s="3">
        <v>45999</v>
      </c>
      <c r="B164" s="4">
        <f>Data_Entry!X254</f>
        <v>21449.9999999998</v>
      </c>
      <c r="C164" s="5">
        <f>Data_Entry!AD254</f>
        <v>3.82</v>
      </c>
      <c r="D164" s="6">
        <f t="shared" si="18"/>
        <v>0.216666666666665</v>
      </c>
      <c r="E164" s="7"/>
      <c r="F164" s="7"/>
      <c r="G164" s="8">
        <f t="shared" si="19"/>
        <v>0</v>
      </c>
      <c r="H164" s="8">
        <f t="shared" si="20"/>
        <v>0</v>
      </c>
      <c r="I164" s="9">
        <v>4125</v>
      </c>
      <c r="J164" s="10"/>
      <c r="K164" s="9">
        <f t="shared" si="21"/>
        <v>49500</v>
      </c>
      <c r="L164" s="8">
        <f t="shared" si="22"/>
        <v>0</v>
      </c>
      <c r="M164" s="11">
        <f t="shared" si="25"/>
        <v>1</v>
      </c>
      <c r="N164" s="12">
        <f t="shared" si="23"/>
        <v>0.216666666666665</v>
      </c>
      <c r="O164" s="9">
        <f t="shared" si="26"/>
        <v>21449.9999999998</v>
      </c>
      <c r="P164" s="13">
        <f t="shared" si="24"/>
        <v>0</v>
      </c>
    </row>
    <row r="165" spans="1:16">
      <c r="A165" s="3">
        <v>46000</v>
      </c>
      <c r="B165" s="4">
        <f>Data_Entry!X255</f>
        <v>23100</v>
      </c>
      <c r="C165" s="5">
        <f>Data_Entry!AD255</f>
        <v>4.13</v>
      </c>
      <c r="D165" s="6">
        <f t="shared" si="18"/>
        <v>0.233333333333334</v>
      </c>
      <c r="E165" s="7"/>
      <c r="F165" s="7"/>
      <c r="G165" s="8">
        <f t="shared" si="19"/>
        <v>0</v>
      </c>
      <c r="H165" s="8">
        <f t="shared" si="20"/>
        <v>0</v>
      </c>
      <c r="I165" s="9">
        <v>4125</v>
      </c>
      <c r="J165" s="10"/>
      <c r="K165" s="9">
        <f t="shared" si="21"/>
        <v>49500</v>
      </c>
      <c r="L165" s="8">
        <f t="shared" si="22"/>
        <v>0</v>
      </c>
      <c r="M165" s="11">
        <f t="shared" si="25"/>
        <v>1</v>
      </c>
      <c r="N165" s="12">
        <f t="shared" si="23"/>
        <v>0.233333333333334</v>
      </c>
      <c r="O165" s="9">
        <f t="shared" si="26"/>
        <v>23100</v>
      </c>
      <c r="P165" s="13">
        <f t="shared" si="24"/>
        <v>0</v>
      </c>
    </row>
    <row r="166" spans="1:16">
      <c r="A166" s="3">
        <v>46001</v>
      </c>
      <c r="B166" s="4">
        <f>Data_Entry!X256</f>
        <v>23249.9999999999</v>
      </c>
      <c r="C166" s="5">
        <f>Data_Entry!AD256</f>
        <v>4.07</v>
      </c>
      <c r="D166" s="6">
        <f t="shared" si="18"/>
        <v>0.234848484848484</v>
      </c>
      <c r="E166" s="7"/>
      <c r="F166" s="7"/>
      <c r="G166" s="8">
        <f t="shared" si="19"/>
        <v>0</v>
      </c>
      <c r="H166" s="8">
        <f t="shared" si="20"/>
        <v>0</v>
      </c>
      <c r="I166" s="9">
        <v>4125</v>
      </c>
      <c r="J166" s="10"/>
      <c r="K166" s="9">
        <f t="shared" si="21"/>
        <v>49500</v>
      </c>
      <c r="L166" s="8">
        <f t="shared" si="22"/>
        <v>0</v>
      </c>
      <c r="M166" s="11">
        <f t="shared" si="25"/>
        <v>1</v>
      </c>
      <c r="N166" s="12">
        <f t="shared" si="23"/>
        <v>0.234848484848484</v>
      </c>
      <c r="O166" s="9">
        <f t="shared" si="26"/>
        <v>23249.9999999999</v>
      </c>
      <c r="P166" s="13">
        <f t="shared" si="24"/>
        <v>0</v>
      </c>
    </row>
    <row r="167" spans="1:16">
      <c r="A167" s="3">
        <v>46002</v>
      </c>
      <c r="B167" s="4">
        <f>Data_Entry!X257</f>
        <v>22900.0000000002</v>
      </c>
      <c r="C167" s="5">
        <f>Data_Entry!AD257</f>
        <v>4.12</v>
      </c>
      <c r="D167" s="6">
        <f t="shared" si="18"/>
        <v>0.231313131313133</v>
      </c>
      <c r="E167" s="7"/>
      <c r="F167" s="7"/>
      <c r="G167" s="8">
        <f t="shared" si="19"/>
        <v>0</v>
      </c>
      <c r="H167" s="8">
        <f t="shared" si="20"/>
        <v>0</v>
      </c>
      <c r="I167" s="9">
        <v>4125</v>
      </c>
      <c r="J167" s="10"/>
      <c r="K167" s="9">
        <f t="shared" si="21"/>
        <v>49500</v>
      </c>
      <c r="L167" s="8">
        <f t="shared" si="22"/>
        <v>0</v>
      </c>
      <c r="M167" s="11">
        <f t="shared" si="25"/>
        <v>1</v>
      </c>
      <c r="N167" s="12">
        <f t="shared" si="23"/>
        <v>0.231313131313133</v>
      </c>
      <c r="O167" s="9">
        <f t="shared" si="26"/>
        <v>22900.0000000002</v>
      </c>
      <c r="P167" s="13">
        <f t="shared" si="24"/>
        <v>0</v>
      </c>
    </row>
    <row r="168" spans="1:16">
      <c r="A168" s="3">
        <v>46003</v>
      </c>
      <c r="B168" s="4">
        <f>Data_Entry!X258</f>
        <v>23150</v>
      </c>
      <c r="C168" s="5">
        <f>Data_Entry!AD258</f>
        <v>4.15</v>
      </c>
      <c r="D168" s="6">
        <f t="shared" si="18"/>
        <v>0.233838383838384</v>
      </c>
      <c r="E168" s="7"/>
      <c r="F168" s="7"/>
      <c r="G168" s="8">
        <f t="shared" si="19"/>
        <v>0</v>
      </c>
      <c r="H168" s="8">
        <f t="shared" si="20"/>
        <v>0</v>
      </c>
      <c r="I168" s="9">
        <v>4125</v>
      </c>
      <c r="J168" s="10"/>
      <c r="K168" s="9">
        <f t="shared" si="21"/>
        <v>49500</v>
      </c>
      <c r="L168" s="8">
        <f t="shared" si="22"/>
        <v>0</v>
      </c>
      <c r="M168" s="11">
        <f t="shared" si="25"/>
        <v>1</v>
      </c>
      <c r="N168" s="12">
        <f t="shared" si="23"/>
        <v>0.233838383838384</v>
      </c>
      <c r="O168" s="9">
        <f t="shared" si="26"/>
        <v>23150</v>
      </c>
      <c r="P168" s="13">
        <f t="shared" si="24"/>
        <v>0</v>
      </c>
    </row>
    <row r="169" spans="1:16">
      <c r="A169" s="3">
        <v>46004</v>
      </c>
      <c r="B169" s="4">
        <f>Data_Entry!X259</f>
        <v>22649.9999999999</v>
      </c>
      <c r="C169" s="5">
        <f>Data_Entry!AD259</f>
        <v>4.02</v>
      </c>
      <c r="D169" s="6">
        <f t="shared" si="18"/>
        <v>0.228787878787877</v>
      </c>
      <c r="E169" s="7"/>
      <c r="F169" s="7"/>
      <c r="G169" s="8">
        <f t="shared" si="19"/>
        <v>0</v>
      </c>
      <c r="H169" s="8">
        <f t="shared" si="20"/>
        <v>0</v>
      </c>
      <c r="I169" s="9">
        <v>4125</v>
      </c>
      <c r="J169" s="10"/>
      <c r="K169" s="9">
        <f t="shared" si="21"/>
        <v>49500</v>
      </c>
      <c r="L169" s="8">
        <f t="shared" si="22"/>
        <v>0</v>
      </c>
      <c r="M169" s="11">
        <f t="shared" si="25"/>
        <v>1</v>
      </c>
      <c r="N169" s="12">
        <f t="shared" si="23"/>
        <v>0.228787878787877</v>
      </c>
      <c r="O169" s="9">
        <f t="shared" si="26"/>
        <v>22649.9999999999</v>
      </c>
      <c r="P169" s="13">
        <f t="shared" si="24"/>
        <v>0</v>
      </c>
    </row>
    <row r="170" spans="1:16">
      <c r="A170" s="3">
        <v>46005</v>
      </c>
      <c r="B170" s="4">
        <f>Data_Entry!X260</f>
        <v>21900</v>
      </c>
      <c r="C170" s="5">
        <f>Data_Entry!AD260</f>
        <v>3.91</v>
      </c>
      <c r="D170" s="6">
        <f t="shared" si="18"/>
        <v>0.221212121212121</v>
      </c>
      <c r="E170" s="7"/>
      <c r="F170" s="7"/>
      <c r="G170" s="8">
        <f t="shared" si="19"/>
        <v>0</v>
      </c>
      <c r="H170" s="8">
        <f t="shared" si="20"/>
        <v>0</v>
      </c>
      <c r="I170" s="9">
        <v>4125</v>
      </c>
      <c r="J170" s="10"/>
      <c r="K170" s="9">
        <f t="shared" si="21"/>
        <v>49500</v>
      </c>
      <c r="L170" s="8">
        <f t="shared" si="22"/>
        <v>0</v>
      </c>
      <c r="M170" s="11">
        <f t="shared" si="25"/>
        <v>1</v>
      </c>
      <c r="N170" s="12">
        <f t="shared" si="23"/>
        <v>0.221212121212121</v>
      </c>
      <c r="O170" s="9">
        <f t="shared" si="26"/>
        <v>21900</v>
      </c>
      <c r="P170" s="13">
        <f t="shared" si="24"/>
        <v>0</v>
      </c>
    </row>
    <row r="171" spans="1:16">
      <c r="A171" s="3">
        <v>46006</v>
      </c>
      <c r="B171" s="4">
        <f>Data_Entry!X261</f>
        <v>22600.0000000005</v>
      </c>
      <c r="C171" s="5">
        <f>Data_Entry!AD261</f>
        <v>3.99</v>
      </c>
      <c r="D171" s="6">
        <f t="shared" si="18"/>
        <v>0.228282828282833</v>
      </c>
      <c r="E171" s="7"/>
      <c r="F171" s="7"/>
      <c r="G171" s="8">
        <f t="shared" si="19"/>
        <v>0</v>
      </c>
      <c r="H171" s="8">
        <f t="shared" si="20"/>
        <v>0</v>
      </c>
      <c r="I171" s="9">
        <v>4125</v>
      </c>
      <c r="J171" s="10"/>
      <c r="K171" s="9">
        <f t="shared" si="21"/>
        <v>49500</v>
      </c>
      <c r="L171" s="8">
        <f t="shared" si="22"/>
        <v>0</v>
      </c>
      <c r="M171" s="11">
        <f t="shared" si="25"/>
        <v>1</v>
      </c>
      <c r="N171" s="12">
        <f t="shared" si="23"/>
        <v>0.228282828282833</v>
      </c>
      <c r="O171" s="9">
        <f t="shared" si="26"/>
        <v>22600.0000000005</v>
      </c>
      <c r="P171" s="13">
        <f t="shared" si="24"/>
        <v>0</v>
      </c>
    </row>
    <row r="172" spans="1:16">
      <c r="A172" s="3">
        <v>46007</v>
      </c>
      <c r="B172" s="4">
        <f>Data_Entry!X262</f>
        <v>21799.9999999995</v>
      </c>
      <c r="C172" s="5">
        <f>Data_Entry!AD262</f>
        <v>3.75</v>
      </c>
      <c r="D172" s="6">
        <f t="shared" si="18"/>
        <v>0.220202020202015</v>
      </c>
      <c r="E172" s="7"/>
      <c r="F172" s="7"/>
      <c r="G172" s="8">
        <f t="shared" si="19"/>
        <v>0</v>
      </c>
      <c r="H172" s="8">
        <f t="shared" si="20"/>
        <v>0</v>
      </c>
      <c r="I172" s="9">
        <v>4125</v>
      </c>
      <c r="J172" s="10"/>
      <c r="K172" s="9">
        <f t="shared" si="21"/>
        <v>49500</v>
      </c>
      <c r="L172" s="8">
        <f t="shared" si="22"/>
        <v>0</v>
      </c>
      <c r="M172" s="11">
        <f t="shared" si="25"/>
        <v>1</v>
      </c>
      <c r="N172" s="12">
        <f t="shared" si="23"/>
        <v>0.220202020202015</v>
      </c>
      <c r="O172" s="9">
        <f t="shared" si="26"/>
        <v>21799.9999999995</v>
      </c>
      <c r="P172" s="13">
        <f t="shared" si="24"/>
        <v>0</v>
      </c>
    </row>
    <row r="173" spans="1:16">
      <c r="A173" s="3">
        <v>46008</v>
      </c>
      <c r="B173" s="4">
        <f>Data_Entry!X263</f>
        <v>20150.0000000004</v>
      </c>
      <c r="C173" s="5">
        <f>Data_Entry!AD263</f>
        <v>3.49</v>
      </c>
      <c r="D173" s="6">
        <f t="shared" si="18"/>
        <v>0.203535353535358</v>
      </c>
      <c r="E173" s="7">
        <v>0.3125</v>
      </c>
      <c r="F173" s="7">
        <v>0.353472222222222</v>
      </c>
      <c r="G173" s="8">
        <f t="shared" si="19"/>
        <v>58.9999999999997</v>
      </c>
      <c r="H173" s="8">
        <f t="shared" si="20"/>
        <v>0.983333333333329</v>
      </c>
      <c r="I173" s="9">
        <v>4125</v>
      </c>
      <c r="J173" s="10">
        <v>4125</v>
      </c>
      <c r="K173" s="9">
        <f t="shared" si="21"/>
        <v>49500</v>
      </c>
      <c r="L173" s="8">
        <f t="shared" si="22"/>
        <v>4056.24999999998</v>
      </c>
      <c r="M173" s="11">
        <f t="shared" si="25"/>
        <v>0.918055555555556</v>
      </c>
      <c r="N173" s="12">
        <f t="shared" si="23"/>
        <v>0.22170265438042</v>
      </c>
      <c r="O173" s="9">
        <f t="shared" si="26"/>
        <v>21948.5627836616</v>
      </c>
      <c r="P173" s="13">
        <f t="shared" si="24"/>
        <v>1798.56278366115</v>
      </c>
    </row>
    <row r="174" spans="1:16">
      <c r="A174" s="3">
        <v>46009</v>
      </c>
      <c r="B174" s="4">
        <f>Data_Entry!X264</f>
        <v>20849.9999999998</v>
      </c>
      <c r="C174" s="5">
        <f>Data_Entry!AD264</f>
        <v>3.74</v>
      </c>
      <c r="D174" s="6">
        <f t="shared" si="18"/>
        <v>0.210606060606059</v>
      </c>
      <c r="E174" s="7"/>
      <c r="F174" s="7"/>
      <c r="G174" s="8">
        <f t="shared" si="19"/>
        <v>0</v>
      </c>
      <c r="H174" s="8">
        <f t="shared" si="20"/>
        <v>0</v>
      </c>
      <c r="I174" s="9">
        <v>4125</v>
      </c>
      <c r="J174" s="10"/>
      <c r="K174" s="9">
        <f t="shared" si="21"/>
        <v>49500</v>
      </c>
      <c r="L174" s="8">
        <f t="shared" si="22"/>
        <v>0</v>
      </c>
      <c r="M174" s="11">
        <f t="shared" si="25"/>
        <v>1</v>
      </c>
      <c r="N174" s="12">
        <f t="shared" si="23"/>
        <v>0.210606060606059</v>
      </c>
      <c r="O174" s="9">
        <f t="shared" si="26"/>
        <v>20849.9999999998</v>
      </c>
      <c r="P174" s="13">
        <f t="shared" si="24"/>
        <v>0</v>
      </c>
    </row>
    <row r="175" spans="1:16">
      <c r="A175" s="3">
        <v>46010</v>
      </c>
      <c r="B175" s="4">
        <f>Data_Entry!X265</f>
        <v>23050.0000000001</v>
      </c>
      <c r="C175" s="5">
        <f>Data_Entry!AD265</f>
        <v>3.94</v>
      </c>
      <c r="D175" s="6">
        <f t="shared" si="18"/>
        <v>0.232828282828284</v>
      </c>
      <c r="E175" s="7"/>
      <c r="F175" s="7"/>
      <c r="G175" s="8">
        <f t="shared" si="19"/>
        <v>0</v>
      </c>
      <c r="H175" s="8">
        <f t="shared" si="20"/>
        <v>0</v>
      </c>
      <c r="I175" s="9">
        <v>4125</v>
      </c>
      <c r="J175" s="10"/>
      <c r="K175" s="9">
        <f t="shared" si="21"/>
        <v>49500</v>
      </c>
      <c r="L175" s="8">
        <f t="shared" si="22"/>
        <v>0</v>
      </c>
      <c r="M175" s="11">
        <f t="shared" si="25"/>
        <v>1</v>
      </c>
      <c r="N175" s="12">
        <f t="shared" si="23"/>
        <v>0.232828282828284</v>
      </c>
      <c r="O175" s="9">
        <f t="shared" si="26"/>
        <v>23050.0000000001</v>
      </c>
      <c r="P175" s="13">
        <f t="shared" si="24"/>
        <v>0</v>
      </c>
    </row>
    <row r="176" spans="1:16">
      <c r="A176" s="3">
        <v>46011</v>
      </c>
      <c r="B176" s="4">
        <f>Data_Entry!X266</f>
        <v>22950.0000000002</v>
      </c>
      <c r="C176" s="5">
        <f>Data_Entry!AD266</f>
        <v>4.1</v>
      </c>
      <c r="D176" s="6">
        <f t="shared" si="18"/>
        <v>0.231818181818183</v>
      </c>
      <c r="E176" s="7"/>
      <c r="F176" s="7"/>
      <c r="G176" s="8">
        <f t="shared" si="19"/>
        <v>0</v>
      </c>
      <c r="H176" s="8">
        <f t="shared" si="20"/>
        <v>0</v>
      </c>
      <c r="I176" s="9">
        <v>4125</v>
      </c>
      <c r="J176" s="10"/>
      <c r="K176" s="9">
        <f t="shared" si="21"/>
        <v>49500</v>
      </c>
      <c r="L176" s="8">
        <f t="shared" si="22"/>
        <v>0</v>
      </c>
      <c r="M176" s="11">
        <f t="shared" si="25"/>
        <v>1</v>
      </c>
      <c r="N176" s="12">
        <f t="shared" si="23"/>
        <v>0.231818181818183</v>
      </c>
      <c r="O176" s="9">
        <f t="shared" si="26"/>
        <v>22950.0000000002</v>
      </c>
      <c r="P176" s="13">
        <f t="shared" si="24"/>
        <v>0</v>
      </c>
    </row>
    <row r="177" spans="1:16">
      <c r="A177" s="3">
        <v>46012</v>
      </c>
      <c r="B177" s="4">
        <f>Data_Entry!X267</f>
        <v>19699.9999999997</v>
      </c>
      <c r="C177" s="5">
        <f>Data_Entry!AD267</f>
        <v>3.22</v>
      </c>
      <c r="D177" s="6">
        <f t="shared" si="18"/>
        <v>0.198989898989896</v>
      </c>
      <c r="E177" s="7"/>
      <c r="F177" s="7"/>
      <c r="G177" s="8">
        <f t="shared" si="19"/>
        <v>0</v>
      </c>
      <c r="H177" s="8">
        <f t="shared" si="20"/>
        <v>0</v>
      </c>
      <c r="I177" s="9">
        <v>4125</v>
      </c>
      <c r="J177" s="10"/>
      <c r="K177" s="9">
        <f t="shared" si="21"/>
        <v>49500</v>
      </c>
      <c r="L177" s="8">
        <f t="shared" si="22"/>
        <v>0</v>
      </c>
      <c r="M177" s="11">
        <f t="shared" si="25"/>
        <v>1</v>
      </c>
      <c r="N177" s="12">
        <f t="shared" si="23"/>
        <v>0.198989898989896</v>
      </c>
      <c r="O177" s="9">
        <f t="shared" si="26"/>
        <v>19699.9999999997</v>
      </c>
      <c r="P177" s="13">
        <f t="shared" si="24"/>
        <v>0</v>
      </c>
    </row>
    <row r="178" spans="1:16">
      <c r="A178" s="3">
        <v>46013</v>
      </c>
      <c r="B178" s="4">
        <f>Data_Entry!X268</f>
        <v>21450.0000000004</v>
      </c>
      <c r="C178" s="5">
        <f>Data_Entry!AD268</f>
        <v>3.9</v>
      </c>
      <c r="D178" s="6">
        <f t="shared" si="18"/>
        <v>0.216666666666671</v>
      </c>
      <c r="E178" s="7"/>
      <c r="F178" s="7"/>
      <c r="G178" s="8">
        <f t="shared" si="19"/>
        <v>0</v>
      </c>
      <c r="H178" s="8">
        <f t="shared" si="20"/>
        <v>0</v>
      </c>
      <c r="I178" s="9">
        <v>4125</v>
      </c>
      <c r="J178" s="10"/>
      <c r="K178" s="9">
        <f t="shared" si="21"/>
        <v>49500</v>
      </c>
      <c r="L178" s="8">
        <f t="shared" si="22"/>
        <v>0</v>
      </c>
      <c r="M178" s="11">
        <f t="shared" si="25"/>
        <v>1</v>
      </c>
      <c r="N178" s="12">
        <f t="shared" si="23"/>
        <v>0.216666666666671</v>
      </c>
      <c r="O178" s="9">
        <f t="shared" si="26"/>
        <v>21450.0000000004</v>
      </c>
      <c r="P178" s="13">
        <f t="shared" si="24"/>
        <v>0</v>
      </c>
    </row>
    <row r="179" spans="1:16">
      <c r="A179" s="3">
        <v>46014</v>
      </c>
      <c r="B179" s="4">
        <f>Data_Entry!X269</f>
        <v>21599.9999999997</v>
      </c>
      <c r="C179" s="5">
        <f>Data_Entry!AD269</f>
        <v>3.86</v>
      </c>
      <c r="D179" s="6">
        <f t="shared" si="18"/>
        <v>0.218181818181815</v>
      </c>
      <c r="E179" s="7"/>
      <c r="F179" s="7"/>
      <c r="G179" s="8">
        <f t="shared" si="19"/>
        <v>0</v>
      </c>
      <c r="H179" s="8">
        <f t="shared" si="20"/>
        <v>0</v>
      </c>
      <c r="I179" s="9">
        <v>4125</v>
      </c>
      <c r="J179" s="10"/>
      <c r="K179" s="9">
        <f t="shared" si="21"/>
        <v>49500</v>
      </c>
      <c r="L179" s="8">
        <f t="shared" si="22"/>
        <v>0</v>
      </c>
      <c r="M179" s="11">
        <f t="shared" si="25"/>
        <v>1</v>
      </c>
      <c r="N179" s="12">
        <f t="shared" si="23"/>
        <v>0.218181818181815</v>
      </c>
      <c r="O179" s="9">
        <f t="shared" si="26"/>
        <v>21599.9999999997</v>
      </c>
      <c r="P179" s="13">
        <f t="shared" si="24"/>
        <v>0</v>
      </c>
    </row>
    <row r="180" spans="1:16">
      <c r="A180" s="3">
        <v>46015</v>
      </c>
      <c r="B180" s="4">
        <f>Data_Entry!X270</f>
        <v>21600.0000000003</v>
      </c>
      <c r="C180" s="5">
        <f>Data_Entry!AD270</f>
        <v>3.93</v>
      </c>
      <c r="D180" s="6">
        <f t="shared" si="18"/>
        <v>0.218181818181821</v>
      </c>
      <c r="E180" s="7"/>
      <c r="F180" s="7"/>
      <c r="G180" s="8">
        <f t="shared" si="19"/>
        <v>0</v>
      </c>
      <c r="H180" s="8">
        <f t="shared" si="20"/>
        <v>0</v>
      </c>
      <c r="I180" s="9">
        <v>4125</v>
      </c>
      <c r="J180" s="10"/>
      <c r="K180" s="9">
        <f t="shared" si="21"/>
        <v>49500</v>
      </c>
      <c r="L180" s="8">
        <f t="shared" si="22"/>
        <v>0</v>
      </c>
      <c r="M180" s="11">
        <f t="shared" si="25"/>
        <v>1</v>
      </c>
      <c r="N180" s="12">
        <f t="shared" si="23"/>
        <v>0.218181818181821</v>
      </c>
      <c r="O180" s="9">
        <f t="shared" si="26"/>
        <v>21600.0000000003</v>
      </c>
      <c r="P180" s="13">
        <f t="shared" si="24"/>
        <v>0</v>
      </c>
    </row>
    <row r="181" spans="1:16">
      <c r="A181" s="3">
        <v>46016</v>
      </c>
      <c r="B181" s="4">
        <f>Data_Entry!X271</f>
        <v>21749.9999999995</v>
      </c>
      <c r="C181" s="5">
        <f>Data_Entry!AD271</f>
        <v>3.87</v>
      </c>
      <c r="D181" s="6">
        <f t="shared" si="18"/>
        <v>0.219696969696965</v>
      </c>
      <c r="E181" s="7"/>
      <c r="F181" s="7"/>
      <c r="G181" s="8">
        <f t="shared" si="19"/>
        <v>0</v>
      </c>
      <c r="H181" s="8">
        <f t="shared" si="20"/>
        <v>0</v>
      </c>
      <c r="I181" s="9">
        <v>4125</v>
      </c>
      <c r="J181" s="10"/>
      <c r="K181" s="9">
        <f t="shared" si="21"/>
        <v>49500</v>
      </c>
      <c r="L181" s="8">
        <f t="shared" si="22"/>
        <v>0</v>
      </c>
      <c r="M181" s="11">
        <f t="shared" si="25"/>
        <v>1</v>
      </c>
      <c r="N181" s="12">
        <f t="shared" si="23"/>
        <v>0.219696969696965</v>
      </c>
      <c r="O181" s="9">
        <f t="shared" si="26"/>
        <v>21749.9999999995</v>
      </c>
      <c r="P181" s="13">
        <f t="shared" si="24"/>
        <v>0</v>
      </c>
    </row>
    <row r="182" spans="1:16">
      <c r="A182" s="3">
        <v>46017</v>
      </c>
      <c r="B182" s="4">
        <f>Data_Entry!X272</f>
        <v>20400.0000000002</v>
      </c>
      <c r="C182" s="5">
        <f>Data_Entry!AD272</f>
        <v>3.23</v>
      </c>
      <c r="D182" s="6">
        <f t="shared" si="18"/>
        <v>0.206060606060608</v>
      </c>
      <c r="E182" s="7"/>
      <c r="F182" s="7"/>
      <c r="G182" s="8">
        <f t="shared" si="19"/>
        <v>0</v>
      </c>
      <c r="H182" s="8">
        <f t="shared" si="20"/>
        <v>0</v>
      </c>
      <c r="I182" s="9">
        <v>4125</v>
      </c>
      <c r="J182" s="10"/>
      <c r="K182" s="9">
        <f t="shared" si="21"/>
        <v>49500</v>
      </c>
      <c r="L182" s="8">
        <f t="shared" si="22"/>
        <v>0</v>
      </c>
      <c r="M182" s="11">
        <f t="shared" si="25"/>
        <v>1</v>
      </c>
      <c r="N182" s="12">
        <f t="shared" si="23"/>
        <v>0.206060606060608</v>
      </c>
      <c r="O182" s="9">
        <f t="shared" si="26"/>
        <v>20400.0000000002</v>
      </c>
      <c r="P182" s="13">
        <f t="shared" si="24"/>
        <v>0</v>
      </c>
    </row>
    <row r="183" spans="1:16">
      <c r="A183" s="3">
        <v>46018</v>
      </c>
      <c r="B183" s="4">
        <f>Data_Entry!X273</f>
        <v>19599.9999999998</v>
      </c>
      <c r="C183" s="5">
        <f>Data_Entry!AD273</f>
        <v>3.62</v>
      </c>
      <c r="D183" s="6">
        <f t="shared" si="18"/>
        <v>0.197979797979796</v>
      </c>
      <c r="E183" s="7"/>
      <c r="F183" s="7"/>
      <c r="G183" s="8">
        <f t="shared" si="19"/>
        <v>0</v>
      </c>
      <c r="H183" s="8">
        <f t="shared" si="20"/>
        <v>0</v>
      </c>
      <c r="I183" s="9">
        <v>4125</v>
      </c>
      <c r="J183" s="10"/>
      <c r="K183" s="9">
        <f t="shared" si="21"/>
        <v>49500</v>
      </c>
      <c r="L183" s="8">
        <f t="shared" si="22"/>
        <v>0</v>
      </c>
      <c r="M183" s="11">
        <f t="shared" si="25"/>
        <v>1</v>
      </c>
      <c r="N183" s="12">
        <f t="shared" si="23"/>
        <v>0.197979797979796</v>
      </c>
      <c r="O183" s="9">
        <f t="shared" si="26"/>
        <v>19599.9999999998</v>
      </c>
      <c r="P183" s="13">
        <f t="shared" si="24"/>
        <v>0</v>
      </c>
    </row>
    <row r="184" spans="1:16">
      <c r="A184" s="3">
        <v>46019</v>
      </c>
      <c r="B184" s="4">
        <f>Data_Entry!X274</f>
        <v>19650.0000000003</v>
      </c>
      <c r="C184" s="5">
        <f>Data_Entry!AD274</f>
        <v>3.63</v>
      </c>
      <c r="D184" s="6">
        <f t="shared" si="18"/>
        <v>0.198484848484852</v>
      </c>
      <c r="E184" s="7"/>
      <c r="F184" s="7"/>
      <c r="G184" s="8">
        <f t="shared" si="19"/>
        <v>0</v>
      </c>
      <c r="H184" s="8">
        <f t="shared" si="20"/>
        <v>0</v>
      </c>
      <c r="I184" s="9">
        <v>4125</v>
      </c>
      <c r="J184" s="10"/>
      <c r="K184" s="9">
        <f t="shared" si="21"/>
        <v>49500</v>
      </c>
      <c r="L184" s="8">
        <f t="shared" si="22"/>
        <v>0</v>
      </c>
      <c r="M184" s="11">
        <f t="shared" si="25"/>
        <v>1</v>
      </c>
      <c r="N184" s="12">
        <f t="shared" si="23"/>
        <v>0.198484848484852</v>
      </c>
      <c r="O184" s="9">
        <f t="shared" si="26"/>
        <v>19650.0000000003</v>
      </c>
      <c r="P184" s="13">
        <f t="shared" si="24"/>
        <v>0</v>
      </c>
    </row>
    <row r="185" spans="1:16">
      <c r="A185" s="3">
        <v>46020</v>
      </c>
      <c r="B185" s="4">
        <f>Data_Entry!X275</f>
        <v>19499.9999999999</v>
      </c>
      <c r="C185" s="5">
        <f>Data_Entry!AD275</f>
        <v>3.62</v>
      </c>
      <c r="D185" s="6">
        <f t="shared" si="18"/>
        <v>0.196969696969696</v>
      </c>
      <c r="E185" s="7"/>
      <c r="F185" s="7"/>
      <c r="G185" s="8">
        <f t="shared" si="19"/>
        <v>0</v>
      </c>
      <c r="H185" s="8">
        <f t="shared" si="20"/>
        <v>0</v>
      </c>
      <c r="I185" s="9">
        <v>4125</v>
      </c>
      <c r="J185" s="10"/>
      <c r="K185" s="9">
        <f t="shared" si="21"/>
        <v>49500</v>
      </c>
      <c r="L185" s="8">
        <f t="shared" si="22"/>
        <v>0</v>
      </c>
      <c r="M185" s="11">
        <f t="shared" si="25"/>
        <v>1</v>
      </c>
      <c r="N185" s="12">
        <f t="shared" si="23"/>
        <v>0.196969696969696</v>
      </c>
      <c r="O185" s="9">
        <f t="shared" si="26"/>
        <v>19499.9999999999</v>
      </c>
      <c r="P185" s="13">
        <f t="shared" si="24"/>
        <v>0</v>
      </c>
    </row>
    <row r="186" spans="1:16">
      <c r="A186" s="3">
        <v>46021</v>
      </c>
      <c r="B186" s="4">
        <f>Data_Entry!X276</f>
        <v>19499.9999999999</v>
      </c>
      <c r="C186" s="5">
        <f>Data_Entry!AD276</f>
        <v>3.5</v>
      </c>
      <c r="D186" s="6">
        <f t="shared" si="18"/>
        <v>0.196969696969696</v>
      </c>
      <c r="E186" s="7"/>
      <c r="F186" s="7"/>
      <c r="G186" s="8">
        <f t="shared" si="19"/>
        <v>0</v>
      </c>
      <c r="H186" s="8">
        <f t="shared" si="20"/>
        <v>0</v>
      </c>
      <c r="I186" s="9">
        <v>4125</v>
      </c>
      <c r="J186" s="10"/>
      <c r="K186" s="9">
        <f t="shared" si="21"/>
        <v>49500</v>
      </c>
      <c r="L186" s="8">
        <f t="shared" si="22"/>
        <v>0</v>
      </c>
      <c r="M186" s="11">
        <f t="shared" si="25"/>
        <v>1</v>
      </c>
      <c r="N186" s="12">
        <f t="shared" si="23"/>
        <v>0.196969696969696</v>
      </c>
      <c r="O186" s="9">
        <f t="shared" si="26"/>
        <v>19499.9999999999</v>
      </c>
      <c r="P186" s="13">
        <f t="shared" si="24"/>
        <v>0</v>
      </c>
    </row>
    <row r="187" spans="1:16">
      <c r="A187" s="3">
        <v>46022</v>
      </c>
      <c r="B187" s="4">
        <f>Data_Entry!X277</f>
        <v>17200.0000000003</v>
      </c>
      <c r="C187" s="5">
        <f>Data_Entry!AD277</f>
        <v>3.13</v>
      </c>
      <c r="D187" s="6">
        <f t="shared" si="18"/>
        <v>0.173737373737376</v>
      </c>
      <c r="E187" s="7"/>
      <c r="F187" s="7"/>
      <c r="G187" s="8">
        <f t="shared" si="19"/>
        <v>0</v>
      </c>
      <c r="H187" s="8">
        <f t="shared" si="20"/>
        <v>0</v>
      </c>
      <c r="I187" s="9">
        <v>4125</v>
      </c>
      <c r="J187" s="10"/>
      <c r="K187" s="9">
        <f t="shared" si="21"/>
        <v>49500</v>
      </c>
      <c r="L187" s="8">
        <f t="shared" si="22"/>
        <v>0</v>
      </c>
      <c r="M187" s="11">
        <f t="shared" si="25"/>
        <v>1</v>
      </c>
      <c r="N187" s="12">
        <f t="shared" si="23"/>
        <v>0.173737373737376</v>
      </c>
      <c r="O187" s="9">
        <f t="shared" si="26"/>
        <v>17200.0000000003</v>
      </c>
      <c r="P187" s="13">
        <f t="shared" si="24"/>
        <v>0</v>
      </c>
    </row>
    <row r="188" spans="1:16">
      <c r="A188" s="3">
        <v>46023</v>
      </c>
      <c r="B188" s="4">
        <f>Data_Entry!X278</f>
        <v>20450.0000000002</v>
      </c>
      <c r="C188" s="5">
        <f>Data_Entry!AD278</f>
        <v>3.37</v>
      </c>
      <c r="D188" s="6">
        <f t="shared" si="18"/>
        <v>0.206565656565658</v>
      </c>
      <c r="E188" s="7"/>
      <c r="F188" s="7"/>
      <c r="G188" s="8">
        <f t="shared" si="19"/>
        <v>0</v>
      </c>
      <c r="H188" s="8">
        <f t="shared" si="20"/>
        <v>0</v>
      </c>
      <c r="I188" s="9">
        <v>4125</v>
      </c>
      <c r="J188" s="10"/>
      <c r="K188" s="9">
        <f t="shared" si="21"/>
        <v>49500</v>
      </c>
      <c r="L188" s="8">
        <f t="shared" si="22"/>
        <v>0</v>
      </c>
      <c r="M188" s="11">
        <f t="shared" si="25"/>
        <v>1</v>
      </c>
      <c r="N188" s="12">
        <f t="shared" si="23"/>
        <v>0.206565656565658</v>
      </c>
      <c r="O188" s="9">
        <f t="shared" si="26"/>
        <v>20450.0000000002</v>
      </c>
      <c r="P188" s="13">
        <f t="shared" si="24"/>
        <v>0</v>
      </c>
    </row>
    <row r="189" spans="1:16">
      <c r="A189" s="3">
        <v>46024</v>
      </c>
      <c r="B189" s="4">
        <f>Data_Entry!X279</f>
        <v>21900</v>
      </c>
      <c r="C189" s="5">
        <f>Data_Entry!AD279</f>
        <v>3.89</v>
      </c>
      <c r="D189" s="6">
        <f t="shared" si="18"/>
        <v>0.221212121212121</v>
      </c>
      <c r="E189" s="7"/>
      <c r="F189" s="7"/>
      <c r="G189" s="8">
        <f t="shared" si="19"/>
        <v>0</v>
      </c>
      <c r="H189" s="8">
        <f t="shared" si="20"/>
        <v>0</v>
      </c>
      <c r="I189" s="9">
        <v>4125</v>
      </c>
      <c r="J189" s="10"/>
      <c r="K189" s="9">
        <f t="shared" si="21"/>
        <v>49500</v>
      </c>
      <c r="L189" s="8">
        <f t="shared" si="22"/>
        <v>0</v>
      </c>
      <c r="M189" s="11">
        <f t="shared" si="25"/>
        <v>1</v>
      </c>
      <c r="N189" s="12">
        <f t="shared" si="23"/>
        <v>0.221212121212121</v>
      </c>
      <c r="O189" s="9">
        <f t="shared" si="26"/>
        <v>21900</v>
      </c>
      <c r="P189" s="13">
        <f t="shared" si="24"/>
        <v>0</v>
      </c>
    </row>
    <row r="190" spans="1:16">
      <c r="A190" s="3">
        <v>46025</v>
      </c>
      <c r="B190" s="4">
        <f>Data_Entry!X280</f>
        <v>21300</v>
      </c>
      <c r="C190" s="5">
        <f>Data_Entry!AD280</f>
        <v>4.04</v>
      </c>
      <c r="D190" s="6">
        <f t="shared" si="18"/>
        <v>0.215151515151515</v>
      </c>
      <c r="E190" s="7"/>
      <c r="F190" s="7"/>
      <c r="G190" s="8">
        <f t="shared" si="19"/>
        <v>0</v>
      </c>
      <c r="H190" s="8">
        <f t="shared" si="20"/>
        <v>0</v>
      </c>
      <c r="I190" s="9">
        <v>4125</v>
      </c>
      <c r="J190" s="10"/>
      <c r="K190" s="9">
        <f t="shared" si="21"/>
        <v>49500</v>
      </c>
      <c r="L190" s="8">
        <f t="shared" si="22"/>
        <v>0</v>
      </c>
      <c r="M190" s="11">
        <f t="shared" si="25"/>
        <v>1</v>
      </c>
      <c r="N190" s="12">
        <f t="shared" si="23"/>
        <v>0.215151515151515</v>
      </c>
      <c r="O190" s="9">
        <f t="shared" si="26"/>
        <v>21300</v>
      </c>
      <c r="P190" s="13">
        <f t="shared" si="24"/>
        <v>0</v>
      </c>
    </row>
    <row r="191" spans="1:16">
      <c r="A191" s="3">
        <v>46026</v>
      </c>
      <c r="B191" s="4">
        <f>Data_Entry!X281</f>
        <v>24199.9999999996</v>
      </c>
      <c r="C191" s="5">
        <f>Data_Entry!AD281</f>
        <v>4.01</v>
      </c>
      <c r="D191" s="6">
        <f t="shared" si="18"/>
        <v>0.24444444444444</v>
      </c>
      <c r="E191" s="7">
        <v>0.604166666666667</v>
      </c>
      <c r="F191" s="7">
        <v>0.608333333333333</v>
      </c>
      <c r="G191" s="8">
        <f t="shared" si="19"/>
        <v>5.99999999999902</v>
      </c>
      <c r="H191" s="8">
        <f t="shared" si="20"/>
        <v>0.0999999999999837</v>
      </c>
      <c r="I191" s="9">
        <v>4125</v>
      </c>
      <c r="J191" s="10">
        <v>4125</v>
      </c>
      <c r="K191" s="9">
        <f t="shared" si="21"/>
        <v>49500</v>
      </c>
      <c r="L191" s="8">
        <f t="shared" si="22"/>
        <v>412.499999999933</v>
      </c>
      <c r="M191" s="11">
        <f t="shared" si="25"/>
        <v>0.991666666666668</v>
      </c>
      <c r="N191" s="12">
        <f t="shared" si="23"/>
        <v>0.246498599439771</v>
      </c>
      <c r="O191" s="9">
        <f t="shared" si="26"/>
        <v>24403.3613445374</v>
      </c>
      <c r="P191" s="13">
        <f t="shared" si="24"/>
        <v>203.361344537778</v>
      </c>
    </row>
    <row r="192" spans="1:16">
      <c r="A192" s="3">
        <v>46027</v>
      </c>
      <c r="B192" s="4">
        <f>Data_Entry!X282</f>
        <v>21850</v>
      </c>
      <c r="C192" s="5">
        <f>Data_Entry!AD282</f>
        <v>3.99</v>
      </c>
      <c r="D192" s="6">
        <f t="shared" si="18"/>
        <v>0.220707070707071</v>
      </c>
      <c r="E192" s="7"/>
      <c r="F192" s="7"/>
      <c r="G192" s="8">
        <f t="shared" si="19"/>
        <v>0</v>
      </c>
      <c r="H192" s="8">
        <f t="shared" si="20"/>
        <v>0</v>
      </c>
      <c r="I192" s="9">
        <v>4125</v>
      </c>
      <c r="J192" s="10"/>
      <c r="K192" s="9">
        <f t="shared" si="21"/>
        <v>49500</v>
      </c>
      <c r="L192" s="8">
        <f t="shared" si="22"/>
        <v>0</v>
      </c>
      <c r="M192" s="11">
        <f t="shared" si="25"/>
        <v>1</v>
      </c>
      <c r="N192" s="12">
        <f t="shared" si="23"/>
        <v>0.220707070707071</v>
      </c>
      <c r="O192" s="9">
        <f t="shared" si="26"/>
        <v>21850</v>
      </c>
      <c r="P192" s="13">
        <f t="shared" si="24"/>
        <v>0</v>
      </c>
    </row>
    <row r="193" spans="1:16">
      <c r="A193" s="3">
        <v>46028</v>
      </c>
      <c r="B193" s="4">
        <f>Data_Entry!X283</f>
        <v>21300</v>
      </c>
      <c r="C193" s="5">
        <f>Data_Entry!AD283</f>
        <v>4.01</v>
      </c>
      <c r="D193" s="6">
        <f t="shared" si="18"/>
        <v>0.215151515151515</v>
      </c>
      <c r="E193" s="7"/>
      <c r="F193" s="7"/>
      <c r="G193" s="8">
        <f t="shared" si="19"/>
        <v>0</v>
      </c>
      <c r="H193" s="8">
        <f t="shared" si="20"/>
        <v>0</v>
      </c>
      <c r="I193" s="9">
        <v>4125</v>
      </c>
      <c r="J193" s="10"/>
      <c r="K193" s="9">
        <f t="shared" si="21"/>
        <v>49500</v>
      </c>
      <c r="L193" s="8">
        <f t="shared" si="22"/>
        <v>0</v>
      </c>
      <c r="M193" s="11">
        <f t="shared" si="25"/>
        <v>1</v>
      </c>
      <c r="N193" s="12">
        <f t="shared" si="23"/>
        <v>0.215151515151515</v>
      </c>
      <c r="O193" s="9">
        <f t="shared" si="26"/>
        <v>21300</v>
      </c>
      <c r="P193" s="13">
        <f t="shared" si="24"/>
        <v>0</v>
      </c>
    </row>
    <row r="194" spans="1:16">
      <c r="A194" s="3">
        <v>46029</v>
      </c>
      <c r="B194" s="4">
        <f>Data_Entry!X284</f>
        <v>21900</v>
      </c>
      <c r="C194" s="5">
        <f>Data_Entry!AD284</f>
        <v>3.81</v>
      </c>
      <c r="D194" s="6">
        <f t="shared" si="18"/>
        <v>0.221212121212121</v>
      </c>
      <c r="E194" s="7">
        <v>0.698611111111111</v>
      </c>
      <c r="F194" s="7">
        <v>0.699305555555556</v>
      </c>
      <c r="G194" s="8">
        <f t="shared" si="19"/>
        <v>1.0000000000008</v>
      </c>
      <c r="H194" s="8">
        <f t="shared" si="20"/>
        <v>0.0166666666666799</v>
      </c>
      <c r="I194" s="9">
        <v>4125</v>
      </c>
      <c r="J194" s="10">
        <v>4125</v>
      </c>
      <c r="K194" s="9">
        <f t="shared" si="21"/>
        <v>49500</v>
      </c>
      <c r="L194" s="8">
        <f t="shared" si="22"/>
        <v>68.7500000000547</v>
      </c>
      <c r="M194" s="11">
        <f t="shared" si="25"/>
        <v>0.99861111111111</v>
      </c>
      <c r="N194" s="12">
        <f t="shared" si="23"/>
        <v>0.221519787583765</v>
      </c>
      <c r="O194" s="9">
        <f t="shared" si="26"/>
        <v>21930.4589707928</v>
      </c>
      <c r="P194" s="13">
        <f t="shared" si="24"/>
        <v>30.4589707927953</v>
      </c>
    </row>
    <row r="195" spans="1:16">
      <c r="A195" s="3">
        <v>46030</v>
      </c>
      <c r="B195" s="4">
        <f>Data_Entry!X285</f>
        <v>20150.0000000004</v>
      </c>
      <c r="C195" s="5">
        <f>Data_Entry!AD285</f>
        <v>3.81</v>
      </c>
      <c r="D195" s="6">
        <f t="shared" si="18"/>
        <v>0.203535353535358</v>
      </c>
      <c r="E195" s="7"/>
      <c r="F195" s="7"/>
      <c r="G195" s="8">
        <f t="shared" si="19"/>
        <v>0</v>
      </c>
      <c r="H195" s="8">
        <f t="shared" si="20"/>
        <v>0</v>
      </c>
      <c r="I195" s="9">
        <v>4125</v>
      </c>
      <c r="J195" s="10"/>
      <c r="K195" s="9">
        <f t="shared" si="21"/>
        <v>49500</v>
      </c>
      <c r="L195" s="8">
        <f t="shared" si="22"/>
        <v>0</v>
      </c>
      <c r="M195" s="11">
        <f t="shared" si="25"/>
        <v>1</v>
      </c>
      <c r="N195" s="12">
        <f t="shared" si="23"/>
        <v>0.203535353535358</v>
      </c>
      <c r="O195" s="9">
        <f t="shared" si="26"/>
        <v>20150.0000000004</v>
      </c>
      <c r="P195" s="13">
        <f t="shared" si="24"/>
        <v>0</v>
      </c>
    </row>
    <row r="196" spans="1:16">
      <c r="A196" s="3">
        <v>46031</v>
      </c>
      <c r="B196" s="4">
        <f>Data_Entry!X286</f>
        <v>21699.9999999996</v>
      </c>
      <c r="C196" s="5">
        <f>Data_Entry!AD286</f>
        <v>3.98</v>
      </c>
      <c r="D196" s="6">
        <f t="shared" ref="D196:D210" si="27">B196/(24*I196)</f>
        <v>0.219191919191915</v>
      </c>
      <c r="E196" s="7"/>
      <c r="F196" s="7"/>
      <c r="G196" s="8">
        <f t="shared" ref="G196:G210" si="28">(F196-E196)*24*60</f>
        <v>0</v>
      </c>
      <c r="H196" s="8">
        <f t="shared" ref="H196:H210" si="29">G196/60</f>
        <v>0</v>
      </c>
      <c r="I196" s="9">
        <v>4125</v>
      </c>
      <c r="J196" s="10"/>
      <c r="K196" s="9">
        <f t="shared" ref="K196:K210" si="30">I196*12</f>
        <v>49500</v>
      </c>
      <c r="L196" s="8">
        <f t="shared" ref="L196:L210" si="31">J196*H196</f>
        <v>0</v>
      </c>
      <c r="M196" s="11">
        <f t="shared" si="25"/>
        <v>1</v>
      </c>
      <c r="N196" s="12">
        <f t="shared" ref="N196:N210" si="32">D196/M196</f>
        <v>0.219191919191915</v>
      </c>
      <c r="O196" s="9">
        <f t="shared" si="26"/>
        <v>21699.9999999996</v>
      </c>
      <c r="P196" s="13">
        <f t="shared" ref="P196:P210" si="33">O196-B196</f>
        <v>0</v>
      </c>
    </row>
    <row r="197" spans="1:16">
      <c r="A197" s="3">
        <v>46032</v>
      </c>
      <c r="B197" s="4">
        <f>Data_Entry!X287</f>
        <v>22400.0000000001</v>
      </c>
      <c r="C197" s="5">
        <f>Data_Entry!AD287</f>
        <v>4.11</v>
      </c>
      <c r="D197" s="6">
        <f t="shared" si="27"/>
        <v>0.226262626262627</v>
      </c>
      <c r="E197" s="7"/>
      <c r="F197" s="7"/>
      <c r="G197" s="8">
        <f t="shared" si="28"/>
        <v>0</v>
      </c>
      <c r="H197" s="8">
        <f t="shared" si="29"/>
        <v>0</v>
      </c>
      <c r="I197" s="9">
        <v>4125</v>
      </c>
      <c r="J197" s="10"/>
      <c r="K197" s="9">
        <f t="shared" si="30"/>
        <v>49500</v>
      </c>
      <c r="L197" s="8">
        <f t="shared" si="31"/>
        <v>0</v>
      </c>
      <c r="M197" s="11">
        <f t="shared" ref="M197:M210" si="34">(K197-L197)/K197</f>
        <v>1</v>
      </c>
      <c r="N197" s="12">
        <f t="shared" si="32"/>
        <v>0.226262626262627</v>
      </c>
      <c r="O197" s="9">
        <f t="shared" ref="O197:O210" si="35">N197*I197*24</f>
        <v>22400.0000000001</v>
      </c>
      <c r="P197" s="13">
        <f t="shared" si="33"/>
        <v>0</v>
      </c>
    </row>
    <row r="198" spans="1:16">
      <c r="A198" s="3">
        <v>46033</v>
      </c>
      <c r="B198" s="4">
        <f>Data_Entry!X288</f>
        <v>21850</v>
      </c>
      <c r="C198" s="5">
        <f>Data_Entry!AD288</f>
        <v>4.08</v>
      </c>
      <c r="D198" s="6">
        <f t="shared" si="27"/>
        <v>0.220707070707071</v>
      </c>
      <c r="E198" s="7"/>
      <c r="F198" s="7"/>
      <c r="G198" s="8">
        <f t="shared" si="28"/>
        <v>0</v>
      </c>
      <c r="H198" s="8">
        <f t="shared" si="29"/>
        <v>0</v>
      </c>
      <c r="I198" s="9">
        <v>4125</v>
      </c>
      <c r="J198" s="10"/>
      <c r="K198" s="9">
        <f t="shared" si="30"/>
        <v>49500</v>
      </c>
      <c r="L198" s="8">
        <f t="shared" si="31"/>
        <v>0</v>
      </c>
      <c r="M198" s="11">
        <f t="shared" si="34"/>
        <v>1</v>
      </c>
      <c r="N198" s="12">
        <f t="shared" si="32"/>
        <v>0.220707070707071</v>
      </c>
      <c r="O198" s="9">
        <f t="shared" si="35"/>
        <v>21850</v>
      </c>
      <c r="P198" s="13">
        <f t="shared" si="33"/>
        <v>0</v>
      </c>
    </row>
    <row r="199" spans="1:16">
      <c r="A199" s="3">
        <v>46034</v>
      </c>
      <c r="B199" s="4">
        <f>Data_Entry!X289</f>
        <v>21100.0000000001</v>
      </c>
      <c r="C199" s="5">
        <f>Data_Entry!AD289</f>
        <v>3.95</v>
      </c>
      <c r="D199" s="6">
        <f t="shared" si="27"/>
        <v>0.213131313131315</v>
      </c>
      <c r="E199" s="7"/>
      <c r="F199" s="7"/>
      <c r="G199" s="8">
        <f t="shared" si="28"/>
        <v>0</v>
      </c>
      <c r="H199" s="8">
        <f t="shared" si="29"/>
        <v>0</v>
      </c>
      <c r="I199" s="9">
        <v>4125</v>
      </c>
      <c r="J199" s="10"/>
      <c r="K199" s="9">
        <f t="shared" si="30"/>
        <v>49500</v>
      </c>
      <c r="L199" s="8">
        <f t="shared" si="31"/>
        <v>0</v>
      </c>
      <c r="M199" s="11">
        <f t="shared" si="34"/>
        <v>1</v>
      </c>
      <c r="N199" s="12">
        <f t="shared" si="32"/>
        <v>0.213131313131315</v>
      </c>
      <c r="O199" s="9">
        <f t="shared" si="35"/>
        <v>21100.0000000001</v>
      </c>
      <c r="P199" s="13">
        <f t="shared" si="33"/>
        <v>0</v>
      </c>
    </row>
    <row r="200" spans="1:16">
      <c r="A200" s="3">
        <v>46035</v>
      </c>
      <c r="B200" s="4">
        <f>Data_Entry!X290</f>
        <v>20749.9999999999</v>
      </c>
      <c r="C200" s="5">
        <f>Data_Entry!AD290</f>
        <v>3.88</v>
      </c>
      <c r="D200" s="6">
        <f t="shared" si="27"/>
        <v>0.209595959595958</v>
      </c>
      <c r="E200" s="7"/>
      <c r="F200" s="7"/>
      <c r="G200" s="8">
        <f t="shared" si="28"/>
        <v>0</v>
      </c>
      <c r="H200" s="8">
        <f t="shared" si="29"/>
        <v>0</v>
      </c>
      <c r="I200" s="9">
        <v>4125</v>
      </c>
      <c r="J200" s="10"/>
      <c r="K200" s="9">
        <f t="shared" si="30"/>
        <v>49500</v>
      </c>
      <c r="L200" s="8">
        <f t="shared" si="31"/>
        <v>0</v>
      </c>
      <c r="M200" s="11">
        <f t="shared" si="34"/>
        <v>1</v>
      </c>
      <c r="N200" s="12">
        <f t="shared" si="32"/>
        <v>0.209595959595958</v>
      </c>
      <c r="O200" s="9">
        <f t="shared" si="35"/>
        <v>20749.9999999999</v>
      </c>
      <c r="P200" s="13">
        <f t="shared" si="33"/>
        <v>0</v>
      </c>
    </row>
    <row r="201" spans="1:16">
      <c r="A201" s="3">
        <v>46036</v>
      </c>
      <c r="B201" s="4">
        <f>Data_Entry!X291</f>
        <v>23700</v>
      </c>
      <c r="C201" s="5">
        <f>Data_Entry!AD291</f>
        <v>4.39</v>
      </c>
      <c r="D201" s="6">
        <f t="shared" si="27"/>
        <v>0.23939393939394</v>
      </c>
      <c r="E201" s="7"/>
      <c r="F201" s="7"/>
      <c r="G201" s="8">
        <f t="shared" si="28"/>
        <v>0</v>
      </c>
      <c r="H201" s="8">
        <f t="shared" si="29"/>
        <v>0</v>
      </c>
      <c r="I201" s="9">
        <v>4125</v>
      </c>
      <c r="J201" s="10"/>
      <c r="K201" s="9">
        <f t="shared" si="30"/>
        <v>49500</v>
      </c>
      <c r="L201" s="8">
        <f t="shared" si="31"/>
        <v>0</v>
      </c>
      <c r="M201" s="11">
        <f t="shared" si="34"/>
        <v>1</v>
      </c>
      <c r="N201" s="12">
        <f t="shared" si="32"/>
        <v>0.23939393939394</v>
      </c>
      <c r="O201" s="9">
        <f t="shared" si="35"/>
        <v>23700</v>
      </c>
      <c r="P201" s="13">
        <f t="shared" si="33"/>
        <v>0</v>
      </c>
    </row>
    <row r="202" spans="1:16">
      <c r="A202" s="3">
        <v>46037</v>
      </c>
      <c r="B202" s="4">
        <f>Data_Entry!X292</f>
        <v>23600.0000000001</v>
      </c>
      <c r="C202" s="5">
        <f>Data_Entry!AD292</f>
        <v>4.37</v>
      </c>
      <c r="D202" s="6">
        <f t="shared" si="27"/>
        <v>0.23838383838384</v>
      </c>
      <c r="E202" s="7"/>
      <c r="F202" s="7"/>
      <c r="G202" s="8">
        <f t="shared" si="28"/>
        <v>0</v>
      </c>
      <c r="H202" s="8">
        <f t="shared" si="29"/>
        <v>0</v>
      </c>
      <c r="I202" s="9">
        <v>4125</v>
      </c>
      <c r="J202" s="10"/>
      <c r="K202" s="9">
        <f t="shared" si="30"/>
        <v>49500</v>
      </c>
      <c r="L202" s="8">
        <f t="shared" si="31"/>
        <v>0</v>
      </c>
      <c r="M202" s="11">
        <f t="shared" si="34"/>
        <v>1</v>
      </c>
      <c r="N202" s="12">
        <f t="shared" si="32"/>
        <v>0.23838383838384</v>
      </c>
      <c r="O202" s="9">
        <f t="shared" si="35"/>
        <v>23600.0000000001</v>
      </c>
      <c r="P202" s="13">
        <f t="shared" si="33"/>
        <v>0</v>
      </c>
    </row>
    <row r="203" spans="1:16">
      <c r="A203" s="3">
        <v>46038</v>
      </c>
      <c r="B203" s="4">
        <f>Data_Entry!X293</f>
        <v>22450</v>
      </c>
      <c r="C203" s="5">
        <f>Data_Entry!AD293</f>
        <v>4.27</v>
      </c>
      <c r="D203" s="6">
        <f t="shared" si="27"/>
        <v>0.226767676767677</v>
      </c>
      <c r="E203" s="7">
        <v>0.4125</v>
      </c>
      <c r="F203" s="7">
        <v>0.415277777777778</v>
      </c>
      <c r="G203" s="8">
        <f t="shared" si="28"/>
        <v>4.00000000000039</v>
      </c>
      <c r="H203" s="8">
        <f t="shared" si="29"/>
        <v>0.0666666666666731</v>
      </c>
      <c r="I203" s="9">
        <v>4125</v>
      </c>
      <c r="J203" s="10">
        <v>4125</v>
      </c>
      <c r="K203" s="9">
        <f t="shared" si="30"/>
        <v>49500</v>
      </c>
      <c r="L203" s="8">
        <f t="shared" si="31"/>
        <v>275.000000000026</v>
      </c>
      <c r="M203" s="11">
        <f t="shared" si="34"/>
        <v>0.994444444444444</v>
      </c>
      <c r="N203" s="12">
        <f t="shared" si="32"/>
        <v>0.228034535297106</v>
      </c>
      <c r="O203" s="9">
        <f t="shared" si="35"/>
        <v>22575.4189944135</v>
      </c>
      <c r="P203" s="13">
        <f t="shared" si="33"/>
        <v>125.41899441342</v>
      </c>
    </row>
    <row r="204" spans="1:16">
      <c r="A204" s="3">
        <v>46039</v>
      </c>
      <c r="B204" s="4">
        <f>Data_Entry!X294</f>
        <v>21999.9999999999</v>
      </c>
      <c r="C204" s="5">
        <f>Data_Entry!AD294</f>
        <v>4.07</v>
      </c>
      <c r="D204" s="6">
        <f t="shared" si="27"/>
        <v>0.222222222222221</v>
      </c>
      <c r="E204" s="7"/>
      <c r="F204" s="7"/>
      <c r="G204" s="8">
        <f t="shared" si="28"/>
        <v>0</v>
      </c>
      <c r="H204" s="8">
        <f t="shared" si="29"/>
        <v>0</v>
      </c>
      <c r="I204" s="9">
        <v>4125</v>
      </c>
      <c r="J204" s="10"/>
      <c r="K204" s="9">
        <f t="shared" si="30"/>
        <v>49500</v>
      </c>
      <c r="L204" s="8">
        <f t="shared" si="31"/>
        <v>0</v>
      </c>
      <c r="M204" s="11">
        <f t="shared" si="34"/>
        <v>1</v>
      </c>
      <c r="N204" s="12">
        <f t="shared" si="32"/>
        <v>0.222222222222221</v>
      </c>
      <c r="O204" s="9">
        <f t="shared" si="35"/>
        <v>21999.9999999999</v>
      </c>
      <c r="P204" s="13">
        <f t="shared" si="33"/>
        <v>0</v>
      </c>
    </row>
    <row r="205" spans="1:16">
      <c r="A205" s="3">
        <v>46040</v>
      </c>
      <c r="B205" s="4">
        <f>Data_Entry!X295</f>
        <v>22649.9999999999</v>
      </c>
      <c r="C205" s="5">
        <f>Data_Entry!AD295</f>
        <v>3.92</v>
      </c>
      <c r="D205" s="6">
        <f t="shared" si="27"/>
        <v>0.228787878787877</v>
      </c>
      <c r="E205" s="7"/>
      <c r="F205" s="7"/>
      <c r="G205" s="8">
        <f t="shared" si="28"/>
        <v>0</v>
      </c>
      <c r="H205" s="8">
        <f t="shared" si="29"/>
        <v>0</v>
      </c>
      <c r="I205" s="9">
        <v>4125</v>
      </c>
      <c r="J205" s="10"/>
      <c r="K205" s="9">
        <f t="shared" si="30"/>
        <v>49500</v>
      </c>
      <c r="L205" s="8">
        <f t="shared" si="31"/>
        <v>0</v>
      </c>
      <c r="M205" s="11">
        <f t="shared" si="34"/>
        <v>1</v>
      </c>
      <c r="N205" s="12">
        <f t="shared" si="32"/>
        <v>0.228787878787877</v>
      </c>
      <c r="O205" s="9">
        <f t="shared" si="35"/>
        <v>22649.9999999999</v>
      </c>
      <c r="P205" s="13">
        <f t="shared" si="33"/>
        <v>0</v>
      </c>
    </row>
    <row r="206" spans="1:16">
      <c r="A206" s="3">
        <v>46041</v>
      </c>
      <c r="B206" s="4">
        <f>Data_Entry!X296</f>
        <v>23849.9999999999</v>
      </c>
      <c r="C206" s="5">
        <f>Data_Entry!AD296</f>
        <v>4.15</v>
      </c>
      <c r="D206" s="6">
        <f t="shared" si="27"/>
        <v>0.24090909090909</v>
      </c>
      <c r="E206" s="7"/>
      <c r="F206" s="7"/>
      <c r="G206" s="8">
        <f t="shared" si="28"/>
        <v>0</v>
      </c>
      <c r="H206" s="8">
        <f t="shared" si="29"/>
        <v>0</v>
      </c>
      <c r="I206" s="9">
        <v>4125</v>
      </c>
      <c r="J206" s="10"/>
      <c r="K206" s="9">
        <f t="shared" si="30"/>
        <v>49500</v>
      </c>
      <c r="L206" s="8">
        <f t="shared" si="31"/>
        <v>0</v>
      </c>
      <c r="M206" s="11">
        <f t="shared" si="34"/>
        <v>1</v>
      </c>
      <c r="N206" s="12">
        <f t="shared" si="32"/>
        <v>0.24090909090909</v>
      </c>
      <c r="O206" s="9">
        <f t="shared" si="35"/>
        <v>23849.9999999999</v>
      </c>
      <c r="P206" s="13">
        <f t="shared" si="33"/>
        <v>0</v>
      </c>
    </row>
    <row r="207" spans="1:16">
      <c r="A207" s="3">
        <v>46042</v>
      </c>
      <c r="B207" s="4">
        <f>Data_Entry!X297</f>
        <v>23450.0000000003</v>
      </c>
      <c r="C207" s="5">
        <f>Data_Entry!AD297</f>
        <v>4.08</v>
      </c>
      <c r="D207" s="6">
        <f t="shared" si="27"/>
        <v>0.23686868686869</v>
      </c>
      <c r="E207" s="7"/>
      <c r="F207" s="7"/>
      <c r="G207" s="8">
        <f t="shared" si="28"/>
        <v>0</v>
      </c>
      <c r="H207" s="8">
        <f t="shared" si="29"/>
        <v>0</v>
      </c>
      <c r="I207" s="9">
        <v>4125</v>
      </c>
      <c r="J207" s="10"/>
      <c r="K207" s="9">
        <f t="shared" si="30"/>
        <v>49500</v>
      </c>
      <c r="L207" s="8">
        <f t="shared" si="31"/>
        <v>0</v>
      </c>
      <c r="M207" s="11">
        <f t="shared" si="34"/>
        <v>1</v>
      </c>
      <c r="N207" s="12">
        <f t="shared" si="32"/>
        <v>0.23686868686869</v>
      </c>
      <c r="O207" s="9">
        <f t="shared" si="35"/>
        <v>23450.0000000003</v>
      </c>
      <c r="P207" s="13">
        <f t="shared" si="33"/>
        <v>0</v>
      </c>
    </row>
    <row r="208" spans="1:16">
      <c r="A208" s="3">
        <v>46043</v>
      </c>
      <c r="B208" s="4">
        <f>Data_Entry!X298</f>
        <v>22550</v>
      </c>
      <c r="C208" s="5">
        <f>Data_Entry!AD298</f>
        <v>3.84</v>
      </c>
      <c r="D208" s="6">
        <f t="shared" si="27"/>
        <v>0.227777777777777</v>
      </c>
      <c r="E208" s="7"/>
      <c r="F208" s="7"/>
      <c r="G208" s="8">
        <f t="shared" si="28"/>
        <v>0</v>
      </c>
      <c r="H208" s="8">
        <f t="shared" si="29"/>
        <v>0</v>
      </c>
      <c r="I208" s="9">
        <v>4125</v>
      </c>
      <c r="J208" s="10"/>
      <c r="K208" s="9">
        <f t="shared" si="30"/>
        <v>49500</v>
      </c>
      <c r="L208" s="8">
        <f t="shared" si="31"/>
        <v>0</v>
      </c>
      <c r="M208" s="11">
        <f t="shared" si="34"/>
        <v>1</v>
      </c>
      <c r="N208" s="12">
        <f t="shared" si="32"/>
        <v>0.227777777777777</v>
      </c>
      <c r="O208" s="9">
        <f t="shared" si="35"/>
        <v>22550</v>
      </c>
      <c r="P208" s="13">
        <f t="shared" si="33"/>
        <v>0</v>
      </c>
    </row>
    <row r="209" spans="1:16">
      <c r="A209" s="3">
        <v>46044</v>
      </c>
      <c r="B209" s="4">
        <f>Data_Entry!X299</f>
        <v>22099.9999999998</v>
      </c>
      <c r="C209" s="5">
        <f>Data_Entry!AD299</f>
        <v>3.81</v>
      </c>
      <c r="D209" s="6">
        <f t="shared" si="27"/>
        <v>0.223232323232321</v>
      </c>
      <c r="E209" s="7"/>
      <c r="F209" s="7"/>
      <c r="G209" s="8">
        <f t="shared" si="28"/>
        <v>0</v>
      </c>
      <c r="H209" s="8">
        <f t="shared" si="29"/>
        <v>0</v>
      </c>
      <c r="I209" s="9">
        <v>4125</v>
      </c>
      <c r="J209" s="10"/>
      <c r="K209" s="9">
        <f t="shared" si="30"/>
        <v>49500</v>
      </c>
      <c r="L209" s="8">
        <f t="shared" si="31"/>
        <v>0</v>
      </c>
      <c r="M209" s="11">
        <f t="shared" si="34"/>
        <v>1</v>
      </c>
      <c r="N209" s="12">
        <f t="shared" si="32"/>
        <v>0.223232323232321</v>
      </c>
      <c r="O209" s="9">
        <f t="shared" si="35"/>
        <v>22099.9999999998</v>
      </c>
      <c r="P209" s="13">
        <f t="shared" si="33"/>
        <v>0</v>
      </c>
    </row>
    <row r="210" spans="1:16">
      <c r="A210" s="3">
        <v>46045</v>
      </c>
      <c r="B210" s="4">
        <f>Data_Entry!X300</f>
        <v>20900.0000000003</v>
      </c>
      <c r="C210" s="5">
        <f>Data_Entry!AD300</f>
        <v>3.73</v>
      </c>
      <c r="D210" s="6">
        <f t="shared" si="27"/>
        <v>0.211111111111114</v>
      </c>
      <c r="E210" s="7"/>
      <c r="F210" s="7"/>
      <c r="G210" s="8">
        <f t="shared" si="28"/>
        <v>0</v>
      </c>
      <c r="H210" s="8">
        <f t="shared" si="29"/>
        <v>0</v>
      </c>
      <c r="I210" s="9">
        <v>4125</v>
      </c>
      <c r="J210" s="10"/>
      <c r="K210" s="9">
        <f t="shared" si="30"/>
        <v>49500</v>
      </c>
      <c r="L210" s="8">
        <f t="shared" si="31"/>
        <v>0</v>
      </c>
      <c r="M210" s="11">
        <f t="shared" si="34"/>
        <v>1</v>
      </c>
      <c r="N210" s="12">
        <f t="shared" si="32"/>
        <v>0.211111111111114</v>
      </c>
      <c r="O210" s="9">
        <f t="shared" si="35"/>
        <v>20900.0000000003</v>
      </c>
      <c r="P210" s="13">
        <f t="shared" si="33"/>
        <v>0</v>
      </c>
    </row>
    <row r="211" spans="1:16">
      <c r="A211" s="3">
        <v>46046</v>
      </c>
      <c r="B211" s="4">
        <f>Data_Entry!X301</f>
        <v>23100</v>
      </c>
      <c r="C211" s="5">
        <f>Data_Entry!AD301</f>
        <v>3.82</v>
      </c>
      <c r="D211" s="6">
        <f t="shared" ref="D211:D223" si="36">B211/(24*I211)</f>
        <v>0.233333333333334</v>
      </c>
      <c r="E211" s="7">
        <v>0.497222222222222</v>
      </c>
      <c r="F211" s="7">
        <v>0.500694444444444</v>
      </c>
      <c r="G211" s="8">
        <f t="shared" ref="G211:G223" si="37">(F211-E211)*24*60</f>
        <v>4.99999999999966</v>
      </c>
      <c r="H211" s="8">
        <f t="shared" ref="H211:H223" si="38">G211/60</f>
        <v>0.0833333333333277</v>
      </c>
      <c r="I211" s="9">
        <v>4125</v>
      </c>
      <c r="J211" s="10">
        <v>4125</v>
      </c>
      <c r="K211" s="9">
        <f t="shared" ref="K211:K223" si="39">I211*12</f>
        <v>49500</v>
      </c>
      <c r="L211" s="8">
        <f t="shared" ref="L211:L223" si="40">J211*H211</f>
        <v>343.749999999977</v>
      </c>
      <c r="M211" s="11">
        <f t="shared" ref="M211:M223" si="41">(K211-L211)/K211</f>
        <v>0.993055555555556</v>
      </c>
      <c r="N211" s="12">
        <f t="shared" ref="N211:N223" si="42">D211/M211</f>
        <v>0.234965034965035</v>
      </c>
      <c r="O211" s="9">
        <f t="shared" ref="O211:O223" si="43">N211*I211*24</f>
        <v>23261.5384615385</v>
      </c>
      <c r="P211" s="13">
        <f t="shared" ref="P211:P223" si="44">O211-B211</f>
        <v>161.53846153845</v>
      </c>
    </row>
    <row r="212" spans="1:16">
      <c r="A212" s="3">
        <v>46047</v>
      </c>
      <c r="B212" s="4">
        <f>Data_Entry!X302</f>
        <v>22799.9999999997</v>
      </c>
      <c r="C212" s="5">
        <f>Data_Entry!AD302</f>
        <v>3.65</v>
      </c>
      <c r="D212" s="6">
        <f t="shared" si="36"/>
        <v>0.230303030303028</v>
      </c>
      <c r="E212" s="7"/>
      <c r="F212" s="7"/>
      <c r="G212" s="8">
        <f t="shared" si="37"/>
        <v>0</v>
      </c>
      <c r="H212" s="8">
        <f t="shared" si="38"/>
        <v>0</v>
      </c>
      <c r="I212" s="9">
        <v>4125</v>
      </c>
      <c r="J212" s="10"/>
      <c r="K212" s="9">
        <f t="shared" si="39"/>
        <v>49500</v>
      </c>
      <c r="L212" s="8">
        <f t="shared" si="40"/>
        <v>0</v>
      </c>
      <c r="M212" s="11">
        <f t="shared" si="41"/>
        <v>1</v>
      </c>
      <c r="N212" s="12">
        <f t="shared" si="42"/>
        <v>0.230303030303028</v>
      </c>
      <c r="O212" s="9">
        <f t="shared" si="43"/>
        <v>22799.9999999997</v>
      </c>
      <c r="P212" s="13">
        <f t="shared" si="44"/>
        <v>0</v>
      </c>
    </row>
    <row r="213" spans="1:16">
      <c r="A213" s="3">
        <v>46048</v>
      </c>
      <c r="B213" s="4">
        <f>Data_Entry!X303</f>
        <v>23050.0000000001</v>
      </c>
      <c r="C213" s="5">
        <f>Data_Entry!AD303</f>
        <v>3.9</v>
      </c>
      <c r="D213" s="6">
        <f t="shared" si="36"/>
        <v>0.232828282828284</v>
      </c>
      <c r="E213" s="7"/>
      <c r="F213" s="7"/>
      <c r="G213" s="8">
        <f t="shared" si="37"/>
        <v>0</v>
      </c>
      <c r="H213" s="8">
        <f t="shared" si="38"/>
        <v>0</v>
      </c>
      <c r="I213" s="9">
        <v>4125</v>
      </c>
      <c r="J213" s="10"/>
      <c r="K213" s="9">
        <f t="shared" si="39"/>
        <v>49500</v>
      </c>
      <c r="L213" s="8">
        <f t="shared" si="40"/>
        <v>0</v>
      </c>
      <c r="M213" s="11">
        <f t="shared" si="41"/>
        <v>1</v>
      </c>
      <c r="N213" s="12">
        <f t="shared" si="42"/>
        <v>0.232828282828284</v>
      </c>
      <c r="O213" s="9">
        <f t="shared" si="43"/>
        <v>23050.0000000001</v>
      </c>
      <c r="P213" s="13">
        <f t="shared" si="44"/>
        <v>0</v>
      </c>
    </row>
    <row r="214" spans="1:16">
      <c r="A214" s="3">
        <v>46049</v>
      </c>
      <c r="B214" s="4">
        <f>Data_Entry!X304</f>
        <v>26150.0000000001</v>
      </c>
      <c r="C214" s="5">
        <f>Data_Entry!AD304</f>
        <v>5.94</v>
      </c>
      <c r="D214" s="6">
        <f t="shared" si="36"/>
        <v>0.264141414141415</v>
      </c>
      <c r="E214" s="7"/>
      <c r="F214" s="7"/>
      <c r="G214" s="8">
        <f t="shared" si="37"/>
        <v>0</v>
      </c>
      <c r="H214" s="8">
        <f t="shared" si="38"/>
        <v>0</v>
      </c>
      <c r="I214" s="9">
        <v>4125</v>
      </c>
      <c r="J214" s="10"/>
      <c r="K214" s="9">
        <f t="shared" si="39"/>
        <v>49500</v>
      </c>
      <c r="L214" s="8">
        <f t="shared" si="40"/>
        <v>0</v>
      </c>
      <c r="M214" s="11">
        <f t="shared" si="41"/>
        <v>1</v>
      </c>
      <c r="N214" s="12">
        <f t="shared" si="42"/>
        <v>0.264141414141415</v>
      </c>
      <c r="O214" s="9">
        <f t="shared" si="43"/>
        <v>26150.0000000001</v>
      </c>
      <c r="P214" s="13">
        <f t="shared" si="44"/>
        <v>0</v>
      </c>
    </row>
    <row r="215" spans="1:16">
      <c r="A215" s="3">
        <v>46050</v>
      </c>
      <c r="B215" s="4">
        <f>Data_Entry!X305</f>
        <v>27500</v>
      </c>
      <c r="C215" s="5">
        <f>Data_Entry!AD305</f>
        <v>4.43</v>
      </c>
      <c r="D215" s="6">
        <f t="shared" si="36"/>
        <v>0.277777777777778</v>
      </c>
      <c r="E215" s="7"/>
      <c r="F215" s="7"/>
      <c r="G215" s="8">
        <f t="shared" si="37"/>
        <v>0</v>
      </c>
      <c r="H215" s="8">
        <f t="shared" si="38"/>
        <v>0</v>
      </c>
      <c r="I215" s="9">
        <v>4125</v>
      </c>
      <c r="J215" s="10"/>
      <c r="K215" s="9">
        <f t="shared" si="39"/>
        <v>49500</v>
      </c>
      <c r="L215" s="8">
        <f t="shared" si="40"/>
        <v>0</v>
      </c>
      <c r="M215" s="11">
        <f t="shared" si="41"/>
        <v>1</v>
      </c>
      <c r="N215" s="12">
        <f t="shared" si="42"/>
        <v>0.277777777777778</v>
      </c>
      <c r="O215" s="9">
        <f t="shared" si="43"/>
        <v>27500</v>
      </c>
      <c r="P215" s="13">
        <f t="shared" si="44"/>
        <v>0</v>
      </c>
    </row>
    <row r="216" spans="1:16">
      <c r="A216" s="3">
        <v>46051</v>
      </c>
      <c r="B216" s="4">
        <f>Data_Entry!X306</f>
        <v>25099.9999999999</v>
      </c>
      <c r="C216" s="5">
        <f>Data_Entry!AD306</f>
        <v>4.28</v>
      </c>
      <c r="D216" s="6">
        <f t="shared" si="36"/>
        <v>0.253535353535353</v>
      </c>
      <c r="E216" s="7"/>
      <c r="F216" s="7"/>
      <c r="G216" s="8">
        <f t="shared" si="37"/>
        <v>0</v>
      </c>
      <c r="H216" s="8">
        <f t="shared" si="38"/>
        <v>0</v>
      </c>
      <c r="I216" s="9">
        <v>4125</v>
      </c>
      <c r="J216" s="10"/>
      <c r="K216" s="9">
        <f t="shared" si="39"/>
        <v>49500</v>
      </c>
      <c r="L216" s="8">
        <f t="shared" si="40"/>
        <v>0</v>
      </c>
      <c r="M216" s="11">
        <f t="shared" si="41"/>
        <v>1</v>
      </c>
      <c r="N216" s="12">
        <f t="shared" si="42"/>
        <v>0.253535353535353</v>
      </c>
      <c r="O216" s="9">
        <f t="shared" si="43"/>
        <v>25099.9999999999</v>
      </c>
      <c r="P216" s="13">
        <f t="shared" si="44"/>
        <v>0</v>
      </c>
    </row>
    <row r="217" spans="1:16">
      <c r="A217" s="3">
        <v>46052</v>
      </c>
      <c r="B217" s="4">
        <f>Data_Entry!X307</f>
        <v>20550.0000000001</v>
      </c>
      <c r="C217" s="5">
        <f>Data_Entry!AD307</f>
        <v>3.59</v>
      </c>
      <c r="D217" s="6">
        <f t="shared" si="36"/>
        <v>0.207575757575758</v>
      </c>
      <c r="E217" s="7"/>
      <c r="F217" s="7"/>
      <c r="G217" s="8">
        <f t="shared" si="37"/>
        <v>0</v>
      </c>
      <c r="H217" s="8">
        <f t="shared" si="38"/>
        <v>0</v>
      </c>
      <c r="I217" s="9">
        <v>4125</v>
      </c>
      <c r="J217" s="10"/>
      <c r="K217" s="9">
        <f t="shared" si="39"/>
        <v>49500</v>
      </c>
      <c r="L217" s="8">
        <f t="shared" si="40"/>
        <v>0</v>
      </c>
      <c r="M217" s="11">
        <f t="shared" si="41"/>
        <v>1</v>
      </c>
      <c r="N217" s="12">
        <f t="shared" si="42"/>
        <v>0.207575757575758</v>
      </c>
      <c r="O217" s="9">
        <f t="shared" si="43"/>
        <v>20550.0000000001</v>
      </c>
      <c r="P217" s="13">
        <f t="shared" si="44"/>
        <v>0</v>
      </c>
    </row>
    <row r="218" spans="1:16">
      <c r="A218" s="3">
        <v>46053</v>
      </c>
      <c r="B218" s="4">
        <f>Data_Entry!X308</f>
        <v>14649.9999999997</v>
      </c>
      <c r="C218" s="5">
        <f>Data_Entry!AD308</f>
        <v>2.26</v>
      </c>
      <c r="D218" s="6">
        <f t="shared" si="36"/>
        <v>0.147979797979795</v>
      </c>
      <c r="E218" s="7"/>
      <c r="F218" s="7"/>
      <c r="G218" s="8">
        <f t="shared" si="37"/>
        <v>0</v>
      </c>
      <c r="H218" s="8">
        <f t="shared" si="38"/>
        <v>0</v>
      </c>
      <c r="I218" s="9">
        <v>4125</v>
      </c>
      <c r="J218" s="10"/>
      <c r="K218" s="9">
        <f t="shared" si="39"/>
        <v>49500</v>
      </c>
      <c r="L218" s="8">
        <f t="shared" si="40"/>
        <v>0</v>
      </c>
      <c r="M218" s="11">
        <f t="shared" si="41"/>
        <v>1</v>
      </c>
      <c r="N218" s="12">
        <f t="shared" si="42"/>
        <v>0.147979797979795</v>
      </c>
      <c r="O218" s="9">
        <f t="shared" si="43"/>
        <v>14649.9999999997</v>
      </c>
      <c r="P218" s="13">
        <f t="shared" si="44"/>
        <v>0</v>
      </c>
    </row>
    <row r="219" spans="1:16">
      <c r="A219" s="3">
        <v>46054</v>
      </c>
      <c r="B219" s="4">
        <f>Data_Entry!X309</f>
        <v>19600.0000000004</v>
      </c>
      <c r="C219" s="5">
        <f>Data_Entry!AD309</f>
        <v>3.4</v>
      </c>
      <c r="D219" s="6">
        <f t="shared" si="36"/>
        <v>0.197979797979802</v>
      </c>
      <c r="E219" s="7"/>
      <c r="F219" s="7"/>
      <c r="G219" s="8">
        <f t="shared" si="37"/>
        <v>0</v>
      </c>
      <c r="H219" s="8">
        <f t="shared" si="38"/>
        <v>0</v>
      </c>
      <c r="I219" s="9">
        <v>4125</v>
      </c>
      <c r="J219" s="10"/>
      <c r="K219" s="9">
        <f t="shared" si="39"/>
        <v>49500</v>
      </c>
      <c r="L219" s="8">
        <f t="shared" si="40"/>
        <v>0</v>
      </c>
      <c r="M219" s="11">
        <f t="shared" si="41"/>
        <v>1</v>
      </c>
      <c r="N219" s="12">
        <f t="shared" si="42"/>
        <v>0.197979797979802</v>
      </c>
      <c r="O219" s="9">
        <f t="shared" si="43"/>
        <v>19600.0000000004</v>
      </c>
      <c r="P219" s="13">
        <f t="shared" si="44"/>
        <v>0</v>
      </c>
    </row>
    <row r="220" spans="1:16">
      <c r="A220" s="3">
        <v>46055</v>
      </c>
      <c r="B220" s="4">
        <f>Data_Entry!X310</f>
        <v>19400</v>
      </c>
      <c r="C220" s="5">
        <f>Data_Entry!AD310</f>
        <v>3.51</v>
      </c>
      <c r="D220" s="6">
        <f t="shared" si="36"/>
        <v>0.195959595959596</v>
      </c>
      <c r="E220" s="7"/>
      <c r="F220" s="7"/>
      <c r="G220" s="8">
        <f t="shared" si="37"/>
        <v>0</v>
      </c>
      <c r="H220" s="8">
        <f t="shared" si="38"/>
        <v>0</v>
      </c>
      <c r="I220" s="9">
        <v>4125</v>
      </c>
      <c r="J220" s="10"/>
      <c r="K220" s="9">
        <f t="shared" si="39"/>
        <v>49500</v>
      </c>
      <c r="L220" s="8">
        <f t="shared" si="40"/>
        <v>0</v>
      </c>
      <c r="M220" s="11">
        <f t="shared" si="41"/>
        <v>1</v>
      </c>
      <c r="N220" s="12">
        <f t="shared" si="42"/>
        <v>0.195959595959596</v>
      </c>
      <c r="O220" s="9">
        <f t="shared" si="43"/>
        <v>19400</v>
      </c>
      <c r="P220" s="13">
        <f t="shared" si="44"/>
        <v>0</v>
      </c>
    </row>
    <row r="221" spans="1:16">
      <c r="A221" s="3">
        <v>46056</v>
      </c>
      <c r="B221" s="4">
        <f>Data_Entry!X311</f>
        <v>20999.9999999997</v>
      </c>
      <c r="C221" s="5">
        <f>Data_Entry!AD311</f>
        <v>3.67</v>
      </c>
      <c r="D221" s="6">
        <f t="shared" si="36"/>
        <v>0.212121212121209</v>
      </c>
      <c r="E221" s="7"/>
      <c r="F221" s="7"/>
      <c r="G221" s="8">
        <f t="shared" si="37"/>
        <v>0</v>
      </c>
      <c r="H221" s="8">
        <f t="shared" si="38"/>
        <v>0</v>
      </c>
      <c r="I221" s="9">
        <v>4125</v>
      </c>
      <c r="J221" s="10"/>
      <c r="K221" s="9">
        <f t="shared" si="39"/>
        <v>49500</v>
      </c>
      <c r="L221" s="8">
        <f t="shared" si="40"/>
        <v>0</v>
      </c>
      <c r="M221" s="11">
        <f t="shared" si="41"/>
        <v>1</v>
      </c>
      <c r="N221" s="12">
        <f t="shared" si="42"/>
        <v>0.212121212121209</v>
      </c>
      <c r="O221" s="9">
        <f t="shared" si="43"/>
        <v>20999.9999999997</v>
      </c>
      <c r="P221" s="13">
        <f t="shared" si="44"/>
        <v>0</v>
      </c>
    </row>
    <row r="222" spans="1:16">
      <c r="A222" s="3">
        <v>46057</v>
      </c>
      <c r="B222" s="4">
        <f>Data_Entry!X312</f>
        <v>20900.0000000003</v>
      </c>
      <c r="C222" s="5">
        <f>Data_Entry!AD312</f>
        <v>3.73</v>
      </c>
      <c r="D222" s="6">
        <f t="shared" si="36"/>
        <v>0.211111111111114</v>
      </c>
      <c r="E222" s="7"/>
      <c r="F222" s="7"/>
      <c r="G222" s="8">
        <f t="shared" si="37"/>
        <v>0</v>
      </c>
      <c r="H222" s="8">
        <f t="shared" si="38"/>
        <v>0</v>
      </c>
      <c r="I222" s="9">
        <v>4125</v>
      </c>
      <c r="J222" s="10"/>
      <c r="K222" s="9">
        <f t="shared" si="39"/>
        <v>49500</v>
      </c>
      <c r="L222" s="8">
        <f t="shared" si="40"/>
        <v>0</v>
      </c>
      <c r="M222" s="11">
        <f t="shared" si="41"/>
        <v>1</v>
      </c>
      <c r="N222" s="12">
        <f t="shared" si="42"/>
        <v>0.211111111111114</v>
      </c>
      <c r="O222" s="9">
        <f t="shared" si="43"/>
        <v>20900.0000000003</v>
      </c>
      <c r="P222" s="13">
        <f t="shared" si="44"/>
        <v>0</v>
      </c>
    </row>
    <row r="223" spans="1:16">
      <c r="A223" s="3">
        <v>46058</v>
      </c>
      <c r="B223" s="4">
        <f>Data_Entry!X313</f>
        <v>23100</v>
      </c>
      <c r="C223" s="5">
        <f>Data_Entry!AD313</f>
        <v>4.02</v>
      </c>
      <c r="D223" s="6">
        <f t="shared" si="36"/>
        <v>0.233333333333334</v>
      </c>
      <c r="E223" s="7"/>
      <c r="F223" s="7"/>
      <c r="G223" s="8">
        <f t="shared" si="37"/>
        <v>0</v>
      </c>
      <c r="H223" s="8">
        <f t="shared" si="38"/>
        <v>0</v>
      </c>
      <c r="I223" s="9">
        <v>4125</v>
      </c>
      <c r="J223" s="10"/>
      <c r="K223" s="9">
        <f t="shared" si="39"/>
        <v>49500</v>
      </c>
      <c r="L223" s="8">
        <f t="shared" si="40"/>
        <v>0</v>
      </c>
      <c r="M223" s="11">
        <f t="shared" si="41"/>
        <v>1</v>
      </c>
      <c r="N223" s="12">
        <f t="shared" si="42"/>
        <v>0.233333333333334</v>
      </c>
      <c r="O223" s="9">
        <f t="shared" si="43"/>
        <v>23100</v>
      </c>
      <c r="P223" s="13">
        <f t="shared" si="44"/>
        <v>0</v>
      </c>
    </row>
    <row r="224" spans="1:16">
      <c r="A224" s="3">
        <v>46059</v>
      </c>
      <c r="B224" s="4">
        <f>Data_Entry!X314</f>
        <v>24699.9999999997</v>
      </c>
      <c r="C224" s="5">
        <f>Data_Entry!AD314</f>
        <v>4.2</v>
      </c>
      <c r="D224" s="6">
        <f t="shared" ref="D224:D266" si="45">B224/(24*I224)</f>
        <v>0.249494949494947</v>
      </c>
      <c r="E224" s="7"/>
      <c r="F224" s="7"/>
      <c r="G224" s="8">
        <f t="shared" ref="G224:G266" si="46">(F224-E224)*24*60</f>
        <v>0</v>
      </c>
      <c r="H224" s="8">
        <f t="shared" ref="H224:H266" si="47">G224/60</f>
        <v>0</v>
      </c>
      <c r="I224" s="9">
        <v>4125</v>
      </c>
      <c r="J224" s="10"/>
      <c r="K224" s="9">
        <f t="shared" ref="K224:K266" si="48">I224*12</f>
        <v>49500</v>
      </c>
      <c r="L224" s="8">
        <f t="shared" ref="L224:L266" si="49">J224*H224</f>
        <v>0</v>
      </c>
      <c r="M224" s="11">
        <f t="shared" ref="M224:M266" si="50">(K224-L224)/K224</f>
        <v>1</v>
      </c>
      <c r="N224" s="12">
        <f t="shared" ref="N224:N266" si="51">D224/M224</f>
        <v>0.249494949494947</v>
      </c>
      <c r="O224" s="9">
        <f t="shared" ref="O224:O266" si="52">N224*I224*24</f>
        <v>24699.9999999997</v>
      </c>
      <c r="P224" s="13">
        <f t="shared" ref="P224:P266" si="53">O224-B224</f>
        <v>0</v>
      </c>
    </row>
    <row r="225" spans="1:16">
      <c r="A225" s="3">
        <v>46060</v>
      </c>
      <c r="B225" s="4">
        <f>Data_Entry!X315</f>
        <v>23150</v>
      </c>
      <c r="C225" s="5">
        <f>Data_Entry!AD315</f>
        <v>4.08</v>
      </c>
      <c r="D225" s="6">
        <f t="shared" si="45"/>
        <v>0.233838383838384</v>
      </c>
      <c r="E225" s="7"/>
      <c r="F225" s="7"/>
      <c r="G225" s="8">
        <f t="shared" si="46"/>
        <v>0</v>
      </c>
      <c r="H225" s="8">
        <f t="shared" si="47"/>
        <v>0</v>
      </c>
      <c r="I225" s="9">
        <v>4125</v>
      </c>
      <c r="J225" s="10"/>
      <c r="K225" s="9">
        <f t="shared" si="48"/>
        <v>49500</v>
      </c>
      <c r="L225" s="8">
        <f t="shared" si="49"/>
        <v>0</v>
      </c>
      <c r="M225" s="11">
        <f t="shared" si="50"/>
        <v>1</v>
      </c>
      <c r="N225" s="12">
        <f t="shared" si="51"/>
        <v>0.233838383838384</v>
      </c>
      <c r="O225" s="9">
        <f t="shared" si="52"/>
        <v>23150</v>
      </c>
      <c r="P225" s="13">
        <f t="shared" si="53"/>
        <v>0</v>
      </c>
    </row>
    <row r="226" spans="1:16">
      <c r="A226" s="3">
        <v>46061</v>
      </c>
      <c r="B226" s="4">
        <f>Data_Entry!X316</f>
        <v>21949.9999999999</v>
      </c>
      <c r="C226" s="5">
        <f>Data_Entry!AD316</f>
        <v>4.05</v>
      </c>
      <c r="D226" s="6">
        <f t="shared" si="45"/>
        <v>0.221717171717171</v>
      </c>
      <c r="E226" s="7"/>
      <c r="F226" s="7"/>
      <c r="G226" s="8">
        <f t="shared" si="46"/>
        <v>0</v>
      </c>
      <c r="H226" s="8">
        <f t="shared" si="47"/>
        <v>0</v>
      </c>
      <c r="I226" s="9">
        <v>4125</v>
      </c>
      <c r="J226" s="10"/>
      <c r="K226" s="9">
        <f t="shared" si="48"/>
        <v>49500</v>
      </c>
      <c r="L226" s="8">
        <f t="shared" si="49"/>
        <v>0</v>
      </c>
      <c r="M226" s="11">
        <f t="shared" si="50"/>
        <v>1</v>
      </c>
      <c r="N226" s="12">
        <f t="shared" si="51"/>
        <v>0.221717171717171</v>
      </c>
      <c r="O226" s="9">
        <f t="shared" si="52"/>
        <v>21949.9999999999</v>
      </c>
      <c r="P226" s="13">
        <f t="shared" si="53"/>
        <v>0</v>
      </c>
    </row>
    <row r="227" spans="1:16">
      <c r="A227" s="3">
        <v>46062</v>
      </c>
      <c r="B227" s="4">
        <f>Data_Entry!X317</f>
        <v>24650.0000000003</v>
      </c>
      <c r="C227" s="5">
        <f>Data_Entry!AD317</f>
        <v>4.27</v>
      </c>
      <c r="D227" s="6">
        <f t="shared" si="45"/>
        <v>0.248989898989902</v>
      </c>
      <c r="E227" s="7"/>
      <c r="F227" s="7"/>
      <c r="G227" s="8">
        <f t="shared" si="46"/>
        <v>0</v>
      </c>
      <c r="H227" s="8">
        <f t="shared" si="47"/>
        <v>0</v>
      </c>
      <c r="I227" s="9">
        <v>4125</v>
      </c>
      <c r="J227" s="10"/>
      <c r="K227" s="9">
        <f t="shared" si="48"/>
        <v>49500</v>
      </c>
      <c r="L227" s="8">
        <f t="shared" si="49"/>
        <v>0</v>
      </c>
      <c r="M227" s="11">
        <f t="shared" si="50"/>
        <v>1</v>
      </c>
      <c r="N227" s="12">
        <f t="shared" si="51"/>
        <v>0.248989898989902</v>
      </c>
      <c r="O227" s="9">
        <f t="shared" si="52"/>
        <v>24650.0000000003</v>
      </c>
      <c r="P227" s="13">
        <f t="shared" si="53"/>
        <v>0</v>
      </c>
    </row>
    <row r="228" spans="1:16">
      <c r="A228" s="3">
        <v>46063</v>
      </c>
      <c r="B228" s="4">
        <f>Data_Entry!X318</f>
        <v>26999.9999999999</v>
      </c>
      <c r="C228" s="5">
        <f>Data_Entry!AD318</f>
        <v>4.45</v>
      </c>
      <c r="D228" s="6">
        <f t="shared" si="45"/>
        <v>0.272727272727272</v>
      </c>
      <c r="E228" s="7"/>
      <c r="F228" s="7"/>
      <c r="G228" s="8">
        <f t="shared" si="46"/>
        <v>0</v>
      </c>
      <c r="H228" s="8">
        <f t="shared" si="47"/>
        <v>0</v>
      </c>
      <c r="I228" s="9">
        <v>4125</v>
      </c>
      <c r="J228" s="10"/>
      <c r="K228" s="9">
        <f t="shared" si="48"/>
        <v>49500</v>
      </c>
      <c r="L228" s="8">
        <f t="shared" si="49"/>
        <v>0</v>
      </c>
      <c r="M228" s="11">
        <f t="shared" si="50"/>
        <v>1</v>
      </c>
      <c r="N228" s="12">
        <f t="shared" si="51"/>
        <v>0.272727272727272</v>
      </c>
      <c r="O228" s="9">
        <f t="shared" si="52"/>
        <v>26999.9999999999</v>
      </c>
      <c r="P228" s="13">
        <f t="shared" si="53"/>
        <v>0</v>
      </c>
    </row>
    <row r="229" spans="1:16">
      <c r="A229" s="3">
        <v>46064</v>
      </c>
      <c r="B229" s="4">
        <f>Data_Entry!X319</f>
        <v>27049.9999999998</v>
      </c>
      <c r="C229" s="5">
        <f>Data_Entry!AD319</f>
        <v>4.39</v>
      </c>
      <c r="D229" s="6">
        <f t="shared" si="45"/>
        <v>0.273232323232322</v>
      </c>
      <c r="E229" s="7"/>
      <c r="F229" s="7"/>
      <c r="G229" s="8">
        <f t="shared" si="46"/>
        <v>0</v>
      </c>
      <c r="H229" s="8">
        <f t="shared" si="47"/>
        <v>0</v>
      </c>
      <c r="I229" s="9">
        <v>4125</v>
      </c>
      <c r="J229" s="10"/>
      <c r="K229" s="9">
        <f t="shared" si="48"/>
        <v>49500</v>
      </c>
      <c r="L229" s="8">
        <f t="shared" si="49"/>
        <v>0</v>
      </c>
      <c r="M229" s="11">
        <f t="shared" si="50"/>
        <v>1</v>
      </c>
      <c r="N229" s="12">
        <f t="shared" si="51"/>
        <v>0.273232323232322</v>
      </c>
      <c r="O229" s="9">
        <f t="shared" si="52"/>
        <v>27049.9999999998</v>
      </c>
      <c r="P229" s="13">
        <f t="shared" si="53"/>
        <v>0</v>
      </c>
    </row>
    <row r="230" spans="1:16">
      <c r="A230" s="3">
        <v>46065</v>
      </c>
      <c r="B230" s="4">
        <f>Data_Entry!X320</f>
        <v>27300.0000000002</v>
      </c>
      <c r="C230" s="5">
        <f>Data_Entry!AD320</f>
        <v>4.45</v>
      </c>
      <c r="D230" s="6">
        <f t="shared" si="45"/>
        <v>0.275757575757578</v>
      </c>
      <c r="E230" s="7"/>
      <c r="F230" s="7"/>
      <c r="G230" s="8">
        <f t="shared" si="46"/>
        <v>0</v>
      </c>
      <c r="H230" s="8">
        <f t="shared" si="47"/>
        <v>0</v>
      </c>
      <c r="I230" s="9">
        <v>4125</v>
      </c>
      <c r="J230" s="10"/>
      <c r="K230" s="9">
        <f t="shared" si="48"/>
        <v>49500</v>
      </c>
      <c r="L230" s="8">
        <f t="shared" si="49"/>
        <v>0</v>
      </c>
      <c r="M230" s="11">
        <f t="shared" si="50"/>
        <v>1</v>
      </c>
      <c r="N230" s="12">
        <f t="shared" si="51"/>
        <v>0.275757575757578</v>
      </c>
      <c r="O230" s="9">
        <f t="shared" si="52"/>
        <v>27300.0000000002</v>
      </c>
      <c r="P230" s="13">
        <f t="shared" si="53"/>
        <v>0</v>
      </c>
    </row>
    <row r="231" spans="1:16">
      <c r="A231" s="3">
        <v>46066</v>
      </c>
      <c r="B231" s="4">
        <f>Data_Entry!X321</f>
        <v>24100.0000000003</v>
      </c>
      <c r="C231" s="5">
        <f>Data_Entry!AD321</f>
        <v>4.09</v>
      </c>
      <c r="D231" s="6">
        <f t="shared" si="45"/>
        <v>0.243434343434346</v>
      </c>
      <c r="E231" s="7"/>
      <c r="F231" s="7"/>
      <c r="G231" s="8">
        <f t="shared" si="46"/>
        <v>0</v>
      </c>
      <c r="H231" s="8">
        <f t="shared" si="47"/>
        <v>0</v>
      </c>
      <c r="I231" s="9">
        <v>4125</v>
      </c>
      <c r="J231" s="10"/>
      <c r="K231" s="9">
        <f t="shared" si="48"/>
        <v>49500</v>
      </c>
      <c r="L231" s="8">
        <f t="shared" si="49"/>
        <v>0</v>
      </c>
      <c r="M231" s="11">
        <f t="shared" si="50"/>
        <v>1</v>
      </c>
      <c r="N231" s="12">
        <f t="shared" si="51"/>
        <v>0.243434343434346</v>
      </c>
      <c r="O231" s="9">
        <f t="shared" si="52"/>
        <v>24100.0000000003</v>
      </c>
      <c r="P231" s="13">
        <f t="shared" si="53"/>
        <v>0</v>
      </c>
    </row>
    <row r="232" spans="1:16">
      <c r="A232" s="3">
        <v>46067</v>
      </c>
      <c r="B232" s="4">
        <f>Data_Entry!X322</f>
        <v>24350</v>
      </c>
      <c r="C232" s="5">
        <f>Data_Entry!AD322</f>
        <v>4.16</v>
      </c>
      <c r="D232" s="6">
        <f t="shared" si="45"/>
        <v>0.245959595959596</v>
      </c>
      <c r="E232" s="7"/>
      <c r="F232" s="7"/>
      <c r="G232" s="8">
        <f t="shared" si="46"/>
        <v>0</v>
      </c>
      <c r="H232" s="8">
        <f t="shared" si="47"/>
        <v>0</v>
      </c>
      <c r="I232" s="9">
        <v>4125</v>
      </c>
      <c r="J232" s="10"/>
      <c r="K232" s="9">
        <f t="shared" si="48"/>
        <v>49500</v>
      </c>
      <c r="L232" s="8">
        <f t="shared" si="49"/>
        <v>0</v>
      </c>
      <c r="M232" s="11">
        <f t="shared" si="50"/>
        <v>1</v>
      </c>
      <c r="N232" s="12">
        <f t="shared" si="51"/>
        <v>0.245959595959596</v>
      </c>
      <c r="O232" s="9">
        <f t="shared" si="52"/>
        <v>24350</v>
      </c>
      <c r="P232" s="13">
        <f t="shared" si="53"/>
        <v>0</v>
      </c>
    </row>
    <row r="233" spans="1:16">
      <c r="A233" s="3">
        <v>46068</v>
      </c>
      <c r="B233" s="4">
        <f>Data_Entry!X323</f>
        <v>25999.9999999997</v>
      </c>
      <c r="C233" s="5">
        <f>Data_Entry!AD323</f>
        <v>4.36</v>
      </c>
      <c r="D233" s="6">
        <f t="shared" si="45"/>
        <v>0.262626262626259</v>
      </c>
      <c r="E233" s="7"/>
      <c r="F233" s="7"/>
      <c r="G233" s="8">
        <f t="shared" si="46"/>
        <v>0</v>
      </c>
      <c r="H233" s="8">
        <f t="shared" si="47"/>
        <v>0</v>
      </c>
      <c r="I233" s="9">
        <v>4125</v>
      </c>
      <c r="J233" s="10"/>
      <c r="K233" s="9">
        <f t="shared" si="48"/>
        <v>49500</v>
      </c>
      <c r="L233" s="8">
        <f t="shared" si="49"/>
        <v>0</v>
      </c>
      <c r="M233" s="11">
        <f t="shared" si="50"/>
        <v>1</v>
      </c>
      <c r="N233" s="12">
        <f t="shared" si="51"/>
        <v>0.262626262626259</v>
      </c>
      <c r="O233" s="9">
        <f t="shared" si="52"/>
        <v>25999.9999999997</v>
      </c>
      <c r="P233" s="13">
        <f t="shared" si="53"/>
        <v>0</v>
      </c>
    </row>
    <row r="234" spans="1:16">
      <c r="A234" s="3">
        <v>46069</v>
      </c>
      <c r="B234" s="4">
        <f>Data_Entry!X324</f>
        <v>25900.0000000003</v>
      </c>
      <c r="C234" s="5">
        <f>Data_Entry!AD324</f>
        <v>4.55</v>
      </c>
      <c r="D234" s="6">
        <f t="shared" si="45"/>
        <v>0.261616161616165</v>
      </c>
      <c r="E234" s="7">
        <v>0.526388888888889</v>
      </c>
      <c r="F234" s="7">
        <v>0.533333333333333</v>
      </c>
      <c r="G234" s="8">
        <f t="shared" si="46"/>
        <v>9.99999999999932</v>
      </c>
      <c r="H234" s="8">
        <f t="shared" si="47"/>
        <v>0.166666666666655</v>
      </c>
      <c r="I234" s="9">
        <v>4125</v>
      </c>
      <c r="J234" s="10">
        <v>4125</v>
      </c>
      <c r="K234" s="9">
        <f t="shared" si="48"/>
        <v>49500</v>
      </c>
      <c r="L234" s="8">
        <f t="shared" si="49"/>
        <v>687.499999999954</v>
      </c>
      <c r="M234" s="11">
        <f t="shared" si="50"/>
        <v>0.986111111111112</v>
      </c>
      <c r="N234" s="12">
        <f t="shared" si="51"/>
        <v>0.265300896286815</v>
      </c>
      <c r="O234" s="9">
        <f t="shared" si="52"/>
        <v>26264.7887323947</v>
      </c>
      <c r="P234" s="13">
        <f t="shared" si="53"/>
        <v>364.788732394351</v>
      </c>
    </row>
    <row r="235" spans="1:16">
      <c r="A235" s="3">
        <v>46070</v>
      </c>
      <c r="B235" s="4">
        <f>Data_Entry!X325</f>
        <v>27899.9999999996</v>
      </c>
      <c r="C235" s="5">
        <f>Data_Entry!AD325</f>
        <v>4.76</v>
      </c>
      <c r="D235" s="6">
        <f t="shared" si="45"/>
        <v>0.281818181818178</v>
      </c>
      <c r="E235" s="7"/>
      <c r="F235" s="7"/>
      <c r="G235" s="8">
        <f t="shared" si="46"/>
        <v>0</v>
      </c>
      <c r="H235" s="8">
        <f t="shared" si="47"/>
        <v>0</v>
      </c>
      <c r="I235" s="9">
        <v>4125</v>
      </c>
      <c r="J235" s="10"/>
      <c r="K235" s="9">
        <f t="shared" si="48"/>
        <v>49500</v>
      </c>
      <c r="L235" s="8">
        <f t="shared" si="49"/>
        <v>0</v>
      </c>
      <c r="M235" s="11">
        <f t="shared" si="50"/>
        <v>1</v>
      </c>
      <c r="N235" s="12">
        <f t="shared" si="51"/>
        <v>0.281818181818178</v>
      </c>
      <c r="O235" s="9">
        <f t="shared" si="52"/>
        <v>27899.9999999996</v>
      </c>
      <c r="P235" s="13">
        <f t="shared" si="53"/>
        <v>0</v>
      </c>
    </row>
    <row r="236" spans="1:16">
      <c r="A236" s="3">
        <v>46071</v>
      </c>
      <c r="B236" s="4">
        <f>Data_Entry!X326</f>
        <v>27250.0000000002</v>
      </c>
      <c r="C236" s="5">
        <f>Data_Entry!AD326</f>
        <v>4.6</v>
      </c>
      <c r="D236" s="6">
        <f t="shared" si="45"/>
        <v>0.275252525252528</v>
      </c>
      <c r="E236" s="7">
        <v>0.551388888888889</v>
      </c>
      <c r="F236" s="7">
        <v>0.554166666666667</v>
      </c>
      <c r="G236" s="8">
        <f t="shared" si="46"/>
        <v>4.00000000000031</v>
      </c>
      <c r="H236" s="8">
        <f t="shared" si="47"/>
        <v>0.0666666666666718</v>
      </c>
      <c r="I236" s="9">
        <v>4125</v>
      </c>
      <c r="J236" s="10">
        <v>4125</v>
      </c>
      <c r="K236" s="9">
        <f t="shared" si="48"/>
        <v>49500</v>
      </c>
      <c r="L236" s="8">
        <f t="shared" si="49"/>
        <v>275.000000000021</v>
      </c>
      <c r="M236" s="11">
        <f t="shared" si="50"/>
        <v>0.994444444444444</v>
      </c>
      <c r="N236" s="12">
        <f t="shared" si="51"/>
        <v>0.27679024885729</v>
      </c>
      <c r="O236" s="9">
        <f t="shared" si="52"/>
        <v>27402.2346368717</v>
      </c>
      <c r="P236" s="13">
        <f t="shared" si="53"/>
        <v>152.234636871523</v>
      </c>
    </row>
    <row r="237" spans="1:16">
      <c r="A237" s="3">
        <v>46072</v>
      </c>
      <c r="B237" s="4">
        <f>Data_Entry!X327</f>
        <v>25999.9999999997</v>
      </c>
      <c r="C237" s="5">
        <f>Data_Entry!AD327</f>
        <v>4.47</v>
      </c>
      <c r="D237" s="6">
        <f t="shared" si="45"/>
        <v>0.262626262626259</v>
      </c>
      <c r="E237" s="7"/>
      <c r="F237" s="7"/>
      <c r="G237" s="8">
        <f t="shared" si="46"/>
        <v>0</v>
      </c>
      <c r="H237" s="8">
        <f t="shared" si="47"/>
        <v>0</v>
      </c>
      <c r="I237" s="9">
        <v>4125</v>
      </c>
      <c r="J237" s="10"/>
      <c r="K237" s="9">
        <f t="shared" si="48"/>
        <v>49500</v>
      </c>
      <c r="L237" s="8">
        <f t="shared" si="49"/>
        <v>0</v>
      </c>
      <c r="M237" s="11">
        <f t="shared" si="50"/>
        <v>1</v>
      </c>
      <c r="N237" s="12">
        <f t="shared" si="51"/>
        <v>0.262626262626259</v>
      </c>
      <c r="O237" s="9">
        <f t="shared" si="52"/>
        <v>25999.9999999997</v>
      </c>
      <c r="P237" s="13">
        <f t="shared" si="53"/>
        <v>0</v>
      </c>
    </row>
    <row r="238" spans="1:16">
      <c r="A238" s="3">
        <v>46073</v>
      </c>
      <c r="B238" s="4">
        <f>Data_Entry!X328</f>
        <v>24700.0000000003</v>
      </c>
      <c r="C238" s="5">
        <f>Data_Entry!AD328</f>
        <v>4.36</v>
      </c>
      <c r="D238" s="6">
        <f t="shared" si="45"/>
        <v>0.249494949494952</v>
      </c>
      <c r="E238" s="7"/>
      <c r="F238" s="7"/>
      <c r="G238" s="8">
        <f t="shared" si="46"/>
        <v>0</v>
      </c>
      <c r="H238" s="8">
        <f t="shared" si="47"/>
        <v>0</v>
      </c>
      <c r="I238" s="9">
        <v>4125</v>
      </c>
      <c r="J238" s="10"/>
      <c r="K238" s="9">
        <f t="shared" si="48"/>
        <v>49500</v>
      </c>
      <c r="L238" s="8">
        <f t="shared" si="49"/>
        <v>0</v>
      </c>
      <c r="M238" s="11">
        <f t="shared" si="50"/>
        <v>1</v>
      </c>
      <c r="N238" s="12">
        <f t="shared" si="51"/>
        <v>0.249494949494952</v>
      </c>
      <c r="O238" s="9">
        <f t="shared" si="52"/>
        <v>24700.0000000003</v>
      </c>
      <c r="P238" s="13">
        <f t="shared" si="53"/>
        <v>0</v>
      </c>
    </row>
    <row r="239" spans="1:16">
      <c r="A239" s="3">
        <v>46074</v>
      </c>
      <c r="B239" s="4">
        <f>Data_Entry!X329</f>
        <v>25650</v>
      </c>
      <c r="C239" s="5">
        <f>Data_Entry!AD329</f>
        <v>4.5</v>
      </c>
      <c r="D239" s="6">
        <f t="shared" si="45"/>
        <v>0.259090909090909</v>
      </c>
      <c r="E239" s="7"/>
      <c r="F239" s="7"/>
      <c r="G239" s="8">
        <f t="shared" si="46"/>
        <v>0</v>
      </c>
      <c r="H239" s="8">
        <f t="shared" si="47"/>
        <v>0</v>
      </c>
      <c r="I239" s="9">
        <v>4125</v>
      </c>
      <c r="J239" s="10"/>
      <c r="K239" s="9">
        <f t="shared" si="48"/>
        <v>49500</v>
      </c>
      <c r="L239" s="8">
        <f t="shared" si="49"/>
        <v>0</v>
      </c>
      <c r="M239" s="11">
        <f t="shared" si="50"/>
        <v>1</v>
      </c>
      <c r="N239" s="12">
        <f t="shared" si="51"/>
        <v>0.259090909090909</v>
      </c>
      <c r="O239" s="9">
        <f t="shared" si="52"/>
        <v>25650</v>
      </c>
      <c r="P239" s="13">
        <f t="shared" si="53"/>
        <v>0</v>
      </c>
    </row>
    <row r="240" spans="1:16">
      <c r="A240" s="3">
        <v>46075</v>
      </c>
      <c r="B240" s="4">
        <f>Data_Entry!X330</f>
        <v>21700.0000000002</v>
      </c>
      <c r="C240" s="5">
        <f>Data_Entry!AD330</f>
        <v>3.99</v>
      </c>
      <c r="D240" s="6">
        <f t="shared" si="45"/>
        <v>0.219191919191921</v>
      </c>
      <c r="E240" s="7">
        <v>0.51875</v>
      </c>
      <c r="F240" s="7">
        <v>0.521527777777778</v>
      </c>
      <c r="G240" s="8">
        <f t="shared" si="46"/>
        <v>4.00000000000031</v>
      </c>
      <c r="H240" s="8">
        <f t="shared" si="47"/>
        <v>0.0666666666666718</v>
      </c>
      <c r="I240" s="9">
        <v>4125</v>
      </c>
      <c r="J240" s="10">
        <v>4125</v>
      </c>
      <c r="K240" s="9">
        <f t="shared" si="48"/>
        <v>49500</v>
      </c>
      <c r="L240" s="8">
        <f t="shared" si="49"/>
        <v>275.000000000021</v>
      </c>
      <c r="M240" s="11">
        <f t="shared" si="50"/>
        <v>0.994444444444444</v>
      </c>
      <c r="N240" s="12">
        <f t="shared" si="51"/>
        <v>0.220416455053328</v>
      </c>
      <c r="O240" s="9">
        <f t="shared" si="52"/>
        <v>21821.2290502795</v>
      </c>
      <c r="P240" s="13">
        <f t="shared" si="53"/>
        <v>121.22905027934</v>
      </c>
    </row>
    <row r="241" spans="1:16">
      <c r="A241" s="3">
        <v>46076</v>
      </c>
      <c r="B241" s="4">
        <f>Data_Entry!X331</f>
        <v>17899.9999999996</v>
      </c>
      <c r="C241" s="5">
        <f>Data_Entry!AD331</f>
        <v>3.36</v>
      </c>
      <c r="D241" s="6">
        <f t="shared" si="45"/>
        <v>0.180808080808077</v>
      </c>
      <c r="E241" s="7">
        <v>0.445833333333333</v>
      </c>
      <c r="F241" s="7">
        <v>0.506944444444444</v>
      </c>
      <c r="G241" s="8">
        <f t="shared" si="46"/>
        <v>87.9999999999998</v>
      </c>
      <c r="H241" s="8">
        <f t="shared" si="47"/>
        <v>1.46666666666666</v>
      </c>
      <c r="I241" s="9">
        <v>4125</v>
      </c>
      <c r="J241" s="10">
        <v>4125</v>
      </c>
      <c r="K241" s="9">
        <f t="shared" si="48"/>
        <v>49500</v>
      </c>
      <c r="L241" s="8">
        <f t="shared" si="49"/>
        <v>6049.99999999998</v>
      </c>
      <c r="M241" s="11">
        <f t="shared" si="50"/>
        <v>0.877777777777778</v>
      </c>
      <c r="N241" s="12">
        <f t="shared" si="51"/>
        <v>0.205983889528189</v>
      </c>
      <c r="O241" s="9">
        <f t="shared" si="52"/>
        <v>20392.4050632907</v>
      </c>
      <c r="P241" s="13">
        <f t="shared" si="53"/>
        <v>2492.40506329108</v>
      </c>
    </row>
    <row r="242" spans="1:16">
      <c r="A242" s="3">
        <v>46077</v>
      </c>
      <c r="B242" s="4">
        <f>Data_Entry!X332</f>
        <v>25600</v>
      </c>
      <c r="C242" s="5">
        <f>Data_Entry!AD332</f>
        <v>4.35</v>
      </c>
      <c r="D242" s="6">
        <f t="shared" si="45"/>
        <v>0.258585858585859</v>
      </c>
      <c r="E242" s="7"/>
      <c r="F242" s="7"/>
      <c r="G242" s="8">
        <f t="shared" si="46"/>
        <v>0</v>
      </c>
      <c r="H242" s="8">
        <f t="shared" si="47"/>
        <v>0</v>
      </c>
      <c r="I242" s="9">
        <v>4125</v>
      </c>
      <c r="J242" s="10"/>
      <c r="K242" s="9">
        <f t="shared" si="48"/>
        <v>49500</v>
      </c>
      <c r="L242" s="8">
        <f t="shared" si="49"/>
        <v>0</v>
      </c>
      <c r="M242" s="11">
        <f t="shared" si="50"/>
        <v>1</v>
      </c>
      <c r="N242" s="12">
        <f t="shared" si="51"/>
        <v>0.258585858585859</v>
      </c>
      <c r="O242" s="9">
        <f t="shared" si="52"/>
        <v>25600</v>
      </c>
      <c r="P242" s="13">
        <f t="shared" si="53"/>
        <v>0</v>
      </c>
    </row>
    <row r="243" spans="1:16">
      <c r="A243" s="3">
        <v>46078</v>
      </c>
      <c r="B243" s="4">
        <f>Data_Entry!X333</f>
        <v>27450</v>
      </c>
      <c r="C243" s="5">
        <f>Data_Entry!AD333</f>
        <v>4.76</v>
      </c>
      <c r="D243" s="6">
        <f t="shared" si="45"/>
        <v>0.277272727272728</v>
      </c>
      <c r="E243" s="7"/>
      <c r="F243" s="7"/>
      <c r="G243" s="8">
        <f t="shared" si="46"/>
        <v>0</v>
      </c>
      <c r="H243" s="8">
        <f t="shared" si="47"/>
        <v>0</v>
      </c>
      <c r="I243" s="9">
        <v>4125</v>
      </c>
      <c r="J243" s="10"/>
      <c r="K243" s="9">
        <f t="shared" si="48"/>
        <v>49500</v>
      </c>
      <c r="L243" s="8">
        <f t="shared" si="49"/>
        <v>0</v>
      </c>
      <c r="M243" s="11">
        <f t="shared" si="50"/>
        <v>1</v>
      </c>
      <c r="N243" s="12">
        <f t="shared" si="51"/>
        <v>0.277272727272728</v>
      </c>
      <c r="O243" s="9">
        <f t="shared" si="52"/>
        <v>27450</v>
      </c>
      <c r="P243" s="13">
        <f t="shared" si="53"/>
        <v>0</v>
      </c>
    </row>
    <row r="244" spans="1:16">
      <c r="A244" s="3">
        <v>46079</v>
      </c>
      <c r="B244" s="4">
        <f>Data_Entry!X334</f>
        <v>13950.0000000004</v>
      </c>
      <c r="C244" s="5">
        <f>Data_Entry!AD334</f>
        <v>2.72</v>
      </c>
      <c r="D244" s="6">
        <f t="shared" si="45"/>
        <v>0.140909090909095</v>
      </c>
      <c r="E244" s="7">
        <v>0.490972222222222</v>
      </c>
      <c r="F244" s="7">
        <v>0.611111111111111</v>
      </c>
      <c r="G244" s="8">
        <f t="shared" si="46"/>
        <v>173</v>
      </c>
      <c r="H244" s="8">
        <f t="shared" si="47"/>
        <v>2.88333333333334</v>
      </c>
      <c r="I244" s="9">
        <v>4125</v>
      </c>
      <c r="J244" s="10"/>
      <c r="K244" s="9">
        <f t="shared" si="48"/>
        <v>49500</v>
      </c>
      <c r="L244" s="8">
        <f t="shared" si="49"/>
        <v>0</v>
      </c>
      <c r="M244" s="11">
        <f t="shared" si="50"/>
        <v>1</v>
      </c>
      <c r="N244" s="12">
        <f t="shared" si="51"/>
        <v>0.140909090909095</v>
      </c>
      <c r="O244" s="9">
        <f t="shared" si="52"/>
        <v>13950.0000000004</v>
      </c>
      <c r="P244" s="13">
        <f t="shared" si="53"/>
        <v>0</v>
      </c>
    </row>
    <row r="245" spans="1:16">
      <c r="A245" s="3">
        <v>46080</v>
      </c>
      <c r="B245" s="4">
        <f>Data_Entry!X335</f>
        <v>22799.9999999997</v>
      </c>
      <c r="C245" s="5">
        <f>Data_Entry!AD335</f>
        <v>4.51</v>
      </c>
      <c r="D245" s="6">
        <f t="shared" si="45"/>
        <v>0.230303030303028</v>
      </c>
      <c r="E245" s="7"/>
      <c r="F245" s="7"/>
      <c r="G245" s="8">
        <f t="shared" si="46"/>
        <v>0</v>
      </c>
      <c r="H245" s="8">
        <f t="shared" si="47"/>
        <v>0</v>
      </c>
      <c r="I245" s="9">
        <v>4125</v>
      </c>
      <c r="J245" s="10"/>
      <c r="K245" s="9">
        <f t="shared" si="48"/>
        <v>49500</v>
      </c>
      <c r="L245" s="8">
        <f t="shared" si="49"/>
        <v>0</v>
      </c>
      <c r="M245" s="11">
        <f t="shared" si="50"/>
        <v>1</v>
      </c>
      <c r="N245" s="12">
        <f t="shared" si="51"/>
        <v>0.230303030303028</v>
      </c>
      <c r="O245" s="9">
        <f t="shared" si="52"/>
        <v>22799.9999999997</v>
      </c>
      <c r="P245" s="13">
        <f t="shared" si="53"/>
        <v>0</v>
      </c>
    </row>
    <row r="246" spans="1:16">
      <c r="A246" s="3">
        <v>46081</v>
      </c>
      <c r="B246" s="4">
        <f>Data_Entry!X336</f>
        <v>25749.9999999999</v>
      </c>
      <c r="C246" s="5">
        <f>Data_Entry!AD336</f>
        <v>4.32</v>
      </c>
      <c r="D246" s="6">
        <f t="shared" si="45"/>
        <v>0.260101010101009</v>
      </c>
      <c r="E246" s="7"/>
      <c r="F246" s="7"/>
      <c r="G246" s="8">
        <f t="shared" si="46"/>
        <v>0</v>
      </c>
      <c r="H246" s="8">
        <f t="shared" si="47"/>
        <v>0</v>
      </c>
      <c r="I246" s="9">
        <v>4125</v>
      </c>
      <c r="J246" s="10"/>
      <c r="K246" s="9">
        <f t="shared" si="48"/>
        <v>49500</v>
      </c>
      <c r="L246" s="8">
        <f t="shared" si="49"/>
        <v>0</v>
      </c>
      <c r="M246" s="11">
        <f t="shared" si="50"/>
        <v>1</v>
      </c>
      <c r="N246" s="12">
        <f t="shared" si="51"/>
        <v>0.260101010101009</v>
      </c>
      <c r="O246" s="9">
        <f t="shared" si="52"/>
        <v>25749.9999999999</v>
      </c>
      <c r="P246" s="13">
        <f t="shared" si="53"/>
        <v>0</v>
      </c>
    </row>
    <row r="247" spans="1:16">
      <c r="A247" s="3">
        <v>46082</v>
      </c>
      <c r="B247" s="4">
        <f>Data_Entry!X337</f>
        <v>27700.0000000004</v>
      </c>
      <c r="C247" s="5">
        <f>Data_Entry!AD337</f>
        <v>4.83</v>
      </c>
      <c r="D247" s="6">
        <f t="shared" si="45"/>
        <v>0.279797979797984</v>
      </c>
      <c r="E247" s="7"/>
      <c r="F247" s="7"/>
      <c r="G247" s="8">
        <f t="shared" si="46"/>
        <v>0</v>
      </c>
      <c r="H247" s="8">
        <f t="shared" si="47"/>
        <v>0</v>
      </c>
      <c r="I247" s="9">
        <v>4125</v>
      </c>
      <c r="J247" s="10"/>
      <c r="K247" s="9">
        <f t="shared" si="48"/>
        <v>49500</v>
      </c>
      <c r="L247" s="8">
        <f t="shared" si="49"/>
        <v>0</v>
      </c>
      <c r="M247" s="11">
        <f t="shared" si="50"/>
        <v>1</v>
      </c>
      <c r="N247" s="12">
        <f t="shared" si="51"/>
        <v>0.279797979797984</v>
      </c>
      <c r="O247" s="9">
        <f t="shared" si="52"/>
        <v>27700.0000000004</v>
      </c>
      <c r="P247" s="13">
        <f t="shared" si="53"/>
        <v>0</v>
      </c>
    </row>
    <row r="248" spans="1:16">
      <c r="A248" s="3">
        <v>46083</v>
      </c>
      <c r="B248" s="4">
        <f>Data_Entry!X338</f>
        <v>28049.9999999995</v>
      </c>
      <c r="C248" s="5">
        <f>Data_Entry!AD338</f>
        <v>4.89</v>
      </c>
      <c r="D248" s="6">
        <f t="shared" si="45"/>
        <v>0.283333333333328</v>
      </c>
      <c r="E248" s="7"/>
      <c r="F248" s="7"/>
      <c r="G248" s="8">
        <f t="shared" si="46"/>
        <v>0</v>
      </c>
      <c r="H248" s="8">
        <f t="shared" si="47"/>
        <v>0</v>
      </c>
      <c r="I248" s="9">
        <v>4125</v>
      </c>
      <c r="J248" s="10"/>
      <c r="K248" s="9">
        <f t="shared" si="48"/>
        <v>49500</v>
      </c>
      <c r="L248" s="8">
        <f t="shared" si="49"/>
        <v>0</v>
      </c>
      <c r="M248" s="11">
        <f t="shared" si="50"/>
        <v>1</v>
      </c>
      <c r="N248" s="12">
        <f t="shared" si="51"/>
        <v>0.283333333333328</v>
      </c>
      <c r="O248" s="9">
        <f t="shared" si="52"/>
        <v>28049.9999999995</v>
      </c>
      <c r="P248" s="13">
        <f t="shared" si="53"/>
        <v>0</v>
      </c>
    </row>
    <row r="249" spans="1:16">
      <c r="A249" s="3">
        <v>46084</v>
      </c>
      <c r="B249" s="4">
        <f>Data_Entry!X339</f>
        <v>20300.0000000003</v>
      </c>
      <c r="C249" s="5">
        <f>Data_Entry!AD339</f>
        <v>3.73</v>
      </c>
      <c r="D249" s="6">
        <f t="shared" si="45"/>
        <v>0.205050505050508</v>
      </c>
      <c r="E249" s="7">
        <v>0.470833333333333</v>
      </c>
      <c r="F249" s="7">
        <v>0.538888888888889</v>
      </c>
      <c r="G249" s="8">
        <f t="shared" si="46"/>
        <v>98.0000000000006</v>
      </c>
      <c r="H249" s="8">
        <f t="shared" si="47"/>
        <v>1.63333333333334</v>
      </c>
      <c r="I249" s="9">
        <v>4125</v>
      </c>
      <c r="J249" s="10">
        <v>4125</v>
      </c>
      <c r="K249" s="9">
        <f t="shared" si="48"/>
        <v>49500</v>
      </c>
      <c r="L249" s="8">
        <f t="shared" si="49"/>
        <v>6737.50000000004</v>
      </c>
      <c r="M249" s="11">
        <f t="shared" si="50"/>
        <v>0.863888888888888</v>
      </c>
      <c r="N249" s="12">
        <f t="shared" si="51"/>
        <v>0.237357497807662</v>
      </c>
      <c r="O249" s="9">
        <f t="shared" si="52"/>
        <v>23498.3922829586</v>
      </c>
      <c r="P249" s="13">
        <f t="shared" si="53"/>
        <v>3198.39228295827</v>
      </c>
    </row>
    <row r="250" spans="1:16">
      <c r="A250" s="3">
        <v>46085</v>
      </c>
      <c r="B250" s="4">
        <f>Data_Entry!X340</f>
        <v>25899.9999999997</v>
      </c>
      <c r="C250" s="5">
        <f>Data_Entry!AD340</f>
        <v>4.66</v>
      </c>
      <c r="D250" s="6">
        <f t="shared" si="45"/>
        <v>0.261616161616159</v>
      </c>
      <c r="E250" s="7"/>
      <c r="F250" s="7"/>
      <c r="G250" s="8">
        <f t="shared" si="46"/>
        <v>0</v>
      </c>
      <c r="H250" s="8">
        <f t="shared" si="47"/>
        <v>0</v>
      </c>
      <c r="I250" s="9">
        <v>4125</v>
      </c>
      <c r="J250" s="10"/>
      <c r="K250" s="9">
        <f t="shared" si="48"/>
        <v>49500</v>
      </c>
      <c r="L250" s="8">
        <f t="shared" si="49"/>
        <v>0</v>
      </c>
      <c r="M250" s="11">
        <f t="shared" si="50"/>
        <v>1</v>
      </c>
      <c r="N250" s="12">
        <f t="shared" si="51"/>
        <v>0.261616161616159</v>
      </c>
      <c r="O250" s="9">
        <f t="shared" si="52"/>
        <v>25899.9999999998</v>
      </c>
      <c r="P250" s="13">
        <f t="shared" si="53"/>
        <v>0</v>
      </c>
    </row>
    <row r="251" spans="1:16">
      <c r="A251" s="3">
        <v>46086</v>
      </c>
      <c r="B251" s="4">
        <f>Data_Entry!X341</f>
        <v>27550</v>
      </c>
      <c r="C251" s="5">
        <f>Data_Entry!AD341</f>
        <v>4.82</v>
      </c>
      <c r="D251" s="6">
        <f t="shared" si="45"/>
        <v>0.278282828282828</v>
      </c>
      <c r="E251" s="7"/>
      <c r="F251" s="7"/>
      <c r="G251" s="8">
        <f t="shared" si="46"/>
        <v>0</v>
      </c>
      <c r="H251" s="8">
        <f t="shared" si="47"/>
        <v>0</v>
      </c>
      <c r="I251" s="9">
        <v>4125</v>
      </c>
      <c r="J251" s="10"/>
      <c r="K251" s="9">
        <f t="shared" si="48"/>
        <v>49500</v>
      </c>
      <c r="L251" s="8">
        <f t="shared" si="49"/>
        <v>0</v>
      </c>
      <c r="M251" s="11">
        <f t="shared" si="50"/>
        <v>1</v>
      </c>
      <c r="N251" s="12">
        <f t="shared" si="51"/>
        <v>0.278282828282828</v>
      </c>
      <c r="O251" s="9">
        <f t="shared" si="52"/>
        <v>27550</v>
      </c>
      <c r="P251" s="13">
        <f t="shared" si="53"/>
        <v>0</v>
      </c>
    </row>
    <row r="252" spans="1:16">
      <c r="A252" s="3">
        <v>46087</v>
      </c>
      <c r="B252" s="4">
        <f>Data_Entry!X342</f>
        <v>29750.0000000002</v>
      </c>
      <c r="C252" s="5">
        <f>Data_Entry!AD342</f>
        <v>4.59</v>
      </c>
      <c r="D252" s="6">
        <f t="shared" si="45"/>
        <v>0.300505050505053</v>
      </c>
      <c r="E252" s="7"/>
      <c r="F252" s="7"/>
      <c r="G252" s="8">
        <f t="shared" si="46"/>
        <v>0</v>
      </c>
      <c r="H252" s="8">
        <f t="shared" si="47"/>
        <v>0</v>
      </c>
      <c r="I252" s="9">
        <v>4125</v>
      </c>
      <c r="J252" s="10"/>
      <c r="K252" s="9">
        <f t="shared" si="48"/>
        <v>49500</v>
      </c>
      <c r="L252" s="8">
        <f t="shared" si="49"/>
        <v>0</v>
      </c>
      <c r="M252" s="11">
        <f t="shared" si="50"/>
        <v>1</v>
      </c>
      <c r="N252" s="12">
        <f t="shared" si="51"/>
        <v>0.300505050505053</v>
      </c>
      <c r="O252" s="9">
        <f t="shared" si="52"/>
        <v>29750.0000000002</v>
      </c>
      <c r="P252" s="13">
        <f t="shared" si="53"/>
        <v>0</v>
      </c>
    </row>
    <row r="253" spans="1:16">
      <c r="A253" s="3">
        <v>46088</v>
      </c>
      <c r="B253" s="4">
        <f>Data_Entry!X343</f>
        <v>19950</v>
      </c>
      <c r="C253" s="5">
        <f>Data_Entry!AD343</f>
        <v>3.63</v>
      </c>
      <c r="D253" s="6">
        <f t="shared" si="45"/>
        <v>0.201515151515152</v>
      </c>
      <c r="E253" s="7">
        <v>0.488888888888889</v>
      </c>
      <c r="F253" s="7">
        <v>0.5625</v>
      </c>
      <c r="G253" s="8">
        <f t="shared" si="46"/>
        <v>106</v>
      </c>
      <c r="H253" s="8">
        <f t="shared" si="47"/>
        <v>1.76666666666666</v>
      </c>
      <c r="I253" s="9">
        <v>4125</v>
      </c>
      <c r="J253" s="10">
        <v>4125</v>
      </c>
      <c r="K253" s="9">
        <f t="shared" si="48"/>
        <v>49500</v>
      </c>
      <c r="L253" s="8">
        <f t="shared" si="49"/>
        <v>7287.49999999999</v>
      </c>
      <c r="M253" s="11">
        <f t="shared" si="50"/>
        <v>0.852777777777778</v>
      </c>
      <c r="N253" s="12">
        <f t="shared" si="51"/>
        <v>0.236304412200178</v>
      </c>
      <c r="O253" s="9">
        <f t="shared" si="52"/>
        <v>23394.1368078176</v>
      </c>
      <c r="P253" s="13">
        <f t="shared" si="53"/>
        <v>3444.13680781759</v>
      </c>
    </row>
    <row r="254" spans="1:16">
      <c r="A254" s="3">
        <v>46089</v>
      </c>
      <c r="B254" s="4">
        <f>Data_Entry!X344</f>
        <v>27200.0000000003</v>
      </c>
      <c r="C254" s="5">
        <f>Data_Entry!AD344</f>
        <v>4.86</v>
      </c>
      <c r="D254" s="6">
        <f t="shared" si="45"/>
        <v>0.274747474747478</v>
      </c>
      <c r="E254" s="7"/>
      <c r="F254" s="7"/>
      <c r="G254" s="8">
        <f t="shared" si="46"/>
        <v>0</v>
      </c>
      <c r="H254" s="8">
        <f t="shared" si="47"/>
        <v>0</v>
      </c>
      <c r="I254" s="9">
        <v>4125</v>
      </c>
      <c r="J254" s="10"/>
      <c r="K254" s="9">
        <f t="shared" si="48"/>
        <v>49500</v>
      </c>
      <c r="L254" s="8">
        <f t="shared" si="49"/>
        <v>0</v>
      </c>
      <c r="M254" s="11">
        <f t="shared" si="50"/>
        <v>1</v>
      </c>
      <c r="N254" s="12">
        <f t="shared" si="51"/>
        <v>0.274747474747478</v>
      </c>
      <c r="O254" s="9">
        <f t="shared" si="52"/>
        <v>27200.0000000003</v>
      </c>
      <c r="P254" s="13">
        <f t="shared" si="53"/>
        <v>0</v>
      </c>
    </row>
    <row r="255" spans="1:16">
      <c r="A255" s="3">
        <v>46090</v>
      </c>
      <c r="B255" s="4">
        <f>Data_Entry!X345</f>
        <v>27149.9999999997</v>
      </c>
      <c r="C255" s="5">
        <f>Data_Entry!AD345</f>
        <v>4.92</v>
      </c>
      <c r="D255" s="6">
        <f t="shared" si="45"/>
        <v>0.274242424242422</v>
      </c>
      <c r="E255" s="7"/>
      <c r="F255" s="7"/>
      <c r="G255" s="8">
        <f t="shared" si="46"/>
        <v>0</v>
      </c>
      <c r="H255" s="8">
        <f t="shared" si="47"/>
        <v>0</v>
      </c>
      <c r="I255" s="9">
        <v>4125</v>
      </c>
      <c r="J255" s="10"/>
      <c r="K255" s="9">
        <f t="shared" si="48"/>
        <v>49500</v>
      </c>
      <c r="L255" s="8">
        <f t="shared" si="49"/>
        <v>0</v>
      </c>
      <c r="M255" s="11">
        <f t="shared" si="50"/>
        <v>1</v>
      </c>
      <c r="N255" s="12">
        <f t="shared" si="51"/>
        <v>0.274242424242422</v>
      </c>
      <c r="O255" s="9">
        <f t="shared" si="52"/>
        <v>27149.9999999997</v>
      </c>
      <c r="P255" s="13">
        <f t="shared" si="53"/>
        <v>0</v>
      </c>
    </row>
    <row r="256" spans="1:16">
      <c r="A256" s="3">
        <v>46091</v>
      </c>
      <c r="B256" s="4">
        <f>Data_Entry!X346</f>
        <v>26949.9999999999</v>
      </c>
      <c r="C256" s="5">
        <f>Data_Entry!AD346</f>
        <v>4.93</v>
      </c>
      <c r="D256" s="6">
        <f t="shared" si="45"/>
        <v>0.272222222222222</v>
      </c>
      <c r="E256" s="7"/>
      <c r="F256" s="7"/>
      <c r="G256" s="8">
        <f t="shared" si="46"/>
        <v>0</v>
      </c>
      <c r="H256" s="8">
        <f t="shared" si="47"/>
        <v>0</v>
      </c>
      <c r="I256" s="9">
        <v>4125</v>
      </c>
      <c r="J256" s="10"/>
      <c r="K256" s="9">
        <f t="shared" si="48"/>
        <v>49500</v>
      </c>
      <c r="L256" s="8">
        <f t="shared" si="49"/>
        <v>0</v>
      </c>
      <c r="M256" s="11">
        <f t="shared" si="50"/>
        <v>1</v>
      </c>
      <c r="N256" s="12">
        <f t="shared" si="51"/>
        <v>0.272222222222222</v>
      </c>
      <c r="O256" s="9">
        <f t="shared" si="52"/>
        <v>26949.9999999999</v>
      </c>
      <c r="P256" s="13">
        <f t="shared" si="53"/>
        <v>0</v>
      </c>
    </row>
    <row r="257" spans="1:16">
      <c r="A257" s="3">
        <v>46092</v>
      </c>
      <c r="B257" s="4">
        <f>Data_Entry!X347</f>
        <v>26550.0000000003</v>
      </c>
      <c r="C257" s="5">
        <f>Data_Entry!AD347</f>
        <v>4.85</v>
      </c>
      <c r="D257" s="6">
        <f t="shared" si="45"/>
        <v>0.268181818181821</v>
      </c>
      <c r="E257" s="7"/>
      <c r="F257" s="7"/>
      <c r="G257" s="8">
        <f t="shared" si="46"/>
        <v>0</v>
      </c>
      <c r="H257" s="8">
        <f t="shared" si="47"/>
        <v>0</v>
      </c>
      <c r="I257" s="9">
        <v>4125</v>
      </c>
      <c r="J257" s="10"/>
      <c r="K257" s="9">
        <f t="shared" si="48"/>
        <v>49500</v>
      </c>
      <c r="L257" s="8">
        <f t="shared" si="49"/>
        <v>0</v>
      </c>
      <c r="M257" s="11">
        <f t="shared" si="50"/>
        <v>1</v>
      </c>
      <c r="N257" s="12">
        <f t="shared" si="51"/>
        <v>0.268181818181821</v>
      </c>
      <c r="O257" s="9">
        <f t="shared" si="52"/>
        <v>26550.0000000003</v>
      </c>
      <c r="P257" s="13">
        <f t="shared" si="53"/>
        <v>0</v>
      </c>
    </row>
    <row r="258" spans="1:16">
      <c r="A258" s="3">
        <v>46093</v>
      </c>
      <c r="B258" s="4">
        <f>Data_Entry!X348</f>
        <v>26399.9999999999</v>
      </c>
      <c r="C258" s="5">
        <f>Data_Entry!AD348</f>
        <v>4.88</v>
      </c>
      <c r="D258" s="6">
        <f t="shared" si="45"/>
        <v>0.266666666666666</v>
      </c>
      <c r="E258" s="7"/>
      <c r="F258" s="7"/>
      <c r="G258" s="8">
        <f t="shared" si="46"/>
        <v>0</v>
      </c>
      <c r="H258" s="8">
        <f t="shared" si="47"/>
        <v>0</v>
      </c>
      <c r="I258" s="9">
        <v>4125</v>
      </c>
      <c r="J258" s="10"/>
      <c r="K258" s="9">
        <f t="shared" si="48"/>
        <v>49500</v>
      </c>
      <c r="L258" s="8">
        <f t="shared" si="49"/>
        <v>0</v>
      </c>
      <c r="M258" s="11">
        <f t="shared" si="50"/>
        <v>1</v>
      </c>
      <c r="N258" s="12">
        <f t="shared" si="51"/>
        <v>0.266666666666666</v>
      </c>
      <c r="O258" s="9">
        <f t="shared" si="52"/>
        <v>26399.9999999999</v>
      </c>
      <c r="P258" s="13">
        <f t="shared" si="53"/>
        <v>0</v>
      </c>
    </row>
    <row r="259" spans="1:16">
      <c r="A259" s="3">
        <v>46094</v>
      </c>
      <c r="B259" s="4">
        <f>Data_Entry!X349</f>
        <v>26349.9999999999</v>
      </c>
      <c r="C259" s="5">
        <f>Data_Entry!AD349</f>
        <v>5.02</v>
      </c>
      <c r="D259" s="6">
        <f t="shared" si="45"/>
        <v>0.266161616161615</v>
      </c>
      <c r="E259" s="7"/>
      <c r="F259" s="7"/>
      <c r="G259" s="8">
        <f t="shared" si="46"/>
        <v>0</v>
      </c>
      <c r="H259" s="8">
        <f t="shared" si="47"/>
        <v>0</v>
      </c>
      <c r="I259" s="9">
        <v>4125</v>
      </c>
      <c r="J259" s="10"/>
      <c r="K259" s="9">
        <f t="shared" si="48"/>
        <v>49500</v>
      </c>
      <c r="L259" s="8">
        <f t="shared" si="49"/>
        <v>0</v>
      </c>
      <c r="M259" s="11">
        <f t="shared" si="50"/>
        <v>1</v>
      </c>
      <c r="N259" s="12">
        <f t="shared" si="51"/>
        <v>0.266161616161615</v>
      </c>
      <c r="O259" s="9">
        <f t="shared" si="52"/>
        <v>26349.9999999999</v>
      </c>
      <c r="P259" s="13">
        <f t="shared" si="53"/>
        <v>0</v>
      </c>
    </row>
    <row r="260" spans="1:16">
      <c r="A260" s="3">
        <v>46095</v>
      </c>
      <c r="B260" s="4">
        <f>Data_Entry!X350</f>
        <v>27250.0000000002</v>
      </c>
      <c r="C260" s="5">
        <f>Data_Entry!AD350</f>
        <v>5.34</v>
      </c>
      <c r="D260" s="6">
        <f t="shared" si="45"/>
        <v>0.275252525252527</v>
      </c>
      <c r="E260" s="7"/>
      <c r="F260" s="7"/>
      <c r="G260" s="8">
        <f t="shared" si="46"/>
        <v>0</v>
      </c>
      <c r="H260" s="8">
        <f t="shared" si="47"/>
        <v>0</v>
      </c>
      <c r="I260" s="9">
        <v>4125</v>
      </c>
      <c r="J260" s="10"/>
      <c r="K260" s="9">
        <f t="shared" si="48"/>
        <v>49500</v>
      </c>
      <c r="L260" s="8">
        <f t="shared" si="49"/>
        <v>0</v>
      </c>
      <c r="M260" s="11">
        <f t="shared" si="50"/>
        <v>1</v>
      </c>
      <c r="N260" s="12">
        <f t="shared" si="51"/>
        <v>0.275252525252527</v>
      </c>
      <c r="O260" s="9">
        <f t="shared" si="52"/>
        <v>27250.0000000002</v>
      </c>
      <c r="P260" s="13">
        <f t="shared" si="53"/>
        <v>0</v>
      </c>
    </row>
    <row r="261" spans="1:16">
      <c r="A261" s="3">
        <v>46096</v>
      </c>
      <c r="B261" s="4">
        <f>Data_Entry!X351</f>
        <v>26599.9999999997</v>
      </c>
      <c r="C261" s="5">
        <f>Data_Entry!AD351</f>
        <v>5.09</v>
      </c>
      <c r="D261" s="6">
        <f t="shared" si="45"/>
        <v>0.268686868686866</v>
      </c>
      <c r="E261" s="7"/>
      <c r="F261" s="7"/>
      <c r="G261" s="8">
        <f t="shared" si="46"/>
        <v>0</v>
      </c>
      <c r="H261" s="8">
        <f t="shared" si="47"/>
        <v>0</v>
      </c>
      <c r="I261" s="9">
        <v>4125</v>
      </c>
      <c r="J261" s="10"/>
      <c r="K261" s="9">
        <f t="shared" si="48"/>
        <v>49500</v>
      </c>
      <c r="L261" s="8">
        <f t="shared" si="49"/>
        <v>0</v>
      </c>
      <c r="M261" s="11">
        <f t="shared" si="50"/>
        <v>1</v>
      </c>
      <c r="N261" s="12">
        <f t="shared" si="51"/>
        <v>0.268686868686866</v>
      </c>
      <c r="O261" s="9">
        <f t="shared" si="52"/>
        <v>26599.9999999997</v>
      </c>
      <c r="P261" s="13">
        <f t="shared" si="53"/>
        <v>0</v>
      </c>
    </row>
    <row r="262" spans="1:16">
      <c r="A262" s="3">
        <v>46097</v>
      </c>
      <c r="B262" s="4">
        <f>Data_Entry!X352</f>
        <v>26900</v>
      </c>
      <c r="C262" s="5">
        <f>Data_Entry!AD352</f>
        <v>5.32</v>
      </c>
      <c r="D262" s="6">
        <f t="shared" si="45"/>
        <v>0.271717171717172</v>
      </c>
      <c r="E262" s="7"/>
      <c r="F262" s="7"/>
      <c r="G262" s="8">
        <f t="shared" si="46"/>
        <v>0</v>
      </c>
      <c r="H262" s="8">
        <f t="shared" si="47"/>
        <v>0</v>
      </c>
      <c r="I262" s="9">
        <v>4125</v>
      </c>
      <c r="J262" s="10"/>
      <c r="K262" s="9">
        <f t="shared" si="48"/>
        <v>49500</v>
      </c>
      <c r="L262" s="8">
        <f t="shared" si="49"/>
        <v>0</v>
      </c>
      <c r="M262" s="11">
        <f t="shared" si="50"/>
        <v>1</v>
      </c>
      <c r="N262" s="12">
        <f t="shared" si="51"/>
        <v>0.271717171717172</v>
      </c>
      <c r="O262" s="9">
        <f t="shared" si="52"/>
        <v>26900</v>
      </c>
      <c r="P262" s="13">
        <f t="shared" si="53"/>
        <v>0</v>
      </c>
    </row>
    <row r="263" spans="1:16">
      <c r="A263" s="3">
        <v>46098</v>
      </c>
      <c r="B263" s="4">
        <f>Data_Entry!X353</f>
        <v>26750.0000000001</v>
      </c>
      <c r="C263" s="5">
        <f>Data_Entry!AD353</f>
        <v>5.27</v>
      </c>
      <c r="D263" s="6">
        <f t="shared" si="45"/>
        <v>0.270202020202021</v>
      </c>
      <c r="E263" s="7"/>
      <c r="F263" s="7"/>
      <c r="G263" s="8">
        <f t="shared" si="46"/>
        <v>0</v>
      </c>
      <c r="H263" s="8">
        <f t="shared" si="47"/>
        <v>0</v>
      </c>
      <c r="I263" s="9">
        <v>4125</v>
      </c>
      <c r="J263" s="10"/>
      <c r="K263" s="9">
        <f t="shared" si="48"/>
        <v>49500</v>
      </c>
      <c r="L263" s="8">
        <f t="shared" si="49"/>
        <v>0</v>
      </c>
      <c r="M263" s="11">
        <f t="shared" si="50"/>
        <v>1</v>
      </c>
      <c r="N263" s="12">
        <f t="shared" si="51"/>
        <v>0.270202020202021</v>
      </c>
      <c r="O263" s="9">
        <f t="shared" si="52"/>
        <v>26750.0000000001</v>
      </c>
      <c r="P263" s="13">
        <f t="shared" si="53"/>
        <v>0</v>
      </c>
    </row>
    <row r="264" spans="1:16">
      <c r="A264" s="3">
        <v>46099</v>
      </c>
      <c r="B264" s="4">
        <f>Data_Entry!X354</f>
        <v>24549.9999999998</v>
      </c>
      <c r="C264" s="5">
        <f>Data_Entry!AD354</f>
        <v>4.93</v>
      </c>
      <c r="D264" s="6">
        <f t="shared" si="45"/>
        <v>0.247979797979796</v>
      </c>
      <c r="E264" s="7"/>
      <c r="F264" s="7"/>
      <c r="G264" s="8">
        <f t="shared" si="46"/>
        <v>0</v>
      </c>
      <c r="H264" s="8">
        <f t="shared" si="47"/>
        <v>0</v>
      </c>
      <c r="I264" s="9">
        <v>4125</v>
      </c>
      <c r="J264" s="10"/>
      <c r="K264" s="9">
        <f t="shared" si="48"/>
        <v>49500</v>
      </c>
      <c r="L264" s="8">
        <f t="shared" si="49"/>
        <v>0</v>
      </c>
      <c r="M264" s="11">
        <f t="shared" si="50"/>
        <v>1</v>
      </c>
      <c r="N264" s="12">
        <f t="shared" si="51"/>
        <v>0.247979797979796</v>
      </c>
      <c r="O264" s="9">
        <f t="shared" si="52"/>
        <v>24549.9999999998</v>
      </c>
      <c r="P264" s="13">
        <f t="shared" si="53"/>
        <v>0</v>
      </c>
    </row>
    <row r="265" spans="1:16">
      <c r="A265" s="3">
        <v>46100</v>
      </c>
      <c r="B265" s="4">
        <f>Data_Entry!X355</f>
        <v>17100.0000000004</v>
      </c>
      <c r="C265" s="5">
        <f>Data_Entry!AD355</f>
        <v>3.26</v>
      </c>
      <c r="D265" s="6">
        <f t="shared" si="45"/>
        <v>0.172727272727277</v>
      </c>
      <c r="E265" s="7"/>
      <c r="F265" s="7"/>
      <c r="G265" s="8">
        <f t="shared" si="46"/>
        <v>0</v>
      </c>
      <c r="H265" s="8">
        <f t="shared" si="47"/>
        <v>0</v>
      </c>
      <c r="I265" s="9">
        <v>4125</v>
      </c>
      <c r="J265" s="10"/>
      <c r="K265" s="9">
        <f t="shared" si="48"/>
        <v>49500</v>
      </c>
      <c r="L265" s="8">
        <f t="shared" si="49"/>
        <v>0</v>
      </c>
      <c r="M265" s="11">
        <f t="shared" si="50"/>
        <v>1</v>
      </c>
      <c r="N265" s="12">
        <f t="shared" si="51"/>
        <v>0.172727272727277</v>
      </c>
      <c r="O265" s="9">
        <f t="shared" si="52"/>
        <v>17100.0000000004</v>
      </c>
      <c r="P265" s="13">
        <f t="shared" si="53"/>
        <v>0</v>
      </c>
    </row>
    <row r="266" spans="1:16">
      <c r="A266" s="3">
        <v>46101</v>
      </c>
      <c r="B266" s="4">
        <f>Data_Entry!X356</f>
        <v>23349.9999999998</v>
      </c>
      <c r="C266" s="5">
        <f>Data_Entry!AD356</f>
        <v>3.71</v>
      </c>
      <c r="D266" s="6">
        <f t="shared" si="45"/>
        <v>0.235858585858584</v>
      </c>
      <c r="E266" s="7"/>
      <c r="F266" s="7"/>
      <c r="G266" s="8">
        <f t="shared" si="46"/>
        <v>0</v>
      </c>
      <c r="H266" s="8">
        <f t="shared" si="47"/>
        <v>0</v>
      </c>
      <c r="I266" s="9">
        <v>4125</v>
      </c>
      <c r="J266" s="10"/>
      <c r="K266" s="9">
        <f t="shared" si="48"/>
        <v>49500</v>
      </c>
      <c r="L266" s="8">
        <f t="shared" si="49"/>
        <v>0</v>
      </c>
      <c r="M266" s="11">
        <f t="shared" si="50"/>
        <v>1</v>
      </c>
      <c r="N266" s="12">
        <f t="shared" si="51"/>
        <v>0.235858585858584</v>
      </c>
      <c r="O266" s="9">
        <f t="shared" si="52"/>
        <v>23349.9999999998</v>
      </c>
      <c r="P266" s="13">
        <f t="shared" si="53"/>
        <v>0</v>
      </c>
    </row>
    <row r="267" spans="1:16">
      <c r="A267" s="3">
        <v>46102</v>
      </c>
      <c r="B267" s="4">
        <f>Data_Entry!X357</f>
        <v>25550.0000000001</v>
      </c>
      <c r="C267" s="5">
        <f>Data_Entry!AD357</f>
        <v>4.67</v>
      </c>
      <c r="D267" s="6">
        <f t="shared" ref="D267:D290" si="54">B267/(24*I267)</f>
        <v>0.258080808080809</v>
      </c>
      <c r="E267" s="7"/>
      <c r="F267" s="7"/>
      <c r="G267" s="8">
        <f t="shared" ref="G267:G290" si="55">(F267-E267)*24*60</f>
        <v>0</v>
      </c>
      <c r="H267" s="8">
        <f t="shared" ref="H267:H290" si="56">G267/60</f>
        <v>0</v>
      </c>
      <c r="I267" s="9">
        <v>4125</v>
      </c>
      <c r="J267" s="10"/>
      <c r="K267" s="9">
        <f t="shared" ref="K267:K290" si="57">I267*12</f>
        <v>49500</v>
      </c>
      <c r="L267" s="8">
        <f t="shared" ref="L267:L290" si="58">J267*H267</f>
        <v>0</v>
      </c>
      <c r="M267" s="11">
        <f t="shared" ref="M267:M290" si="59">(K267-L267)/K267</f>
        <v>1</v>
      </c>
      <c r="N267" s="12">
        <f t="shared" ref="N267:N290" si="60">D267/M267</f>
        <v>0.258080808080809</v>
      </c>
      <c r="O267" s="9">
        <f t="shared" ref="O267:O290" si="61">N267*I267*24</f>
        <v>25550.0000000001</v>
      </c>
      <c r="P267" s="13">
        <f t="shared" ref="P267:P290" si="62">O267-B267</f>
        <v>0</v>
      </c>
    </row>
    <row r="268" spans="1:16">
      <c r="A268" s="3">
        <v>46103</v>
      </c>
      <c r="B268" s="4">
        <f>Data_Entry!X358</f>
        <v>26300</v>
      </c>
      <c r="C268" s="5">
        <f>Data_Entry!AD358</f>
        <v>4.81</v>
      </c>
      <c r="D268" s="6">
        <f t="shared" si="54"/>
        <v>0.265656565656566</v>
      </c>
      <c r="E268" s="7"/>
      <c r="F268" s="7"/>
      <c r="G268" s="8">
        <f t="shared" si="55"/>
        <v>0</v>
      </c>
      <c r="H268" s="8">
        <f t="shared" si="56"/>
        <v>0</v>
      </c>
      <c r="I268" s="9">
        <v>4125</v>
      </c>
      <c r="J268" s="10"/>
      <c r="K268" s="9">
        <f t="shared" si="57"/>
        <v>49500</v>
      </c>
      <c r="L268" s="8">
        <f t="shared" si="58"/>
        <v>0</v>
      </c>
      <c r="M268" s="11">
        <f t="shared" si="59"/>
        <v>1</v>
      </c>
      <c r="N268" s="12">
        <f t="shared" si="60"/>
        <v>0.265656565656566</v>
      </c>
      <c r="O268" s="9">
        <f t="shared" si="61"/>
        <v>26300</v>
      </c>
      <c r="P268" s="13">
        <f t="shared" si="62"/>
        <v>0</v>
      </c>
    </row>
    <row r="269" spans="1:16">
      <c r="A269" s="3">
        <v>46104</v>
      </c>
      <c r="B269" s="4">
        <f>Data_Entry!X359</f>
        <v>27300.0000000002</v>
      </c>
      <c r="C269" s="5">
        <f>Data_Entry!AD359</f>
        <v>5.1</v>
      </c>
      <c r="D269" s="6">
        <f t="shared" si="54"/>
        <v>0.275757575757578</v>
      </c>
      <c r="E269" s="7"/>
      <c r="F269" s="7"/>
      <c r="G269" s="8">
        <f t="shared" si="55"/>
        <v>0</v>
      </c>
      <c r="H269" s="8">
        <f t="shared" si="56"/>
        <v>0</v>
      </c>
      <c r="I269" s="9">
        <v>4125</v>
      </c>
      <c r="J269" s="10"/>
      <c r="K269" s="9">
        <f t="shared" si="57"/>
        <v>49500</v>
      </c>
      <c r="L269" s="8">
        <f t="shared" si="58"/>
        <v>0</v>
      </c>
      <c r="M269" s="11">
        <f t="shared" si="59"/>
        <v>1</v>
      </c>
      <c r="N269" s="12">
        <f t="shared" si="60"/>
        <v>0.275757575757578</v>
      </c>
      <c r="O269" s="9">
        <f t="shared" si="61"/>
        <v>27300.0000000002</v>
      </c>
      <c r="P269" s="13">
        <f t="shared" si="62"/>
        <v>0</v>
      </c>
    </row>
    <row r="270" spans="1:16">
      <c r="A270" s="3">
        <v>46105</v>
      </c>
      <c r="B270" s="4">
        <f>Data_Entry!X360</f>
        <v>24249.9999999995</v>
      </c>
      <c r="C270" s="5">
        <f>Data_Entry!AD360</f>
        <v>4.35</v>
      </c>
      <c r="D270" s="6">
        <f t="shared" si="54"/>
        <v>0.24494949494949</v>
      </c>
      <c r="E270" s="7"/>
      <c r="F270" s="7"/>
      <c r="G270" s="8">
        <f t="shared" si="55"/>
        <v>0</v>
      </c>
      <c r="H270" s="8">
        <f t="shared" si="56"/>
        <v>0</v>
      </c>
      <c r="I270" s="9">
        <v>4125</v>
      </c>
      <c r="J270" s="10"/>
      <c r="K270" s="9">
        <f t="shared" si="57"/>
        <v>49500</v>
      </c>
      <c r="L270" s="8">
        <f t="shared" si="58"/>
        <v>0</v>
      </c>
      <c r="M270" s="11">
        <f t="shared" si="59"/>
        <v>1</v>
      </c>
      <c r="N270" s="12">
        <f t="shared" si="60"/>
        <v>0.24494949494949</v>
      </c>
      <c r="O270" s="9">
        <f t="shared" si="61"/>
        <v>24249.9999999995</v>
      </c>
      <c r="P270" s="13">
        <f t="shared" si="62"/>
        <v>0</v>
      </c>
    </row>
    <row r="271" spans="1:16">
      <c r="A271" s="3">
        <v>46106</v>
      </c>
      <c r="B271" s="4">
        <f>Data_Entry!X361</f>
        <v>26499.9999999998</v>
      </c>
      <c r="C271" s="5">
        <f>Data_Entry!AD361</f>
        <v>5.09</v>
      </c>
      <c r="D271" s="6">
        <f t="shared" si="54"/>
        <v>0.267676767676766</v>
      </c>
      <c r="E271" s="7"/>
      <c r="F271" s="7"/>
      <c r="G271" s="8">
        <f t="shared" si="55"/>
        <v>0</v>
      </c>
      <c r="H271" s="8">
        <f t="shared" si="56"/>
        <v>0</v>
      </c>
      <c r="I271" s="9">
        <v>4125</v>
      </c>
      <c r="J271" s="10"/>
      <c r="K271" s="9">
        <f t="shared" si="57"/>
        <v>49500</v>
      </c>
      <c r="L271" s="8">
        <f t="shared" si="58"/>
        <v>0</v>
      </c>
      <c r="M271" s="11">
        <f t="shared" si="59"/>
        <v>1</v>
      </c>
      <c r="N271" s="12">
        <f t="shared" si="60"/>
        <v>0.267676767676766</v>
      </c>
      <c r="O271" s="9">
        <f t="shared" si="61"/>
        <v>26499.9999999998</v>
      </c>
      <c r="P271" s="13">
        <f t="shared" si="62"/>
        <v>0</v>
      </c>
    </row>
    <row r="272" spans="1:16">
      <c r="A272" s="3">
        <v>46107</v>
      </c>
      <c r="B272" s="4">
        <f>Data_Entry!X362</f>
        <v>28050.0000000006</v>
      </c>
      <c r="C272" s="5">
        <f>Data_Entry!AD362</f>
        <v>5.05</v>
      </c>
      <c r="D272" s="6">
        <f t="shared" si="54"/>
        <v>0.283333333333339</v>
      </c>
      <c r="E272" s="7"/>
      <c r="F272" s="7"/>
      <c r="G272" s="8">
        <f t="shared" si="55"/>
        <v>0</v>
      </c>
      <c r="H272" s="8">
        <f t="shared" si="56"/>
        <v>0</v>
      </c>
      <c r="I272" s="9">
        <v>4125</v>
      </c>
      <c r="J272" s="10"/>
      <c r="K272" s="9">
        <f t="shared" si="57"/>
        <v>49500</v>
      </c>
      <c r="L272" s="8">
        <f t="shared" si="58"/>
        <v>0</v>
      </c>
      <c r="M272" s="11">
        <f t="shared" si="59"/>
        <v>1</v>
      </c>
      <c r="N272" s="12">
        <f t="shared" si="60"/>
        <v>0.283333333333339</v>
      </c>
      <c r="O272" s="9">
        <f t="shared" si="61"/>
        <v>28050.0000000006</v>
      </c>
      <c r="P272" s="13">
        <f t="shared" si="62"/>
        <v>0</v>
      </c>
    </row>
    <row r="273" spans="1:16">
      <c r="A273" s="3">
        <v>46108</v>
      </c>
      <c r="B273" s="4">
        <f>Data_Entry!X363</f>
        <v>28750</v>
      </c>
      <c r="C273" s="5">
        <f>Data_Entry!AD363</f>
        <v>5.34</v>
      </c>
      <c r="D273" s="6">
        <f t="shared" si="54"/>
        <v>0.29040404040404</v>
      </c>
      <c r="E273" s="7"/>
      <c r="F273" s="7"/>
      <c r="G273" s="8">
        <f t="shared" si="55"/>
        <v>0</v>
      </c>
      <c r="H273" s="8">
        <f t="shared" si="56"/>
        <v>0</v>
      </c>
      <c r="I273" s="9">
        <v>4125</v>
      </c>
      <c r="J273" s="10"/>
      <c r="K273" s="9">
        <f t="shared" si="57"/>
        <v>49500</v>
      </c>
      <c r="L273" s="8">
        <f t="shared" si="58"/>
        <v>0</v>
      </c>
      <c r="M273" s="11">
        <f t="shared" si="59"/>
        <v>1</v>
      </c>
      <c r="N273" s="12">
        <f t="shared" si="60"/>
        <v>0.29040404040404</v>
      </c>
      <c r="O273" s="9">
        <f t="shared" si="61"/>
        <v>28750</v>
      </c>
      <c r="P273" s="13">
        <f t="shared" si="62"/>
        <v>0</v>
      </c>
    </row>
    <row r="274" spans="1:16">
      <c r="A274" s="3">
        <v>46109</v>
      </c>
      <c r="B274" s="4">
        <f>Data_Entry!X364</f>
        <v>27350.0000000001</v>
      </c>
      <c r="C274" s="5">
        <f>Data_Entry!AD364</f>
        <v>4.98</v>
      </c>
      <c r="D274" s="6">
        <f t="shared" si="54"/>
        <v>0.276262626262627</v>
      </c>
      <c r="E274" s="7"/>
      <c r="F274" s="7"/>
      <c r="G274" s="8">
        <f t="shared" si="55"/>
        <v>0</v>
      </c>
      <c r="H274" s="8">
        <f t="shared" si="56"/>
        <v>0</v>
      </c>
      <c r="I274" s="9">
        <v>4125</v>
      </c>
      <c r="J274" s="10"/>
      <c r="K274" s="9">
        <f t="shared" si="57"/>
        <v>49500</v>
      </c>
      <c r="L274" s="8">
        <f t="shared" si="58"/>
        <v>0</v>
      </c>
      <c r="M274" s="11">
        <f t="shared" si="59"/>
        <v>1</v>
      </c>
      <c r="N274" s="12">
        <f t="shared" si="60"/>
        <v>0.276262626262627</v>
      </c>
      <c r="O274" s="9">
        <f t="shared" si="61"/>
        <v>27350.0000000001</v>
      </c>
      <c r="P274" s="13">
        <f t="shared" si="62"/>
        <v>0</v>
      </c>
    </row>
    <row r="275" spans="1:16">
      <c r="A275" s="3">
        <v>46110</v>
      </c>
      <c r="B275" s="4">
        <f>Data_Entry!X365</f>
        <v>24850.0000000001</v>
      </c>
      <c r="C275" s="5">
        <f>Data_Entry!AD365</f>
        <v>4.94</v>
      </c>
      <c r="D275" s="6">
        <f t="shared" si="54"/>
        <v>0.251010101010102</v>
      </c>
      <c r="E275" s="7"/>
      <c r="F275" s="7"/>
      <c r="G275" s="8">
        <f t="shared" si="55"/>
        <v>0</v>
      </c>
      <c r="H275" s="8">
        <f t="shared" si="56"/>
        <v>0</v>
      </c>
      <c r="I275" s="9">
        <v>4125</v>
      </c>
      <c r="J275" s="10"/>
      <c r="K275" s="9">
        <f t="shared" si="57"/>
        <v>49500</v>
      </c>
      <c r="L275" s="8">
        <f t="shared" si="58"/>
        <v>0</v>
      </c>
      <c r="M275" s="11">
        <f t="shared" si="59"/>
        <v>1</v>
      </c>
      <c r="N275" s="12">
        <f t="shared" si="60"/>
        <v>0.251010101010102</v>
      </c>
      <c r="O275" s="9">
        <f t="shared" si="61"/>
        <v>24850.0000000001</v>
      </c>
      <c r="P275" s="13">
        <f t="shared" si="62"/>
        <v>0</v>
      </c>
    </row>
    <row r="276" spans="1:16">
      <c r="A276" s="3">
        <v>46111</v>
      </c>
      <c r="B276" s="4">
        <f>Data_Entry!X366</f>
        <v>29299.9999999995</v>
      </c>
      <c r="C276" s="5">
        <f>Data_Entry!AD366</f>
        <v>4.89</v>
      </c>
      <c r="D276" s="6">
        <f t="shared" si="54"/>
        <v>0.295959595959591</v>
      </c>
      <c r="E276" s="7"/>
      <c r="F276" s="7"/>
      <c r="G276" s="8">
        <f t="shared" si="55"/>
        <v>0</v>
      </c>
      <c r="H276" s="8">
        <f t="shared" si="56"/>
        <v>0</v>
      </c>
      <c r="I276" s="9">
        <v>4125</v>
      </c>
      <c r="J276" s="10"/>
      <c r="K276" s="9">
        <f t="shared" si="57"/>
        <v>49500</v>
      </c>
      <c r="L276" s="8">
        <f t="shared" si="58"/>
        <v>0</v>
      </c>
      <c r="M276" s="11">
        <f t="shared" si="59"/>
        <v>1</v>
      </c>
      <c r="N276" s="12">
        <f t="shared" si="60"/>
        <v>0.295959595959591</v>
      </c>
      <c r="O276" s="9">
        <f t="shared" si="61"/>
        <v>29299.9999999995</v>
      </c>
      <c r="P276" s="13">
        <f t="shared" si="62"/>
        <v>0</v>
      </c>
    </row>
    <row r="277" spans="1:16">
      <c r="A277" s="3">
        <v>46112</v>
      </c>
      <c r="B277" s="4">
        <f>Data_Entry!X367</f>
        <v>27450</v>
      </c>
      <c r="C277" s="5">
        <f>Data_Entry!AD367</f>
        <v>5.4</v>
      </c>
      <c r="D277" s="6">
        <f t="shared" si="54"/>
        <v>0.277272727272727</v>
      </c>
      <c r="E277" s="7"/>
      <c r="F277" s="7"/>
      <c r="G277" s="8">
        <f t="shared" si="55"/>
        <v>0</v>
      </c>
      <c r="H277" s="8">
        <f t="shared" si="56"/>
        <v>0</v>
      </c>
      <c r="I277" s="9">
        <v>4125</v>
      </c>
      <c r="J277" s="10"/>
      <c r="K277" s="9">
        <f t="shared" si="57"/>
        <v>49500</v>
      </c>
      <c r="L277" s="8">
        <f t="shared" si="58"/>
        <v>0</v>
      </c>
      <c r="M277" s="11">
        <f t="shared" si="59"/>
        <v>1</v>
      </c>
      <c r="N277" s="12">
        <f t="shared" si="60"/>
        <v>0.277272727272727</v>
      </c>
      <c r="O277" s="9">
        <f t="shared" si="61"/>
        <v>27450</v>
      </c>
      <c r="P277" s="13">
        <f t="shared" si="62"/>
        <v>0</v>
      </c>
    </row>
    <row r="278" spans="1:16">
      <c r="A278" s="3">
        <v>46113</v>
      </c>
      <c r="B278" s="4">
        <f>Data_Entry!X368</f>
        <v>26749.9999999995</v>
      </c>
      <c r="C278" s="5">
        <f>Data_Entry!AD368</f>
        <v>5.12</v>
      </c>
      <c r="D278" s="6">
        <f t="shared" si="54"/>
        <v>0.270202020202015</v>
      </c>
      <c r="E278" s="7"/>
      <c r="F278" s="7"/>
      <c r="G278" s="8">
        <f t="shared" si="55"/>
        <v>0</v>
      </c>
      <c r="H278" s="8">
        <f t="shared" si="56"/>
        <v>0</v>
      </c>
      <c r="I278" s="9">
        <v>4125</v>
      </c>
      <c r="J278" s="10"/>
      <c r="K278" s="9">
        <f t="shared" si="57"/>
        <v>49500</v>
      </c>
      <c r="L278" s="8">
        <f t="shared" si="58"/>
        <v>0</v>
      </c>
      <c r="M278" s="11">
        <f t="shared" si="59"/>
        <v>1</v>
      </c>
      <c r="N278" s="12">
        <f t="shared" si="60"/>
        <v>0.270202020202015</v>
      </c>
      <c r="O278" s="9">
        <f t="shared" si="61"/>
        <v>26749.9999999995</v>
      </c>
      <c r="P278" s="13">
        <f t="shared" si="62"/>
        <v>0</v>
      </c>
    </row>
    <row r="279" spans="1:16">
      <c r="A279" s="3">
        <v>46114</v>
      </c>
      <c r="B279" s="4">
        <f>Data_Entry!X369</f>
        <v>23300.0000000004</v>
      </c>
      <c r="C279" s="5">
        <f>Data_Entry!AD369</f>
        <v>4.03</v>
      </c>
      <c r="D279" s="6">
        <f t="shared" si="54"/>
        <v>0.235353535353539</v>
      </c>
      <c r="E279" s="7"/>
      <c r="F279" s="7"/>
      <c r="G279" s="8">
        <f t="shared" si="55"/>
        <v>0</v>
      </c>
      <c r="H279" s="8">
        <f t="shared" si="56"/>
        <v>0</v>
      </c>
      <c r="I279" s="9">
        <v>4125</v>
      </c>
      <c r="J279" s="10"/>
      <c r="K279" s="9">
        <f t="shared" si="57"/>
        <v>49500</v>
      </c>
      <c r="L279" s="8">
        <f t="shared" si="58"/>
        <v>0</v>
      </c>
      <c r="M279" s="11">
        <f t="shared" si="59"/>
        <v>1</v>
      </c>
      <c r="N279" s="12">
        <f t="shared" si="60"/>
        <v>0.235353535353539</v>
      </c>
      <c r="O279" s="9">
        <f t="shared" si="61"/>
        <v>23300.0000000004</v>
      </c>
      <c r="P279" s="13">
        <f t="shared" si="62"/>
        <v>0</v>
      </c>
    </row>
    <row r="280" spans="1:16">
      <c r="A280" s="3">
        <v>46115</v>
      </c>
      <c r="B280" s="4">
        <f>Data_Entry!X370</f>
        <v>15850.0000000004</v>
      </c>
      <c r="C280" s="5">
        <f>Data_Entry!AD370</f>
        <v>2.6</v>
      </c>
      <c r="D280" s="6">
        <f t="shared" si="54"/>
        <v>0.160101010101014</v>
      </c>
      <c r="E280" s="7"/>
      <c r="F280" s="7"/>
      <c r="G280" s="8">
        <f t="shared" si="55"/>
        <v>0</v>
      </c>
      <c r="H280" s="8">
        <f t="shared" si="56"/>
        <v>0</v>
      </c>
      <c r="I280" s="9">
        <v>4125</v>
      </c>
      <c r="J280" s="10"/>
      <c r="K280" s="9">
        <f t="shared" si="57"/>
        <v>49500</v>
      </c>
      <c r="L280" s="8">
        <f t="shared" si="58"/>
        <v>0</v>
      </c>
      <c r="M280" s="11">
        <f t="shared" si="59"/>
        <v>1</v>
      </c>
      <c r="N280" s="12">
        <f t="shared" si="60"/>
        <v>0.160101010101014</v>
      </c>
      <c r="O280" s="9">
        <f t="shared" si="61"/>
        <v>15850.0000000004</v>
      </c>
      <c r="P280" s="13">
        <f t="shared" si="62"/>
        <v>0</v>
      </c>
    </row>
    <row r="281" spans="1:16">
      <c r="A281" s="3">
        <v>46116</v>
      </c>
      <c r="B281" s="4">
        <f>Data_Entry!X371</f>
        <v>29049.9999999997</v>
      </c>
      <c r="C281" s="5">
        <f>Data_Entry!AD371</f>
        <v>5.3</v>
      </c>
      <c r="D281" s="6">
        <f t="shared" si="54"/>
        <v>0.29343434343434</v>
      </c>
      <c r="E281" s="7"/>
      <c r="F281" s="7"/>
      <c r="G281" s="8">
        <f t="shared" si="55"/>
        <v>0</v>
      </c>
      <c r="H281" s="8">
        <f t="shared" si="56"/>
        <v>0</v>
      </c>
      <c r="I281" s="9">
        <v>4125</v>
      </c>
      <c r="J281" s="10"/>
      <c r="K281" s="9">
        <f t="shared" si="57"/>
        <v>49500</v>
      </c>
      <c r="L281" s="8">
        <f t="shared" si="58"/>
        <v>0</v>
      </c>
      <c r="M281" s="11">
        <f t="shared" si="59"/>
        <v>1</v>
      </c>
      <c r="N281" s="12">
        <f t="shared" si="60"/>
        <v>0.29343434343434</v>
      </c>
      <c r="O281" s="9">
        <f t="shared" si="61"/>
        <v>29049.9999999997</v>
      </c>
      <c r="P281" s="13">
        <f t="shared" si="62"/>
        <v>0</v>
      </c>
    </row>
    <row r="282" spans="1:16">
      <c r="A282" s="3">
        <v>46117</v>
      </c>
      <c r="B282" s="4">
        <f>Data_Entry!X372</f>
        <v>28700</v>
      </c>
      <c r="C282" s="5">
        <f>Data_Entry!AD372</f>
        <v>5.31</v>
      </c>
      <c r="D282" s="6">
        <f t="shared" si="54"/>
        <v>0.28989898989899</v>
      </c>
      <c r="E282" s="7"/>
      <c r="F282" s="7"/>
      <c r="G282" s="8">
        <f t="shared" si="55"/>
        <v>0</v>
      </c>
      <c r="H282" s="8">
        <f t="shared" si="56"/>
        <v>0</v>
      </c>
      <c r="I282" s="9">
        <v>4125</v>
      </c>
      <c r="J282" s="10"/>
      <c r="K282" s="9">
        <f t="shared" si="57"/>
        <v>49500</v>
      </c>
      <c r="L282" s="8">
        <f t="shared" si="58"/>
        <v>0</v>
      </c>
      <c r="M282" s="11">
        <f t="shared" si="59"/>
        <v>1</v>
      </c>
      <c r="N282" s="12">
        <f t="shared" si="60"/>
        <v>0.28989898989899</v>
      </c>
      <c r="O282" s="9">
        <f t="shared" si="61"/>
        <v>28700</v>
      </c>
      <c r="P282" s="13">
        <f t="shared" si="62"/>
        <v>0</v>
      </c>
    </row>
    <row r="283" spans="1:16">
      <c r="A283" s="3">
        <v>46118</v>
      </c>
      <c r="B283" s="4">
        <f>Data_Entry!X373</f>
        <v>28300.0000000004</v>
      </c>
      <c r="C283" s="5">
        <f>Data_Entry!AD373</f>
        <v>5.27</v>
      </c>
      <c r="D283" s="6">
        <f t="shared" si="54"/>
        <v>0.28585858585859</v>
      </c>
      <c r="E283" s="7"/>
      <c r="F283" s="7"/>
      <c r="G283" s="8">
        <f t="shared" si="55"/>
        <v>0</v>
      </c>
      <c r="H283" s="8">
        <f t="shared" si="56"/>
        <v>0</v>
      </c>
      <c r="I283" s="9">
        <v>4125</v>
      </c>
      <c r="J283" s="10"/>
      <c r="K283" s="9">
        <f t="shared" si="57"/>
        <v>49500</v>
      </c>
      <c r="L283" s="8">
        <f t="shared" si="58"/>
        <v>0</v>
      </c>
      <c r="M283" s="11">
        <f t="shared" si="59"/>
        <v>1</v>
      </c>
      <c r="N283" s="12">
        <f t="shared" si="60"/>
        <v>0.28585858585859</v>
      </c>
      <c r="O283" s="9">
        <f t="shared" si="61"/>
        <v>28300.0000000004</v>
      </c>
      <c r="P283" s="13">
        <f t="shared" si="62"/>
        <v>0</v>
      </c>
    </row>
    <row r="284" spans="1:16">
      <c r="A284" s="3">
        <v>46119</v>
      </c>
      <c r="B284" s="4">
        <f>Data_Entry!X374</f>
        <v>25749.9999999993</v>
      </c>
      <c r="C284" s="5">
        <f>Data_Entry!AD374</f>
        <v>5.08</v>
      </c>
      <c r="D284" s="6">
        <f t="shared" si="54"/>
        <v>0.260101010101003</v>
      </c>
      <c r="E284" s="7"/>
      <c r="F284" s="7"/>
      <c r="G284" s="8">
        <f t="shared" si="55"/>
        <v>0</v>
      </c>
      <c r="H284" s="8">
        <f t="shared" si="56"/>
        <v>0</v>
      </c>
      <c r="I284" s="9">
        <v>4125</v>
      </c>
      <c r="J284" s="10"/>
      <c r="K284" s="9">
        <f t="shared" si="57"/>
        <v>49500</v>
      </c>
      <c r="L284" s="8">
        <f t="shared" si="58"/>
        <v>0</v>
      </c>
      <c r="M284" s="11">
        <f t="shared" si="59"/>
        <v>1</v>
      </c>
      <c r="N284" s="12">
        <f t="shared" si="60"/>
        <v>0.260101010101003</v>
      </c>
      <c r="O284" s="9">
        <f t="shared" si="61"/>
        <v>25749.9999999993</v>
      </c>
      <c r="P284" s="13">
        <f t="shared" si="62"/>
        <v>0</v>
      </c>
    </row>
    <row r="285" spans="1:16">
      <c r="A285" s="3">
        <v>46120</v>
      </c>
      <c r="B285" s="4">
        <f>Data_Entry!X375</f>
        <v>26950.0000000005</v>
      </c>
      <c r="C285" s="5">
        <f>Data_Entry!AD375</f>
        <v>5.12</v>
      </c>
      <c r="D285" s="6">
        <f t="shared" si="54"/>
        <v>0.272222222222227</v>
      </c>
      <c r="E285" s="7"/>
      <c r="F285" s="7"/>
      <c r="G285" s="8">
        <f t="shared" si="55"/>
        <v>0</v>
      </c>
      <c r="H285" s="8">
        <f t="shared" si="56"/>
        <v>0</v>
      </c>
      <c r="I285" s="9">
        <v>4125</v>
      </c>
      <c r="J285" s="10"/>
      <c r="K285" s="9">
        <f t="shared" si="57"/>
        <v>49500</v>
      </c>
      <c r="L285" s="8">
        <f t="shared" si="58"/>
        <v>0</v>
      </c>
      <c r="M285" s="11">
        <f t="shared" si="59"/>
        <v>1</v>
      </c>
      <c r="N285" s="12">
        <f t="shared" si="60"/>
        <v>0.272222222222227</v>
      </c>
      <c r="O285" s="9">
        <f t="shared" si="61"/>
        <v>26950.0000000005</v>
      </c>
      <c r="P285" s="13">
        <f t="shared" si="62"/>
        <v>0</v>
      </c>
    </row>
    <row r="286" spans="1:16">
      <c r="A286" s="3">
        <v>46121</v>
      </c>
      <c r="B286" s="4">
        <f>Data_Entry!X376</f>
        <v>26549.9999999997</v>
      </c>
      <c r="C286" s="5">
        <f>Data_Entry!AD376</f>
        <v>4.81</v>
      </c>
      <c r="D286" s="6">
        <f t="shared" si="54"/>
        <v>0.268181818181815</v>
      </c>
      <c r="E286" s="7"/>
      <c r="F286" s="7"/>
      <c r="G286" s="8">
        <f t="shared" si="55"/>
        <v>0</v>
      </c>
      <c r="H286" s="8">
        <f t="shared" si="56"/>
        <v>0</v>
      </c>
      <c r="I286" s="9">
        <v>4125</v>
      </c>
      <c r="J286" s="10"/>
      <c r="K286" s="9">
        <f t="shared" si="57"/>
        <v>49500</v>
      </c>
      <c r="L286" s="8">
        <f t="shared" si="58"/>
        <v>0</v>
      </c>
      <c r="M286" s="11">
        <f t="shared" si="59"/>
        <v>1</v>
      </c>
      <c r="N286" s="12">
        <f t="shared" si="60"/>
        <v>0.268181818181815</v>
      </c>
      <c r="O286" s="9">
        <f t="shared" si="61"/>
        <v>26549.9999999997</v>
      </c>
      <c r="P286" s="13">
        <f t="shared" si="62"/>
        <v>0</v>
      </c>
    </row>
    <row r="287" spans="1:16">
      <c r="A287" s="3">
        <v>46122</v>
      </c>
      <c r="B287" s="4">
        <f>Data_Entry!X377</f>
        <v>26799.9999999995</v>
      </c>
      <c r="C287" s="5">
        <f>Data_Entry!AD377</f>
        <v>5.14</v>
      </c>
      <c r="D287" s="6">
        <f t="shared" si="54"/>
        <v>0.270707070707066</v>
      </c>
      <c r="E287" s="7"/>
      <c r="F287" s="7"/>
      <c r="G287" s="8">
        <f t="shared" si="55"/>
        <v>0</v>
      </c>
      <c r="H287" s="8">
        <f t="shared" si="56"/>
        <v>0</v>
      </c>
      <c r="I287" s="9">
        <v>4125</v>
      </c>
      <c r="J287" s="10"/>
      <c r="K287" s="9">
        <f t="shared" si="57"/>
        <v>49500</v>
      </c>
      <c r="L287" s="8">
        <f t="shared" si="58"/>
        <v>0</v>
      </c>
      <c r="M287" s="11">
        <f t="shared" si="59"/>
        <v>1</v>
      </c>
      <c r="N287" s="12">
        <f t="shared" si="60"/>
        <v>0.270707070707066</v>
      </c>
      <c r="O287" s="9">
        <f t="shared" si="61"/>
        <v>26799.9999999995</v>
      </c>
      <c r="P287" s="13">
        <f t="shared" si="62"/>
        <v>0</v>
      </c>
    </row>
    <row r="288" spans="1:16">
      <c r="A288" s="3">
        <v>46123</v>
      </c>
      <c r="B288" s="4">
        <f>Data_Entry!X378</f>
        <v>27050.0000000004</v>
      </c>
      <c r="C288" s="5">
        <f>Data_Entry!AD378</f>
        <v>5.23</v>
      </c>
      <c r="D288" s="6">
        <f t="shared" si="54"/>
        <v>0.273232323232327</v>
      </c>
      <c r="E288" s="7">
        <v>0.679166666666667</v>
      </c>
      <c r="F288" s="7">
        <v>0.682638888888889</v>
      </c>
      <c r="G288" s="8">
        <f t="shared" si="55"/>
        <v>4.99999999999966</v>
      </c>
      <c r="H288" s="8">
        <f t="shared" si="56"/>
        <v>0.0833333333333277</v>
      </c>
      <c r="I288" s="9">
        <v>4125</v>
      </c>
      <c r="J288" s="10">
        <v>4125</v>
      </c>
      <c r="K288" s="9">
        <f t="shared" si="57"/>
        <v>49500</v>
      </c>
      <c r="L288" s="8">
        <f t="shared" si="58"/>
        <v>343.749999999977</v>
      </c>
      <c r="M288" s="11">
        <f t="shared" si="59"/>
        <v>0.993055555555556</v>
      </c>
      <c r="N288" s="12">
        <f t="shared" si="60"/>
        <v>0.275143038779406</v>
      </c>
      <c r="O288" s="9">
        <f t="shared" si="61"/>
        <v>27239.1608391612</v>
      </c>
      <c r="P288" s="13">
        <f t="shared" si="62"/>
        <v>189.160839160824</v>
      </c>
    </row>
    <row r="289" spans="1:16">
      <c r="A289" s="3">
        <v>46124</v>
      </c>
      <c r="B289" s="4">
        <f>Data_Entry!X379</f>
        <v>27400.0000000001</v>
      </c>
      <c r="C289" s="5">
        <f>Data_Entry!AD379</f>
        <v>5.18</v>
      </c>
      <c r="D289" s="6">
        <f t="shared" si="54"/>
        <v>0.276767676767678</v>
      </c>
      <c r="E289" s="7"/>
      <c r="F289" s="7"/>
      <c r="G289" s="8">
        <f t="shared" si="55"/>
        <v>0</v>
      </c>
      <c r="H289" s="8">
        <f t="shared" si="56"/>
        <v>0</v>
      </c>
      <c r="I289" s="9">
        <v>4125</v>
      </c>
      <c r="J289" s="10"/>
      <c r="K289" s="9">
        <f t="shared" si="57"/>
        <v>49500</v>
      </c>
      <c r="L289" s="8">
        <f t="shared" si="58"/>
        <v>0</v>
      </c>
      <c r="M289" s="11">
        <f t="shared" si="59"/>
        <v>1</v>
      </c>
      <c r="N289" s="12">
        <f t="shared" si="60"/>
        <v>0.276767676767678</v>
      </c>
      <c r="O289" s="9">
        <f t="shared" si="61"/>
        <v>27400.0000000001</v>
      </c>
      <c r="P289" s="13">
        <f t="shared" si="62"/>
        <v>0</v>
      </c>
    </row>
    <row r="290" spans="1:16">
      <c r="A290" s="3">
        <v>46125</v>
      </c>
      <c r="B290" s="4">
        <f>Data_Entry!X380</f>
        <v>27599.9999999999</v>
      </c>
      <c r="C290" s="5">
        <f>Data_Entry!AD380</f>
        <v>5.36</v>
      </c>
      <c r="D290" s="6">
        <f t="shared" si="54"/>
        <v>0.278787878787878</v>
      </c>
      <c r="E290" s="7"/>
      <c r="F290" s="7"/>
      <c r="G290" s="8">
        <f t="shared" si="55"/>
        <v>0</v>
      </c>
      <c r="H290" s="8">
        <f t="shared" si="56"/>
        <v>0</v>
      </c>
      <c r="I290" s="9">
        <v>4125</v>
      </c>
      <c r="J290" s="10"/>
      <c r="K290" s="9">
        <f t="shared" si="57"/>
        <v>49500</v>
      </c>
      <c r="L290" s="8">
        <f t="shared" si="58"/>
        <v>0</v>
      </c>
      <c r="M290" s="11">
        <f t="shared" si="59"/>
        <v>1</v>
      </c>
      <c r="N290" s="12">
        <f t="shared" si="60"/>
        <v>0.278787878787878</v>
      </c>
      <c r="O290" s="9">
        <f t="shared" si="61"/>
        <v>27599.9999999999</v>
      </c>
      <c r="P290" s="13">
        <f t="shared" si="62"/>
        <v>0</v>
      </c>
    </row>
    <row r="291" spans="1:16">
      <c r="A291" s="3">
        <v>46126</v>
      </c>
      <c r="B291" s="4">
        <f>Data_Entry!X381</f>
        <v>28800</v>
      </c>
      <c r="C291" s="5">
        <f>Data_Entry!AD381</f>
        <v>5.42</v>
      </c>
      <c r="D291" s="6">
        <f t="shared" ref="D291:D296" si="63">B291/(24*I291)</f>
        <v>0.290909090909091</v>
      </c>
      <c r="E291" s="7"/>
      <c r="F291" s="7"/>
      <c r="G291" s="8">
        <f t="shared" ref="G291:G296" si="64">(F291-E291)*24*60</f>
        <v>0</v>
      </c>
      <c r="H291" s="8">
        <f t="shared" ref="H291:H296" si="65">G291/60</f>
        <v>0</v>
      </c>
      <c r="I291" s="9">
        <v>4125</v>
      </c>
      <c r="J291" s="10"/>
      <c r="K291" s="9">
        <f t="shared" ref="K291:K296" si="66">I291*12</f>
        <v>49500</v>
      </c>
      <c r="L291" s="8">
        <f t="shared" ref="L291:L296" si="67">J291*H291</f>
        <v>0</v>
      </c>
      <c r="M291" s="11">
        <f t="shared" ref="M291:M296" si="68">(K291-L291)/K291</f>
        <v>1</v>
      </c>
      <c r="N291" s="12">
        <f t="shared" ref="N291:N296" si="69">D291/M291</f>
        <v>0.290909090909091</v>
      </c>
      <c r="O291" s="9">
        <f t="shared" ref="O291:O296" si="70">N291*I291*24</f>
        <v>28800</v>
      </c>
      <c r="P291" s="13">
        <f t="shared" ref="P291:P296" si="71">O291-B291</f>
        <v>0</v>
      </c>
    </row>
    <row r="292" spans="1:16">
      <c r="A292" s="3">
        <v>46127</v>
      </c>
      <c r="B292" s="4">
        <f>Data_Entry!X382</f>
        <v>29049.9999999997</v>
      </c>
      <c r="C292" s="5">
        <f>Data_Entry!AD382</f>
        <v>5.65</v>
      </c>
      <c r="D292" s="6">
        <f t="shared" si="63"/>
        <v>0.29343434343434</v>
      </c>
      <c r="E292" s="7"/>
      <c r="F292" s="7"/>
      <c r="G292" s="8">
        <f t="shared" si="64"/>
        <v>0</v>
      </c>
      <c r="H292" s="8">
        <f t="shared" si="65"/>
        <v>0</v>
      </c>
      <c r="I292" s="9">
        <v>4125</v>
      </c>
      <c r="J292" s="10"/>
      <c r="K292" s="9">
        <f t="shared" si="66"/>
        <v>49500</v>
      </c>
      <c r="L292" s="8">
        <f t="shared" si="67"/>
        <v>0</v>
      </c>
      <c r="M292" s="11">
        <f t="shared" si="68"/>
        <v>1</v>
      </c>
      <c r="N292" s="12">
        <f t="shared" si="69"/>
        <v>0.29343434343434</v>
      </c>
      <c r="O292" s="9">
        <f t="shared" si="70"/>
        <v>29049.9999999997</v>
      </c>
      <c r="P292" s="13">
        <f t="shared" si="71"/>
        <v>0</v>
      </c>
    </row>
    <row r="293" spans="1:16">
      <c r="A293" s="3">
        <v>46128</v>
      </c>
      <c r="B293" s="4">
        <f>Data_Entry!X383</f>
        <v>28000.0000000007</v>
      </c>
      <c r="C293" s="5">
        <f>Data_Entry!AD383</f>
        <v>5.58</v>
      </c>
      <c r="D293" s="6">
        <f t="shared" si="63"/>
        <v>0.28282828282829</v>
      </c>
      <c r="E293" s="7"/>
      <c r="F293" s="7"/>
      <c r="G293" s="8">
        <f t="shared" si="64"/>
        <v>0</v>
      </c>
      <c r="H293" s="8">
        <f t="shared" si="65"/>
        <v>0</v>
      </c>
      <c r="I293" s="9">
        <v>4125</v>
      </c>
      <c r="J293" s="10"/>
      <c r="K293" s="9">
        <f t="shared" si="66"/>
        <v>49500</v>
      </c>
      <c r="L293" s="8">
        <f t="shared" si="67"/>
        <v>0</v>
      </c>
      <c r="M293" s="11">
        <f t="shared" si="68"/>
        <v>1</v>
      </c>
      <c r="N293" s="12">
        <f t="shared" si="69"/>
        <v>0.28282828282829</v>
      </c>
      <c r="O293" s="9">
        <f t="shared" si="70"/>
        <v>28000.0000000007</v>
      </c>
      <c r="P293" s="13">
        <f t="shared" si="71"/>
        <v>0</v>
      </c>
    </row>
    <row r="294" spans="1:16">
      <c r="A294" s="3">
        <v>46129</v>
      </c>
      <c r="B294" s="4">
        <f>Data_Entry!X384</f>
        <v>26899.9999999994</v>
      </c>
      <c r="C294" s="5">
        <f>Data_Entry!AD384</f>
        <v>5.63</v>
      </c>
      <c r="D294" s="6">
        <f t="shared" si="63"/>
        <v>0.271717171717166</v>
      </c>
      <c r="E294" s="7"/>
      <c r="F294" s="7"/>
      <c r="G294" s="8">
        <f t="shared" si="64"/>
        <v>0</v>
      </c>
      <c r="H294" s="8">
        <f t="shared" si="65"/>
        <v>0</v>
      </c>
      <c r="I294" s="9">
        <v>4125</v>
      </c>
      <c r="J294" s="10"/>
      <c r="K294" s="9">
        <f t="shared" si="66"/>
        <v>49500</v>
      </c>
      <c r="L294" s="8">
        <f t="shared" si="67"/>
        <v>0</v>
      </c>
      <c r="M294" s="11">
        <f t="shared" si="68"/>
        <v>1</v>
      </c>
      <c r="N294" s="12">
        <f t="shared" si="69"/>
        <v>0.271717171717166</v>
      </c>
      <c r="O294" s="9">
        <f t="shared" si="70"/>
        <v>26899.9999999994</v>
      </c>
      <c r="P294" s="13">
        <f t="shared" si="71"/>
        <v>0</v>
      </c>
    </row>
    <row r="295" spans="1:16">
      <c r="A295" s="3">
        <v>46130</v>
      </c>
      <c r="B295" s="4">
        <f>Data_Entry!X385</f>
        <v>26750.0000000007</v>
      </c>
      <c r="C295" s="5">
        <f>Data_Entry!AD385</f>
        <v>5.43</v>
      </c>
      <c r="D295" s="6">
        <f t="shared" si="63"/>
        <v>0.270202020202027</v>
      </c>
      <c r="E295" s="7"/>
      <c r="F295" s="7"/>
      <c r="G295" s="8">
        <f t="shared" si="64"/>
        <v>0</v>
      </c>
      <c r="H295" s="8">
        <f t="shared" si="65"/>
        <v>0</v>
      </c>
      <c r="I295" s="9">
        <v>4125</v>
      </c>
      <c r="J295" s="10"/>
      <c r="K295" s="9">
        <f t="shared" si="66"/>
        <v>49500</v>
      </c>
      <c r="L295" s="8">
        <f t="shared" si="67"/>
        <v>0</v>
      </c>
      <c r="M295" s="11">
        <f t="shared" si="68"/>
        <v>1</v>
      </c>
      <c r="N295" s="12">
        <f t="shared" si="69"/>
        <v>0.270202020202027</v>
      </c>
      <c r="O295" s="9">
        <f t="shared" si="70"/>
        <v>26750.0000000007</v>
      </c>
      <c r="P295" s="13">
        <f t="shared" si="71"/>
        <v>0</v>
      </c>
    </row>
    <row r="296" spans="1:16">
      <c r="A296" s="3">
        <v>46131</v>
      </c>
      <c r="B296" s="4">
        <f>Data_Entry!X386</f>
        <v>27049.9999999993</v>
      </c>
      <c r="C296" s="5">
        <f>Data_Entry!AD386</f>
        <v>5.13</v>
      </c>
      <c r="D296" s="6">
        <f t="shared" si="63"/>
        <v>0.273232323232316</v>
      </c>
      <c r="E296" s="7"/>
      <c r="F296" s="7"/>
      <c r="G296" s="8">
        <f t="shared" si="64"/>
        <v>0</v>
      </c>
      <c r="H296" s="8">
        <f t="shared" si="65"/>
        <v>0</v>
      </c>
      <c r="I296" s="9">
        <v>4125</v>
      </c>
      <c r="J296" s="10"/>
      <c r="K296" s="9">
        <f t="shared" si="66"/>
        <v>49500</v>
      </c>
      <c r="L296" s="8">
        <f t="shared" si="67"/>
        <v>0</v>
      </c>
      <c r="M296" s="11">
        <f t="shared" si="68"/>
        <v>1</v>
      </c>
      <c r="N296" s="12">
        <f t="shared" si="69"/>
        <v>0.273232323232316</v>
      </c>
      <c r="O296" s="9">
        <f t="shared" si="70"/>
        <v>27049.9999999993</v>
      </c>
      <c r="P296" s="13">
        <f t="shared" si="71"/>
        <v>0</v>
      </c>
    </row>
    <row r="297" spans="1:16">
      <c r="A297" s="3">
        <v>46132</v>
      </c>
      <c r="B297" s="4">
        <f>Data_Entry!X387</f>
        <v>28650.0000000001</v>
      </c>
      <c r="C297" s="5">
        <f>Data_Entry!AD387</f>
        <v>5.53</v>
      </c>
      <c r="D297" s="6">
        <f t="shared" ref="D297:D313" si="72">B297/(24*I297)</f>
        <v>0.28939393939394</v>
      </c>
      <c r="E297" s="7"/>
      <c r="F297" s="7"/>
      <c r="G297" s="8">
        <f t="shared" ref="G297:G313" si="73">(F297-E297)*24*60</f>
        <v>0</v>
      </c>
      <c r="H297" s="8">
        <f t="shared" ref="H297:H313" si="74">G297/60</f>
        <v>0</v>
      </c>
      <c r="I297" s="9">
        <v>4125</v>
      </c>
      <c r="J297" s="10"/>
      <c r="K297" s="9">
        <f t="shared" ref="K297:K313" si="75">I297*12</f>
        <v>49500</v>
      </c>
      <c r="L297" s="8">
        <f t="shared" ref="L297:L313" si="76">J297*H297</f>
        <v>0</v>
      </c>
      <c r="M297" s="11">
        <f t="shared" ref="M297:M313" si="77">(K297-L297)/K297</f>
        <v>1</v>
      </c>
      <c r="N297" s="12">
        <f t="shared" ref="N297:N313" si="78">D297/M297</f>
        <v>0.28939393939394</v>
      </c>
      <c r="O297" s="9">
        <f t="shared" ref="O297:O313" si="79">N297*I297*24</f>
        <v>28650.0000000001</v>
      </c>
      <c r="P297" s="13">
        <f t="shared" ref="P297:P313" si="80">O297-B297</f>
        <v>0</v>
      </c>
    </row>
    <row r="298" spans="1:16">
      <c r="A298" s="3">
        <v>46133</v>
      </c>
      <c r="B298" s="4">
        <f>Data_Entry!X388</f>
        <v>28550.0000000002</v>
      </c>
      <c r="C298" s="5">
        <f>Data_Entry!AD388</f>
        <v>5.05</v>
      </c>
      <c r="D298" s="6">
        <f t="shared" si="72"/>
        <v>0.28838383838384</v>
      </c>
      <c r="E298" s="7"/>
      <c r="F298" s="7"/>
      <c r="G298" s="8">
        <f t="shared" si="73"/>
        <v>0</v>
      </c>
      <c r="H298" s="8">
        <f t="shared" si="74"/>
        <v>0</v>
      </c>
      <c r="I298" s="9">
        <v>4125</v>
      </c>
      <c r="J298" s="10"/>
      <c r="K298" s="9">
        <f t="shared" si="75"/>
        <v>49500</v>
      </c>
      <c r="L298" s="8">
        <f t="shared" si="76"/>
        <v>0</v>
      </c>
      <c r="M298" s="11">
        <f t="shared" si="77"/>
        <v>1</v>
      </c>
      <c r="N298" s="12">
        <f t="shared" si="78"/>
        <v>0.28838383838384</v>
      </c>
      <c r="O298" s="9">
        <f t="shared" si="79"/>
        <v>28550.0000000002</v>
      </c>
      <c r="P298" s="13">
        <f t="shared" si="80"/>
        <v>0</v>
      </c>
    </row>
    <row r="299" spans="1:16">
      <c r="A299" s="3">
        <v>46134</v>
      </c>
      <c r="B299" s="4">
        <f>Data_Entry!X389</f>
        <v>28849.9999999999</v>
      </c>
      <c r="C299" s="5">
        <f>Data_Entry!AD389</f>
        <v>5.53</v>
      </c>
      <c r="D299" s="6">
        <f t="shared" si="72"/>
        <v>0.29141414141414</v>
      </c>
      <c r="E299" s="7"/>
      <c r="F299" s="7"/>
      <c r="G299" s="8">
        <f t="shared" si="73"/>
        <v>0</v>
      </c>
      <c r="H299" s="8">
        <f t="shared" si="74"/>
        <v>0</v>
      </c>
      <c r="I299" s="9">
        <v>4125</v>
      </c>
      <c r="J299" s="10"/>
      <c r="K299" s="9">
        <f t="shared" si="75"/>
        <v>49500</v>
      </c>
      <c r="L299" s="8">
        <f t="shared" si="76"/>
        <v>0</v>
      </c>
      <c r="M299" s="11">
        <f t="shared" si="77"/>
        <v>1</v>
      </c>
      <c r="N299" s="12">
        <f t="shared" si="78"/>
        <v>0.29141414141414</v>
      </c>
      <c r="O299" s="9">
        <f t="shared" si="79"/>
        <v>28849.9999999999</v>
      </c>
      <c r="P299" s="13">
        <f t="shared" si="80"/>
        <v>0</v>
      </c>
    </row>
    <row r="300" spans="1:16">
      <c r="A300" s="3">
        <v>46135</v>
      </c>
      <c r="B300" s="4">
        <f>Data_Entry!X390</f>
        <v>28200.0000000005</v>
      </c>
      <c r="C300" s="5">
        <f>Data_Entry!AD390</f>
        <v>5.34</v>
      </c>
      <c r="D300" s="6">
        <f t="shared" si="72"/>
        <v>0.28484848484849</v>
      </c>
      <c r="E300" s="7"/>
      <c r="F300" s="7"/>
      <c r="G300" s="8">
        <f t="shared" si="73"/>
        <v>0</v>
      </c>
      <c r="H300" s="8">
        <f t="shared" si="74"/>
        <v>0</v>
      </c>
      <c r="I300" s="9">
        <v>4125</v>
      </c>
      <c r="J300" s="10"/>
      <c r="K300" s="9">
        <f t="shared" si="75"/>
        <v>49500</v>
      </c>
      <c r="L300" s="8">
        <f t="shared" si="76"/>
        <v>0</v>
      </c>
      <c r="M300" s="11">
        <f t="shared" si="77"/>
        <v>1</v>
      </c>
      <c r="N300" s="12">
        <f t="shared" si="78"/>
        <v>0.28484848484849</v>
      </c>
      <c r="O300" s="9">
        <f t="shared" si="79"/>
        <v>28200.0000000005</v>
      </c>
      <c r="P300" s="13">
        <f t="shared" si="80"/>
        <v>0</v>
      </c>
    </row>
    <row r="301" spans="1:16">
      <c r="A301" s="3">
        <v>46136</v>
      </c>
      <c r="B301" s="4">
        <f>Data_Entry!X391</f>
        <v>24149.9999999996</v>
      </c>
      <c r="C301" s="5">
        <f>Data_Entry!AD391</f>
        <v>5.51</v>
      </c>
      <c r="D301" s="6">
        <f t="shared" si="72"/>
        <v>0.24393939393939</v>
      </c>
      <c r="E301" s="7"/>
      <c r="F301" s="7"/>
      <c r="G301" s="8">
        <f t="shared" si="73"/>
        <v>0</v>
      </c>
      <c r="H301" s="8">
        <f t="shared" si="74"/>
        <v>0</v>
      </c>
      <c r="I301" s="9">
        <v>4125</v>
      </c>
      <c r="J301" s="10"/>
      <c r="K301" s="9">
        <f t="shared" si="75"/>
        <v>49500</v>
      </c>
      <c r="L301" s="8">
        <f t="shared" si="76"/>
        <v>0</v>
      </c>
      <c r="M301" s="11">
        <f t="shared" si="77"/>
        <v>1</v>
      </c>
      <c r="N301" s="12">
        <f t="shared" si="78"/>
        <v>0.24393939393939</v>
      </c>
      <c r="O301" s="9">
        <f t="shared" si="79"/>
        <v>24149.9999999996</v>
      </c>
      <c r="P301" s="13">
        <f t="shared" si="80"/>
        <v>0</v>
      </c>
    </row>
    <row r="302" spans="1:16">
      <c r="A302" s="3">
        <v>46137</v>
      </c>
      <c r="B302" s="4">
        <f>Data_Entry!X392</f>
        <v>32749.9999999998</v>
      </c>
      <c r="C302" s="5">
        <f>Data_Entry!AD392</f>
        <v>5.35</v>
      </c>
      <c r="D302" s="6">
        <f t="shared" si="72"/>
        <v>0.330808080808079</v>
      </c>
      <c r="E302" s="7"/>
      <c r="F302" s="7"/>
      <c r="G302" s="8">
        <f t="shared" si="73"/>
        <v>0</v>
      </c>
      <c r="H302" s="8">
        <f t="shared" si="74"/>
        <v>0</v>
      </c>
      <c r="I302" s="9">
        <v>4125</v>
      </c>
      <c r="J302" s="10"/>
      <c r="K302" s="9">
        <f t="shared" si="75"/>
        <v>49500</v>
      </c>
      <c r="L302" s="8">
        <f t="shared" si="76"/>
        <v>0</v>
      </c>
      <c r="M302" s="11">
        <f t="shared" si="77"/>
        <v>1</v>
      </c>
      <c r="N302" s="12">
        <f t="shared" si="78"/>
        <v>0.330808080808079</v>
      </c>
      <c r="O302" s="9">
        <f t="shared" si="79"/>
        <v>32749.9999999998</v>
      </c>
      <c r="P302" s="13">
        <f t="shared" si="80"/>
        <v>0</v>
      </c>
    </row>
    <row r="303" spans="1:16">
      <c r="A303" s="3">
        <v>46138</v>
      </c>
      <c r="B303" s="4">
        <f>Data_Entry!X393</f>
        <v>26950.0000000005</v>
      </c>
      <c r="C303" s="5">
        <f>Data_Entry!AD393</f>
        <v>5.28</v>
      </c>
      <c r="D303" s="6">
        <f t="shared" si="72"/>
        <v>0.272222222222227</v>
      </c>
      <c r="E303" s="7"/>
      <c r="F303" s="7"/>
      <c r="G303" s="8">
        <f t="shared" si="73"/>
        <v>0</v>
      </c>
      <c r="H303" s="8">
        <f t="shared" si="74"/>
        <v>0</v>
      </c>
      <c r="I303" s="9">
        <v>4125</v>
      </c>
      <c r="J303" s="10"/>
      <c r="K303" s="9">
        <f t="shared" si="75"/>
        <v>49500</v>
      </c>
      <c r="L303" s="8">
        <f t="shared" si="76"/>
        <v>0</v>
      </c>
      <c r="M303" s="11">
        <f t="shared" si="77"/>
        <v>1</v>
      </c>
      <c r="N303" s="12">
        <f t="shared" si="78"/>
        <v>0.272222222222227</v>
      </c>
      <c r="O303" s="9">
        <f t="shared" si="79"/>
        <v>26950.0000000005</v>
      </c>
      <c r="P303" s="13">
        <f t="shared" si="80"/>
        <v>0</v>
      </c>
    </row>
    <row r="304" spans="1:16">
      <c r="A304" s="3">
        <v>46139</v>
      </c>
      <c r="B304" s="4">
        <f>Data_Entry!X394</f>
        <v>27200.0000000003</v>
      </c>
      <c r="C304" s="5">
        <f>Data_Entry!AD394</f>
        <v>5.44</v>
      </c>
      <c r="D304" s="6">
        <f t="shared" si="72"/>
        <v>0.274747474747478</v>
      </c>
      <c r="E304" s="7"/>
      <c r="F304" s="7"/>
      <c r="G304" s="8">
        <f t="shared" si="73"/>
        <v>0</v>
      </c>
      <c r="H304" s="8">
        <f t="shared" si="74"/>
        <v>0</v>
      </c>
      <c r="I304" s="9">
        <v>4125</v>
      </c>
      <c r="J304" s="10"/>
      <c r="K304" s="9">
        <f t="shared" si="75"/>
        <v>49500</v>
      </c>
      <c r="L304" s="8">
        <f t="shared" si="76"/>
        <v>0</v>
      </c>
      <c r="M304" s="11">
        <f t="shared" si="77"/>
        <v>1</v>
      </c>
      <c r="N304" s="12">
        <f t="shared" si="78"/>
        <v>0.274747474747478</v>
      </c>
      <c r="O304" s="9">
        <f t="shared" si="79"/>
        <v>27200.0000000003</v>
      </c>
      <c r="P304" s="13">
        <f t="shared" si="80"/>
        <v>0</v>
      </c>
    </row>
    <row r="305" spans="1:16">
      <c r="A305" s="3">
        <v>46140</v>
      </c>
      <c r="B305" s="4">
        <f>Data_Entry!X395</f>
        <v>27099.9999999992</v>
      </c>
      <c r="C305" s="5">
        <f>Data_Entry!AD395</f>
        <v>5.66</v>
      </c>
      <c r="D305" s="6">
        <f t="shared" si="72"/>
        <v>0.273737373737366</v>
      </c>
      <c r="E305" s="7"/>
      <c r="F305" s="7"/>
      <c r="G305" s="8">
        <f t="shared" si="73"/>
        <v>0</v>
      </c>
      <c r="H305" s="8">
        <f t="shared" si="74"/>
        <v>0</v>
      </c>
      <c r="I305" s="9">
        <v>4125</v>
      </c>
      <c r="J305" s="10"/>
      <c r="K305" s="9">
        <f t="shared" si="75"/>
        <v>49500</v>
      </c>
      <c r="L305" s="8">
        <f t="shared" si="76"/>
        <v>0</v>
      </c>
      <c r="M305" s="11">
        <f t="shared" si="77"/>
        <v>1</v>
      </c>
      <c r="N305" s="12">
        <f t="shared" si="78"/>
        <v>0.273737373737366</v>
      </c>
      <c r="O305" s="9">
        <f t="shared" si="79"/>
        <v>27099.9999999992</v>
      </c>
      <c r="P305" s="13">
        <f t="shared" si="80"/>
        <v>0</v>
      </c>
    </row>
    <row r="306" spans="1:16">
      <c r="A306" s="3">
        <v>46141</v>
      </c>
      <c r="B306" s="4">
        <f>Data_Entry!X396</f>
        <v>28250.0000000005</v>
      </c>
      <c r="C306" s="5">
        <f>Data_Entry!AD396</f>
        <v>5.62</v>
      </c>
      <c r="D306" s="6">
        <f t="shared" si="72"/>
        <v>0.28535353535354</v>
      </c>
      <c r="E306" s="7"/>
      <c r="F306" s="7"/>
      <c r="G306" s="8">
        <f t="shared" si="73"/>
        <v>0</v>
      </c>
      <c r="H306" s="8">
        <f t="shared" si="74"/>
        <v>0</v>
      </c>
      <c r="I306" s="9">
        <v>4125</v>
      </c>
      <c r="J306" s="10"/>
      <c r="K306" s="9">
        <f t="shared" si="75"/>
        <v>49500</v>
      </c>
      <c r="L306" s="8">
        <f t="shared" si="76"/>
        <v>0</v>
      </c>
      <c r="M306" s="11">
        <f t="shared" si="77"/>
        <v>1</v>
      </c>
      <c r="N306" s="12">
        <f t="shared" si="78"/>
        <v>0.28535353535354</v>
      </c>
      <c r="O306" s="9">
        <f t="shared" si="79"/>
        <v>28250.0000000005</v>
      </c>
      <c r="P306" s="13">
        <f t="shared" si="80"/>
        <v>0</v>
      </c>
    </row>
    <row r="307" spans="1:16">
      <c r="A307" s="3">
        <v>46142</v>
      </c>
      <c r="B307" s="4">
        <f>Data_Entry!X397</f>
        <v>27699.9999999998</v>
      </c>
      <c r="C307" s="5">
        <f>Data_Entry!AD397</f>
        <v>5.48</v>
      </c>
      <c r="D307" s="6">
        <f t="shared" si="72"/>
        <v>0.279797979797978</v>
      </c>
      <c r="E307" s="7"/>
      <c r="F307" s="7"/>
      <c r="G307" s="8">
        <f t="shared" si="73"/>
        <v>0</v>
      </c>
      <c r="H307" s="8">
        <f t="shared" si="74"/>
        <v>0</v>
      </c>
      <c r="I307" s="9">
        <v>4125</v>
      </c>
      <c r="J307" s="10"/>
      <c r="K307" s="9">
        <f t="shared" si="75"/>
        <v>49500</v>
      </c>
      <c r="L307" s="8">
        <f t="shared" si="76"/>
        <v>0</v>
      </c>
      <c r="M307" s="11">
        <f t="shared" si="77"/>
        <v>1</v>
      </c>
      <c r="N307" s="12">
        <f t="shared" si="78"/>
        <v>0.279797979797978</v>
      </c>
      <c r="O307" s="9">
        <f t="shared" si="79"/>
        <v>27699.9999999998</v>
      </c>
      <c r="P307" s="13">
        <f t="shared" si="80"/>
        <v>0</v>
      </c>
    </row>
    <row r="308" spans="1:16">
      <c r="A308" s="3">
        <v>46143</v>
      </c>
      <c r="B308" s="4">
        <f>Data_Entry!X398</f>
        <v>27150.0000000003</v>
      </c>
      <c r="C308" s="5">
        <f>Data_Entry!AD398</f>
        <v>5.57</v>
      </c>
      <c r="D308" s="6">
        <f t="shared" si="72"/>
        <v>0.274242424242427</v>
      </c>
      <c r="E308" s="7"/>
      <c r="F308" s="7"/>
      <c r="G308" s="8">
        <f t="shared" si="73"/>
        <v>0</v>
      </c>
      <c r="H308" s="8">
        <f t="shared" si="74"/>
        <v>0</v>
      </c>
      <c r="I308" s="9">
        <v>4125</v>
      </c>
      <c r="J308" s="10"/>
      <c r="K308" s="9">
        <f t="shared" si="75"/>
        <v>49500</v>
      </c>
      <c r="L308" s="8">
        <f t="shared" si="76"/>
        <v>0</v>
      </c>
      <c r="M308" s="11">
        <f t="shared" si="77"/>
        <v>1</v>
      </c>
      <c r="N308" s="12">
        <f t="shared" si="78"/>
        <v>0.274242424242427</v>
      </c>
      <c r="O308" s="9">
        <f t="shared" si="79"/>
        <v>27150.0000000003</v>
      </c>
      <c r="P308" s="13">
        <f t="shared" si="80"/>
        <v>0</v>
      </c>
    </row>
    <row r="309" spans="1:16">
      <c r="A309" s="3">
        <v>46144</v>
      </c>
      <c r="B309" s="4">
        <f>Data_Entry!X399</f>
        <v>27849.9999999997</v>
      </c>
      <c r="C309" s="5">
        <f>Data_Entry!AD399</f>
        <v>5.54</v>
      </c>
      <c r="D309" s="6">
        <f t="shared" si="72"/>
        <v>0.281313131313128</v>
      </c>
      <c r="E309" s="7"/>
      <c r="F309" s="7"/>
      <c r="G309" s="8">
        <f t="shared" si="73"/>
        <v>0</v>
      </c>
      <c r="H309" s="8">
        <f t="shared" si="74"/>
        <v>0</v>
      </c>
      <c r="I309" s="9">
        <v>4125</v>
      </c>
      <c r="J309" s="10"/>
      <c r="K309" s="9">
        <f t="shared" si="75"/>
        <v>49500</v>
      </c>
      <c r="L309" s="8">
        <f t="shared" si="76"/>
        <v>0</v>
      </c>
      <c r="M309" s="11">
        <f t="shared" si="77"/>
        <v>1</v>
      </c>
      <c r="N309" s="12">
        <f t="shared" si="78"/>
        <v>0.281313131313128</v>
      </c>
      <c r="O309" s="9">
        <f t="shared" si="79"/>
        <v>27849.9999999997</v>
      </c>
      <c r="P309" s="13">
        <f t="shared" si="80"/>
        <v>0</v>
      </c>
    </row>
    <row r="310" spans="1:16">
      <c r="A310" s="3">
        <v>46145</v>
      </c>
      <c r="B310" s="4">
        <f>Data_Entry!X400</f>
        <v>27849.9999999997</v>
      </c>
      <c r="C310" s="5">
        <f>Data_Entry!AD400</f>
        <v>4.4</v>
      </c>
      <c r="D310" s="6">
        <f t="shared" si="72"/>
        <v>0.281313131313128</v>
      </c>
      <c r="E310" s="7"/>
      <c r="F310" s="7"/>
      <c r="G310" s="8">
        <f t="shared" si="73"/>
        <v>0</v>
      </c>
      <c r="H310" s="8">
        <f t="shared" si="74"/>
        <v>0</v>
      </c>
      <c r="I310" s="9">
        <v>4125</v>
      </c>
      <c r="J310" s="10"/>
      <c r="K310" s="9">
        <f t="shared" si="75"/>
        <v>49500</v>
      </c>
      <c r="L310" s="8">
        <f t="shared" si="76"/>
        <v>0</v>
      </c>
      <c r="M310" s="11">
        <f t="shared" si="77"/>
        <v>1</v>
      </c>
      <c r="N310" s="12">
        <f t="shared" si="78"/>
        <v>0.281313131313128</v>
      </c>
      <c r="O310" s="9">
        <f t="shared" si="79"/>
        <v>27849.9999999997</v>
      </c>
      <c r="P310" s="13">
        <f t="shared" si="80"/>
        <v>0</v>
      </c>
    </row>
    <row r="311" spans="1:16">
      <c r="A311" s="3">
        <v>46146</v>
      </c>
      <c r="B311" s="4">
        <f>Data_Entry!X401</f>
        <v>27500</v>
      </c>
      <c r="C311" s="5">
        <f>Data_Entry!AD401</f>
        <v>5.52</v>
      </c>
      <c r="D311" s="6">
        <f t="shared" si="72"/>
        <v>0.277777777777778</v>
      </c>
      <c r="E311" s="7"/>
      <c r="F311" s="7"/>
      <c r="G311" s="8">
        <f t="shared" si="73"/>
        <v>0</v>
      </c>
      <c r="H311" s="8">
        <f t="shared" si="74"/>
        <v>0</v>
      </c>
      <c r="I311" s="9">
        <v>4125</v>
      </c>
      <c r="J311" s="10"/>
      <c r="K311" s="9">
        <f t="shared" si="75"/>
        <v>49500</v>
      </c>
      <c r="L311" s="8">
        <f t="shared" si="76"/>
        <v>0</v>
      </c>
      <c r="M311" s="11">
        <f t="shared" si="77"/>
        <v>1</v>
      </c>
      <c r="N311" s="12">
        <f t="shared" si="78"/>
        <v>0.277777777777778</v>
      </c>
      <c r="O311" s="9">
        <f t="shared" si="79"/>
        <v>27500</v>
      </c>
      <c r="P311" s="13">
        <f t="shared" si="80"/>
        <v>0</v>
      </c>
    </row>
    <row r="312" spans="1:16">
      <c r="A312" s="3">
        <v>46147</v>
      </c>
      <c r="B312" s="4">
        <f>Data_Entry!X402</f>
        <v>27799.9999999997</v>
      </c>
      <c r="C312" s="5">
        <f>Data_Entry!AD402</f>
        <v>5.36</v>
      </c>
      <c r="D312" s="6">
        <f t="shared" si="72"/>
        <v>0.280808080808078</v>
      </c>
      <c r="E312" s="7"/>
      <c r="F312" s="7"/>
      <c r="G312" s="8">
        <f t="shared" si="73"/>
        <v>0</v>
      </c>
      <c r="H312" s="8">
        <f t="shared" si="74"/>
        <v>0</v>
      </c>
      <c r="I312" s="9">
        <v>4125</v>
      </c>
      <c r="J312" s="10"/>
      <c r="K312" s="9">
        <f t="shared" si="75"/>
        <v>49500</v>
      </c>
      <c r="L312" s="8">
        <f t="shared" si="76"/>
        <v>0</v>
      </c>
      <c r="M312" s="11">
        <f t="shared" si="77"/>
        <v>1</v>
      </c>
      <c r="N312" s="12">
        <f t="shared" si="78"/>
        <v>0.280808080808078</v>
      </c>
      <c r="O312" s="9">
        <f t="shared" si="79"/>
        <v>27799.9999999997</v>
      </c>
      <c r="P312" s="13">
        <f t="shared" si="80"/>
        <v>0</v>
      </c>
    </row>
    <row r="313" spans="1:16">
      <c r="A313" s="3">
        <v>46148</v>
      </c>
      <c r="B313" s="4">
        <f>Data_Entry!X403</f>
        <v>28200.0000000005</v>
      </c>
      <c r="C313" s="5">
        <f>Data_Entry!AD403</f>
        <v>5.67</v>
      </c>
      <c r="D313" s="6">
        <f t="shared" si="72"/>
        <v>0.28484848484849</v>
      </c>
      <c r="E313" s="7"/>
      <c r="F313" s="7"/>
      <c r="G313" s="8">
        <f t="shared" si="73"/>
        <v>0</v>
      </c>
      <c r="H313" s="8">
        <f t="shared" si="74"/>
        <v>0</v>
      </c>
      <c r="I313" s="9">
        <v>4125</v>
      </c>
      <c r="J313" s="10"/>
      <c r="K313" s="9">
        <f t="shared" si="75"/>
        <v>49500</v>
      </c>
      <c r="L313" s="8">
        <f t="shared" si="76"/>
        <v>0</v>
      </c>
      <c r="M313" s="11">
        <f t="shared" si="77"/>
        <v>1</v>
      </c>
      <c r="N313" s="12">
        <f t="shared" si="78"/>
        <v>0.28484848484849</v>
      </c>
      <c r="O313" s="9">
        <f t="shared" si="79"/>
        <v>28200.0000000005</v>
      </c>
      <c r="P313" s="13">
        <f t="shared" si="80"/>
        <v>0</v>
      </c>
    </row>
    <row r="314" spans="1:16">
      <c r="A314" s="3">
        <v>46149</v>
      </c>
      <c r="B314" s="4">
        <f>Data_Entry!X404</f>
        <v>28100.0000000006</v>
      </c>
      <c r="C314" s="5">
        <f>Data_Entry!AD404</f>
        <v>5.76</v>
      </c>
      <c r="D314" s="6">
        <f t="shared" ref="D314:D334" si="81">B314/(24*I314)</f>
        <v>0.28383838383839</v>
      </c>
      <c r="E314" s="7"/>
      <c r="F314" s="7"/>
      <c r="G314" s="8">
        <f t="shared" ref="G314:G334" si="82">(F314-E314)*24*60</f>
        <v>0</v>
      </c>
      <c r="H314" s="8">
        <f t="shared" ref="H314:H334" si="83">G314/60</f>
        <v>0</v>
      </c>
      <c r="I314" s="9">
        <v>4125</v>
      </c>
      <c r="J314" s="10"/>
      <c r="K314" s="9">
        <f t="shared" ref="K314:K334" si="84">I314*12</f>
        <v>49500</v>
      </c>
      <c r="L314" s="8">
        <f t="shared" ref="L314:L334" si="85">J314*H314</f>
        <v>0</v>
      </c>
      <c r="M314" s="11">
        <f t="shared" ref="M314:M334" si="86">(K314-L314)/K314</f>
        <v>1</v>
      </c>
      <c r="N314" s="12">
        <f t="shared" ref="N314:N334" si="87">D314/M314</f>
        <v>0.28383838383839</v>
      </c>
      <c r="O314" s="9">
        <f t="shared" ref="O314:O334" si="88">N314*I314*24</f>
        <v>28100.0000000006</v>
      </c>
      <c r="P314" s="13">
        <f t="shared" ref="P314:P334" si="89">O314-B314</f>
        <v>0</v>
      </c>
    </row>
    <row r="315" spans="1:16">
      <c r="A315" s="3">
        <v>46150</v>
      </c>
      <c r="B315" s="4">
        <f>Data_Entry!X405</f>
        <v>28149.9999999994</v>
      </c>
      <c r="C315" s="5">
        <f>Data_Entry!AD405</f>
        <v>5.73</v>
      </c>
      <c r="D315" s="6">
        <f t="shared" si="81"/>
        <v>0.284343434343428</v>
      </c>
      <c r="E315" s="7"/>
      <c r="F315" s="7"/>
      <c r="G315" s="8">
        <f t="shared" si="82"/>
        <v>0</v>
      </c>
      <c r="H315" s="8">
        <f t="shared" si="83"/>
        <v>0</v>
      </c>
      <c r="I315" s="9">
        <v>4125</v>
      </c>
      <c r="J315" s="10"/>
      <c r="K315" s="9">
        <f t="shared" si="84"/>
        <v>49500</v>
      </c>
      <c r="L315" s="8">
        <f t="shared" si="85"/>
        <v>0</v>
      </c>
      <c r="M315" s="11">
        <f t="shared" si="86"/>
        <v>1</v>
      </c>
      <c r="N315" s="12">
        <f t="shared" si="87"/>
        <v>0.284343434343428</v>
      </c>
      <c r="O315" s="9">
        <f t="shared" si="88"/>
        <v>28149.9999999994</v>
      </c>
      <c r="P315" s="13">
        <f t="shared" si="89"/>
        <v>0</v>
      </c>
    </row>
    <row r="316" spans="1:16">
      <c r="A316" s="3">
        <v>46151</v>
      </c>
      <c r="B316" s="4">
        <f>Data_Entry!X406</f>
        <v>27899.9999999996</v>
      </c>
      <c r="C316" s="5">
        <f>Data_Entry!AD406</f>
        <v>5.61</v>
      </c>
      <c r="D316" s="6">
        <f t="shared" si="81"/>
        <v>0.281818181818178</v>
      </c>
      <c r="E316" s="7"/>
      <c r="F316" s="7"/>
      <c r="G316" s="8">
        <f t="shared" si="82"/>
        <v>0</v>
      </c>
      <c r="H316" s="8">
        <f t="shared" si="83"/>
        <v>0</v>
      </c>
      <c r="I316" s="9">
        <v>4125</v>
      </c>
      <c r="J316" s="10"/>
      <c r="K316" s="9">
        <f t="shared" si="84"/>
        <v>49500</v>
      </c>
      <c r="L316" s="8">
        <f t="shared" si="85"/>
        <v>0</v>
      </c>
      <c r="M316" s="11">
        <f t="shared" si="86"/>
        <v>1</v>
      </c>
      <c r="N316" s="12">
        <f t="shared" si="87"/>
        <v>0.281818181818178</v>
      </c>
      <c r="O316" s="9">
        <f t="shared" si="88"/>
        <v>27899.9999999996</v>
      </c>
      <c r="P316" s="13">
        <f t="shared" si="89"/>
        <v>0</v>
      </c>
    </row>
    <row r="317" spans="1:16">
      <c r="A317" s="3">
        <v>46152</v>
      </c>
      <c r="B317" s="4">
        <f>Data_Entry!X407</f>
        <v>28700</v>
      </c>
      <c r="C317" s="5">
        <f>Data_Entry!AD407</f>
        <v>5.57</v>
      </c>
      <c r="D317" s="6">
        <f t="shared" si="81"/>
        <v>0.28989898989899</v>
      </c>
      <c r="E317" s="7"/>
      <c r="F317" s="7"/>
      <c r="G317" s="8">
        <f t="shared" si="82"/>
        <v>0</v>
      </c>
      <c r="H317" s="8">
        <f t="shared" si="83"/>
        <v>0</v>
      </c>
      <c r="I317" s="9">
        <v>4125</v>
      </c>
      <c r="J317" s="10"/>
      <c r="K317" s="9">
        <f t="shared" si="84"/>
        <v>49500</v>
      </c>
      <c r="L317" s="8">
        <f t="shared" si="85"/>
        <v>0</v>
      </c>
      <c r="M317" s="11">
        <f t="shared" si="86"/>
        <v>1</v>
      </c>
      <c r="N317" s="12">
        <f t="shared" si="87"/>
        <v>0.28989898989899</v>
      </c>
      <c r="O317" s="9">
        <f t="shared" si="88"/>
        <v>28700</v>
      </c>
      <c r="P317" s="13">
        <f t="shared" si="89"/>
        <v>0</v>
      </c>
    </row>
    <row r="318" spans="1:16">
      <c r="A318" s="3">
        <v>46153</v>
      </c>
      <c r="B318" s="4">
        <f>Data_Entry!X408</f>
        <v>28450.0000000003</v>
      </c>
      <c r="C318" s="5">
        <f>Data_Entry!AD408</f>
        <v>5.48</v>
      </c>
      <c r="D318" s="6">
        <f t="shared" si="81"/>
        <v>0.28737373737374</v>
      </c>
      <c r="E318" s="7"/>
      <c r="F318" s="7"/>
      <c r="G318" s="8">
        <f t="shared" si="82"/>
        <v>0</v>
      </c>
      <c r="H318" s="8">
        <f t="shared" si="83"/>
        <v>0</v>
      </c>
      <c r="I318" s="9">
        <v>4125</v>
      </c>
      <c r="J318" s="10"/>
      <c r="K318" s="9">
        <f t="shared" si="84"/>
        <v>49500</v>
      </c>
      <c r="L318" s="8">
        <f t="shared" si="85"/>
        <v>0</v>
      </c>
      <c r="M318" s="11">
        <f t="shared" si="86"/>
        <v>1</v>
      </c>
      <c r="N318" s="12">
        <f t="shared" si="87"/>
        <v>0.28737373737374</v>
      </c>
      <c r="O318" s="9">
        <f t="shared" si="88"/>
        <v>28450.0000000003</v>
      </c>
      <c r="P318" s="13">
        <f t="shared" si="89"/>
        <v>0</v>
      </c>
    </row>
    <row r="319" spans="1:16">
      <c r="A319" s="3">
        <v>46154</v>
      </c>
      <c r="B319" s="4">
        <f>Data_Entry!X409</f>
        <v>27599.9999999999</v>
      </c>
      <c r="C319" s="5">
        <f>Data_Entry!AD409</f>
        <v>5.31</v>
      </c>
      <c r="D319" s="6">
        <f t="shared" si="81"/>
        <v>0.278787878787878</v>
      </c>
      <c r="E319" s="7"/>
      <c r="F319" s="7"/>
      <c r="G319" s="8">
        <f t="shared" si="82"/>
        <v>0</v>
      </c>
      <c r="H319" s="8">
        <f t="shared" si="83"/>
        <v>0</v>
      </c>
      <c r="I319" s="9">
        <v>4125</v>
      </c>
      <c r="J319" s="10"/>
      <c r="K319" s="9">
        <f t="shared" si="84"/>
        <v>49500</v>
      </c>
      <c r="L319" s="8">
        <f t="shared" si="85"/>
        <v>0</v>
      </c>
      <c r="M319" s="11">
        <f t="shared" si="86"/>
        <v>1</v>
      </c>
      <c r="N319" s="12">
        <f t="shared" si="87"/>
        <v>0.278787878787878</v>
      </c>
      <c r="O319" s="9">
        <f t="shared" si="88"/>
        <v>27599.9999999999</v>
      </c>
      <c r="P319" s="13">
        <f t="shared" si="89"/>
        <v>0</v>
      </c>
    </row>
    <row r="320" spans="1:16">
      <c r="A320" s="3">
        <v>46155</v>
      </c>
      <c r="B320" s="4">
        <f>Data_Entry!X410</f>
        <v>27150.0000000003</v>
      </c>
      <c r="C320" s="5">
        <f>Data_Entry!AD410</f>
        <v>5.42</v>
      </c>
      <c r="D320" s="6">
        <f t="shared" si="81"/>
        <v>0.274242424242427</v>
      </c>
      <c r="E320" s="7"/>
      <c r="F320" s="7"/>
      <c r="G320" s="8">
        <f t="shared" si="82"/>
        <v>0</v>
      </c>
      <c r="H320" s="8">
        <f t="shared" si="83"/>
        <v>0</v>
      </c>
      <c r="I320" s="9">
        <v>4125</v>
      </c>
      <c r="J320" s="10"/>
      <c r="K320" s="9">
        <f t="shared" si="84"/>
        <v>49500</v>
      </c>
      <c r="L320" s="8">
        <f t="shared" si="85"/>
        <v>0</v>
      </c>
      <c r="M320" s="11">
        <f t="shared" si="86"/>
        <v>1</v>
      </c>
      <c r="N320" s="12">
        <f t="shared" si="87"/>
        <v>0.274242424242427</v>
      </c>
      <c r="O320" s="9">
        <f t="shared" si="88"/>
        <v>27150.0000000003</v>
      </c>
      <c r="P320" s="13">
        <f t="shared" si="89"/>
        <v>0</v>
      </c>
    </row>
    <row r="321" spans="1:16">
      <c r="A321" s="3">
        <v>46156</v>
      </c>
      <c r="B321" s="4">
        <f>Data_Entry!X411</f>
        <v>27999.9999999995</v>
      </c>
      <c r="C321" s="5">
        <f>Data_Entry!AD411</f>
        <v>5.53</v>
      </c>
      <c r="D321" s="6">
        <f t="shared" si="81"/>
        <v>0.282828282828278</v>
      </c>
      <c r="E321" s="7"/>
      <c r="F321" s="7"/>
      <c r="G321" s="8">
        <f t="shared" si="82"/>
        <v>0</v>
      </c>
      <c r="H321" s="8">
        <f t="shared" si="83"/>
        <v>0</v>
      </c>
      <c r="I321" s="9">
        <v>4125</v>
      </c>
      <c r="J321" s="10"/>
      <c r="K321" s="9">
        <f t="shared" si="84"/>
        <v>49500</v>
      </c>
      <c r="L321" s="8">
        <f t="shared" si="85"/>
        <v>0</v>
      </c>
      <c r="M321" s="11">
        <f t="shared" si="86"/>
        <v>1</v>
      </c>
      <c r="N321" s="12">
        <f t="shared" si="87"/>
        <v>0.282828282828278</v>
      </c>
      <c r="O321" s="9">
        <f t="shared" si="88"/>
        <v>27999.9999999995</v>
      </c>
      <c r="P321" s="13">
        <f t="shared" si="89"/>
        <v>0</v>
      </c>
    </row>
    <row r="322" spans="1:16">
      <c r="A322" s="3">
        <v>46157</v>
      </c>
      <c r="B322" s="4">
        <f>Data_Entry!X412</f>
        <v>28200.0000000005</v>
      </c>
      <c r="C322" s="5">
        <f>Data_Entry!AD412</f>
        <v>5.87</v>
      </c>
      <c r="D322" s="6">
        <f t="shared" si="81"/>
        <v>0.28484848484849</v>
      </c>
      <c r="E322" s="7"/>
      <c r="F322" s="7"/>
      <c r="G322" s="8">
        <f t="shared" si="82"/>
        <v>0</v>
      </c>
      <c r="H322" s="8">
        <f t="shared" si="83"/>
        <v>0</v>
      </c>
      <c r="I322" s="9">
        <v>4125</v>
      </c>
      <c r="J322" s="10"/>
      <c r="K322" s="9">
        <f t="shared" si="84"/>
        <v>49500</v>
      </c>
      <c r="L322" s="8">
        <f t="shared" si="85"/>
        <v>0</v>
      </c>
      <c r="M322" s="11">
        <f t="shared" si="86"/>
        <v>1</v>
      </c>
      <c r="N322" s="12">
        <f t="shared" si="87"/>
        <v>0.28484848484849</v>
      </c>
      <c r="O322" s="9">
        <f t="shared" si="88"/>
        <v>28200.0000000005</v>
      </c>
      <c r="P322" s="13">
        <f t="shared" si="89"/>
        <v>0</v>
      </c>
    </row>
    <row r="323" spans="1:16">
      <c r="A323" s="3">
        <v>46158</v>
      </c>
      <c r="B323" s="4">
        <f>Data_Entry!X413</f>
        <v>28049.9999999995</v>
      </c>
      <c r="C323" s="5">
        <f>Data_Entry!AD413</f>
        <v>5.67</v>
      </c>
      <c r="D323" s="6">
        <f t="shared" si="81"/>
        <v>0.283333333333328</v>
      </c>
      <c r="E323" s="7"/>
      <c r="F323" s="7"/>
      <c r="G323" s="8">
        <f t="shared" si="82"/>
        <v>0</v>
      </c>
      <c r="H323" s="8">
        <f t="shared" si="83"/>
        <v>0</v>
      </c>
      <c r="I323" s="9">
        <v>4125</v>
      </c>
      <c r="J323" s="10"/>
      <c r="K323" s="9">
        <f t="shared" si="84"/>
        <v>49500</v>
      </c>
      <c r="L323" s="8">
        <f t="shared" si="85"/>
        <v>0</v>
      </c>
      <c r="M323" s="11">
        <f t="shared" si="86"/>
        <v>1</v>
      </c>
      <c r="N323" s="12">
        <f t="shared" si="87"/>
        <v>0.283333333333328</v>
      </c>
      <c r="O323" s="9">
        <f t="shared" si="88"/>
        <v>28049.9999999995</v>
      </c>
      <c r="P323" s="13">
        <f t="shared" si="89"/>
        <v>0</v>
      </c>
    </row>
    <row r="324" spans="1:16">
      <c r="A324" s="3">
        <v>46159</v>
      </c>
      <c r="B324" s="4">
        <f>Data_Entry!X414</f>
        <v>27699.9999999998</v>
      </c>
      <c r="C324" s="5">
        <f>Data_Entry!AD414</f>
        <v>5.55</v>
      </c>
      <c r="D324" s="6">
        <f t="shared" si="81"/>
        <v>0.279797979797978</v>
      </c>
      <c r="E324" s="7"/>
      <c r="F324" s="7"/>
      <c r="G324" s="8">
        <f t="shared" si="82"/>
        <v>0</v>
      </c>
      <c r="H324" s="8">
        <f t="shared" si="83"/>
        <v>0</v>
      </c>
      <c r="I324" s="9">
        <v>4125</v>
      </c>
      <c r="J324" s="10"/>
      <c r="K324" s="9">
        <f t="shared" si="84"/>
        <v>49500</v>
      </c>
      <c r="L324" s="8">
        <f t="shared" si="85"/>
        <v>0</v>
      </c>
      <c r="M324" s="11">
        <f t="shared" si="86"/>
        <v>1</v>
      </c>
      <c r="N324" s="12">
        <f t="shared" si="87"/>
        <v>0.279797979797978</v>
      </c>
      <c r="O324" s="9">
        <f t="shared" si="88"/>
        <v>27699.9999999998</v>
      </c>
      <c r="P324" s="13">
        <f t="shared" si="89"/>
        <v>0</v>
      </c>
    </row>
    <row r="325" spans="1:16">
      <c r="A325" s="3">
        <v>46160</v>
      </c>
      <c r="B325" s="4">
        <f>Data_Entry!X415</f>
        <v>27100.0000000004</v>
      </c>
      <c r="C325" s="5">
        <f>Data_Entry!AD415</f>
        <v>4.46</v>
      </c>
      <c r="D325" s="6">
        <f t="shared" si="81"/>
        <v>0.273737373737378</v>
      </c>
      <c r="E325" s="7"/>
      <c r="F325" s="7"/>
      <c r="G325" s="8">
        <f t="shared" si="82"/>
        <v>0</v>
      </c>
      <c r="H325" s="8">
        <f t="shared" si="83"/>
        <v>0</v>
      </c>
      <c r="I325" s="9">
        <v>4125</v>
      </c>
      <c r="J325" s="10"/>
      <c r="K325" s="9">
        <f t="shared" si="84"/>
        <v>49500</v>
      </c>
      <c r="L325" s="8">
        <f t="shared" si="85"/>
        <v>0</v>
      </c>
      <c r="M325" s="11">
        <f t="shared" si="86"/>
        <v>1</v>
      </c>
      <c r="N325" s="12">
        <f t="shared" si="87"/>
        <v>0.273737373737378</v>
      </c>
      <c r="O325" s="9">
        <f t="shared" si="88"/>
        <v>27100.0000000004</v>
      </c>
      <c r="P325" s="13">
        <f t="shared" si="89"/>
        <v>0</v>
      </c>
    </row>
    <row r="326" spans="1:16">
      <c r="A326" s="3">
        <v>46161</v>
      </c>
      <c r="B326" s="4">
        <f>Data_Entry!X416</f>
        <v>28400.0000000003</v>
      </c>
      <c r="C326" s="5">
        <f>Data_Entry!AD416</f>
        <v>2.93</v>
      </c>
      <c r="D326" s="6">
        <f t="shared" si="81"/>
        <v>0.28686868686869</v>
      </c>
      <c r="E326" s="7"/>
      <c r="F326" s="7"/>
      <c r="G326" s="8">
        <f t="shared" si="82"/>
        <v>0</v>
      </c>
      <c r="H326" s="8">
        <f t="shared" si="83"/>
        <v>0</v>
      </c>
      <c r="I326" s="9">
        <v>4125</v>
      </c>
      <c r="J326" s="10"/>
      <c r="K326" s="9">
        <f t="shared" si="84"/>
        <v>49500</v>
      </c>
      <c r="L326" s="8">
        <f t="shared" si="85"/>
        <v>0</v>
      </c>
      <c r="M326" s="11">
        <f t="shared" si="86"/>
        <v>1</v>
      </c>
      <c r="N326" s="12">
        <f t="shared" si="87"/>
        <v>0.28686868686869</v>
      </c>
      <c r="O326" s="9">
        <f t="shared" si="88"/>
        <v>28400.0000000003</v>
      </c>
      <c r="P326" s="13">
        <f t="shared" si="89"/>
        <v>0</v>
      </c>
    </row>
    <row r="327" spans="1:16">
      <c r="A327" s="3">
        <v>46162</v>
      </c>
      <c r="B327" s="4">
        <f>Data_Entry!X417</f>
        <v>26849.9999999995</v>
      </c>
      <c r="C327" s="5">
        <f>Data_Entry!AD417</f>
        <v>5.61</v>
      </c>
      <c r="D327" s="6">
        <f t="shared" si="81"/>
        <v>0.271212121212116</v>
      </c>
      <c r="E327" s="7"/>
      <c r="F327" s="7"/>
      <c r="G327" s="8">
        <f t="shared" si="82"/>
        <v>0</v>
      </c>
      <c r="H327" s="8">
        <f t="shared" si="83"/>
        <v>0</v>
      </c>
      <c r="I327" s="9">
        <v>4125</v>
      </c>
      <c r="J327" s="10"/>
      <c r="K327" s="9">
        <f t="shared" si="84"/>
        <v>49500</v>
      </c>
      <c r="L327" s="8">
        <f t="shared" si="85"/>
        <v>0</v>
      </c>
      <c r="M327" s="11">
        <f t="shared" si="86"/>
        <v>1</v>
      </c>
      <c r="N327" s="12">
        <f t="shared" si="87"/>
        <v>0.271212121212116</v>
      </c>
      <c r="O327" s="9">
        <f t="shared" si="88"/>
        <v>26849.9999999995</v>
      </c>
      <c r="P327" s="13">
        <f t="shared" si="89"/>
        <v>0</v>
      </c>
    </row>
    <row r="328" spans="1:16">
      <c r="A328" s="3">
        <v>46163</v>
      </c>
      <c r="B328" s="4">
        <f>Data_Entry!X418</f>
        <v>6100.00000000014</v>
      </c>
      <c r="C328" s="5">
        <f>Data_Entry!AD418</f>
        <v>1.74</v>
      </c>
      <c r="D328" s="6">
        <f t="shared" si="81"/>
        <v>0.061616161616163</v>
      </c>
      <c r="E328" s="7">
        <v>0.291666666666667</v>
      </c>
      <c r="F328" s="7">
        <v>0.614583333333333</v>
      </c>
      <c r="G328" s="8">
        <f t="shared" si="82"/>
        <v>464.999999999999</v>
      </c>
      <c r="H328" s="8">
        <f t="shared" si="83"/>
        <v>7.74999999999998</v>
      </c>
      <c r="I328" s="9">
        <v>4125</v>
      </c>
      <c r="J328" s="10">
        <v>4125</v>
      </c>
      <c r="K328" s="9">
        <f t="shared" si="84"/>
        <v>49500</v>
      </c>
      <c r="L328" s="8">
        <f t="shared" si="85"/>
        <v>31968.7499999999</v>
      </c>
      <c r="M328" s="11">
        <f t="shared" si="86"/>
        <v>0.354166666666668</v>
      </c>
      <c r="N328" s="12">
        <f t="shared" si="87"/>
        <v>0.173975044563283</v>
      </c>
      <c r="O328" s="9">
        <f t="shared" si="88"/>
        <v>17223.529411765</v>
      </c>
      <c r="P328" s="13">
        <f t="shared" si="89"/>
        <v>11123.5294117649</v>
      </c>
    </row>
    <row r="329" spans="1:16">
      <c r="A329" s="3">
        <v>46164</v>
      </c>
      <c r="B329" s="4">
        <f>Data_Entry!X419</f>
        <v>26300</v>
      </c>
      <c r="C329" s="5">
        <f>Data_Entry!AD419</f>
        <v>5.85</v>
      </c>
      <c r="D329" s="6">
        <f t="shared" si="81"/>
        <v>0.265656565656566</v>
      </c>
      <c r="E329" s="7"/>
      <c r="F329" s="7"/>
      <c r="G329" s="8">
        <f t="shared" si="82"/>
        <v>0</v>
      </c>
      <c r="H329" s="8">
        <f t="shared" si="83"/>
        <v>0</v>
      </c>
      <c r="I329" s="9">
        <v>4125</v>
      </c>
      <c r="J329" s="10"/>
      <c r="K329" s="9">
        <f t="shared" si="84"/>
        <v>49500</v>
      </c>
      <c r="L329" s="8">
        <f t="shared" si="85"/>
        <v>0</v>
      </c>
      <c r="M329" s="11">
        <f t="shared" si="86"/>
        <v>1</v>
      </c>
      <c r="N329" s="12">
        <f t="shared" si="87"/>
        <v>0.265656565656566</v>
      </c>
      <c r="O329" s="9">
        <f t="shared" si="88"/>
        <v>26300</v>
      </c>
      <c r="P329" s="13">
        <f t="shared" si="89"/>
        <v>0</v>
      </c>
    </row>
    <row r="330" spans="1:16">
      <c r="A330" s="3">
        <v>46165</v>
      </c>
      <c r="B330" s="4">
        <f>Data_Entry!X420</f>
        <v>25700.0000000005</v>
      </c>
      <c r="C330" s="5">
        <f>Data_Entry!AD420</f>
        <v>5.67</v>
      </c>
      <c r="D330" s="6">
        <f t="shared" si="81"/>
        <v>0.259595959595965</v>
      </c>
      <c r="E330" s="7"/>
      <c r="F330" s="7"/>
      <c r="G330" s="8">
        <f t="shared" si="82"/>
        <v>0</v>
      </c>
      <c r="H330" s="8">
        <f t="shared" si="83"/>
        <v>0</v>
      </c>
      <c r="I330" s="9">
        <v>4125</v>
      </c>
      <c r="J330" s="10"/>
      <c r="K330" s="9">
        <f t="shared" si="84"/>
        <v>49500</v>
      </c>
      <c r="L330" s="8">
        <f t="shared" si="85"/>
        <v>0</v>
      </c>
      <c r="M330" s="11">
        <f t="shared" si="86"/>
        <v>1</v>
      </c>
      <c r="N330" s="12">
        <f t="shared" si="87"/>
        <v>0.259595959595965</v>
      </c>
      <c r="O330" s="9">
        <f t="shared" si="88"/>
        <v>25700.0000000005</v>
      </c>
      <c r="P330" s="13">
        <f t="shared" si="89"/>
        <v>0</v>
      </c>
    </row>
    <row r="331" spans="1:16">
      <c r="A331" s="3">
        <v>46166</v>
      </c>
      <c r="B331" s="4">
        <f>Data_Entry!X421</f>
        <v>25649.9999999994</v>
      </c>
      <c r="C331" s="5">
        <f>Data_Entry!AD421</f>
        <v>4.82</v>
      </c>
      <c r="D331" s="6">
        <f t="shared" si="81"/>
        <v>0.259090909090903</v>
      </c>
      <c r="E331" s="7"/>
      <c r="F331" s="7"/>
      <c r="G331" s="8">
        <f t="shared" si="82"/>
        <v>0</v>
      </c>
      <c r="H331" s="8">
        <f t="shared" si="83"/>
        <v>0</v>
      </c>
      <c r="I331" s="9">
        <v>4125</v>
      </c>
      <c r="J331" s="10"/>
      <c r="K331" s="9">
        <f t="shared" si="84"/>
        <v>49500</v>
      </c>
      <c r="L331" s="8">
        <f t="shared" si="85"/>
        <v>0</v>
      </c>
      <c r="M331" s="11">
        <f t="shared" si="86"/>
        <v>1</v>
      </c>
      <c r="N331" s="12">
        <f t="shared" si="87"/>
        <v>0.259090909090903</v>
      </c>
      <c r="O331" s="9">
        <f t="shared" si="88"/>
        <v>25649.9999999994</v>
      </c>
      <c r="P331" s="13">
        <f t="shared" si="89"/>
        <v>0</v>
      </c>
    </row>
    <row r="332" spans="1:16">
      <c r="A332" s="3">
        <v>46167</v>
      </c>
      <c r="B332" s="4">
        <f>Data_Entry!X422</f>
        <v>16650.0000000008</v>
      </c>
      <c r="C332" s="5">
        <f>Data_Entry!AD422</f>
        <v>3.11</v>
      </c>
      <c r="D332" s="6">
        <f t="shared" si="81"/>
        <v>0.168181818181826</v>
      </c>
      <c r="E332" s="7">
        <v>0.474305555555556</v>
      </c>
      <c r="F332" s="7">
        <v>0.579861111111111</v>
      </c>
      <c r="G332" s="8">
        <f t="shared" si="82"/>
        <v>151.999999999999</v>
      </c>
      <c r="H332" s="8">
        <f t="shared" si="83"/>
        <v>2.53333333333332</v>
      </c>
      <c r="I332" s="9">
        <v>4125</v>
      </c>
      <c r="J332" s="10">
        <v>4125</v>
      </c>
      <c r="K332" s="9">
        <f t="shared" si="84"/>
        <v>49500</v>
      </c>
      <c r="L332" s="8">
        <f t="shared" si="85"/>
        <v>10450</v>
      </c>
      <c r="M332" s="11">
        <f t="shared" si="86"/>
        <v>0.78888888888889</v>
      </c>
      <c r="N332" s="12">
        <f t="shared" si="87"/>
        <v>0.213188220230484</v>
      </c>
      <c r="O332" s="9">
        <f t="shared" si="88"/>
        <v>21105.6338028179</v>
      </c>
      <c r="P332" s="13">
        <f t="shared" si="89"/>
        <v>4455.63380281709</v>
      </c>
    </row>
    <row r="333" spans="1:16">
      <c r="A333" s="3">
        <v>46168</v>
      </c>
      <c r="B333" s="4">
        <f>Data_Entry!X423</f>
        <v>26300</v>
      </c>
      <c r="C333" s="5">
        <f>Data_Entry!AD423</f>
        <v>5.67</v>
      </c>
      <c r="D333" s="6">
        <f t="shared" si="81"/>
        <v>0.265656565656566</v>
      </c>
      <c r="E333" s="7"/>
      <c r="F333" s="7"/>
      <c r="G333" s="8">
        <f t="shared" si="82"/>
        <v>0</v>
      </c>
      <c r="H333" s="8">
        <f t="shared" si="83"/>
        <v>0</v>
      </c>
      <c r="I333" s="9">
        <v>4125</v>
      </c>
      <c r="J333" s="10"/>
      <c r="K333" s="9">
        <f t="shared" si="84"/>
        <v>49500</v>
      </c>
      <c r="L333" s="8">
        <f t="shared" si="85"/>
        <v>0</v>
      </c>
      <c r="M333" s="11">
        <f t="shared" si="86"/>
        <v>1</v>
      </c>
      <c r="N333" s="12">
        <f t="shared" si="87"/>
        <v>0.265656565656566</v>
      </c>
      <c r="O333" s="9">
        <f t="shared" si="88"/>
        <v>26300</v>
      </c>
      <c r="P333" s="13">
        <f t="shared" si="89"/>
        <v>0</v>
      </c>
    </row>
    <row r="334" spans="1:16">
      <c r="A334" s="3">
        <v>46169</v>
      </c>
      <c r="B334" s="4">
        <f>Data_Entry!X424</f>
        <v>25599.9999999995</v>
      </c>
      <c r="C334" s="5">
        <f>Data_Entry!AD424</f>
        <v>5.72</v>
      </c>
      <c r="D334" s="6">
        <f t="shared" si="81"/>
        <v>0.258585858585854</v>
      </c>
      <c r="E334" s="7"/>
      <c r="F334" s="7"/>
      <c r="G334" s="8">
        <f t="shared" si="82"/>
        <v>0</v>
      </c>
      <c r="H334" s="8">
        <f t="shared" si="83"/>
        <v>0</v>
      </c>
      <c r="I334" s="9">
        <v>4125</v>
      </c>
      <c r="J334" s="10"/>
      <c r="K334" s="9">
        <f t="shared" si="84"/>
        <v>49500</v>
      </c>
      <c r="L334" s="8">
        <f t="shared" si="85"/>
        <v>0</v>
      </c>
      <c r="M334" s="11">
        <f t="shared" si="86"/>
        <v>1</v>
      </c>
      <c r="N334" s="12">
        <f t="shared" si="87"/>
        <v>0.258585858585854</v>
      </c>
      <c r="O334" s="9">
        <f t="shared" si="88"/>
        <v>25599.9999999995</v>
      </c>
      <c r="P334" s="13">
        <f t="shared" si="89"/>
        <v>0</v>
      </c>
    </row>
    <row r="335" spans="1:16">
      <c r="A335" s="3">
        <v>46170</v>
      </c>
      <c r="B335" s="4">
        <f>Data_Entry!X425</f>
        <v>25450.0000000007</v>
      </c>
      <c r="C335" s="5">
        <f>Data_Entry!AD425</f>
        <v>5.82</v>
      </c>
      <c r="D335" s="6">
        <f t="shared" ref="D335:D351" si="90">B335/(24*I335)</f>
        <v>0.257070707070714</v>
      </c>
      <c r="E335" s="7"/>
      <c r="F335" s="7"/>
      <c r="G335" s="8">
        <f t="shared" ref="G335:G351" si="91">(F335-E335)*24*60</f>
        <v>0</v>
      </c>
      <c r="H335" s="8">
        <f t="shared" ref="H335:H351" si="92">G335/60</f>
        <v>0</v>
      </c>
      <c r="I335" s="9">
        <v>4125</v>
      </c>
      <c r="J335" s="10"/>
      <c r="K335" s="9">
        <f t="shared" ref="K335:K351" si="93">I335*12</f>
        <v>49500</v>
      </c>
      <c r="L335" s="8">
        <f t="shared" ref="L335:L351" si="94">J335*H335</f>
        <v>0</v>
      </c>
      <c r="M335" s="11">
        <f t="shared" ref="M335:M351" si="95">(K335-L335)/K335</f>
        <v>1</v>
      </c>
      <c r="N335" s="12">
        <f t="shared" ref="N335:N351" si="96">D335/M335</f>
        <v>0.257070707070714</v>
      </c>
      <c r="O335" s="9">
        <f t="shared" ref="O335:O351" si="97">N335*I335*24</f>
        <v>25450.0000000007</v>
      </c>
      <c r="P335" s="13">
        <f t="shared" ref="P335:P351" si="98">O335-B335</f>
        <v>0</v>
      </c>
    </row>
    <row r="336" spans="1:16">
      <c r="A336" s="3">
        <v>46171</v>
      </c>
      <c r="B336" s="4">
        <f>Data_Entry!X426</f>
        <v>23949.9999999998</v>
      </c>
      <c r="C336" s="5">
        <f>Data_Entry!AD426</f>
        <v>5.39</v>
      </c>
      <c r="D336" s="6">
        <f t="shared" si="90"/>
        <v>0.24191919191919</v>
      </c>
      <c r="E336" s="7"/>
      <c r="F336" s="7"/>
      <c r="G336" s="8">
        <f t="shared" si="91"/>
        <v>0</v>
      </c>
      <c r="H336" s="8">
        <f t="shared" si="92"/>
        <v>0</v>
      </c>
      <c r="I336" s="9">
        <v>4125</v>
      </c>
      <c r="J336" s="10"/>
      <c r="K336" s="9">
        <f t="shared" si="93"/>
        <v>49500</v>
      </c>
      <c r="L336" s="8">
        <f t="shared" si="94"/>
        <v>0</v>
      </c>
      <c r="M336" s="11">
        <f t="shared" si="95"/>
        <v>1</v>
      </c>
      <c r="N336" s="12">
        <f t="shared" si="96"/>
        <v>0.24191919191919</v>
      </c>
      <c r="O336" s="9">
        <f t="shared" si="97"/>
        <v>23949.9999999998</v>
      </c>
      <c r="P336" s="13">
        <f t="shared" si="98"/>
        <v>0</v>
      </c>
    </row>
    <row r="337" spans="1:16">
      <c r="A337" s="3">
        <v>46172</v>
      </c>
      <c r="B337" s="4">
        <f>Data_Entry!X427</f>
        <v>15699.9999999994</v>
      </c>
      <c r="C337" s="5">
        <f>Data_Entry!AD427</f>
        <v>3.92</v>
      </c>
      <c r="D337" s="6">
        <f t="shared" si="90"/>
        <v>0.158585858585853</v>
      </c>
      <c r="E337" s="7">
        <v>0.491666666666667</v>
      </c>
      <c r="F337" s="7">
        <v>0.591666666666667</v>
      </c>
      <c r="G337" s="8">
        <f t="shared" si="91"/>
        <v>144</v>
      </c>
      <c r="H337" s="8">
        <f t="shared" si="92"/>
        <v>2.4</v>
      </c>
      <c r="I337" s="9">
        <v>4125</v>
      </c>
      <c r="J337" s="10">
        <v>4125</v>
      </c>
      <c r="K337" s="9">
        <f t="shared" si="93"/>
        <v>49500</v>
      </c>
      <c r="L337" s="8">
        <f t="shared" si="94"/>
        <v>9900</v>
      </c>
      <c r="M337" s="11">
        <f t="shared" si="95"/>
        <v>0.8</v>
      </c>
      <c r="N337" s="12">
        <f t="shared" si="96"/>
        <v>0.198232323232316</v>
      </c>
      <c r="O337" s="9">
        <f t="shared" si="97"/>
        <v>19624.9999999993</v>
      </c>
      <c r="P337" s="13">
        <f t="shared" si="98"/>
        <v>3924.99999999985</v>
      </c>
    </row>
    <row r="338" spans="1:16">
      <c r="A338" s="3">
        <v>46173</v>
      </c>
      <c r="B338" s="4">
        <f>Data_Entry!X428</f>
        <v>22799.9999999997</v>
      </c>
      <c r="C338" s="5">
        <f>Data_Entry!AD428</f>
        <v>4.77</v>
      </c>
      <c r="D338" s="6">
        <f t="shared" si="90"/>
        <v>0.230303030303027</v>
      </c>
      <c r="E338" s="7"/>
      <c r="F338" s="7"/>
      <c r="G338" s="8">
        <f t="shared" si="91"/>
        <v>0</v>
      </c>
      <c r="H338" s="8">
        <f t="shared" si="92"/>
        <v>0</v>
      </c>
      <c r="I338" s="9">
        <v>4125</v>
      </c>
      <c r="J338" s="10"/>
      <c r="K338" s="9">
        <f t="shared" si="93"/>
        <v>49500</v>
      </c>
      <c r="L338" s="8">
        <f t="shared" si="94"/>
        <v>0</v>
      </c>
      <c r="M338" s="11">
        <f t="shared" si="95"/>
        <v>1</v>
      </c>
      <c r="N338" s="12">
        <f t="shared" si="96"/>
        <v>0.230303030303027</v>
      </c>
      <c r="O338" s="9">
        <f t="shared" si="97"/>
        <v>22799.9999999997</v>
      </c>
      <c r="P338" s="13">
        <f t="shared" si="98"/>
        <v>0</v>
      </c>
    </row>
    <row r="339" spans="1:16">
      <c r="A339" s="3">
        <v>46174</v>
      </c>
      <c r="B339" s="4">
        <f>Data_Entry!X429</f>
        <v>23750</v>
      </c>
      <c r="C339" s="5">
        <f>Data_Entry!AD429</f>
        <v>4.8</v>
      </c>
      <c r="D339" s="6">
        <f t="shared" si="90"/>
        <v>0.23989898989899</v>
      </c>
      <c r="E339" s="7"/>
      <c r="F339" s="7"/>
      <c r="G339" s="8">
        <f t="shared" si="91"/>
        <v>0</v>
      </c>
      <c r="H339" s="8">
        <f t="shared" si="92"/>
        <v>0</v>
      </c>
      <c r="I339" s="9">
        <v>4125</v>
      </c>
      <c r="J339" s="10"/>
      <c r="K339" s="9">
        <f t="shared" si="93"/>
        <v>49500</v>
      </c>
      <c r="L339" s="8">
        <f t="shared" si="94"/>
        <v>0</v>
      </c>
      <c r="M339" s="11">
        <f t="shared" si="95"/>
        <v>1</v>
      </c>
      <c r="N339" s="12">
        <f t="shared" si="96"/>
        <v>0.23989898989899</v>
      </c>
      <c r="O339" s="9">
        <f t="shared" si="97"/>
        <v>23750</v>
      </c>
      <c r="P339" s="13">
        <f t="shared" si="98"/>
        <v>0</v>
      </c>
    </row>
    <row r="340" spans="1:16">
      <c r="A340" s="3">
        <v>46175</v>
      </c>
      <c r="B340" s="4">
        <f>Data_Entry!X430</f>
        <v>21250</v>
      </c>
      <c r="C340" s="5">
        <f>Data_Entry!AD430</f>
        <v>4.18</v>
      </c>
      <c r="D340" s="6">
        <f t="shared" si="90"/>
        <v>0.214646464646465</v>
      </c>
      <c r="E340" s="7"/>
      <c r="F340" s="7"/>
      <c r="G340" s="8">
        <f t="shared" si="91"/>
        <v>0</v>
      </c>
      <c r="H340" s="8">
        <f t="shared" si="92"/>
        <v>0</v>
      </c>
      <c r="I340" s="9">
        <v>4125</v>
      </c>
      <c r="J340" s="10"/>
      <c r="K340" s="9">
        <f t="shared" si="93"/>
        <v>49500</v>
      </c>
      <c r="L340" s="8">
        <f t="shared" si="94"/>
        <v>0</v>
      </c>
      <c r="M340" s="11">
        <f t="shared" si="95"/>
        <v>1</v>
      </c>
      <c r="N340" s="12">
        <f t="shared" si="96"/>
        <v>0.214646464646465</v>
      </c>
      <c r="O340" s="9">
        <f t="shared" si="97"/>
        <v>21250</v>
      </c>
      <c r="P340" s="13">
        <f t="shared" si="98"/>
        <v>0</v>
      </c>
    </row>
    <row r="341" spans="1:16">
      <c r="A341" s="3">
        <v>46176</v>
      </c>
      <c r="B341" s="4">
        <f>Data_Entry!X431</f>
        <v>24600.0000000004</v>
      </c>
      <c r="C341" s="5">
        <f>Data_Entry!AD431</f>
        <v>5.36</v>
      </c>
      <c r="D341" s="6">
        <f t="shared" si="90"/>
        <v>0.248484848484853</v>
      </c>
      <c r="E341" s="7"/>
      <c r="F341" s="7"/>
      <c r="G341" s="8">
        <f t="shared" si="91"/>
        <v>0</v>
      </c>
      <c r="H341" s="8">
        <f t="shared" si="92"/>
        <v>0</v>
      </c>
      <c r="I341" s="9">
        <v>4125</v>
      </c>
      <c r="J341" s="10"/>
      <c r="K341" s="9">
        <f t="shared" si="93"/>
        <v>49500</v>
      </c>
      <c r="L341" s="8">
        <f t="shared" si="94"/>
        <v>0</v>
      </c>
      <c r="M341" s="11">
        <f t="shared" si="95"/>
        <v>1</v>
      </c>
      <c r="N341" s="12">
        <f t="shared" si="96"/>
        <v>0.248484848484853</v>
      </c>
      <c r="O341" s="9">
        <f t="shared" si="97"/>
        <v>24600.0000000004</v>
      </c>
      <c r="P341" s="13">
        <f t="shared" si="98"/>
        <v>0</v>
      </c>
    </row>
    <row r="342" spans="1:16">
      <c r="A342" s="3">
        <v>46177</v>
      </c>
      <c r="B342" s="4">
        <f>Data_Entry!X432</f>
        <v>22500</v>
      </c>
      <c r="C342" s="5">
        <f>Data_Entry!AD432</f>
        <v>4.5</v>
      </c>
      <c r="D342" s="6">
        <f t="shared" si="90"/>
        <v>0.227272727272727</v>
      </c>
      <c r="E342" s="7"/>
      <c r="F342" s="7"/>
      <c r="G342" s="8">
        <f t="shared" si="91"/>
        <v>0</v>
      </c>
      <c r="H342" s="8">
        <f t="shared" si="92"/>
        <v>0</v>
      </c>
      <c r="I342" s="9">
        <v>4125</v>
      </c>
      <c r="J342" s="10"/>
      <c r="K342" s="9">
        <f t="shared" si="93"/>
        <v>49500</v>
      </c>
      <c r="L342" s="8">
        <f t="shared" si="94"/>
        <v>0</v>
      </c>
      <c r="M342" s="11">
        <f t="shared" si="95"/>
        <v>1</v>
      </c>
      <c r="N342" s="12">
        <f t="shared" si="96"/>
        <v>0.227272727272727</v>
      </c>
      <c r="O342" s="9">
        <f t="shared" si="97"/>
        <v>22500</v>
      </c>
      <c r="P342" s="13">
        <f t="shared" si="98"/>
        <v>0</v>
      </c>
    </row>
    <row r="343" spans="1:16">
      <c r="A343" s="3">
        <v>46178</v>
      </c>
      <c r="B343" s="4">
        <f>Data_Entry!X433</f>
        <v>23500.0000000002</v>
      </c>
      <c r="C343" s="5">
        <f>Data_Entry!AD433</f>
        <v>4.31</v>
      </c>
      <c r="D343" s="6">
        <f t="shared" si="90"/>
        <v>0.23737373737374</v>
      </c>
      <c r="E343" s="7"/>
      <c r="F343" s="7"/>
      <c r="G343" s="8">
        <f t="shared" si="91"/>
        <v>0</v>
      </c>
      <c r="H343" s="8">
        <f t="shared" si="92"/>
        <v>0</v>
      </c>
      <c r="I343" s="9">
        <v>4125</v>
      </c>
      <c r="J343" s="10"/>
      <c r="K343" s="9">
        <f t="shared" si="93"/>
        <v>49500</v>
      </c>
      <c r="L343" s="8">
        <f t="shared" si="94"/>
        <v>0</v>
      </c>
      <c r="M343" s="11">
        <f t="shared" si="95"/>
        <v>1</v>
      </c>
      <c r="N343" s="12">
        <f t="shared" si="96"/>
        <v>0.23737373737374</v>
      </c>
      <c r="O343" s="9">
        <f t="shared" si="97"/>
        <v>23500.0000000002</v>
      </c>
      <c r="P343" s="13">
        <f t="shared" si="98"/>
        <v>0</v>
      </c>
    </row>
    <row r="344" spans="1:16">
      <c r="A344" s="3">
        <v>46179</v>
      </c>
      <c r="B344" s="4">
        <f>Data_Entry!X434</f>
        <v>0</v>
      </c>
      <c r="C344" s="5">
        <f>Data_Entry!AD434</f>
        <v>0</v>
      </c>
      <c r="D344" s="6">
        <f t="shared" si="90"/>
        <v>0</v>
      </c>
      <c r="E344" s="7"/>
      <c r="F344" s="7"/>
      <c r="G344" s="8">
        <f t="shared" si="91"/>
        <v>0</v>
      </c>
      <c r="H344" s="8">
        <f t="shared" si="92"/>
        <v>0</v>
      </c>
      <c r="I344" s="9">
        <v>4125</v>
      </c>
      <c r="J344" s="10"/>
      <c r="K344" s="9">
        <f t="shared" si="93"/>
        <v>49500</v>
      </c>
      <c r="L344" s="8">
        <f t="shared" si="94"/>
        <v>0</v>
      </c>
      <c r="M344" s="11">
        <f t="shared" si="95"/>
        <v>1</v>
      </c>
      <c r="N344" s="12">
        <f t="shared" si="96"/>
        <v>0</v>
      </c>
      <c r="O344" s="9">
        <f t="shared" si="97"/>
        <v>0</v>
      </c>
      <c r="P344" s="13">
        <f t="shared" si="98"/>
        <v>0</v>
      </c>
    </row>
    <row r="345" spans="1:16">
      <c r="A345" s="3">
        <v>46180</v>
      </c>
      <c r="B345" s="4">
        <f>Data_Entry!X435</f>
        <v>0</v>
      </c>
      <c r="C345" s="5">
        <f>Data_Entry!AD435</f>
        <v>0</v>
      </c>
      <c r="D345" s="6">
        <f t="shared" si="90"/>
        <v>0</v>
      </c>
      <c r="E345" s="7"/>
      <c r="F345" s="7"/>
      <c r="G345" s="8">
        <f t="shared" si="91"/>
        <v>0</v>
      </c>
      <c r="H345" s="8">
        <f t="shared" si="92"/>
        <v>0</v>
      </c>
      <c r="I345" s="9">
        <v>4125</v>
      </c>
      <c r="J345" s="10"/>
      <c r="K345" s="9">
        <f t="shared" si="93"/>
        <v>49500</v>
      </c>
      <c r="L345" s="8">
        <f t="shared" si="94"/>
        <v>0</v>
      </c>
      <c r="M345" s="11">
        <f t="shared" si="95"/>
        <v>1</v>
      </c>
      <c r="N345" s="12">
        <f t="shared" si="96"/>
        <v>0</v>
      </c>
      <c r="O345" s="9">
        <f t="shared" si="97"/>
        <v>0</v>
      </c>
      <c r="P345" s="13">
        <f t="shared" si="98"/>
        <v>0</v>
      </c>
    </row>
    <row r="346" spans="1:16">
      <c r="A346" s="3">
        <v>46181</v>
      </c>
      <c r="B346" s="4">
        <f>Data_Entry!X436</f>
        <v>0</v>
      </c>
      <c r="C346" s="5">
        <f>Data_Entry!AD436</f>
        <v>0</v>
      </c>
      <c r="D346" s="6">
        <f t="shared" si="90"/>
        <v>0</v>
      </c>
      <c r="E346" s="7"/>
      <c r="F346" s="7"/>
      <c r="G346" s="8">
        <f t="shared" si="91"/>
        <v>0</v>
      </c>
      <c r="H346" s="8">
        <f t="shared" si="92"/>
        <v>0</v>
      </c>
      <c r="I346" s="9">
        <v>4125</v>
      </c>
      <c r="J346" s="10"/>
      <c r="K346" s="9">
        <f t="shared" si="93"/>
        <v>49500</v>
      </c>
      <c r="L346" s="8">
        <f t="shared" si="94"/>
        <v>0</v>
      </c>
      <c r="M346" s="11">
        <f t="shared" si="95"/>
        <v>1</v>
      </c>
      <c r="N346" s="12">
        <f t="shared" si="96"/>
        <v>0</v>
      </c>
      <c r="O346" s="9">
        <f t="shared" si="97"/>
        <v>0</v>
      </c>
      <c r="P346" s="13">
        <f t="shared" si="98"/>
        <v>0</v>
      </c>
    </row>
    <row r="347" spans="1:16">
      <c r="A347" s="3">
        <v>46182</v>
      </c>
      <c r="B347" s="4">
        <f>Data_Entry!X437</f>
        <v>0</v>
      </c>
      <c r="C347" s="5">
        <f>Data_Entry!AD437</f>
        <v>0</v>
      </c>
      <c r="D347" s="6">
        <f t="shared" si="90"/>
        <v>0</v>
      </c>
      <c r="E347" s="7"/>
      <c r="F347" s="7"/>
      <c r="G347" s="8">
        <f t="shared" si="91"/>
        <v>0</v>
      </c>
      <c r="H347" s="8">
        <f t="shared" si="92"/>
        <v>0</v>
      </c>
      <c r="I347" s="9">
        <v>4125</v>
      </c>
      <c r="J347" s="10"/>
      <c r="K347" s="9">
        <f t="shared" si="93"/>
        <v>49500</v>
      </c>
      <c r="L347" s="8">
        <f t="shared" si="94"/>
        <v>0</v>
      </c>
      <c r="M347" s="11">
        <f t="shared" si="95"/>
        <v>1</v>
      </c>
      <c r="N347" s="12">
        <f t="shared" si="96"/>
        <v>0</v>
      </c>
      <c r="O347" s="9">
        <f t="shared" si="97"/>
        <v>0</v>
      </c>
      <c r="P347" s="13">
        <f t="shared" si="98"/>
        <v>0</v>
      </c>
    </row>
    <row r="348" spans="1:16">
      <c r="A348" s="3">
        <v>46183</v>
      </c>
      <c r="B348" s="4">
        <f>Data_Entry!X438</f>
        <v>0</v>
      </c>
      <c r="C348" s="5">
        <f>Data_Entry!AD438</f>
        <v>0</v>
      </c>
      <c r="D348" s="6">
        <f t="shared" si="90"/>
        <v>0</v>
      </c>
      <c r="E348" s="7"/>
      <c r="F348" s="7"/>
      <c r="G348" s="8">
        <f t="shared" si="91"/>
        <v>0</v>
      </c>
      <c r="H348" s="8">
        <f t="shared" si="92"/>
        <v>0</v>
      </c>
      <c r="I348" s="9">
        <v>4125</v>
      </c>
      <c r="J348" s="10"/>
      <c r="K348" s="9">
        <f t="shared" si="93"/>
        <v>49500</v>
      </c>
      <c r="L348" s="8">
        <f t="shared" si="94"/>
        <v>0</v>
      </c>
      <c r="M348" s="11">
        <f t="shared" si="95"/>
        <v>1</v>
      </c>
      <c r="N348" s="12">
        <f t="shared" si="96"/>
        <v>0</v>
      </c>
      <c r="O348" s="9">
        <f t="shared" si="97"/>
        <v>0</v>
      </c>
      <c r="P348" s="13">
        <f t="shared" si="98"/>
        <v>0</v>
      </c>
    </row>
    <row r="349" spans="1:16">
      <c r="A349" s="3">
        <v>46184</v>
      </c>
      <c r="B349" s="4">
        <f>Data_Entry!X439</f>
        <v>0</v>
      </c>
      <c r="C349" s="5">
        <f>Data_Entry!AD439</f>
        <v>0</v>
      </c>
      <c r="D349" s="6">
        <f t="shared" si="90"/>
        <v>0</v>
      </c>
      <c r="E349" s="7"/>
      <c r="F349" s="7"/>
      <c r="G349" s="8">
        <f t="shared" si="91"/>
        <v>0</v>
      </c>
      <c r="H349" s="8">
        <f t="shared" si="92"/>
        <v>0</v>
      </c>
      <c r="I349" s="9">
        <v>4125</v>
      </c>
      <c r="J349" s="10"/>
      <c r="K349" s="9">
        <f t="shared" si="93"/>
        <v>49500</v>
      </c>
      <c r="L349" s="8">
        <f t="shared" si="94"/>
        <v>0</v>
      </c>
      <c r="M349" s="11">
        <f t="shared" si="95"/>
        <v>1</v>
      </c>
      <c r="N349" s="12">
        <f t="shared" si="96"/>
        <v>0</v>
      </c>
      <c r="O349" s="9">
        <f t="shared" si="97"/>
        <v>0</v>
      </c>
      <c r="P349" s="13">
        <f t="shared" si="98"/>
        <v>0</v>
      </c>
    </row>
    <row r="350" spans="1:16">
      <c r="A350" s="3">
        <v>46185</v>
      </c>
      <c r="B350" s="4">
        <f>Data_Entry!X440</f>
        <v>0</v>
      </c>
      <c r="C350" s="5">
        <f>Data_Entry!AD440</f>
        <v>0</v>
      </c>
      <c r="D350" s="6">
        <f t="shared" si="90"/>
        <v>0</v>
      </c>
      <c r="E350" s="7"/>
      <c r="F350" s="7"/>
      <c r="G350" s="8">
        <f t="shared" si="91"/>
        <v>0</v>
      </c>
      <c r="H350" s="8">
        <f t="shared" si="92"/>
        <v>0</v>
      </c>
      <c r="I350" s="9">
        <v>4125</v>
      </c>
      <c r="J350" s="10"/>
      <c r="K350" s="9">
        <f t="shared" si="93"/>
        <v>49500</v>
      </c>
      <c r="L350" s="8">
        <f t="shared" si="94"/>
        <v>0</v>
      </c>
      <c r="M350" s="11">
        <f t="shared" si="95"/>
        <v>1</v>
      </c>
      <c r="N350" s="12">
        <f t="shared" si="96"/>
        <v>0</v>
      </c>
      <c r="O350" s="9">
        <f t="shared" si="97"/>
        <v>0</v>
      </c>
      <c r="P350" s="13">
        <f t="shared" si="98"/>
        <v>0</v>
      </c>
    </row>
    <row r="351" spans="1:16">
      <c r="A351" s="3">
        <v>46186</v>
      </c>
      <c r="B351" s="4">
        <f>Data_Entry!X441</f>
        <v>0</v>
      </c>
      <c r="C351" s="5">
        <f>Data_Entry!AD441</f>
        <v>0</v>
      </c>
      <c r="D351" s="6">
        <f t="shared" si="90"/>
        <v>0</v>
      </c>
      <c r="E351" s="7"/>
      <c r="F351" s="7"/>
      <c r="G351" s="8">
        <f t="shared" si="91"/>
        <v>0</v>
      </c>
      <c r="H351" s="8">
        <f t="shared" si="92"/>
        <v>0</v>
      </c>
      <c r="I351" s="9">
        <v>4125</v>
      </c>
      <c r="J351" s="10"/>
      <c r="K351" s="9">
        <f t="shared" si="93"/>
        <v>49500</v>
      </c>
      <c r="L351" s="8">
        <f t="shared" si="94"/>
        <v>0</v>
      </c>
      <c r="M351" s="11">
        <f t="shared" si="95"/>
        <v>1</v>
      </c>
      <c r="N351" s="12">
        <f t="shared" si="96"/>
        <v>0</v>
      </c>
      <c r="O351" s="9">
        <f t="shared" si="97"/>
        <v>0</v>
      </c>
      <c r="P351" s="13">
        <f t="shared" si="98"/>
        <v>0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9" master="" otherUserPermission="visible"/>
  <rangeList sheetStid="10" master="" otherUserPermission="visible">
    <arrUserId title="Range1_8" rangeCreator="" othersAccessPermission="edit"/>
  </rangeList>
  <rangeList sheetStid="11" master="" otherUserPermission="visible"/>
  <rangeList sheetStid="8" master="" otherUserPermission="visible"/>
  <rangeList sheetStid="4" master="" otherUserPermission="visible"/>
  <rangeList sheetStid="6" master="" otherUserPermission="visible"/>
  <rangeList sheetStid="5" master="" otherUserPermission="visible"/>
  <rangeList sheetStid="3" master="" otherUserPermission="visible"/>
  <rangeList sheetStid="7" master="" otherUserPermission="visible"/>
  <rangeList sheetStid="12" master="" otherUserPermission="visible"/>
  <rangeList sheetStid="13" master="" otherUserPermission="visible"/>
  <rangeList sheetStid="14" master="" otherUserPermission="visible"/>
  <rangeList sheetStid="15" master="" otherUserPermission="visible"/>
  <rangeList sheetStid="16" master="" otherUserPermission="visible"/>
  <rangeList sheetStid="17" master="" otherUserPermission="visible"/>
  <rangeList sheetStid="18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Budgeted_data</vt:lpstr>
      <vt:lpstr>E-Mail_Copy</vt:lpstr>
      <vt:lpstr>DGR</vt:lpstr>
      <vt:lpstr>Data_Entry</vt:lpstr>
      <vt:lpstr>Basic_Data</vt:lpstr>
      <vt:lpstr>Module_Cleaning</vt:lpstr>
      <vt:lpstr>WMS</vt:lpstr>
      <vt:lpstr>Plant_Down_Time Details</vt:lpstr>
      <vt:lpstr>Plant_Grid_Down_Time_Details</vt:lpstr>
      <vt:lpstr>Plant Aviliblity</vt:lpstr>
      <vt:lpstr>Grid Availiblity</vt:lpstr>
      <vt:lpstr>Sheet1</vt:lpstr>
      <vt:lpstr>Sheet2</vt:lpstr>
      <vt:lpstr>Sheet3</vt:lpstr>
      <vt:lpstr>Sheet4</vt:lpstr>
      <vt:lpstr>Sheet5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Abakus</dc:creator>
  <cp:lastModifiedBy>Admin</cp:lastModifiedBy>
  <dcterms:created xsi:type="dcterms:W3CDTF">2026-01-30T12:03:00Z</dcterms:created>
  <cp:lastPrinted>2025-07-29T04:40:00Z</cp:lastPrinted>
  <dcterms:modified xsi:type="dcterms:W3CDTF">2026-06-06T06:32:47Z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1E3117667F6F4608B9A98CA10B7DE3C5_12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